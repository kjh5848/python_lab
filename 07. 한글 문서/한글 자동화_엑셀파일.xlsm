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49.xml" ContentType="application/vnd.ms-excel.controlproperties+xml"/>
  <Override PartName="/xl/drawings/drawing10.xml" ContentType="application/vnd.openxmlformats-officedocument.drawing+xml"/>
  <Override PartName="/xl/ctrlProps/ctrlProp5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미래내일일경험 공유\python_lab\07. 한글 문서\"/>
    </mc:Choice>
  </mc:AlternateContent>
  <xr:revisionPtr revIDLastSave="0" documentId="13_ncr:1_{D4CB5E8D-7120-447B-B41A-0395262B53E5}" xr6:coauthVersionLast="47" xr6:coauthVersionMax="47" xr10:uidLastSave="{00000000-0000-0000-0000-000000000000}"/>
  <bookViews>
    <workbookView xWindow="-120" yWindow="-120" windowWidth="29040" windowHeight="15840" firstSheet="4" activeTab="4" xr2:uid="{2F91D093-E503-4323-9BE2-6D0B302659AA}"/>
  </bookViews>
  <sheets>
    <sheet name="체크리스트" sheetId="33" r:id="rId1"/>
    <sheet name="목차" sheetId="38" r:id="rId2"/>
    <sheet name="기본양식" sheetId="6" r:id="rId3"/>
    <sheet name="참여자명단" sheetId="24" r:id="rId4"/>
    <sheet name="참여기업 정보" sheetId="35" r:id="rId5"/>
    <sheet name="102. 사전직무교육 운영계획서" sheetId="44" r:id="rId6"/>
    <sheet name="108. 일경험 운영 계획서" sheetId="17" r:id="rId7"/>
    <sheet name="12, 42, 46,121. 참여기업 서류 모음" sheetId="49" r:id="rId8"/>
    <sheet name="46,40,33. 청년서류 모음" sheetId="25" r:id="rId9"/>
    <sheet name="103. (공통-직무교육기관) 사전직무교육 출석부" sheetId="39" r:id="rId10"/>
    <sheet name="104. (공통-직무교육기관) 사전직무교육 공가 관리대장" sheetId="40" r:id="rId11"/>
    <sheet name="125. (공통직무교육기관) 사전직무교육 실시보고" sheetId="20" r:id="rId12"/>
    <sheet name="129. (공통-직무교육기관) 사전직무교육 수료 보고서" sheetId="47" r:id="rId13"/>
    <sheet name="34. 인턴형 일경험 실시보고" sheetId="19" r:id="rId14"/>
    <sheet name="106. (공통-참여기업) 참여기업 중간점검 일지" sheetId="41" r:id="rId15"/>
    <sheet name="109. (인턴형-참여청년) 인턴형 일경험 종합 보고서" sheetId="43" r:id="rId16"/>
    <sheet name="134-2. (인턴형-멘토) 멘토 결과보고서" sheetId="46" r:id="rId17"/>
    <sheet name="13. 참여기업 지원금 지급 신청서" sheetId="29" r:id="rId18"/>
    <sheet name="35. ()월 인턴형 일경험 결과보고" sheetId="36" r:id="rId19"/>
    <sheet name="36. 인턴형 일경험 실시 결과보고" sheetId="37" r:id="rId20"/>
    <sheet name="123. (공통-청년) 일경험 중도 포기 신청서" sheetId="48" r:id="rId2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39" l="1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18" i="39"/>
  <c r="D9" i="39"/>
  <c r="D4" i="39"/>
  <c r="D7" i="39"/>
  <c r="H6" i="39" s="1"/>
  <c r="D5" i="39"/>
  <c r="P4" i="39" s="1"/>
  <c r="D6" i="39"/>
  <c r="H5" i="39" s="1"/>
  <c r="P5" i="39"/>
  <c r="I19" i="48"/>
  <c r="G19" i="48"/>
  <c r="G17" i="48"/>
  <c r="G16" i="48"/>
  <c r="G13" i="48"/>
  <c r="G11" i="48"/>
  <c r="G8" i="48"/>
  <c r="I6" i="48"/>
  <c r="I5" i="48"/>
  <c r="G6" i="48"/>
  <c r="G5" i="48"/>
  <c r="P43" i="47"/>
  <c r="P44" i="47"/>
  <c r="P45" i="47"/>
  <c r="P46" i="47"/>
  <c r="P47" i="47"/>
  <c r="P48" i="47"/>
  <c r="P49" i="47"/>
  <c r="P50" i="47"/>
  <c r="P51" i="47"/>
  <c r="P52" i="47"/>
  <c r="P53" i="47"/>
  <c r="P54" i="47"/>
  <c r="P55" i="47"/>
  <c r="P56" i="47"/>
  <c r="P57" i="47"/>
  <c r="P58" i="47"/>
  <c r="P59" i="47"/>
  <c r="P60" i="47"/>
  <c r="P61" i="47"/>
  <c r="N43" i="47"/>
  <c r="N44" i="47"/>
  <c r="N45" i="47"/>
  <c r="N46" i="47"/>
  <c r="N47" i="47"/>
  <c r="N48" i="47"/>
  <c r="N49" i="47"/>
  <c r="N50" i="47"/>
  <c r="N51" i="47"/>
  <c r="N52" i="47"/>
  <c r="N53" i="47"/>
  <c r="N54" i="47"/>
  <c r="N55" i="47"/>
  <c r="N56" i="47"/>
  <c r="N57" i="47"/>
  <c r="N58" i="47"/>
  <c r="N59" i="47"/>
  <c r="N60" i="47"/>
  <c r="N61" i="47"/>
  <c r="M43" i="47"/>
  <c r="M44" i="47"/>
  <c r="M45" i="47"/>
  <c r="M46" i="47"/>
  <c r="M47" i="47"/>
  <c r="M48" i="47"/>
  <c r="M49" i="47"/>
  <c r="M50" i="47"/>
  <c r="M51" i="47"/>
  <c r="M52" i="47"/>
  <c r="M53" i="47"/>
  <c r="M54" i="47"/>
  <c r="M55" i="47"/>
  <c r="M56" i="47"/>
  <c r="M57" i="47"/>
  <c r="M58" i="47"/>
  <c r="M59" i="47"/>
  <c r="M60" i="47"/>
  <c r="M61" i="47"/>
  <c r="L43" i="47"/>
  <c r="L44" i="47"/>
  <c r="L45" i="47"/>
  <c r="L46" i="47"/>
  <c r="L47" i="47"/>
  <c r="L48" i="47"/>
  <c r="L49" i="47"/>
  <c r="L50" i="47"/>
  <c r="L51" i="47"/>
  <c r="L52" i="47"/>
  <c r="L53" i="47"/>
  <c r="L54" i="47"/>
  <c r="L55" i="47"/>
  <c r="L56" i="47"/>
  <c r="L57" i="47"/>
  <c r="L58" i="47"/>
  <c r="L59" i="47"/>
  <c r="L60" i="47"/>
  <c r="L61" i="47"/>
  <c r="J43" i="47"/>
  <c r="J44" i="47"/>
  <c r="J45" i="47"/>
  <c r="J46" i="47"/>
  <c r="J47" i="47"/>
  <c r="J48" i="47"/>
  <c r="J49" i="47"/>
  <c r="J50" i="47"/>
  <c r="J51" i="47"/>
  <c r="J52" i="47"/>
  <c r="J53" i="47"/>
  <c r="J54" i="47"/>
  <c r="J55" i="47"/>
  <c r="J56" i="47"/>
  <c r="J57" i="47"/>
  <c r="J58" i="47"/>
  <c r="J59" i="47"/>
  <c r="J60" i="47"/>
  <c r="J61" i="47"/>
  <c r="P42" i="47"/>
  <c r="Q39" i="47"/>
  <c r="N42" i="47"/>
  <c r="M42" i="47"/>
  <c r="L42" i="47"/>
  <c r="J42" i="47"/>
  <c r="O39" i="47"/>
  <c r="M39" i="47"/>
  <c r="K39" i="47"/>
  <c r="I39" i="47"/>
  <c r="L19" i="47"/>
  <c r="L18" i="47"/>
  <c r="L17" i="47"/>
  <c r="L16" i="47"/>
  <c r="J13" i="47"/>
  <c r="O11" i="47"/>
  <c r="J11" i="47"/>
  <c r="O10" i="47"/>
  <c r="L10" i="47"/>
  <c r="J9" i="47"/>
  <c r="O8" i="47"/>
  <c r="J8" i="47"/>
  <c r="P6" i="47"/>
  <c r="L6" i="47"/>
  <c r="J5" i="47"/>
  <c r="P4" i="47"/>
  <c r="J4" i="47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M34" i="20"/>
  <c r="L34" i="20"/>
  <c r="K34" i="20"/>
  <c r="J34" i="20"/>
  <c r="I34" i="20"/>
  <c r="H26" i="20"/>
  <c r="K20" i="20"/>
  <c r="K19" i="20"/>
  <c r="K18" i="20"/>
  <c r="K17" i="20"/>
  <c r="P16" i="20"/>
  <c r="K16" i="20"/>
  <c r="P11" i="20"/>
  <c r="N11" i="20"/>
  <c r="L11" i="20"/>
  <c r="I11" i="20"/>
  <c r="I39" i="41" l="1"/>
  <c r="G39" i="41"/>
  <c r="I38" i="41"/>
  <c r="G38" i="41"/>
  <c r="I37" i="41"/>
  <c r="G37" i="41"/>
  <c r="G36" i="41"/>
  <c r="G34" i="41"/>
  <c r="G32" i="41"/>
  <c r="G30" i="41"/>
  <c r="G28" i="41"/>
  <c r="G27" i="41"/>
  <c r="G25" i="41"/>
  <c r="I19" i="41"/>
  <c r="G19" i="41"/>
  <c r="I18" i="41"/>
  <c r="G18" i="41"/>
  <c r="I17" i="41"/>
  <c r="G17" i="41"/>
  <c r="G16" i="41"/>
  <c r="G14" i="41"/>
  <c r="G12" i="41"/>
  <c r="G10" i="41"/>
  <c r="G8" i="41"/>
  <c r="G7" i="41"/>
  <c r="G5" i="41"/>
  <c r="W61" i="39"/>
  <c r="X59" i="39"/>
  <c r="X58" i="39"/>
  <c r="X57" i="39"/>
  <c r="X56" i="39"/>
  <c r="X55" i="39"/>
  <c r="X54" i="39"/>
  <c r="X53" i="39"/>
  <c r="X52" i="39"/>
  <c r="X51" i="39"/>
  <c r="X50" i="39"/>
  <c r="X49" i="39"/>
  <c r="X48" i="39"/>
  <c r="X47" i="39"/>
  <c r="X46" i="39"/>
  <c r="X45" i="39"/>
  <c r="AG42" i="39"/>
  <c r="AE42" i="39"/>
  <c r="AC42" i="39"/>
  <c r="AA42" i="39"/>
  <c r="Y42" i="39"/>
  <c r="AF41" i="39"/>
  <c r="X41" i="39"/>
  <c r="AF40" i="39"/>
  <c r="X40" i="39"/>
  <c r="AF39" i="39"/>
  <c r="X39" i="39"/>
  <c r="W26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10" i="39"/>
  <c r="I7" i="39"/>
  <c r="Q7" i="39"/>
  <c r="O7" i="39"/>
  <c r="M7" i="39"/>
  <c r="K7" i="39"/>
  <c r="P6" i="39"/>
  <c r="H4" i="39"/>
  <c r="K44" i="36"/>
  <c r="W78" i="36"/>
  <c r="K77" i="36"/>
  <c r="K75" i="36"/>
  <c r="AC73" i="36"/>
  <c r="Y73" i="36"/>
  <c r="V73" i="36"/>
  <c r="T73" i="36"/>
  <c r="R73" i="36"/>
  <c r="Q73" i="36"/>
  <c r="O73" i="36"/>
  <c r="L73" i="36"/>
  <c r="AC72" i="36"/>
  <c r="Y72" i="36"/>
  <c r="V72" i="36"/>
  <c r="T72" i="36"/>
  <c r="R72" i="36"/>
  <c r="Q72" i="36"/>
  <c r="O72" i="36"/>
  <c r="L72" i="36"/>
  <c r="AC71" i="36"/>
  <c r="Y71" i="36"/>
  <c r="V71" i="36"/>
  <c r="T71" i="36"/>
  <c r="R71" i="36"/>
  <c r="Q71" i="36"/>
  <c r="O71" i="36"/>
  <c r="L71" i="36"/>
  <c r="AC70" i="36"/>
  <c r="Y70" i="36"/>
  <c r="V70" i="36"/>
  <c r="T70" i="36"/>
  <c r="R70" i="36"/>
  <c r="Q70" i="36"/>
  <c r="O70" i="36"/>
  <c r="L70" i="36"/>
  <c r="AC69" i="36"/>
  <c r="Y69" i="36"/>
  <c r="V69" i="36"/>
  <c r="T69" i="36"/>
  <c r="R69" i="36"/>
  <c r="Q69" i="36"/>
  <c r="O69" i="36"/>
  <c r="L69" i="36"/>
  <c r="AC68" i="36"/>
  <c r="Y68" i="36"/>
  <c r="V68" i="36"/>
  <c r="T68" i="36"/>
  <c r="R68" i="36"/>
  <c r="Q68" i="36"/>
  <c r="O68" i="36"/>
  <c r="L68" i="36"/>
  <c r="AC67" i="36"/>
  <c r="Y67" i="36"/>
  <c r="V67" i="36"/>
  <c r="T67" i="36"/>
  <c r="R67" i="36"/>
  <c r="Q67" i="36"/>
  <c r="O67" i="36"/>
  <c r="L67" i="36"/>
  <c r="AC66" i="36"/>
  <c r="Y66" i="36"/>
  <c r="V66" i="36"/>
  <c r="T66" i="36"/>
  <c r="R66" i="36"/>
  <c r="Q66" i="36"/>
  <c r="O66" i="36"/>
  <c r="L66" i="36"/>
  <c r="AC65" i="36"/>
  <c r="Y65" i="36"/>
  <c r="V65" i="36"/>
  <c r="T65" i="36"/>
  <c r="R65" i="36"/>
  <c r="Q65" i="36"/>
  <c r="O65" i="36"/>
  <c r="L65" i="36"/>
  <c r="AC64" i="36"/>
  <c r="Y64" i="36"/>
  <c r="V64" i="36"/>
  <c r="T64" i="36"/>
  <c r="R64" i="36"/>
  <c r="Q64" i="36"/>
  <c r="O64" i="36"/>
  <c r="L64" i="36"/>
  <c r="Z60" i="36"/>
  <c r="P60" i="36"/>
  <c r="Z59" i="36"/>
  <c r="P59" i="36"/>
  <c r="P57" i="36"/>
  <c r="P56" i="36"/>
  <c r="AB55" i="36"/>
  <c r="T55" i="36"/>
  <c r="P55" i="36"/>
  <c r="P54" i="36"/>
  <c r="Y53" i="36"/>
  <c r="P53" i="36"/>
  <c r="Y49" i="36"/>
  <c r="P49" i="36"/>
  <c r="Y48" i="36"/>
  <c r="P48" i="36"/>
  <c r="Y47" i="36"/>
  <c r="P47" i="36"/>
  <c r="P46" i="36"/>
  <c r="Y45" i="36"/>
  <c r="P45" i="36"/>
  <c r="K33" i="36"/>
  <c r="T13" i="36"/>
  <c r="K2" i="36"/>
  <c r="J10" i="40"/>
  <c r="J11" i="40"/>
  <c r="J12" i="40"/>
  <c r="J13" i="40"/>
  <c r="J14" i="40"/>
  <c r="J15" i="40"/>
  <c r="J16" i="40"/>
  <c r="J17" i="40"/>
  <c r="J18" i="40"/>
  <c r="I10" i="40"/>
  <c r="I11" i="40"/>
  <c r="I12" i="40"/>
  <c r="I13" i="40"/>
  <c r="I14" i="40"/>
  <c r="I15" i="40"/>
  <c r="I16" i="40"/>
  <c r="I17" i="40"/>
  <c r="I18" i="40"/>
  <c r="G10" i="40"/>
  <c r="G11" i="40"/>
  <c r="G12" i="40"/>
  <c r="G13" i="40"/>
  <c r="G14" i="40"/>
  <c r="G15" i="40"/>
  <c r="G16" i="40"/>
  <c r="G17" i="40"/>
  <c r="G18" i="40"/>
  <c r="J9" i="40"/>
  <c r="I9" i="40"/>
  <c r="G9" i="40"/>
  <c r="K5" i="40"/>
  <c r="G5" i="40"/>
  <c r="K4" i="40"/>
  <c r="G4" i="40"/>
  <c r="W36" i="36" l="1"/>
  <c r="AC23" i="36"/>
  <c r="AC24" i="36"/>
  <c r="AC25" i="36"/>
  <c r="AC26" i="36"/>
  <c r="AC27" i="36"/>
  <c r="AC28" i="36"/>
  <c r="AC29" i="36"/>
  <c r="AC30" i="36"/>
  <c r="AC31" i="36"/>
  <c r="Y23" i="36"/>
  <c r="Y24" i="36"/>
  <c r="Y25" i="36"/>
  <c r="Y26" i="36"/>
  <c r="Y27" i="36"/>
  <c r="Y28" i="36"/>
  <c r="Y29" i="36"/>
  <c r="Y30" i="36"/>
  <c r="Y31" i="36"/>
  <c r="V23" i="36"/>
  <c r="V24" i="36"/>
  <c r="V25" i="36"/>
  <c r="V26" i="36"/>
  <c r="V27" i="36"/>
  <c r="V28" i="36"/>
  <c r="V29" i="36"/>
  <c r="V30" i="36"/>
  <c r="V31" i="36"/>
  <c r="T23" i="36"/>
  <c r="T24" i="36"/>
  <c r="T25" i="36"/>
  <c r="T26" i="36"/>
  <c r="T27" i="36"/>
  <c r="T28" i="36"/>
  <c r="T29" i="36"/>
  <c r="T30" i="36"/>
  <c r="T31" i="36"/>
  <c r="R23" i="36"/>
  <c r="R24" i="36"/>
  <c r="R25" i="36"/>
  <c r="R26" i="36"/>
  <c r="R27" i="36"/>
  <c r="R28" i="36"/>
  <c r="R29" i="36"/>
  <c r="R30" i="36"/>
  <c r="R31" i="36"/>
  <c r="Q23" i="36"/>
  <c r="Q24" i="36"/>
  <c r="Q25" i="36"/>
  <c r="Q26" i="36"/>
  <c r="Q27" i="36"/>
  <c r="Q28" i="36"/>
  <c r="Q29" i="36"/>
  <c r="Q30" i="36"/>
  <c r="Q31" i="36"/>
  <c r="O23" i="36"/>
  <c r="O24" i="36"/>
  <c r="O25" i="36"/>
  <c r="O26" i="36"/>
  <c r="O27" i="36"/>
  <c r="O28" i="36"/>
  <c r="O29" i="36"/>
  <c r="O30" i="36"/>
  <c r="O31" i="36"/>
  <c r="L23" i="36"/>
  <c r="L24" i="36"/>
  <c r="L25" i="36"/>
  <c r="L26" i="36"/>
  <c r="L27" i="36"/>
  <c r="L28" i="36"/>
  <c r="L29" i="36"/>
  <c r="L30" i="36"/>
  <c r="L31" i="36"/>
  <c r="AC22" i="36"/>
  <c r="Y22" i="36"/>
  <c r="V22" i="36"/>
  <c r="T22" i="36"/>
  <c r="R22" i="36"/>
  <c r="Q22" i="36"/>
  <c r="O22" i="36"/>
  <c r="L22" i="36"/>
  <c r="Z18" i="36"/>
  <c r="Z17" i="36"/>
  <c r="P18" i="36"/>
  <c r="P17" i="36"/>
  <c r="AB13" i="36"/>
  <c r="P15" i="36"/>
  <c r="P14" i="36"/>
  <c r="P13" i="36"/>
  <c r="P12" i="36"/>
  <c r="Y11" i="36"/>
  <c r="P11" i="36"/>
  <c r="K35" i="36"/>
  <c r="Y7" i="36"/>
  <c r="P7" i="36"/>
  <c r="Y6" i="36"/>
  <c r="P6" i="36"/>
  <c r="Y5" i="36"/>
  <c r="P5" i="36"/>
  <c r="P4" i="36"/>
  <c r="Y3" i="36"/>
  <c r="P3" i="36"/>
  <c r="F67" i="35" l="1"/>
  <c r="F68" i="35"/>
  <c r="R62" i="19" l="1"/>
  <c r="L62" i="19"/>
  <c r="K62" i="19"/>
  <c r="J62" i="19"/>
  <c r="R61" i="19"/>
  <c r="L61" i="19"/>
  <c r="K61" i="19"/>
  <c r="J61" i="19"/>
  <c r="R60" i="19"/>
  <c r="L60" i="19"/>
  <c r="K60" i="19"/>
  <c r="J60" i="19"/>
  <c r="R59" i="19"/>
  <c r="L59" i="19"/>
  <c r="K59" i="19"/>
  <c r="J59" i="19"/>
  <c r="R58" i="19"/>
  <c r="L58" i="19"/>
  <c r="K58" i="19"/>
  <c r="J58" i="19"/>
  <c r="J57" i="19"/>
  <c r="J54" i="19"/>
  <c r="K49" i="19"/>
  <c r="K48" i="19"/>
  <c r="K47" i="19"/>
  <c r="K46" i="19"/>
  <c r="Q45" i="19"/>
  <c r="K45" i="19"/>
  <c r="Q41" i="19"/>
  <c r="Q40" i="19"/>
  <c r="J25" i="19"/>
  <c r="J28" i="19"/>
  <c r="K15" i="19"/>
  <c r="K14" i="19"/>
  <c r="K13" i="19"/>
  <c r="K12" i="19"/>
  <c r="Q11" i="19"/>
  <c r="K11" i="19"/>
  <c r="E11" i="19"/>
  <c r="K7" i="19" s="1"/>
  <c r="Q6" i="19"/>
  <c r="F59" i="19"/>
  <c r="R54" i="19" s="1"/>
  <c r="F60" i="19"/>
  <c r="R55" i="19" s="1"/>
  <c r="F61" i="19"/>
  <c r="R56" i="19" s="1"/>
  <c r="F62" i="19"/>
  <c r="R57" i="19" s="1"/>
  <c r="F58" i="19"/>
  <c r="R53" i="19" s="1"/>
  <c r="B59" i="19"/>
  <c r="B60" i="19"/>
  <c r="J55" i="19" s="1"/>
  <c r="B61" i="19"/>
  <c r="J56" i="19" s="1"/>
  <c r="B62" i="19"/>
  <c r="B58" i="19"/>
  <c r="J53" i="19" s="1"/>
  <c r="E46" i="19"/>
  <c r="E45" i="19"/>
  <c r="K41" i="19" s="1"/>
  <c r="E44" i="19"/>
  <c r="K40" i="19" s="1"/>
  <c r="E43" i="19"/>
  <c r="E42" i="19"/>
  <c r="Q39" i="19" s="1"/>
  <c r="E41" i="19"/>
  <c r="K39" i="19" s="1"/>
  <c r="E40" i="19"/>
  <c r="K38" i="19" s="1"/>
  <c r="E39" i="19"/>
  <c r="P66" i="19" s="1"/>
  <c r="E38" i="19"/>
  <c r="K37" i="19" s="1"/>
  <c r="F25" i="19"/>
  <c r="R20" i="19" s="1"/>
  <c r="F26" i="19"/>
  <c r="R21" i="19" s="1"/>
  <c r="F27" i="19"/>
  <c r="R22" i="19" s="1"/>
  <c r="F28" i="19"/>
  <c r="R23" i="19" s="1"/>
  <c r="F29" i="19"/>
  <c r="R24" i="19" s="1"/>
  <c r="F30" i="19"/>
  <c r="R25" i="19" s="1"/>
  <c r="F31" i="19"/>
  <c r="R26" i="19" s="1"/>
  <c r="F32" i="19"/>
  <c r="R27" i="19" s="1"/>
  <c r="F33" i="19"/>
  <c r="R28" i="19" s="1"/>
  <c r="F24" i="19"/>
  <c r="R19" i="19" s="1"/>
  <c r="B25" i="19"/>
  <c r="J20" i="19" s="1"/>
  <c r="B26" i="19"/>
  <c r="J21" i="19" s="1"/>
  <c r="B27" i="19"/>
  <c r="J22" i="19" s="1"/>
  <c r="B28" i="19"/>
  <c r="J23" i="19" s="1"/>
  <c r="B29" i="19"/>
  <c r="J24" i="19" s="1"/>
  <c r="B30" i="19"/>
  <c r="B31" i="19"/>
  <c r="J26" i="19" s="1"/>
  <c r="B32" i="19"/>
  <c r="J27" i="19" s="1"/>
  <c r="B33" i="19"/>
  <c r="B24" i="19"/>
  <c r="J19" i="19" s="1"/>
  <c r="E12" i="19"/>
  <c r="Q7" i="19" s="1"/>
  <c r="E10" i="19"/>
  <c r="K6" i="19" s="1"/>
  <c r="E9" i="19"/>
  <c r="E8" i="19"/>
  <c r="Q5" i="19" s="1"/>
  <c r="E7" i="19"/>
  <c r="K5" i="19" s="1"/>
  <c r="E6" i="19"/>
  <c r="K4" i="19" s="1"/>
  <c r="E5" i="19"/>
  <c r="P32" i="19" s="1"/>
  <c r="E4" i="19"/>
  <c r="K3" i="19" s="1"/>
  <c r="AE24" i="29"/>
  <c r="AE23" i="29"/>
  <c r="AE22" i="29"/>
  <c r="AE21" i="29"/>
  <c r="AE20" i="29"/>
  <c r="AE19" i="29"/>
  <c r="AE18" i="29"/>
  <c r="AE17" i="29"/>
  <c r="AE16" i="29"/>
  <c r="AE15" i="29"/>
  <c r="D55" i="29"/>
  <c r="D58" i="29"/>
  <c r="AC27" i="29" s="1"/>
  <c r="D57" i="29"/>
  <c r="S69" i="29" s="1"/>
  <c r="D56" i="29"/>
  <c r="M27" i="29" s="1"/>
  <c r="D16" i="29"/>
  <c r="D15" i="29"/>
  <c r="S27" i="29" s="1"/>
  <c r="D14" i="29"/>
  <c r="D64" i="29"/>
  <c r="Q58" i="29" s="1"/>
  <c r="D65" i="29"/>
  <c r="Q59" i="29" s="1"/>
  <c r="D66" i="29"/>
  <c r="Q60" i="29" s="1"/>
  <c r="D67" i="29"/>
  <c r="Q61" i="29" s="1"/>
  <c r="D68" i="29"/>
  <c r="Q62" i="29" s="1"/>
  <c r="D69" i="29"/>
  <c r="Q63" i="29" s="1"/>
  <c r="D70" i="29"/>
  <c r="Q64" i="29" s="1"/>
  <c r="D71" i="29"/>
  <c r="Q65" i="29" s="1"/>
  <c r="D72" i="29"/>
  <c r="Q66" i="29" s="1"/>
  <c r="D63" i="29"/>
  <c r="Q57" i="29" s="1"/>
  <c r="C65" i="29"/>
  <c r="M59" i="29" s="1"/>
  <c r="B64" i="29"/>
  <c r="H58" i="29" s="1"/>
  <c r="B65" i="29"/>
  <c r="H59" i="29" s="1"/>
  <c r="B66" i="29"/>
  <c r="H60" i="29" s="1"/>
  <c r="B67" i="29"/>
  <c r="H61" i="29" s="1"/>
  <c r="B68" i="29"/>
  <c r="H62" i="29" s="1"/>
  <c r="B69" i="29"/>
  <c r="H63" i="29" s="1"/>
  <c r="B70" i="29"/>
  <c r="H64" i="29" s="1"/>
  <c r="B71" i="29"/>
  <c r="H65" i="29" s="1"/>
  <c r="B72" i="29"/>
  <c r="H66" i="29" s="1"/>
  <c r="B63" i="29"/>
  <c r="H57" i="29" s="1"/>
  <c r="D4" i="29"/>
  <c r="M5" i="29" s="1"/>
  <c r="D5" i="29"/>
  <c r="AB5" i="29" s="1"/>
  <c r="D6" i="29"/>
  <c r="M6" i="29" s="1"/>
  <c r="D7" i="29"/>
  <c r="AB6" i="29" s="1"/>
  <c r="D8" i="29"/>
  <c r="M8" i="29" s="1"/>
  <c r="D9" i="29"/>
  <c r="O9" i="29" s="1"/>
  <c r="D10" i="29"/>
  <c r="AC9" i="29" s="1"/>
  <c r="D11" i="29"/>
  <c r="O10" i="29" s="1"/>
  <c r="D12" i="29"/>
  <c r="AC10" i="29" s="1"/>
  <c r="D13" i="29"/>
  <c r="B21" i="29"/>
  <c r="H15" i="29" s="1"/>
  <c r="D21" i="29"/>
  <c r="Q15" i="29" s="1"/>
  <c r="B22" i="29"/>
  <c r="H16" i="29" s="1"/>
  <c r="D22" i="29"/>
  <c r="Q16" i="29" s="1"/>
  <c r="B23" i="29"/>
  <c r="H17" i="29" s="1"/>
  <c r="C23" i="29"/>
  <c r="M17" i="29" s="1"/>
  <c r="D23" i="29"/>
  <c r="Q17" i="29" s="1"/>
  <c r="B24" i="29"/>
  <c r="H18" i="29" s="1"/>
  <c r="D24" i="29"/>
  <c r="Q18" i="29" s="1"/>
  <c r="B25" i="29"/>
  <c r="H19" i="29" s="1"/>
  <c r="D25" i="29"/>
  <c r="Q19" i="29" s="1"/>
  <c r="B26" i="29"/>
  <c r="H20" i="29" s="1"/>
  <c r="D26" i="29"/>
  <c r="Q20" i="29" s="1"/>
  <c r="B27" i="29"/>
  <c r="H21" i="29" s="1"/>
  <c r="D27" i="29"/>
  <c r="Q21" i="29" s="1"/>
  <c r="B28" i="29"/>
  <c r="H22" i="29" s="1"/>
  <c r="D28" i="29"/>
  <c r="Q22" i="29" s="1"/>
  <c r="B29" i="29"/>
  <c r="H23" i="29" s="1"/>
  <c r="D29" i="29"/>
  <c r="Q23" i="29" s="1"/>
  <c r="B30" i="29"/>
  <c r="H24" i="29" s="1"/>
  <c r="D30" i="29"/>
  <c r="Q24" i="29" s="1"/>
  <c r="D54" i="29"/>
  <c r="AC52" i="29" s="1"/>
  <c r="D53" i="29"/>
  <c r="O52" i="29" s="1"/>
  <c r="D52" i="29"/>
  <c r="AC51" i="29" s="1"/>
  <c r="D51" i="29"/>
  <c r="O51" i="29" s="1"/>
  <c r="D50" i="29"/>
  <c r="M50" i="29" s="1"/>
  <c r="D49" i="29"/>
  <c r="AB48" i="29" s="1"/>
  <c r="D48" i="29"/>
  <c r="Z73" i="29" s="1"/>
  <c r="D47" i="29"/>
  <c r="AB47" i="29" s="1"/>
  <c r="D46" i="29"/>
  <c r="M47" i="29" s="1"/>
  <c r="BV2" i="33"/>
  <c r="BX2" i="33"/>
  <c r="BY3" i="33"/>
  <c r="C29" i="29"/>
  <c r="M23" i="29" s="1"/>
  <c r="C69" i="29"/>
  <c r="M63" i="29" s="1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Q3" i="19" l="1"/>
  <c r="Q37" i="19"/>
  <c r="AC69" i="29"/>
  <c r="C64" i="29"/>
  <c r="M58" i="29" s="1"/>
  <c r="C21" i="29"/>
  <c r="M15" i="29" s="1"/>
  <c r="C22" i="29"/>
  <c r="M16" i="29" s="1"/>
  <c r="C28" i="29"/>
  <c r="M22" i="29" s="1"/>
  <c r="C27" i="29"/>
  <c r="M21" i="29" s="1"/>
  <c r="C63" i="29"/>
  <c r="M57" i="29" s="1"/>
  <c r="C71" i="29"/>
  <c r="M65" i="29" s="1"/>
  <c r="C68" i="29"/>
  <c r="M62" i="29" s="1"/>
  <c r="C67" i="29"/>
  <c r="M61" i="29" s="1"/>
  <c r="C66" i="29"/>
  <c r="M60" i="29" s="1"/>
  <c r="M69" i="29"/>
  <c r="M48" i="29"/>
  <c r="C26" i="29"/>
  <c r="M20" i="29" s="1"/>
  <c r="C25" i="29"/>
  <c r="M19" i="29" s="1"/>
  <c r="C30" i="29"/>
  <c r="M24" i="29" s="1"/>
  <c r="C72" i="29"/>
  <c r="M66" i="29" s="1"/>
  <c r="C24" i="29"/>
  <c r="M18" i="29" s="1"/>
  <c r="C70" i="29"/>
  <c r="M64" i="29" s="1"/>
  <c r="Z31" i="29"/>
  <c r="BX3" i="33"/>
  <c r="CA3" i="33" s="1"/>
  <c r="Y23" i="33"/>
  <c r="BZ3" i="33" l="1"/>
  <c r="W14" i="24" l="1"/>
  <c r="X3" i="24"/>
  <c r="X4" i="24"/>
  <c r="X5" i="24"/>
  <c r="X6" i="24"/>
  <c r="X7" i="24"/>
  <c r="X8" i="24"/>
  <c r="X9" i="24"/>
  <c r="X10" i="24"/>
  <c r="X11" i="24"/>
  <c r="X12" i="24"/>
  <c r="X13" i="24"/>
  <c r="X14" i="24"/>
  <c r="X15" i="24"/>
  <c r="X16" i="24"/>
  <c r="X17" i="24"/>
  <c r="W4" i="24"/>
  <c r="W5" i="24"/>
  <c r="W6" i="24"/>
  <c r="W7" i="24"/>
  <c r="W8" i="24"/>
  <c r="W9" i="24"/>
  <c r="W10" i="24"/>
  <c r="W11" i="24"/>
  <c r="W12" i="24"/>
  <c r="W13" i="24"/>
  <c r="W15" i="24"/>
  <c r="W16" i="24"/>
  <c r="W17" i="24"/>
  <c r="W3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V3" i="24"/>
  <c r="U4" i="24"/>
  <c r="C25" i="19" s="1"/>
  <c r="K20" i="19" s="1"/>
  <c r="U5" i="24"/>
  <c r="C26" i="19" s="1"/>
  <c r="K21" i="19" s="1"/>
  <c r="U6" i="24"/>
  <c r="C27" i="19" s="1"/>
  <c r="K22" i="19" s="1"/>
  <c r="U7" i="24"/>
  <c r="C28" i="19" s="1"/>
  <c r="K23" i="19" s="1"/>
  <c r="U8" i="24"/>
  <c r="C29" i="19" s="1"/>
  <c r="K24" i="19" s="1"/>
  <c r="U9" i="24"/>
  <c r="C30" i="19" s="1"/>
  <c r="K25" i="19" s="1"/>
  <c r="U10" i="24"/>
  <c r="C31" i="19" s="1"/>
  <c r="K26" i="19" s="1"/>
  <c r="U11" i="24"/>
  <c r="C32" i="19" s="1"/>
  <c r="K27" i="19" s="1"/>
  <c r="U12" i="24"/>
  <c r="C33" i="19" s="1"/>
  <c r="K28" i="19" s="1"/>
  <c r="U13" i="24"/>
  <c r="C58" i="19" s="1"/>
  <c r="K53" i="19" s="1"/>
  <c r="U14" i="24"/>
  <c r="C59" i="19" s="1"/>
  <c r="K54" i="19" s="1"/>
  <c r="U15" i="24"/>
  <c r="C60" i="19" s="1"/>
  <c r="K55" i="19" s="1"/>
  <c r="U16" i="24"/>
  <c r="C61" i="19" s="1"/>
  <c r="K56" i="19" s="1"/>
  <c r="U17" i="24"/>
  <c r="C62" i="19" s="1"/>
  <c r="K57" i="19" s="1"/>
  <c r="U3" i="24"/>
  <c r="C24" i="19" s="1"/>
  <c r="K19" i="19" s="1"/>
  <c r="T5" i="24"/>
  <c r="D26" i="19" s="1"/>
  <c r="L21" i="19" s="1"/>
  <c r="T4" i="24"/>
  <c r="D25" i="19" s="1"/>
  <c r="L20" i="19" s="1"/>
  <c r="T6" i="24"/>
  <c r="D27" i="19" s="1"/>
  <c r="L22" i="19" s="1"/>
  <c r="T7" i="24"/>
  <c r="D28" i="19" s="1"/>
  <c r="L23" i="19" s="1"/>
  <c r="T8" i="24"/>
  <c r="D29" i="19" s="1"/>
  <c r="L24" i="19" s="1"/>
  <c r="T9" i="24"/>
  <c r="D30" i="19" s="1"/>
  <c r="L25" i="19" s="1"/>
  <c r="T10" i="24"/>
  <c r="D31" i="19" s="1"/>
  <c r="L26" i="19" s="1"/>
  <c r="T11" i="24"/>
  <c r="D32" i="19" s="1"/>
  <c r="L27" i="19" s="1"/>
  <c r="T12" i="24"/>
  <c r="D33" i="19" s="1"/>
  <c r="L28" i="19" s="1"/>
  <c r="T13" i="24"/>
  <c r="D58" i="19" s="1"/>
  <c r="L53" i="19" s="1"/>
  <c r="T14" i="24"/>
  <c r="D59" i="19" s="1"/>
  <c r="L54" i="19" s="1"/>
  <c r="T15" i="24"/>
  <c r="D60" i="19" s="1"/>
  <c r="L55" i="19" s="1"/>
  <c r="T16" i="24"/>
  <c r="D61" i="19" s="1"/>
  <c r="L56" i="19" s="1"/>
  <c r="T17" i="24"/>
  <c r="D62" i="19" s="1"/>
  <c r="L57" i="19" s="1"/>
  <c r="T3" i="24"/>
  <c r="D24" i="19" s="1"/>
  <c r="L19" i="19" s="1"/>
  <c r="S3" i="24"/>
  <c r="S6" i="24"/>
  <c r="S7" i="24"/>
  <c r="S9" i="24"/>
  <c r="S10" i="24"/>
  <c r="S13" i="24"/>
  <c r="S14" i="24"/>
  <c r="S15" i="24"/>
  <c r="S16" i="24"/>
  <c r="S4" i="24"/>
  <c r="S5" i="24"/>
  <c r="S8" i="24"/>
  <c r="S11" i="24"/>
  <c r="S12" i="24"/>
  <c r="S17" i="24"/>
  <c r="CA2" i="33" l="1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<sst xmlns="http://schemas.openxmlformats.org/spreadsheetml/2006/main" count="2521" uniqueCount="1490">
  <si>
    <t>사업장명</t>
  </si>
  <si>
    <t>대표자명</t>
  </si>
  <si>
    <t>홍길동</t>
  </si>
  <si>
    <t>222-22-22222-2</t>
  </si>
  <si>
    <t>연락처</t>
  </si>
  <si>
    <t>소재지</t>
  </si>
  <si>
    <t xml:space="preserve">기업구분 </t>
  </si>
  <si>
    <t>중소기업</t>
  </si>
  <si>
    <t>디자인</t>
  </si>
  <si>
    <t>담당부서</t>
  </si>
  <si>
    <t>담당자명</t>
  </si>
  <si>
    <t>이메일</t>
  </si>
  <si>
    <t>없음</t>
  </si>
  <si>
    <t>자격내용1</t>
  </si>
  <si>
    <t>프로</t>
  </si>
  <si>
    <t>마케팅팀</t>
  </si>
  <si>
    <t>010-0000-0000</t>
  </si>
  <si>
    <t>work@kseta.or.kr</t>
  </si>
  <si>
    <t>연구 1팀</t>
  </si>
  <si>
    <t>IT</t>
  </si>
  <si>
    <t>개발팀</t>
  </si>
  <si>
    <t>소프트웨어 개발 업무에 대한 전반적인 기초 능력 배양 및 현업에 대한 경험</t>
  </si>
  <si>
    <t>모바일 앱 개발 기초와 필수 도구 소개</t>
  </si>
  <si>
    <t>앱 화면 설계 및 사용자 경험(UX) 기초</t>
  </si>
  <si>
    <t>앱 레이아웃 구성 – XML 및 기본 위젯 활용</t>
  </si>
  <si>
    <t>사용자 인터랙션 추가 – 이벤트 및 터치 기능</t>
  </si>
  <si>
    <t>데이터 저장 및 관리 – SQLite와 로컬 데이터</t>
  </si>
  <si>
    <t>네트워크 통신 – API 활용 및 데이터 연동</t>
  </si>
  <si>
    <t>앱 성능 최적화와 디버깅</t>
  </si>
  <si>
    <t>앱 배포 및 유지 관리 전략</t>
  </si>
  <si>
    <t>프로그램 내용</t>
  </si>
  <si>
    <t xml:space="preserve">         로우
인덱스</t>
    <phoneticPr fontId="10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</si>
  <si>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</si>
  <si>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</si>
  <si>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</si>
  <si>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</si>
  <si>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</si>
  <si>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</si>
  <si>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</si>
  <si>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</si>
  <si>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</si>
  <si>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</si>
  <si>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</si>
  <si>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</si>
  <si>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9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</si>
  <si>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</si>
  <si>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</si>
  <si>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</si>
  <si>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</si>
  <si>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</si>
  <si>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</si>
  <si>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9" type="noConversion"/>
  </si>
  <si>
    <t>111-2222</t>
    <phoneticPr fontId="9" type="noConversion"/>
  </si>
  <si>
    <t>www.example.com</t>
    <phoneticPr fontId="9" type="noConversion"/>
  </si>
  <si>
    <t>010-111-2222</t>
    <phoneticPr fontId="9" type="noConversion"/>
  </si>
  <si>
    <t>www.example2.com</t>
    <phoneticPr fontId="9" type="noConversion"/>
  </si>
  <si>
    <t>2024.11.18 ~ 2025.01.10</t>
    <phoneticPr fontId="9" type="noConversion"/>
  </si>
  <si>
    <t>2024.11.18 ~ 2025.01.10</t>
    <phoneticPr fontId="9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</si>
  <si>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</si>
  <si>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9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</si>
  <si>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</si>
  <si>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9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</si>
  <si>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</si>
  <si>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</si>
  <si>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</si>
  <si>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9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</si>
  <si>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</si>
  <si>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</si>
  <si>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</si>
  <si>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</si>
  <si>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</si>
  <si>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</si>
  <si>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9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</si>
  <si>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9" type="noConversion"/>
  </si>
  <si>
    <t>이름</t>
    <phoneticPr fontId="9" type="noConversion"/>
  </si>
  <si>
    <t>생년월일</t>
    <phoneticPr fontId="9" type="noConversion"/>
  </si>
  <si>
    <t>성별</t>
    <phoneticPr fontId="9" type="noConversion"/>
  </si>
  <si>
    <t>연락처</t>
    <phoneticPr fontId="9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</si>
  <si>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9" type="noConversion"/>
  </si>
  <si>
    <t>작성날짜</t>
    <phoneticPr fontId="10" type="noConversion"/>
  </si>
  <si>
    <t>특이사항 기재</t>
  </si>
  <si>
    <t>순번</t>
  </si>
  <si>
    <t>프로그램명</t>
  </si>
  <si>
    <t>성명</t>
  </si>
  <si>
    <t>주민등록번호</t>
    <phoneticPr fontId="10" type="noConversion"/>
  </si>
  <si>
    <t>연락처</t>
    <phoneticPr fontId="10" type="noConversion"/>
  </si>
  <si>
    <t>이메일</t>
    <phoneticPr fontId="10" type="noConversion"/>
  </si>
  <si>
    <t>학년</t>
  </si>
  <si>
    <t>최종학교명</t>
    <phoneticPr fontId="10" type="noConversion"/>
  </si>
  <si>
    <t>최종학과</t>
  </si>
  <si>
    <t>주소</t>
    <phoneticPr fontId="10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</si>
  <si>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</si>
  <si>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</si>
  <si>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</si>
  <si>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</si>
  <si>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</si>
  <si>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</si>
  <si>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0" type="noConversion"/>
  </si>
  <si>
    <t>지역</t>
  </si>
  <si>
    <t>국민은행</t>
  </si>
  <si>
    <t>참여자명단</t>
    <phoneticPr fontId="9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</si>
  <si>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0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</si>
  <si>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9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</si>
  <si>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</si>
  <si>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9" type="noConversion"/>
  </si>
  <si>
    <t>성명</t>
    <phoneticPr fontId="9" type="noConversion"/>
  </si>
  <si>
    <t>주민등록번호</t>
    <phoneticPr fontId="9" type="noConversion"/>
  </si>
  <si>
    <t>주소</t>
    <phoneticPr fontId="9" type="noConversion"/>
  </si>
  <si>
    <t>최종학력상태</t>
    <phoneticPr fontId="9" type="noConversion"/>
  </si>
  <si>
    <t>최종학력구분</t>
    <phoneticPr fontId="9" type="noConversion"/>
  </si>
  <si>
    <t>작성날짜</t>
    <phoneticPr fontId="9" type="noConversion"/>
  </si>
  <si>
    <t>계좌번호</t>
    <phoneticPr fontId="9" type="noConversion"/>
  </si>
  <si>
    <t>참여인원</t>
    <phoneticPr fontId="9" type="noConversion"/>
  </si>
  <si>
    <t>직무분야</t>
    <phoneticPr fontId="9" type="noConversion"/>
  </si>
  <si>
    <t>운영기관명</t>
    <phoneticPr fontId="9" type="noConversion"/>
  </si>
  <si>
    <t>직무교육명</t>
    <phoneticPr fontId="9" type="noConversion"/>
  </si>
  <si>
    <t>교육주요내용</t>
    <phoneticPr fontId="9" type="noConversion"/>
  </si>
  <si>
    <t>교육기간</t>
    <phoneticPr fontId="9" type="noConversion"/>
  </si>
  <si>
    <t>남</t>
    <phoneticPr fontId="9" type="noConversion"/>
  </si>
  <si>
    <t>010-111-2223</t>
    <phoneticPr fontId="9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</si>
  <si>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</si>
  <si>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</si>
  <si>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</si>
  <si>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9" type="noConversion"/>
  </si>
  <si>
    <t>사업장명</t>
    <phoneticPr fontId="9" type="noConversion"/>
  </si>
  <si>
    <t>대표자명</t>
    <phoneticPr fontId="9" type="noConversion"/>
  </si>
  <si>
    <t>소재지</t>
    <phoneticPr fontId="9" type="noConversion"/>
  </si>
  <si>
    <t>2024.11.18 ~ 2024.12.13</t>
    <phoneticPr fontId="9" type="noConversion"/>
  </si>
  <si>
    <t>2024.12.16 ~ 2024.01.07</t>
    <phoneticPr fontId="9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</si>
  <si>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</si>
  <si>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</si>
  <si>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</si>
  <si>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</si>
  <si>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</si>
  <si>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</si>
  <si>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</si>
  <si>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</si>
  <si>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</si>
  <si>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</si>
  <si>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</si>
  <si>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</si>
  <si>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</si>
  <si>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</si>
  <si>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</si>
  <si>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</si>
  <si>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</si>
  <si>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</si>
  <si>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</si>
  <si>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</si>
  <si>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</si>
  <si>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</si>
  <si>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</si>
  <si>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</si>
  <si>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</si>
  <si>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</si>
  <si>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</si>
  <si>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</si>
  <si>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</si>
  <si>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</si>
  <si>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</si>
  <si>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</si>
  <si>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</si>
  <si>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</si>
  <si>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</si>
  <si>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</si>
  <si>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</si>
  <si>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</si>
  <si>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</si>
  <si>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</si>
  <si>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</si>
  <si>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</si>
  <si>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</si>
  <si>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</si>
  <si>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</si>
  <si>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</si>
  <si>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</si>
  <si>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</si>
  <si>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</si>
  <si>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</si>
  <si>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</si>
  <si>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</si>
  <si>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</si>
  <si>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</si>
  <si>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</si>
  <si>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</si>
  <si>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</si>
  <si>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</si>
  <si>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</si>
  <si>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</si>
  <si>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</si>
  <si>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</si>
  <si>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</si>
  <si>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9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</si>
  <si>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9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</si>
  <si>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9" type="noConversion"/>
  </si>
  <si>
    <t xml:space="preserve"> 경상남도 부산진구</t>
    <phoneticPr fontId="9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</si>
  <si>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9" type="noConversion"/>
  </si>
  <si>
    <t>제주특별시</t>
    <phoneticPr fontId="9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</si>
  <si>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</si>
  <si>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</si>
  <si>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</si>
  <si>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</si>
  <si>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</si>
  <si>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</si>
  <si>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</si>
  <si>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</si>
  <si>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</si>
  <si>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</si>
  <si>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</si>
  <si>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</si>
  <si>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9" type="noConversion"/>
  </si>
  <si>
    <t>001199-3301932</t>
    <phoneticPr fontId="9" type="noConversion"/>
  </si>
  <si>
    <t>020699-3626178</t>
    <phoneticPr fontId="9" type="noConversion"/>
  </si>
  <si>
    <t>[SY컴퍼니] 마케팅 인턴십</t>
    <phoneticPr fontId="9" type="noConversion"/>
  </si>
  <si>
    <t>2024년 12월 03일</t>
    <phoneticPr fontId="10" type="noConversion"/>
  </si>
  <si>
    <t>111-11-11111</t>
    <phoneticPr fontId="9" type="noConversion"/>
  </si>
  <si>
    <t>법인번호</t>
    <phoneticPr fontId="9" type="noConversion"/>
  </si>
  <si>
    <t>중소기업일때만체크</t>
    <phoneticPr fontId="9" type="noConversion"/>
  </si>
  <si>
    <t>있음일경우에만 자격내용</t>
    <phoneticPr fontId="9" type="noConversion"/>
  </si>
  <si>
    <t>사업자등록번호</t>
  </si>
  <si>
    <t>담당자</t>
  </si>
  <si>
    <t>전화번호</t>
  </si>
  <si>
    <t>확인자(대표자)</t>
  </si>
  <si>
    <t>(서명 또는 인)</t>
  </si>
  <si>
    <t>한국무선인터넷솔루션협회 운영기관장</t>
  </si>
  <si>
    <t>귀하</t>
  </si>
  <si>
    <t>첨부서류</t>
  </si>
  <si>
    <t>. . .</t>
  </si>
  <si>
    <t>c</t>
    <phoneticPr fontId="10" type="noConversion"/>
  </si>
  <si>
    <r>
      <rPr>
        <b/>
        <sz val="12"/>
        <color rgb="FFFF0000"/>
        <rFont val="맑은 고딕"/>
        <family val="3"/>
        <charset val="129"/>
      </rPr>
      <t>#주차별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업무는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협회측에서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임의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계획서로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작성하였으며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변경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및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수정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가능합니다</t>
    </r>
    <r>
      <rPr>
        <b/>
        <sz val="12"/>
        <color rgb="FFFF0000"/>
        <rFont val="Arial"/>
        <family val="2"/>
        <scheme val="minor"/>
      </rPr>
      <t>.</t>
    </r>
    <phoneticPr fontId="9" type="noConversion"/>
  </si>
  <si>
    <r>
      <t>1</t>
    </r>
    <r>
      <rPr>
        <sz val="13"/>
        <color theme="1"/>
        <rFont val="맑은 고딕"/>
        <family val="3"/>
        <charset val="129"/>
      </rPr>
      <t>주차</t>
    </r>
    <phoneticPr fontId="9" type="noConversion"/>
  </si>
  <si>
    <r>
      <t>3</t>
    </r>
    <r>
      <rPr>
        <sz val="13"/>
        <color theme="1"/>
        <rFont val="맑은 고딕"/>
        <family val="3"/>
        <charset val="129"/>
      </rPr>
      <t>주차</t>
    </r>
    <phoneticPr fontId="9" type="noConversion"/>
  </si>
  <si>
    <r>
      <t>2</t>
    </r>
    <r>
      <rPr>
        <sz val="13"/>
        <color theme="1"/>
        <rFont val="맑은 고딕"/>
        <family val="3"/>
        <charset val="129"/>
      </rPr>
      <t>주차</t>
    </r>
    <phoneticPr fontId="9" type="noConversion"/>
  </si>
  <si>
    <r>
      <t>4</t>
    </r>
    <r>
      <rPr>
        <sz val="13"/>
        <color theme="1"/>
        <rFont val="맑은 고딕"/>
        <family val="3"/>
        <charset val="129"/>
      </rPr>
      <t>주차</t>
    </r>
    <phoneticPr fontId="9" type="noConversion"/>
  </si>
  <si>
    <r>
      <t>6</t>
    </r>
    <r>
      <rPr>
        <sz val="13"/>
        <color theme="1"/>
        <rFont val="맑은 고딕"/>
        <family val="3"/>
        <charset val="129"/>
      </rPr>
      <t>주차</t>
    </r>
    <phoneticPr fontId="9" type="noConversion"/>
  </si>
  <si>
    <r>
      <t>8</t>
    </r>
    <r>
      <rPr>
        <sz val="13"/>
        <color theme="1"/>
        <rFont val="맑은 고딕"/>
        <family val="3"/>
        <charset val="129"/>
      </rPr>
      <t>주차</t>
    </r>
    <phoneticPr fontId="9" type="noConversion"/>
  </si>
  <si>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맑은 고딕"/>
        <family val="3"/>
        <charset val="129"/>
      </rPr>
      <t>주차</t>
    </r>
    <phoneticPr fontId="9" type="noConversion"/>
  </si>
  <si>
    <r>
      <t>7</t>
    </r>
    <r>
      <rPr>
        <sz val="13"/>
        <color theme="1"/>
        <rFont val="맑은 고딕"/>
        <family val="3"/>
        <charset val="129"/>
      </rPr>
      <t>주차</t>
    </r>
    <phoneticPr fontId="9" type="noConversion"/>
  </si>
  <si>
    <t>인턴형 일경험 운영 계획서</t>
  </si>
  <si>
    <t>■ 참여기업 기본 정보</t>
  </si>
  <si>
    <t>기업명</t>
  </si>
  <si>
    <t>종업원 수</t>
  </si>
  <si>
    <t>사업장주소</t>
  </si>
  <si>
    <t>(본사)</t>
  </si>
  <si>
    <t>사업장주소(본사)</t>
  </si>
  <si>
    <t>(일경험)</t>
  </si>
  <si>
    <t>사업장주소(일경험)</t>
  </si>
  <si>
    <t>홈페이지</t>
  </si>
  <si>
    <t>기업 소개</t>
  </si>
  <si>
    <t>(간략히)</t>
  </si>
  <si>
    <t>기업소개</t>
  </si>
  <si>
    <t>부서명</t>
  </si>
  <si>
    <t>담당자부서명</t>
  </si>
  <si>
    <t>담당자성명</t>
  </si>
  <si>
    <t>직위</t>
  </si>
  <si>
    <t>담당자직위</t>
  </si>
  <si>
    <t>담당자전화번호</t>
  </si>
  <si>
    <t>담당자이메일</t>
  </si>
  <si>
    <t>■ 참여청년 선발 요건</t>
  </si>
  <si>
    <t>최종학력</t>
  </si>
  <si>
    <r>
      <t xml:space="preserve">고졸 이상(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대졸 이상( ), 대학원졸 이상( )</t>
    </r>
  </si>
  <si>
    <t>요구역량</t>
  </si>
  <si>
    <t>전공</t>
  </si>
  <si>
    <t>직무 유관 전공자 우대</t>
  </si>
  <si>
    <t>지식/기술</t>
  </si>
  <si>
    <t>직무 유관 지식 기술 보유자</t>
  </si>
  <si>
    <t>OA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</si>
  <si>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 xml:space="preserve">), Word( ), Excel( ), Power Point( ), </t>
    </r>
  </si>
  <si>
    <t>한글( ), 기타( )</t>
  </si>
  <si>
    <t>외국어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</si>
  <si>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영어( ), 중국어( ), 일어( ), 기타( )</t>
    </r>
  </si>
  <si>
    <t>기타사항</t>
  </si>
  <si>
    <t>■ 일경험 프로그램</t>
  </si>
  <si>
    <t>기 간</t>
  </si>
  <si>
    <t>기간</t>
  </si>
  <si>
    <t>직 무</t>
  </si>
  <si>
    <t>직무</t>
  </si>
  <si>
    <t>근무부서</t>
  </si>
  <si>
    <t xml:space="preserve">일경험 </t>
  </si>
  <si>
    <t>조 건</t>
  </si>
  <si>
    <t>- 근무 요일 및 시간 (월~금)</t>
  </si>
  <si>
    <t>요일</t>
  </si>
  <si>
    <t>일</t>
  </si>
  <si>
    <t>월</t>
  </si>
  <si>
    <t>화</t>
  </si>
  <si>
    <t>수</t>
  </si>
  <si>
    <t>목</t>
  </si>
  <si>
    <t>금</t>
  </si>
  <si>
    <t>토</t>
  </si>
  <si>
    <t>소계</t>
  </si>
  <si>
    <t>근무여부</t>
  </si>
  <si>
    <t>X</t>
  </si>
  <si>
    <t>O</t>
  </si>
  <si>
    <t>5일</t>
  </si>
  <si>
    <t>근무시간</t>
  </si>
  <si>
    <t>25시간</t>
  </si>
  <si>
    <t>- 근무 시간 : 13:00 ~ 18:00(월, 화, 수, 목, 금)</t>
  </si>
  <si>
    <t>- 수당 : 주35만원, 월 140만원(단, 출석률에 따라 변동가능)</t>
  </si>
  <si>
    <t>주요</t>
  </si>
  <si>
    <t>업무</t>
  </si>
  <si>
    <t>주요업무</t>
  </si>
  <si>
    <t>주차별</t>
  </si>
  <si>
    <t>1주차</t>
  </si>
  <si>
    <r>
      <t>주차별업무</t>
    </r>
    <r>
      <rPr>
        <i/>
        <sz val="10"/>
        <color rgb="FFFF0000"/>
        <rFont val="Arial"/>
        <family val="2"/>
        <scheme val="minor"/>
      </rPr>
      <t>1</t>
    </r>
    <r>
      <rPr>
        <i/>
        <sz val="10"/>
        <color rgb="FFFF0000"/>
        <rFont val="함초롬바탕"/>
        <family val="1"/>
        <charset val="129"/>
      </rPr>
      <t>주차</t>
    </r>
  </si>
  <si>
    <t>2주차</t>
  </si>
  <si>
    <r>
      <t>주차별업무</t>
    </r>
    <r>
      <rPr>
        <i/>
        <sz val="10"/>
        <color rgb="FFFF0000"/>
        <rFont val="Arial"/>
        <family val="2"/>
        <scheme val="minor"/>
      </rPr>
      <t>2</t>
    </r>
    <r>
      <rPr>
        <i/>
        <sz val="10"/>
        <color rgb="FFFF0000"/>
        <rFont val="함초롬바탕"/>
        <family val="1"/>
        <charset val="129"/>
      </rPr>
      <t>주차</t>
    </r>
  </si>
  <si>
    <t>3주차</t>
  </si>
  <si>
    <r>
      <t>주차별업무</t>
    </r>
    <r>
      <rPr>
        <i/>
        <sz val="10"/>
        <color rgb="FFFF0000"/>
        <rFont val="Arial"/>
        <family val="2"/>
        <scheme val="minor"/>
      </rPr>
      <t>3</t>
    </r>
    <r>
      <rPr>
        <i/>
        <sz val="10"/>
        <color rgb="FFFF0000"/>
        <rFont val="함초롬바탕"/>
        <family val="1"/>
        <charset val="129"/>
      </rPr>
      <t>주차</t>
    </r>
  </si>
  <si>
    <t>4주차</t>
  </si>
  <si>
    <r>
      <t>주차별업무</t>
    </r>
    <r>
      <rPr>
        <i/>
        <sz val="10"/>
        <color rgb="FFFF0000"/>
        <rFont val="Arial"/>
        <family val="2"/>
        <scheme val="minor"/>
      </rPr>
      <t>4</t>
    </r>
    <r>
      <rPr>
        <i/>
        <sz val="10"/>
        <color rgb="FFFF0000"/>
        <rFont val="함초롬바탕"/>
        <family val="1"/>
        <charset val="129"/>
      </rPr>
      <t>주차</t>
    </r>
  </si>
  <si>
    <t>5주차</t>
  </si>
  <si>
    <r>
      <t>주차별업무</t>
    </r>
    <r>
      <rPr>
        <i/>
        <sz val="10"/>
        <color rgb="FFFF0000"/>
        <rFont val="Arial"/>
        <family val="2"/>
        <scheme val="minor"/>
      </rPr>
      <t>5</t>
    </r>
    <r>
      <rPr>
        <i/>
        <sz val="10"/>
        <color rgb="FFFF0000"/>
        <rFont val="함초롬바탕"/>
        <family val="1"/>
        <charset val="129"/>
      </rPr>
      <t>주차</t>
    </r>
  </si>
  <si>
    <t>6주차</t>
  </si>
  <si>
    <r>
      <t>주차별업무</t>
    </r>
    <r>
      <rPr>
        <i/>
        <sz val="10"/>
        <color rgb="FFFF0000"/>
        <rFont val="Arial"/>
        <family val="2"/>
        <scheme val="minor"/>
      </rPr>
      <t>6</t>
    </r>
    <r>
      <rPr>
        <i/>
        <sz val="10"/>
        <color rgb="FFFF0000"/>
        <rFont val="함초롬바탕"/>
        <family val="1"/>
        <charset val="129"/>
      </rPr>
      <t>주차</t>
    </r>
  </si>
  <si>
    <t>7주차</t>
  </si>
  <si>
    <r>
      <t>주차별업무</t>
    </r>
    <r>
      <rPr>
        <i/>
        <sz val="10"/>
        <color rgb="FFFF0000"/>
        <rFont val="Arial"/>
        <family val="2"/>
        <scheme val="minor"/>
      </rPr>
      <t>7</t>
    </r>
    <r>
      <rPr>
        <i/>
        <sz val="10"/>
        <color rgb="FFFF0000"/>
        <rFont val="함초롬바탕"/>
        <family val="1"/>
        <charset val="129"/>
      </rPr>
      <t>주차</t>
    </r>
  </si>
  <si>
    <t>8주차</t>
  </si>
  <si>
    <r>
      <t>주차별업무</t>
    </r>
    <r>
      <rPr>
        <i/>
        <sz val="10"/>
        <color rgb="FFFF0000"/>
        <rFont val="Arial"/>
        <family val="2"/>
        <scheme val="minor"/>
      </rPr>
      <t>8</t>
    </r>
    <r>
      <rPr>
        <i/>
        <sz val="10"/>
        <color rgb="FFFF0000"/>
        <rFont val="함초롬바탕"/>
        <family val="1"/>
        <charset val="129"/>
      </rPr>
      <t>주차</t>
    </r>
  </si>
  <si>
    <t>9주차</t>
  </si>
  <si>
    <t>-</t>
  </si>
  <si>
    <t>10주차</t>
  </si>
  <si>
    <t>11주차</t>
  </si>
  <si>
    <t>12주차</t>
  </si>
  <si>
    <t>13주차</t>
  </si>
  <si>
    <t>14주차</t>
  </si>
  <si>
    <t>15주차</t>
  </si>
  <si>
    <t>기업멘토</t>
  </si>
  <si>
    <t>기업멘토부서명</t>
  </si>
  <si>
    <t>기업멘토성명</t>
  </si>
  <si>
    <t>기업멘토직위</t>
  </si>
  <si>
    <t>성명</t>
    <phoneticPr fontId="9" type="noConversion"/>
  </si>
  <si>
    <t>기업멘토성명</t>
    <phoneticPr fontId="9" type="noConversion"/>
  </si>
  <si>
    <t>업무</t>
    <phoneticPr fontId="9" type="noConversion"/>
  </si>
  <si>
    <t>글 추가 시 이 위에 행 삽입</t>
    <phoneticPr fontId="9" type="noConversion"/>
  </si>
  <si>
    <t>사업자</t>
    <phoneticPr fontId="9" type="noConversion"/>
  </si>
  <si>
    <t>사전직무</t>
    <phoneticPr fontId="9" type="noConversion"/>
  </si>
  <si>
    <t>프로그램 명</t>
    <phoneticPr fontId="9" type="noConversion"/>
  </si>
  <si>
    <t>일경험</t>
    <phoneticPr fontId="9" type="noConversion"/>
  </si>
  <si>
    <t>총 기간</t>
    <phoneticPr fontId="9" type="noConversion"/>
  </si>
  <si>
    <t xml:space="preserve">고용보험 사업장 </t>
  </si>
  <si>
    <t>1차(1~4주)</t>
    <phoneticPr fontId="9" type="noConversion"/>
  </si>
  <si>
    <t xml:space="preserve"> </t>
    <phoneticPr fontId="9" type="noConversion"/>
  </si>
  <si>
    <t>(법인번호)</t>
  </si>
  <si>
    <t>관리번호</t>
  </si>
  <si>
    <t>교육목적</t>
    <phoneticPr fontId="9" type="noConversion"/>
  </si>
  <si>
    <t>2차(4~8주)</t>
    <phoneticPr fontId="9" type="noConversion"/>
  </si>
  <si>
    <t>체크할때는 문서내용의 진위를 확인 후 완성되었을때만 체크!!</t>
    <phoneticPr fontId="9" type="noConversion"/>
  </si>
  <si>
    <t>연 락 처</t>
  </si>
  <si>
    <t>업종</t>
    <phoneticPr fontId="9" type="noConversion"/>
  </si>
  <si>
    <t>교육장소</t>
    <phoneticPr fontId="9" type="noConversion"/>
  </si>
  <si>
    <t>직무</t>
    <phoneticPr fontId="9" type="noConversion"/>
  </si>
  <si>
    <t>회차</t>
    <phoneticPr fontId="9" type="noConversion"/>
  </si>
  <si>
    <t>시작</t>
    <phoneticPr fontId="9" type="noConversion"/>
  </si>
  <si>
    <t>종료</t>
    <phoneticPr fontId="9" type="noConversion"/>
  </si>
  <si>
    <t>소 재 지</t>
  </si>
  <si>
    <t>사업자등록번호</t>
    <phoneticPr fontId="9" type="noConversion"/>
  </si>
  <si>
    <t>인원</t>
    <phoneticPr fontId="9" type="noConversion"/>
  </si>
  <si>
    <t>근무부서</t>
    <phoneticPr fontId="9" type="noConversion"/>
  </si>
  <si>
    <t>최상위 파일 명</t>
    <phoneticPr fontId="9" type="noConversion"/>
  </si>
  <si>
    <t>상위 파일 명</t>
    <phoneticPr fontId="9" type="noConversion"/>
  </si>
  <si>
    <t>번호</t>
    <phoneticPr fontId="9" type="noConversion"/>
  </si>
  <si>
    <t>서류 명</t>
    <phoneticPr fontId="9" type="noConversion"/>
  </si>
  <si>
    <t>작성시기</t>
    <phoneticPr fontId="9" type="noConversion"/>
  </si>
  <si>
    <t>체크</t>
    <phoneticPr fontId="9" type="noConversion"/>
  </si>
  <si>
    <t>주의 사항</t>
    <phoneticPr fontId="9" type="noConversion"/>
  </si>
  <si>
    <t>주 된 업 종</t>
  </si>
  <si>
    <t xml:space="preserve">고용보험 </t>
  </si>
  <si>
    <t>피보험자 수</t>
    <phoneticPr fontId="9" type="noConversion"/>
  </si>
  <si>
    <t>주요업무</t>
    <phoneticPr fontId="9" type="noConversion"/>
  </si>
  <si>
    <t>일경험 프로그램 명</t>
    <phoneticPr fontId="9" type="noConversion"/>
  </si>
  <si>
    <t>0. 회사
/
멘토</t>
    <phoneticPr fontId="9" type="noConversion"/>
  </si>
  <si>
    <t>4대 사회보험 사업장 가입자 명부(최신)_기업명</t>
    <phoneticPr fontId="9" type="noConversion"/>
  </si>
  <si>
    <t>4대 사회보험 사업장 가입자 명부(최신)</t>
  </si>
  <si>
    <t>참여기업협약시</t>
    <phoneticPr fontId="9" type="noConversion"/>
  </si>
  <si>
    <t>피 보 험 자 수</t>
  </si>
  <si>
    <t>담당자</t>
    <phoneticPr fontId="9" type="noConversion"/>
  </si>
  <si>
    <t>담당부서</t>
    <phoneticPr fontId="9" type="noConversion"/>
  </si>
  <si>
    <t>사업장 등록증_기업명</t>
    <phoneticPr fontId="9" type="noConversion"/>
  </si>
  <si>
    <t>사업장 등록증</t>
  </si>
  <si>
    <t xml:space="preserve">[ ✔] 󰊱 중소기업 </t>
  </si>
  <si>
    <t>담당자 명</t>
    <phoneticPr fontId="9" type="noConversion"/>
  </si>
  <si>
    <t>벤처기업확인서_기업명</t>
    <phoneticPr fontId="9" type="noConversion"/>
  </si>
  <si>
    <t>벤처기업인증</t>
  </si>
  <si>
    <t>□신기술·신성장유망기업□강소기업·청년친화강소기업□우수벤처기업</t>
  </si>
  <si>
    <t>담당자 연락처</t>
    <phoneticPr fontId="9" type="noConversion"/>
  </si>
  <si>
    <t>직인 이미지(기업)</t>
    <phoneticPr fontId="9" type="noConversion"/>
  </si>
  <si>
    <t>위 필독사항 3번 참조</t>
    <phoneticPr fontId="9" type="noConversion"/>
  </si>
  <si>
    <t>□우수 중소기업(경영혁신형․기술혁신형 중소기업)</t>
  </si>
  <si>
    <t>이메일</t>
    <phoneticPr fontId="9" type="noConversion"/>
  </si>
  <si>
    <t>[서식12, 42, 46,121] 일경험_참여기업 서류 모음_기업명(통합).hwp</t>
    <phoneticPr fontId="9" type="noConversion"/>
  </si>
  <si>
    <t>[서식12] 일경험 프로그램 참여기업 신청서_기업명</t>
    <phoneticPr fontId="9" type="noConversion"/>
  </si>
  <si>
    <t>□사회적기업 ■기타 중소기업</t>
  </si>
  <si>
    <t>[서식46] 참여자격 확인서_기업명</t>
    <phoneticPr fontId="9" type="noConversion"/>
  </si>
  <si>
    <t xml:space="preserve">[ ] 󰊲 중견기업 </t>
  </si>
  <si>
    <t>[서식121] 참여기업 협약서_기업명</t>
    <phoneticPr fontId="9" type="noConversion"/>
  </si>
  <si>
    <t xml:space="preserve">[ ] 󰊳 대기업 </t>
  </si>
  <si>
    <t>[서식42] 참여기업 참여 의향서_기업명</t>
    <phoneticPr fontId="9" type="noConversion"/>
  </si>
  <si>
    <t>[ ] 󰊴 기타(비영리 법인 등)</t>
  </si>
  <si>
    <t>참여기업 통장 사본</t>
    <phoneticPr fontId="9" type="noConversion"/>
  </si>
  <si>
    <t>운영 당일</t>
    <phoneticPr fontId="9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</si>
  <si>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</si>
  <si>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</si>
  <si>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9" type="noConversion"/>
  </si>
  <si>
    <t>주요사업</t>
  </si>
  <si>
    <t>멘토 통장 사본</t>
    <phoneticPr fontId="9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</si>
  <si>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</si>
  <si>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</si>
  <si>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</si>
  <si>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</si>
  <si>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9" type="noConversion"/>
  </si>
  <si>
    <t xml:space="preserve">프로그램 내용 </t>
    <phoneticPr fontId="9" type="noConversion"/>
  </si>
  <si>
    <t xml:space="preserve">참여 이력 </t>
  </si>
  <si>
    <t>멘토 재직증명서</t>
    <phoneticPr fontId="9" type="noConversion"/>
  </si>
  <si>
    <t>불가능한 멘토 : 대표, 임원
가능한 멘토 : 대표, 임원 외 (신입도 가능)
※[배포] 청년일경험 인턴형 멘토수당 지급기준(안)_.hwp 확인</t>
    <phoneticPr fontId="9" type="noConversion"/>
  </si>
  <si>
    <t>멘토 서명</t>
    <phoneticPr fontId="9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</si>
  <si>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</si>
  <si>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</si>
  <si>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</si>
  <si>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</si>
  <si>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</si>
  <si>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9" type="noConversion"/>
  </si>
  <si>
    <t>프로그램 운영
매주 작성(4주마다 제출)</t>
    <phoneticPr fontId="9" type="noConversion"/>
  </si>
  <si>
    <t>01. 프로그램
등록</t>
    <phoneticPr fontId="9" type="noConversion"/>
  </si>
  <si>
    <t>[서식102] 사전직무교육 운영계획서_기업명.hwp</t>
    <phoneticPr fontId="9" type="noConversion"/>
  </si>
  <si>
    <t>프로그램 등록시</t>
    <phoneticPr fontId="9" type="noConversion"/>
  </si>
  <si>
    <t>[서식108] 일경험 운영 계획서_기업명.hwp</t>
    <phoneticPr fontId="9" type="noConversion"/>
  </si>
  <si>
    <t>02. 참여자
서류
(하위 폴더 명
ex) 01. 이름)</t>
    <phoneticPr fontId="9" type="noConversion"/>
  </si>
  <si>
    <t>[배포] [서식46,40,33] 청년서류 모음_(꼭 확인 파란글씨검은색변경).hwp</t>
    <phoneticPr fontId="9" type="noConversion"/>
  </si>
  <si>
    <t>참여청년 모집시</t>
    <phoneticPr fontId="9" type="noConversion"/>
  </si>
  <si>
    <t>[서식33] 일경험 참여신청서</t>
    <phoneticPr fontId="9" type="noConversion"/>
  </si>
  <si>
    <t>[서식40] 개인정보 활용에 관한 동의서</t>
    <phoneticPr fontId="9" type="noConversion"/>
  </si>
  <si>
    <t>[서식46] 참여 청년 자격 확인서</t>
    <phoneticPr fontId="9" type="noConversion"/>
  </si>
  <si>
    <t>신청서_이름.xlsx</t>
    <phoneticPr fontId="9" type="noConversion"/>
  </si>
  <si>
    <t>신분증 사본</t>
    <phoneticPr fontId="9" type="noConversion"/>
  </si>
  <si>
    <t>통장 사본</t>
    <phoneticPr fontId="9" type="noConversion"/>
  </si>
  <si>
    <t>사업자 사실증명서</t>
    <phoneticPr fontId="9" type="noConversion"/>
  </si>
  <si>
    <t>(휴업),(폐업)시 각각 휴업사실증명, 폐업사실증명 필요
(링크는 신청서_이름.xlsx 양식에 있음)</t>
    <phoneticPr fontId="9" type="noConversion"/>
  </si>
  <si>
    <t>03. 사전직무
교육</t>
    <phoneticPr fontId="9" type="noConversion"/>
  </si>
  <si>
    <t>[서식125] 사전직무교육 실시보고_기업명.hwp</t>
    <phoneticPr fontId="9" type="noConversion"/>
  </si>
  <si>
    <t>개시 당일</t>
    <phoneticPr fontId="9" type="noConversion"/>
  </si>
  <si>
    <t>실시 후 5일 이내 보고</t>
    <phoneticPr fontId="9" type="noConversion"/>
  </si>
  <si>
    <t>[서식104] 사전직무교육 공가관리대장_기업명.hwp</t>
    <phoneticPr fontId="9" type="noConversion"/>
  </si>
  <si>
    <t>직무교육 중</t>
    <phoneticPr fontId="9" type="noConversion"/>
  </si>
  <si>
    <t>사전직무교육 결석 사유가 있을 경우 대장관리 필요.</t>
    <phoneticPr fontId="9" type="noConversion"/>
  </si>
  <si>
    <t>[서식103] 사전직무교육 출석부_기업명.hwp</t>
    <phoneticPr fontId="9" type="noConversion"/>
  </si>
  <si>
    <t>[서식16] 사전직무교육만족도조사_기업명.hwp</t>
    <phoneticPr fontId="9" type="noConversion"/>
  </si>
  <si>
    <t>종료당일</t>
    <phoneticPr fontId="9" type="noConversion"/>
  </si>
  <si>
    <t>사전직무교육비-청년교육수당.xlsx</t>
    <phoneticPr fontId="9" type="noConversion"/>
  </si>
  <si>
    <t>종료 후 10일 이내</t>
    <phoneticPr fontId="9" type="noConversion"/>
  </si>
  <si>
    <t>[서식129] 사전직무교육 수료 보고서_기업명.hwp</t>
    <phoneticPr fontId="9" type="noConversion"/>
  </si>
  <si>
    <t>[서식15] 결과보고서 대체가능, 실적보고서라고도 함.</t>
    <phoneticPr fontId="9" type="noConversion"/>
  </si>
  <si>
    <t>04. 프로그램 
운영</t>
    <phoneticPr fontId="9" type="noConversion"/>
  </si>
  <si>
    <t>[서식118] 인턴형 일경험 프로그램 표준 계약서_기업명.hwp</t>
    <phoneticPr fontId="9" type="noConversion"/>
  </si>
  <si>
    <t>운영시작 당일</t>
    <phoneticPr fontId="9" type="noConversion"/>
  </si>
  <si>
    <t>[서식34] 인턴형 일경험 실시보고_기업명(3일이내).hwp</t>
    <phoneticPr fontId="9" type="noConversion"/>
  </si>
  <si>
    <t>3일 이내</t>
    <phoneticPr fontId="9" type="noConversion"/>
  </si>
  <si>
    <t>[서식35] ( )월 인턴형 일경험 결과보고(지원금 신청 포함).hwp</t>
    <phoneticPr fontId="9" type="noConversion"/>
  </si>
  <si>
    <t>4주마다</t>
    <phoneticPr fontId="9" type="noConversion"/>
  </si>
  <si>
    <t>※서명란은 꼭 직인 이미지 삽입!(위 필독사항 3번 참조)</t>
    <phoneticPr fontId="9" type="noConversion"/>
  </si>
  <si>
    <t>[서식17] 청년 일경험 프로그램 출석부 1차(4주차)_기업명.hwp</t>
    <phoneticPr fontId="9" type="noConversion"/>
  </si>
  <si>
    <t>[서식17] 청년 일경험 프로그램 출석부 2차(8주차)_기업명.hwp</t>
    <phoneticPr fontId="9" type="noConversion"/>
  </si>
  <si>
    <t>[서식106] 참여기업 중간점검 일지.hwp</t>
    <phoneticPr fontId="9" type="noConversion"/>
  </si>
  <si>
    <t>[서식13] 참여기업 지원금 지급 신청서.hwp</t>
    <phoneticPr fontId="9" type="noConversion"/>
  </si>
  <si>
    <t>[서식123] 일경험 중도포기 신청서.hwp</t>
    <phoneticPr fontId="9" type="noConversion"/>
  </si>
  <si>
    <t>중도포기시</t>
    <phoneticPr fontId="9" type="noConversion"/>
  </si>
  <si>
    <t>[서식109] 청년 일경험 인턴형 종합 보고서_기업명.hwp</t>
    <phoneticPr fontId="9" type="noConversion"/>
  </si>
  <si>
    <t>05. 프로그램
종료</t>
    <phoneticPr fontId="9" type="noConversion"/>
  </si>
  <si>
    <t>인턴형 일경험 프로그램 만족도 조사(미래내일 홈페이지)</t>
    <phoneticPr fontId="9" type="noConversion"/>
  </si>
  <si>
    <t>프로그램 종료 시</t>
    <phoneticPr fontId="9" type="noConversion"/>
  </si>
  <si>
    <t>참여청년 수료증</t>
    <phoneticPr fontId="9" type="noConversion"/>
  </si>
  <si>
    <t>월</t>
    <phoneticPr fontId="9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</si>
  <si>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9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</si>
  <si>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9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</si>
  <si>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9" type="noConversion"/>
  </si>
  <si>
    <t>2024. 11. 18 ~ 2025. 01. 10</t>
    <phoneticPr fontId="9" type="noConversion"/>
  </si>
  <si>
    <t>`</t>
    <phoneticPr fontId="9" type="noConversion"/>
  </si>
  <si>
    <t>example2@nate.com</t>
    <phoneticPr fontId="9" type="noConversion"/>
  </si>
  <si>
    <t>example1@nate.com</t>
    <phoneticPr fontId="9" type="noConversion"/>
  </si>
  <si>
    <t>00-000-0000</t>
    <phoneticPr fontId="9" type="noConversion"/>
  </si>
  <si>
    <t>010-0000-0001</t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</si>
  <si>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사업장명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</si>
  <si>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</si>
  <si>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 xml:space="preserve">사업자등록번호
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법인등록번호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</si>
  <si>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고용보험사업장관리번호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</si>
  <si>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소재지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</si>
  <si>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담당자성명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</si>
  <si>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담당자전화번호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</si>
  <si>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담당자이메일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</si>
  <si>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담당자팩스번호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</si>
  <si>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작성날짜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</si>
  <si>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은행명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</si>
  <si>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계좌번호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</si>
  <si>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예금주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</si>
  <si>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참여청년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성명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주민등록번호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</si>
  <si>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</si>
  <si>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신청기간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 xml:space="preserve"> ~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</si>
  <si>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신청금액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원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</si>
  <si>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</si>
  <si>
    <r>
      <rPr>
        <b/>
        <sz val="12"/>
        <color theme="1"/>
        <rFont val="Arial"/>
        <family val="3"/>
        <charset val="129"/>
        <scheme val="minor"/>
      </rPr>
      <t>고용보험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사업장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관리번호</t>
    </r>
  </si>
  <si>
    <r>
      <rPr>
        <b/>
        <sz val="12"/>
        <color theme="1"/>
        <rFont val="Arial"/>
        <family val="3"/>
        <charset val="129"/>
        <scheme val="minor"/>
      </rPr>
      <t>기업구분</t>
    </r>
    <r>
      <rPr>
        <b/>
        <sz val="12"/>
        <color theme="1"/>
        <rFont val="Arial"/>
        <family val="2"/>
        <scheme val="minor"/>
      </rPr>
      <t xml:space="preserve"> </t>
    </r>
  </si>
  <si>
    <r>
      <rPr>
        <b/>
        <sz val="12"/>
        <color theme="1"/>
        <rFont val="Arial"/>
        <family val="3"/>
        <charset val="129"/>
        <scheme val="minor"/>
      </rPr>
      <t>수행업무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직무</t>
    </r>
    <r>
      <rPr>
        <b/>
        <sz val="12"/>
        <color theme="1"/>
        <rFont val="Arial"/>
        <family val="2"/>
        <scheme val="minor"/>
      </rPr>
      <t>)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</si>
  <si>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</si>
  <si>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</si>
  <si>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</si>
  <si>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</si>
  <si>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</si>
  <si>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</si>
  <si>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</si>
  <si>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</si>
  <si>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직무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</si>
  <si>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근무부서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</si>
  <si>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주요업무</t>
    </r>
  </si>
  <si>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기간</t>
    </r>
    <phoneticPr fontId="9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</si>
  <si>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(1~4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9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</si>
  <si>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(5~8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9" type="noConversion"/>
  </si>
  <si>
    <t>Arial</t>
    <phoneticPr fontId="9" type="noConversion"/>
  </si>
  <si>
    <t>#fbdad7</t>
    <phoneticPr fontId="9" type="noConversion"/>
  </si>
  <si>
    <t>#b3cefb</t>
    <phoneticPr fontId="9" type="noConversion"/>
  </si>
  <si>
    <t>#f2f2f2</t>
    <phoneticPr fontId="9" type="noConversion"/>
  </si>
  <si>
    <t>#ffffff</t>
    <phoneticPr fontId="9" type="noConversion"/>
  </si>
  <si>
    <t>가운데</t>
    <phoneticPr fontId="9" type="noConversion"/>
  </si>
  <si>
    <t>볼드</t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</si>
  <si>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사업장명</t>
    </r>
    <phoneticPr fontId="9" type="noConversion"/>
  </si>
  <si>
    <r>
      <rPr>
        <b/>
        <sz val="13"/>
        <color theme="1"/>
        <rFont val="Arial"/>
        <family val="2"/>
        <charset val="129"/>
        <scheme val="minor"/>
      </rPr>
      <t>대표자명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</si>
  <si>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소재지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</si>
  <si>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업종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</si>
  <si>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피보험자수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</si>
  <si>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전화번호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</si>
  <si>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이메일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</si>
  <si>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작성날짜</t>
    </r>
    <phoneticPr fontId="9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</si>
  <si>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phoneticPr fontId="9" type="noConversion"/>
  </si>
  <si>
    <r>
      <rPr>
        <u/>
        <sz val="20"/>
        <color rgb="FF000000"/>
        <rFont val="Arial"/>
        <family val="2"/>
        <charset val="129"/>
        <scheme val="minor"/>
      </rPr>
      <t>프로그램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</si>
  <si>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프로그램명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</si>
  <si>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직무분야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</si>
  <si>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프로그램내용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</si>
  <si>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프로그램기간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</si>
  <si>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프로그램장소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</si>
  <si>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프로그램참여인원</t>
    </r>
    <phoneticPr fontId="9" type="noConversion"/>
  </si>
  <si>
    <r>
      <rPr>
        <u/>
        <sz val="20"/>
        <color rgb="FF000000"/>
        <rFont val="Arial"/>
        <family val="2"/>
        <charset val="129"/>
        <scheme val="minor"/>
      </rPr>
      <t>참여자명단</t>
    </r>
    <phoneticPr fontId="9" type="noConversion"/>
  </si>
  <si>
    <t>사단법인 한국무선인터넷솔루션협회 운영기관장</t>
  </si>
  <si>
    <t>1. 시트 잠금</t>
  </si>
  <si>
    <t>1. 잠금을 걸고 싶은 시트를 선택하세요.</t>
  </si>
  <si>
    <r>
      <t xml:space="preserve">2. 엑셀 상단 메뉴에서 </t>
    </r>
    <r>
      <rPr>
        <b/>
        <sz val="10"/>
        <color rgb="FF000000"/>
        <rFont val="Arial"/>
        <family val="2"/>
        <scheme val="minor"/>
      </rPr>
      <t>[검토]</t>
    </r>
    <r>
      <rPr>
        <sz val="10"/>
        <color rgb="FF000000"/>
        <rFont val="Arial"/>
        <family val="2"/>
        <scheme val="minor"/>
      </rPr>
      <t xml:space="preserve"> 탭으로 이동합니다.</t>
    </r>
  </si>
  <si>
    <r>
      <t>3. [시트 보호]</t>
    </r>
    <r>
      <rPr>
        <sz val="10"/>
        <color rgb="FF000000"/>
        <rFont val="Arial"/>
        <family val="2"/>
        <scheme val="minor"/>
      </rPr>
      <t xml:space="preserve"> 버튼을 클릭합니다.</t>
    </r>
  </si>
  <si>
    <r>
      <t>5. 확인</t>
    </r>
    <r>
      <rPr>
        <sz val="10"/>
        <color rgb="FF000000"/>
        <rFont val="Arial"/>
        <family val="2"/>
        <scheme val="minor"/>
      </rPr>
      <t>을 클릭하면 해당 시트가 잠깁니다.</t>
    </r>
  </si>
  <si>
    <t>2. 시트 내 특정 셀은 수정 가능하게 설정</t>
  </si>
  <si>
    <t>1. 수정 가능하게 하고 싶은 셀을 선택합니다.</t>
  </si>
  <si>
    <r>
      <t>3. [보호]</t>
    </r>
    <r>
      <rPr>
        <sz val="10"/>
        <color rgb="FF000000"/>
        <rFont val="Arial"/>
        <family val="2"/>
        <scheme val="minor"/>
      </rPr>
      <t xml:space="preserve"> 탭으로 이동하여 </t>
    </r>
    <r>
      <rPr>
        <b/>
        <sz val="10"/>
        <color rgb="FF000000"/>
        <rFont val="Arial"/>
        <family val="2"/>
        <scheme val="minor"/>
      </rPr>
      <t>잠금</t>
    </r>
    <r>
      <rPr>
        <sz val="10"/>
        <color rgb="FF000000"/>
        <rFont val="Arial"/>
        <family val="2"/>
        <scheme val="minor"/>
      </rPr>
      <t xml:space="preserve"> 체크를 해제합니다.</t>
    </r>
  </si>
  <si>
    <r>
      <t xml:space="preserve">4. 위 단계를 완료한 후, 다시 </t>
    </r>
    <r>
      <rPr>
        <b/>
        <sz val="10"/>
        <color rgb="FF000000"/>
        <rFont val="Arial"/>
        <family val="2"/>
        <scheme val="minor"/>
      </rPr>
      <t>시트 보호</t>
    </r>
    <r>
      <rPr>
        <sz val="10"/>
        <color rgb="FF000000"/>
        <rFont val="Arial"/>
        <family val="2"/>
        <scheme val="minor"/>
      </rPr>
      <t>를 설정하면 해당 셀은 수정 가능하고 나머지 부분은 수정할 수 없습니다.</t>
    </r>
  </si>
  <si>
    <t>#유일하지 않고 중복되는 필드명들이 있다면 구분할 수 있는 키워드를 넣어서 유일한 필드로 만든다.</t>
    <phoneticPr fontId="9" type="noConversion"/>
  </si>
  <si>
    <r>
      <rPr>
        <sz val="10"/>
        <color rgb="FF000000"/>
        <rFont val="Arial"/>
        <family val="3"/>
        <charset val="129"/>
        <scheme val="minor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참여기업을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</si>
  <si>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멘토는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멘토를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9" type="noConversion"/>
  </si>
  <si>
    <r>
      <rPr>
        <b/>
        <i/>
        <u/>
        <sz val="11"/>
        <color rgb="FFFF0000"/>
        <rFont val="Arial"/>
        <family val="3"/>
        <charset val="129"/>
        <scheme val="minor"/>
      </rPr>
      <t>지우지</t>
    </r>
    <r>
      <rPr>
        <b/>
        <i/>
        <u/>
        <sz val="11"/>
        <color rgb="FFFF0000"/>
        <rFont val="Arial"/>
        <family val="2"/>
        <scheme val="minor"/>
      </rPr>
      <t xml:space="preserve"> </t>
    </r>
    <r>
      <rPr>
        <b/>
        <i/>
        <u/>
        <sz val="11"/>
        <color rgb="FFFF0000"/>
        <rFont val="Arial"/>
        <family val="3"/>
        <charset val="129"/>
        <scheme val="minor"/>
      </rPr>
      <t>마세요</t>
    </r>
    <r>
      <rPr>
        <b/>
        <i/>
        <u/>
        <sz val="11"/>
        <color rgb="FFFF0000"/>
        <rFont val="Arial"/>
        <family val="2"/>
        <scheme val="minor"/>
      </rPr>
      <t>.</t>
    </r>
    <phoneticPr fontId="9" type="noConversion"/>
  </si>
  <si>
    <r>
      <rPr>
        <sz val="14"/>
        <color rgb="FF000000"/>
        <rFont val="Arial"/>
        <family val="3"/>
        <charset val="129"/>
        <scheme val="minor"/>
      </rPr>
      <t>기본양식</t>
    </r>
    <phoneticPr fontId="9" type="noConversion"/>
  </si>
  <si>
    <r>
      <rPr>
        <b/>
        <u/>
        <sz val="15"/>
        <color rgb="FF000000"/>
        <rFont val="Arial"/>
        <family val="3"/>
        <charset val="129"/>
        <scheme val="minor"/>
      </rPr>
      <t>작성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Arial"/>
        <family val="3"/>
        <charset val="129"/>
        <scheme val="minor"/>
      </rPr>
      <t>팁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</si>
  <si>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>,</t>
    </r>
    <r>
      <rPr>
        <sz val="10"/>
        <color rgb="FF000000"/>
        <rFont val="Arial"/>
        <family val="3"/>
        <charset val="129"/>
        <scheme val="minor"/>
      </rPr>
      <t>아래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</si>
  <si>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진하게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</si>
  <si>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가운데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</si>
  <si>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</si>
  <si>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왼쪽</t>
    </r>
    <r>
      <rPr>
        <sz val="10"/>
        <color rgb="FF000000"/>
        <rFont val="Arial"/>
        <family val="2"/>
        <scheme val="minor"/>
      </rPr>
      <t>(세로정렬: 가운데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</si>
  <si>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</si>
  <si>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</si>
  <si>
    <r>
      <rPr>
        <sz val="10"/>
        <color rgb="FF000000"/>
        <rFont val="Arial"/>
        <family val="3"/>
        <charset val="129"/>
        <scheme val="minor"/>
      </rPr>
      <t>기본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</si>
  <si>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진하게</t>
    </r>
    <phoneticPr fontId="9" type="noConversion"/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</si>
  <si>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및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일경험정보</t>
    </r>
    <phoneticPr fontId="9" type="noConversion"/>
  </si>
  <si>
    <r>
      <rPr>
        <b/>
        <u/>
        <sz val="20"/>
        <color rgb="FF000000"/>
        <rFont val="Arial"/>
        <family val="3"/>
        <charset val="129"/>
        <scheme val="minor"/>
      </rPr>
      <t>참여자명단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</si>
  <si>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필드명</t>
    </r>
    <phoneticPr fontId="9" type="noConversion"/>
  </si>
  <si>
    <r>
      <rPr>
        <b/>
        <sz val="14"/>
        <color theme="1"/>
        <rFont val="Arial"/>
        <family val="3"/>
        <charset val="129"/>
        <scheme val="minor"/>
      </rPr>
      <t>단위</t>
    </r>
    <phoneticPr fontId="9" type="noConversion"/>
  </si>
  <si>
    <r>
      <rPr>
        <b/>
        <sz val="14"/>
        <color theme="1"/>
        <rFont val="Arial"/>
        <family val="3"/>
        <charset val="129"/>
        <scheme val="minor"/>
      </rPr>
      <t>필드</t>
    </r>
    <phoneticPr fontId="9" type="noConversion"/>
  </si>
  <si>
    <r>
      <rPr>
        <b/>
        <sz val="14"/>
        <color theme="1"/>
        <rFont val="Arial"/>
        <family val="3"/>
        <charset val="129"/>
        <scheme val="minor"/>
      </rPr>
      <t>입력</t>
    </r>
    <phoneticPr fontId="9" type="noConversion"/>
  </si>
  <si>
    <r>
      <rPr>
        <sz val="12"/>
        <color theme="1"/>
        <rFont val="Arial"/>
        <family val="2"/>
        <charset val="129"/>
        <scheme val="minor"/>
      </rPr>
      <t>입력값</t>
    </r>
    <phoneticPr fontId="9" type="noConversion"/>
  </si>
  <si>
    <r>
      <rPr>
        <u/>
        <sz val="20"/>
        <color rgb="FF000000"/>
        <rFont val="Arial"/>
        <family val="3"/>
        <charset val="129"/>
        <scheme val="minor"/>
      </rPr>
      <t>단위명</t>
    </r>
    <phoneticPr fontId="9" type="noConversion"/>
  </si>
  <si>
    <r>
      <t xml:space="preserve">4. </t>
    </r>
    <r>
      <rPr>
        <sz val="10"/>
        <color rgb="FF000000"/>
        <rFont val="Arial"/>
        <family val="3"/>
        <charset val="129"/>
        <scheme val="minor"/>
      </rPr>
      <t>비밀번호를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입력하여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설정할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수도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있습니다</t>
    </r>
    <r>
      <rPr>
        <sz val="10"/>
        <color rgb="FF000000"/>
        <rFont val="Arial"/>
        <family val="2"/>
        <scheme val="minor"/>
      </rPr>
      <t>. (</t>
    </r>
    <r>
      <rPr>
        <sz val="10"/>
        <color rgb="FF000000"/>
        <rFont val="Arial"/>
        <family val="3"/>
        <charset val="129"/>
        <scheme val="minor"/>
      </rPr>
      <t>선택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사항</t>
    </r>
    <r>
      <rPr>
        <sz val="10"/>
        <color rgb="FF000000"/>
        <rFont val="Arial"/>
        <family val="2"/>
        <scheme val="minor"/>
      </rPr>
      <t>)</t>
    </r>
    <phoneticPr fontId="9" type="noConversion"/>
  </si>
  <si>
    <r>
      <rPr>
        <sz val="10"/>
        <color rgb="FF000000"/>
        <rFont val="맑은 고딕"/>
        <family val="3"/>
        <charset val="129"/>
      </rPr>
      <t>특정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맑은 고딕"/>
        <family val="3"/>
        <charset val="129"/>
      </rPr>
      <t>부모시트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맑은 고딕"/>
        <family val="3"/>
        <charset val="129"/>
      </rPr>
      <t>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제외하고는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없게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잠금을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걸어놓는다</t>
    </r>
    <r>
      <rPr>
        <sz val="10"/>
        <color rgb="FF000000"/>
        <rFont val="Arial"/>
        <family val="2"/>
        <scheme val="minor"/>
      </rPr>
      <t>.</t>
    </r>
    <phoneticPr fontId="9" type="noConversion"/>
  </si>
  <si>
    <r>
      <t>2. [</t>
    </r>
    <r>
      <rPr>
        <sz val="10"/>
        <color rgb="FF000000"/>
        <rFont val="맑은 고딕"/>
        <family val="3"/>
        <charset val="129"/>
      </rPr>
      <t>오른쪽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클릭</t>
    </r>
    <r>
      <rPr>
        <sz val="10"/>
        <color rgb="FF000000"/>
        <rFont val="Arial"/>
        <family val="2"/>
        <scheme val="minor"/>
      </rPr>
      <t>] → [</t>
    </r>
    <r>
      <rPr>
        <sz val="10"/>
        <color rgb="FF000000"/>
        <rFont val="맑은 고딕"/>
        <family val="3"/>
        <charset val="129"/>
      </rPr>
      <t>셀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서식</t>
    </r>
    <r>
      <rPr>
        <sz val="10"/>
        <color rgb="FF000000"/>
        <rFont val="Arial"/>
        <family val="2"/>
        <scheme val="minor"/>
      </rPr>
      <t>]</t>
    </r>
    <r>
      <rPr>
        <sz val="10"/>
        <color rgb="FF000000"/>
        <rFont val="맑은 고딕"/>
        <family val="3"/>
        <charset val="129"/>
      </rPr>
      <t>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선택합니다</t>
    </r>
    <r>
      <rPr>
        <sz val="10"/>
        <color rgb="FF000000"/>
        <rFont val="Arial"/>
        <family val="2"/>
        <scheme val="minor"/>
      </rPr>
      <t>.</t>
    </r>
    <phoneticPr fontId="9" type="noConversion"/>
  </si>
  <si>
    <r>
      <t xml:space="preserve">13. </t>
    </r>
    <r>
      <rPr>
        <sz val="10"/>
        <color rgb="FF000000"/>
        <rFont val="Arial"/>
        <family val="3"/>
        <charset val="129"/>
        <scheme val="minor"/>
      </rPr>
      <t>참여기업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지원금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지급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신청서</t>
    </r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</si>
  <si>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9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</si>
  <si>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9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</si>
  <si>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9" type="noConversion"/>
  </si>
  <si>
    <r>
      <rPr>
        <sz val="10"/>
        <color rgb="FF000000"/>
        <rFont val="Arial"/>
        <family val="1"/>
        <charset val="129"/>
        <scheme val="minor"/>
      </rPr>
      <t>사업장</t>
    </r>
  </si>
  <si>
    <r>
      <rPr>
        <sz val="10"/>
        <color rgb="FF000000"/>
        <rFont val="Arial"/>
        <family val="1"/>
        <charset val="129"/>
        <scheme val="minor"/>
      </rPr>
      <t>사업장명</t>
    </r>
  </si>
  <si>
    <r>
      <rPr>
        <sz val="10"/>
        <color rgb="FF000000"/>
        <rFont val="Arial"/>
        <family val="1"/>
        <charset val="129"/>
        <scheme val="minor"/>
      </rPr>
      <t>대표자명</t>
    </r>
  </si>
  <si>
    <r>
      <rPr>
        <sz val="10"/>
        <color rgb="FF000000"/>
        <rFont val="Arial"/>
        <family val="1"/>
        <charset val="129"/>
        <scheme val="minor"/>
      </rPr>
      <t>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황</t>
    </r>
  </si>
  <si>
    <r>
      <rPr>
        <sz val="10"/>
        <color rgb="FF000000"/>
        <rFont val="Arial"/>
        <family val="1"/>
        <charset val="129"/>
        <scheme val="minor"/>
      </rPr>
      <t>소재지</t>
    </r>
  </si>
  <si>
    <r>
      <rPr>
        <sz val="10"/>
        <color rgb="FF000000"/>
        <rFont val="Arial"/>
        <family val="1"/>
        <charset val="129"/>
        <scheme val="minor"/>
      </rPr>
      <t>업종</t>
    </r>
  </si>
  <si>
    <r>
      <rPr>
        <sz val="10"/>
        <color rgb="FF000000"/>
        <rFont val="Arial"/>
        <family val="1"/>
        <charset val="129"/>
        <scheme val="minor"/>
      </rPr>
      <t>피보험자수</t>
    </r>
  </si>
  <si>
    <r>
      <rPr>
        <sz val="10"/>
        <color rgb="FF000000"/>
        <rFont val="Arial"/>
        <family val="1"/>
        <charset val="129"/>
        <scheme val="minor"/>
      </rPr>
      <t>담당자</t>
    </r>
  </si>
  <si>
    <r>
      <rPr>
        <sz val="10"/>
        <color rgb="FF000000"/>
        <rFont val="Arial"/>
        <family val="1"/>
        <charset val="129"/>
        <scheme val="minor"/>
      </rPr>
      <t>담당부서</t>
    </r>
  </si>
  <si>
    <r>
      <rPr>
        <sz val="10"/>
        <color rgb="FF000000"/>
        <rFont val="Arial"/>
        <family val="1"/>
        <charset val="129"/>
        <scheme val="minor"/>
      </rPr>
      <t>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</t>
    </r>
  </si>
  <si>
    <r>
      <rPr>
        <sz val="10"/>
        <color rgb="FF000000"/>
        <rFont val="Arial"/>
        <family val="1"/>
        <charset val="129"/>
        <scheme val="minor"/>
      </rPr>
      <t>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보</t>
    </r>
  </si>
  <si>
    <r>
      <rPr>
        <sz val="10"/>
        <color rgb="FF000000"/>
        <rFont val="Arial"/>
        <family val="1"/>
        <charset val="129"/>
        <scheme val="minor"/>
      </rPr>
      <t>전화번호</t>
    </r>
  </si>
  <si>
    <r>
      <rPr>
        <sz val="10"/>
        <color rgb="FF000000"/>
        <rFont val="Arial"/>
        <family val="1"/>
        <charset val="129"/>
        <scheme val="minor"/>
      </rPr>
      <t>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일</t>
    </r>
  </si>
  <si>
    <r>
      <t>(</t>
    </r>
    <r>
      <rPr>
        <sz val="10"/>
        <color rgb="FF000000"/>
        <rFont val="Arial"/>
        <family val="1"/>
        <charset val="129"/>
        <scheme val="minor"/>
      </rPr>
      <t>팩스번호</t>
    </r>
    <r>
      <rPr>
        <sz val="10"/>
        <color rgb="FF000000"/>
        <rFont val="Arial"/>
        <family val="2"/>
        <scheme val="minor"/>
      </rPr>
      <t>)</t>
    </r>
  </si>
  <si>
    <r>
      <t>(</t>
    </r>
    <r>
      <rPr>
        <sz val="10"/>
        <color rgb="FF000000"/>
        <rFont val="Arial"/>
        <family val="1"/>
        <charset val="129"/>
        <scheme val="minor"/>
      </rPr>
      <t>프로그램의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참여인원이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Arial"/>
        <family val="1"/>
        <charset val="129"/>
        <scheme val="minor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이상인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경우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담당자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제출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</si>
  <si>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프로그램</t>
    </r>
  </si>
  <si>
    <r>
      <rPr>
        <sz val="10"/>
        <color rgb="FF000000"/>
        <rFont val="Arial"/>
        <family val="1"/>
        <charset val="129"/>
        <scheme val="minor"/>
      </rPr>
      <t>프로그램명</t>
    </r>
  </si>
  <si>
    <r>
      <rPr>
        <sz val="10"/>
        <color rgb="FF000000"/>
        <rFont val="Arial"/>
        <family val="1"/>
        <charset val="129"/>
        <scheme val="minor"/>
      </rPr>
      <t>직무분야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</si>
  <si>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내용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</si>
  <si>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기간</t>
    </r>
  </si>
  <si>
    <r>
      <rPr>
        <sz val="10"/>
        <color rgb="FF000000"/>
        <rFont val="Arial"/>
        <family val="1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1"/>
        <charset val="129"/>
        <scheme val="minor"/>
      </rPr>
      <t>소재지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</si>
  <si>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참여인원</t>
    </r>
  </si>
  <si>
    <r>
      <rPr>
        <sz val="9"/>
        <color rgb="FF000000"/>
        <rFont val="Arial"/>
        <family val="3"/>
        <charset val="129"/>
        <scheme val="minor"/>
      </rPr>
      <t>참여자</t>
    </r>
  </si>
  <si>
    <r>
      <rPr>
        <sz val="9"/>
        <color rgb="FF000000"/>
        <rFont val="Arial"/>
        <family val="3"/>
        <charset val="129"/>
        <scheme val="minor"/>
      </rPr>
      <t>성명</t>
    </r>
  </si>
  <si>
    <r>
      <rPr>
        <sz val="9"/>
        <color rgb="FF000000"/>
        <rFont val="Arial"/>
        <family val="3"/>
        <charset val="129"/>
        <scheme val="minor"/>
      </rPr>
      <t>생년월일</t>
    </r>
  </si>
  <si>
    <r>
      <rPr>
        <sz val="9"/>
        <color rgb="FF000000"/>
        <rFont val="Arial"/>
        <family val="3"/>
        <charset val="129"/>
        <scheme val="minor"/>
      </rPr>
      <t>성별</t>
    </r>
  </si>
  <si>
    <r>
      <rPr>
        <sz val="9"/>
        <color rgb="FF000000"/>
        <rFont val="Arial"/>
        <family val="3"/>
        <charset val="129"/>
        <scheme val="minor"/>
      </rPr>
      <t>참여일</t>
    </r>
  </si>
  <si>
    <r>
      <rPr>
        <sz val="9"/>
        <color rgb="FF000000"/>
        <rFont val="Arial"/>
        <family val="3"/>
        <charset val="129"/>
        <scheme val="minor"/>
      </rPr>
      <t>연락처</t>
    </r>
  </si>
  <si>
    <r>
      <rPr>
        <sz val="9"/>
        <color rgb="FF000000"/>
        <rFont val="Arial"/>
        <family val="3"/>
        <charset val="129"/>
        <scheme val="minor"/>
      </rPr>
      <t>명단</t>
    </r>
  </si>
  <si>
    <r>
      <t xml:space="preserve">( </t>
    </r>
    <r>
      <rPr>
        <sz val="7"/>
        <color rgb="FF000000"/>
        <rFont val="Arial"/>
        <family val="3"/>
        <charset val="129"/>
        <scheme val="minor"/>
      </rPr>
      <t>년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월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일</t>
    </r>
    <r>
      <rPr>
        <sz val="7"/>
        <color rgb="FF000000"/>
        <rFont val="Arial"/>
        <family val="2"/>
        <scheme val="minor"/>
      </rPr>
      <t>)</t>
    </r>
  </si>
  <si>
    <r>
      <rPr>
        <sz val="9"/>
        <color rgb="FFFF0000"/>
        <rFont val="Arial"/>
        <family val="1"/>
        <charset val="129"/>
        <scheme val="minor"/>
      </rPr>
      <t>참여일</t>
    </r>
  </si>
  <si>
    <r>
      <rPr>
        <b/>
        <sz val="10"/>
        <color rgb="FF000000"/>
        <rFont val="Arial"/>
        <family val="3"/>
        <charset val="129"/>
        <scheme val="minor"/>
      </rPr>
      <t>위와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같이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『청년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지원사업</t>
    </r>
    <r>
      <rPr>
        <b/>
        <sz val="10"/>
        <color rgb="FF000000"/>
        <rFont val="Arial"/>
        <family val="2"/>
        <scheme val="minor"/>
      </rPr>
      <t>(</t>
    </r>
    <r>
      <rPr>
        <b/>
        <sz val="10"/>
        <color rgb="FF000000"/>
        <rFont val="Arial"/>
        <family val="3"/>
        <charset val="129"/>
        <scheme val="minor"/>
      </rPr>
      <t>인턴형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>)</t>
    </r>
    <r>
      <rPr>
        <b/>
        <sz val="10"/>
        <color rgb="FF000000"/>
        <rFont val="Arial"/>
        <family val="3"/>
        <charset val="129"/>
        <scheme val="minor"/>
      </rPr>
      <t>』의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실시현황을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통보합니다</t>
    </r>
    <r>
      <rPr>
        <b/>
        <sz val="10"/>
        <color rgb="FF000000"/>
        <rFont val="Arial"/>
        <family val="2"/>
        <scheme val="minor"/>
      </rPr>
      <t xml:space="preserve">. </t>
    </r>
  </si>
  <si>
    <r>
      <t>2024</t>
    </r>
    <r>
      <rPr>
        <sz val="9"/>
        <color rgb="FF000000"/>
        <rFont val="Arial"/>
        <family val="3"/>
        <charset val="129"/>
        <scheme val="minor"/>
      </rPr>
      <t>년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월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일</t>
    </r>
  </si>
  <si>
    <r>
      <rPr>
        <sz val="9"/>
        <color rgb="FF000000"/>
        <rFont val="Arial"/>
        <family val="3"/>
        <charset val="129"/>
        <scheme val="minor"/>
      </rPr>
      <t>확인자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3"/>
        <charset val="129"/>
        <scheme val="minor"/>
      </rPr>
      <t>대표자</t>
    </r>
    <r>
      <rPr>
        <sz val="9"/>
        <color rgb="FF000000"/>
        <rFont val="Arial"/>
        <family val="2"/>
        <scheme val="minor"/>
      </rPr>
      <t>)</t>
    </r>
  </si>
  <si>
    <r>
      <t>(</t>
    </r>
    <r>
      <rPr>
        <sz val="9"/>
        <color rgb="FF5D5D5D"/>
        <rFont val="Arial"/>
        <family val="3"/>
        <charset val="129"/>
        <scheme val="minor"/>
      </rPr>
      <t>서명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또는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인</t>
    </r>
    <r>
      <rPr>
        <sz val="9"/>
        <color rgb="FF5D5D5D"/>
        <rFont val="Arial"/>
        <family val="2"/>
        <scheme val="minor"/>
      </rPr>
      <t>)</t>
    </r>
  </si>
  <si>
    <r>
      <rPr>
        <sz val="9"/>
        <color rgb="FF000000"/>
        <rFont val="Arial"/>
        <family val="3"/>
        <charset val="129"/>
        <scheme val="minor"/>
      </rPr>
      <t>귀하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</si>
  <si>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1</t>
    </r>
    <phoneticPr fontId="9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</si>
  <si>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1</t>
    </r>
    <phoneticPr fontId="9" type="noConversion"/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</si>
  <si>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9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</si>
  <si>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9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</si>
  <si>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9" type="noConversion"/>
  </si>
  <si>
    <r>
      <rPr>
        <sz val="12"/>
        <rFont val="Arial"/>
        <family val="3"/>
        <charset val="129"/>
        <scheme val="minor"/>
      </rPr>
      <t>접수번호</t>
    </r>
  </si>
  <si>
    <r>
      <rPr>
        <sz val="12"/>
        <rFont val="Arial"/>
        <family val="3"/>
        <charset val="129"/>
        <scheme val="minor"/>
      </rPr>
      <t>접수일자</t>
    </r>
  </si>
  <si>
    <r>
      <rPr>
        <b/>
        <u/>
        <sz val="20"/>
        <color rgb="FF000000"/>
        <rFont val="Arial"/>
        <family val="3"/>
        <charset val="129"/>
        <scheme val="minor"/>
      </rPr>
      <t>참여기업</t>
    </r>
    <phoneticPr fontId="9" type="noConversion"/>
  </si>
  <si>
    <r>
      <rPr>
        <b/>
        <sz val="12"/>
        <rFont val="Arial"/>
        <family val="3"/>
        <charset val="129"/>
        <scheme val="minor"/>
      </rPr>
      <t>사업장명</t>
    </r>
  </si>
  <si>
    <r>
      <rPr>
        <b/>
        <sz val="12"/>
        <rFont val="Arial"/>
        <family val="3"/>
        <charset val="129"/>
        <scheme val="minor"/>
      </rPr>
      <t>대표자명</t>
    </r>
  </si>
  <si>
    <r>
      <rPr>
        <b/>
        <sz val="12"/>
        <rFont val="Arial"/>
        <family val="3"/>
        <charset val="129"/>
        <scheme val="minor"/>
      </rPr>
      <t>사업자등록번호</t>
    </r>
  </si>
  <si>
    <r>
      <rPr>
        <b/>
        <sz val="12"/>
        <rFont val="Arial"/>
        <family val="3"/>
        <charset val="129"/>
        <scheme val="minor"/>
      </rPr>
      <t>고용보험</t>
    </r>
  </si>
  <si>
    <r>
      <t>(</t>
    </r>
    <r>
      <rPr>
        <b/>
        <sz val="12"/>
        <rFont val="Arial"/>
        <family val="3"/>
        <charset val="129"/>
        <scheme val="minor"/>
      </rPr>
      <t>법인등록번호</t>
    </r>
    <r>
      <rPr>
        <b/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</si>
  <si>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사업장관리번호</t>
    </r>
  </si>
  <si>
    <r>
      <rPr>
        <b/>
        <sz val="12"/>
        <rFont val="Arial"/>
        <family val="3"/>
        <charset val="129"/>
        <scheme val="minor"/>
      </rPr>
      <t>소재지</t>
    </r>
  </si>
  <si>
    <r>
      <t xml:space="preserve">* </t>
    </r>
    <r>
      <rPr>
        <sz val="10"/>
        <color rgb="FFFF0000"/>
        <rFont val="Arial"/>
        <family val="3"/>
        <charset val="129"/>
        <scheme val="minor"/>
      </rPr>
      <t>담당자는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멘토를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지칭</t>
    </r>
    <phoneticPr fontId="9" type="noConversion"/>
  </si>
  <si>
    <r>
      <rPr>
        <b/>
        <sz val="12"/>
        <rFont val="Arial"/>
        <family val="3"/>
        <charset val="129"/>
        <scheme val="minor"/>
      </rPr>
      <t>담당자</t>
    </r>
  </si>
  <si>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</si>
  <si>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전화번호</t>
    </r>
  </si>
  <si>
    <r>
      <rPr>
        <b/>
        <sz val="12"/>
        <rFont val="Arial"/>
        <family val="3"/>
        <charset val="129"/>
        <scheme val="minor"/>
      </rPr>
      <t>이메일</t>
    </r>
  </si>
  <si>
    <r>
      <rPr>
        <b/>
        <sz val="12"/>
        <rFont val="Arial"/>
        <family val="3"/>
        <charset val="129"/>
        <scheme val="minor"/>
      </rPr>
      <t>팩스번호</t>
    </r>
  </si>
  <si>
    <r>
      <rPr>
        <b/>
        <sz val="12"/>
        <rFont val="Arial"/>
        <family val="3"/>
        <charset val="129"/>
        <scheme val="minor"/>
      </rPr>
      <t>신청내용</t>
    </r>
  </si>
  <si>
    <r>
      <rPr>
        <b/>
        <sz val="12"/>
        <rFont val="Arial"/>
        <family val="3"/>
        <charset val="129"/>
        <scheme val="minor"/>
      </rPr>
      <t>참여청년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</si>
  <si>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참여일</t>
    </r>
  </si>
  <si>
    <r>
      <rPr>
        <b/>
        <sz val="12"/>
        <rFont val="Arial"/>
        <family val="3"/>
        <charset val="129"/>
        <scheme val="minor"/>
      </rPr>
      <t>신청기간</t>
    </r>
  </si>
  <si>
    <r>
      <rPr>
        <b/>
        <sz val="12"/>
        <rFont val="Arial"/>
        <family val="3"/>
        <charset val="129"/>
        <scheme val="minor"/>
      </rPr>
      <t>신청금액</t>
    </r>
  </si>
  <si>
    <r>
      <t>(</t>
    </r>
    <r>
      <rPr>
        <b/>
        <sz val="12"/>
        <rFont val="Arial"/>
        <family val="3"/>
        <charset val="129"/>
        <scheme val="minor"/>
      </rPr>
      <t>주민등록번호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</si>
  <si>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</si>
  <si>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 xml:space="preserve"> ~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</si>
  <si>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>(</t>
    </r>
    <r>
      <rPr>
        <b/>
        <sz val="12"/>
        <rFont val="Arial"/>
        <family val="3"/>
        <charset val="129"/>
        <scheme val="minor"/>
      </rPr>
      <t>원</t>
    </r>
    <r>
      <rPr>
        <b/>
        <sz val="12"/>
        <rFont val="Arial"/>
        <family val="2"/>
        <scheme val="minor"/>
      </rPr>
      <t>)</t>
    </r>
  </si>
  <si>
    <r>
      <rPr>
        <sz val="12"/>
        <color rgb="FFFF0000"/>
        <rFont val="Arial"/>
        <family val="2"/>
        <charset val="129"/>
        <scheme val="minor"/>
      </rPr>
      <t>기입</t>
    </r>
    <phoneticPr fontId="9" type="noConversion"/>
  </si>
  <si>
    <r>
      <rPr>
        <sz val="12"/>
        <rFont val="Arial"/>
        <family val="3"/>
        <charset val="129"/>
        <scheme val="minor"/>
      </rPr>
      <t>지원금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총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신청인원</t>
    </r>
  </si>
  <si>
    <r>
      <t xml:space="preserve">( 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  <phoneticPr fontId="9" type="noConversion"/>
  </si>
  <si>
    <r>
      <rPr>
        <sz val="12"/>
        <rFont val="Arial"/>
        <family val="3"/>
        <charset val="129"/>
        <scheme val="minor"/>
      </rPr>
      <t>신청금액</t>
    </r>
  </si>
  <si>
    <r>
      <t>(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 ) </t>
    </r>
    <r>
      <rPr>
        <sz val="12"/>
        <rFont val="Arial"/>
        <family val="3"/>
        <charset val="129"/>
        <scheme val="minor"/>
      </rPr>
      <t>원</t>
    </r>
    <phoneticPr fontId="9" type="noConversion"/>
  </si>
  <si>
    <r>
      <rPr>
        <b/>
        <sz val="12"/>
        <rFont val="Arial"/>
        <family val="3"/>
        <charset val="129"/>
        <scheme val="minor"/>
      </rPr>
      <t>기업명의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계좌번호</t>
    </r>
  </si>
  <si>
    <r>
      <rPr>
        <b/>
        <sz val="12"/>
        <rFont val="Arial"/>
        <family val="3"/>
        <charset val="129"/>
        <scheme val="minor"/>
      </rPr>
      <t>『청년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지원사업｣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지침에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따라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위와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같이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신청합니다</t>
    </r>
    <r>
      <rPr>
        <b/>
        <sz val="12"/>
        <rFont val="Arial"/>
        <family val="2"/>
        <scheme val="minor"/>
      </rPr>
      <t>.</t>
    </r>
  </si>
  <si>
    <r>
      <t>2024</t>
    </r>
    <r>
      <rPr>
        <sz val="12"/>
        <rFont val="Arial"/>
        <family val="3"/>
        <charset val="129"/>
        <scheme val="minor"/>
      </rPr>
      <t>년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월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일</t>
    </r>
  </si>
  <si>
    <r>
      <rPr>
        <b/>
        <sz val="12"/>
        <rFont val="Arial"/>
        <family val="3"/>
        <charset val="129"/>
        <scheme val="minor"/>
      </rPr>
      <t>확인자</t>
    </r>
    <r>
      <rPr>
        <b/>
        <sz val="12"/>
        <rFont val="Arial"/>
        <family val="2"/>
        <scheme val="minor"/>
      </rPr>
      <t>(</t>
    </r>
    <r>
      <rPr>
        <b/>
        <sz val="12"/>
        <rFont val="Arial"/>
        <family val="3"/>
        <charset val="129"/>
        <scheme val="minor"/>
      </rPr>
      <t>대표자</t>
    </r>
    <r>
      <rPr>
        <b/>
        <sz val="12"/>
        <rFont val="Arial"/>
        <family val="2"/>
        <scheme val="minor"/>
      </rPr>
      <t>)</t>
    </r>
  </si>
  <si>
    <r>
      <t>(</t>
    </r>
    <r>
      <rPr>
        <sz val="12"/>
        <rFont val="Arial"/>
        <family val="3"/>
        <charset val="129"/>
        <scheme val="minor"/>
      </rPr>
      <t>서명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또는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인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</si>
  <si>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한국무선인터넷솔루션협회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운영기관장</t>
    </r>
  </si>
  <si>
    <r>
      <rPr>
        <sz val="12"/>
        <rFont val="Arial"/>
        <family val="3"/>
        <charset val="129"/>
        <scheme val="minor"/>
      </rPr>
      <t>귀하</t>
    </r>
  </si>
  <si>
    <r>
      <rPr>
        <sz val="12"/>
        <rFont val="Arial"/>
        <family val="3"/>
        <charset val="129"/>
        <scheme val="minor"/>
      </rPr>
      <t>첨부서류</t>
    </r>
  </si>
  <si>
    <r>
      <t xml:space="preserve">1. 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운영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증빙자료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계획서</t>
    </r>
    <r>
      <rPr>
        <sz val="12"/>
        <rFont val="Arial"/>
        <family val="2"/>
        <scheme val="minor"/>
      </rPr>
      <t xml:space="preserve">, </t>
    </r>
    <r>
      <rPr>
        <sz val="12"/>
        <rFont val="Arial"/>
        <family val="3"/>
        <charset val="129"/>
        <scheme val="minor"/>
      </rPr>
      <t>참여청년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명단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등</t>
    </r>
    <r>
      <rPr>
        <sz val="12"/>
        <rFont val="Arial"/>
        <family val="2"/>
        <scheme val="minor"/>
      </rPr>
      <t>)</t>
    </r>
  </si>
  <si>
    <r>
      <t xml:space="preserve">2. </t>
    </r>
    <r>
      <rPr>
        <sz val="12"/>
        <rFont val="Arial"/>
        <family val="3"/>
        <charset val="129"/>
        <scheme val="minor"/>
      </rPr>
      <t>기업명의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통장사본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최초</t>
    </r>
    <r>
      <rPr>
        <sz val="12"/>
        <rFont val="Arial"/>
        <family val="2"/>
        <scheme val="minor"/>
      </rPr>
      <t xml:space="preserve"> 1</t>
    </r>
    <r>
      <rPr>
        <sz val="12"/>
        <rFont val="Arial"/>
        <family val="3"/>
        <charset val="129"/>
        <scheme val="minor"/>
      </rPr>
      <t>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시에만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제출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</si>
  <si>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※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아래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란은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적지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않습니다</t>
    </r>
    <r>
      <rPr>
        <b/>
        <sz val="12"/>
        <rFont val="Arial"/>
        <family val="2"/>
        <scheme val="minor"/>
      </rPr>
      <t xml:space="preserve">. </t>
    </r>
  </si>
  <si>
    <r>
      <rPr>
        <b/>
        <sz val="12"/>
        <rFont val="Arial"/>
        <family val="3"/>
        <charset val="129"/>
        <scheme val="minor"/>
      </rPr>
      <t>접수</t>
    </r>
  </si>
  <si>
    <r>
      <rPr>
        <sz val="12"/>
        <rFont val="Arial"/>
        <family val="3"/>
        <charset val="129"/>
        <scheme val="minor"/>
      </rPr>
      <t>접수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</si>
  <si>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sz val="12"/>
        <rFont val="Arial"/>
        <family val="3"/>
        <charset val="129"/>
        <scheme val="minor"/>
      </rPr>
      <t>처리부서</t>
    </r>
  </si>
  <si>
    <r>
      <rPr>
        <b/>
        <sz val="12"/>
        <rFont val="Arial"/>
        <family val="3"/>
        <charset val="129"/>
        <scheme val="minor"/>
      </rPr>
      <t>선람</t>
    </r>
  </si>
  <si>
    <r>
      <rPr>
        <sz val="12"/>
        <rFont val="Arial"/>
        <family val="3"/>
        <charset val="129"/>
        <scheme val="minor"/>
      </rPr>
      <t>담당</t>
    </r>
  </si>
  <si>
    <r>
      <rPr>
        <sz val="12"/>
        <rFont val="Arial"/>
        <family val="3"/>
        <charset val="129"/>
        <scheme val="minor"/>
      </rPr>
      <t>팀장</t>
    </r>
  </si>
  <si>
    <r>
      <rPr>
        <sz val="12"/>
        <rFont val="Arial"/>
        <family val="3"/>
        <charset val="129"/>
        <scheme val="minor"/>
      </rPr>
      <t>과장</t>
    </r>
  </si>
  <si>
    <r>
      <rPr>
        <sz val="12"/>
        <rFont val="Arial"/>
        <family val="3"/>
        <charset val="129"/>
        <scheme val="minor"/>
      </rPr>
      <t>결재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</si>
  <si>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2</t>
    </r>
    <phoneticPr fontId="9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</si>
  <si>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2</t>
    </r>
    <phoneticPr fontId="9" type="noConversion"/>
  </si>
  <si>
    <r>
      <t xml:space="preserve">( 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</si>
  <si>
    <r>
      <t xml:space="preserve">( ) </t>
    </r>
    <r>
      <rPr>
        <sz val="12"/>
        <rFont val="Arial"/>
        <family val="3"/>
        <charset val="129"/>
        <scheme val="minor"/>
      </rPr>
      <t>원</t>
    </r>
  </si>
  <si>
    <r>
      <rPr>
        <sz val="12"/>
        <color theme="1"/>
        <rFont val="Arial"/>
        <family val="2"/>
        <charset val="129"/>
        <scheme val="minor"/>
      </rPr>
      <t>㈜노마드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</si>
  <si>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피보험자수</t>
    </r>
    <phoneticPr fontId="9" type="noConversion"/>
  </si>
  <si>
    <r>
      <t>00</t>
    </r>
    <r>
      <rPr>
        <sz val="12"/>
        <color theme="1"/>
        <rFont val="Arial"/>
        <family val="2"/>
        <charset val="129"/>
        <scheme val="minor"/>
      </rPr>
      <t>명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</si>
  <si>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사업자등록번호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</si>
  <si>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본사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</si>
  <si>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r>
      <rPr>
        <sz val="12"/>
        <color theme="1"/>
        <rFont val="Arial"/>
        <family val="3"/>
        <charset val="129"/>
        <scheme val="minor"/>
      </rPr>
      <t>부산</t>
    </r>
    <r>
      <rPr>
        <sz val="12"/>
        <color theme="1"/>
        <rFont val="Arial"/>
        <family val="2"/>
        <charset val="129"/>
        <scheme val="minor"/>
      </rPr>
      <t>광역시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연제구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</si>
  <si>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은행명</t>
    </r>
    <phoneticPr fontId="9" type="noConversion"/>
  </si>
  <si>
    <r>
      <t>00</t>
    </r>
    <r>
      <rPr>
        <sz val="12"/>
        <color theme="1"/>
        <rFont val="Arial"/>
        <family val="2"/>
        <charset val="129"/>
        <scheme val="minor"/>
      </rPr>
      <t>은행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</si>
  <si>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계좌번호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</si>
  <si>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예금주</t>
    </r>
    <phoneticPr fontId="9" type="noConversion"/>
  </si>
  <si>
    <r>
      <rPr>
        <sz val="12"/>
        <color theme="1"/>
        <rFont val="Arial"/>
        <family val="3"/>
        <charset val="129"/>
        <scheme val="minor"/>
      </rPr>
      <t>홍홍</t>
    </r>
    <phoneticPr fontId="9" type="noConversion"/>
  </si>
  <si>
    <r>
      <rPr>
        <sz val="12"/>
        <color theme="1"/>
        <rFont val="Arial"/>
        <family val="3"/>
        <charset val="129"/>
        <scheme val="minor"/>
      </rPr>
      <t>디자인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</si>
  <si>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참여자자격요건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</si>
  <si>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담당자</t>
    </r>
    <phoneticPr fontId="9" type="noConversion"/>
  </si>
  <si>
    <r>
      <rPr>
        <sz val="12"/>
        <color theme="1"/>
        <rFont val="Arial"/>
        <family val="2"/>
        <charset val="129"/>
        <scheme val="minor"/>
      </rPr>
      <t>이순신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</si>
  <si>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9" type="noConversion"/>
  </si>
  <si>
    <r>
      <rPr>
        <sz val="12"/>
        <color theme="1"/>
        <rFont val="Arial"/>
        <family val="2"/>
        <charset val="129"/>
        <scheme val="minor"/>
      </rPr>
      <t>세종대왕</t>
    </r>
    <phoneticPr fontId="9" type="noConversion"/>
  </si>
  <si>
    <r>
      <rPr>
        <sz val="12"/>
        <color theme="1"/>
        <rFont val="Arial"/>
        <family val="2"/>
        <charset val="129"/>
        <scheme val="minor"/>
      </rPr>
      <t>광개토대왕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</si>
  <si>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9" type="noConversion"/>
  </si>
  <si>
    <r>
      <rPr>
        <sz val="12"/>
        <color theme="1"/>
        <rFont val="Arial"/>
        <family val="3"/>
        <charset val="129"/>
        <scheme val="minor"/>
      </rPr>
      <t>연구</t>
    </r>
    <r>
      <rPr>
        <sz val="12"/>
        <color theme="1"/>
        <rFont val="Arial"/>
        <family val="2"/>
        <scheme val="minor"/>
      </rPr>
      <t xml:space="preserve"> 2</t>
    </r>
    <r>
      <rPr>
        <sz val="12"/>
        <color theme="1"/>
        <rFont val="Arial"/>
        <family val="3"/>
        <charset val="129"/>
        <scheme val="minor"/>
      </rPr>
      <t>팀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</si>
  <si>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(1~4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</si>
  <si>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(5~8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</si>
  <si>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t>멘토</t>
    <phoneticPr fontId="9" type="noConversion"/>
  </si>
  <si>
    <r>
      <rPr>
        <b/>
        <sz val="14"/>
        <color rgb="FF000000"/>
        <rFont val="Arial"/>
        <family val="2"/>
        <charset val="129"/>
        <scheme val="minor"/>
      </rPr>
      <t>순번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</si>
  <si>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업종</t>
    </r>
    <phoneticPr fontId="9" type="noConversion"/>
  </si>
  <si>
    <r>
      <t>00</t>
    </r>
    <r>
      <rPr>
        <sz val="12"/>
        <color theme="1"/>
        <rFont val="Arial"/>
        <family val="2"/>
        <charset val="129"/>
        <scheme val="minor"/>
      </rPr>
      <t>업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외</t>
    </r>
    <phoneticPr fontId="9" type="noConversion"/>
  </si>
  <si>
    <t>담당자명</t>
    <phoneticPr fontId="9" type="noConversion"/>
  </si>
  <si>
    <t>모바일 앱 개발 기초와 필수 도구 소개</t>
    <phoneticPr fontId="9" type="noConversion"/>
  </si>
  <si>
    <t>앱 화면 설계 및 사용자 경험(UX) 기초</t>
    <phoneticPr fontId="9" type="noConversion"/>
  </si>
  <si>
    <t>데이터 저장 및 관리 – SQLite와 로컬 데이터</t>
    <phoneticPr fontId="9" type="noConversion"/>
  </si>
  <si>
    <t>네트워크 통신 – API 활용 및 데이터 연동</t>
    <phoneticPr fontId="9" type="noConversion"/>
  </si>
  <si>
    <r>
      <rPr>
        <b/>
        <sz val="14"/>
        <color theme="1"/>
        <rFont val="Arial"/>
        <family val="3"/>
        <charset val="129"/>
        <scheme val="minor"/>
      </rPr>
      <t>단위명</t>
    </r>
    <phoneticPr fontId="9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</si>
  <si>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r>
      <rPr>
        <u/>
        <sz val="20"/>
        <color rgb="FF000000"/>
        <rFont val="Arial"/>
        <family val="2"/>
        <scheme val="minor"/>
      </rPr>
      <t xml:space="preserve"> 
</t>
    </r>
    <r>
      <rPr>
        <u/>
        <sz val="20"/>
        <color rgb="FF000000"/>
        <rFont val="Arial"/>
        <family val="2"/>
        <charset val="129"/>
        <scheme val="minor"/>
      </rPr>
      <t>담당자</t>
    </r>
    <phoneticPr fontId="9" type="noConversion"/>
  </si>
  <si>
    <r>
      <t xml:space="preserve"> </t>
    </r>
    <r>
      <rPr>
        <u/>
        <sz val="20"/>
        <color rgb="FF000000"/>
        <rFont val="Arial"/>
        <family val="3"/>
        <charset val="129"/>
        <scheme val="minor"/>
      </rPr>
      <t>참여기업
멘토</t>
    </r>
    <phoneticPr fontId="9" type="noConversion"/>
  </si>
  <si>
    <r>
      <t>1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</si>
  <si>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t>2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</si>
  <si>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t>3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</si>
  <si>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t>4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</si>
  <si>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t>5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</si>
  <si>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t>6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</si>
  <si>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t>7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</si>
  <si>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t>8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</si>
  <si>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rPr>
        <sz val="12"/>
        <color theme="1"/>
        <rFont val="맑은 고딕"/>
        <family val="3"/>
        <charset val="129"/>
      </rPr>
      <t>프로</t>
    </r>
    <r>
      <rPr>
        <sz val="12"/>
        <color theme="1"/>
        <rFont val="Arial"/>
        <family val="2"/>
        <scheme val="minor"/>
      </rPr>
      <t>1</t>
    </r>
    <phoneticPr fontId="9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</si>
  <si>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멘토2</t>
    </r>
    <phoneticPr fontId="9" type="noConversion"/>
  </si>
  <si>
    <r>
      <t xml:space="preserve">* </t>
    </r>
    <r>
      <rPr>
        <sz val="10"/>
        <color rgb="FF000000"/>
        <rFont val="맑은 고딕"/>
        <family val="3"/>
        <charset val="129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전담인력을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의미하며</t>
    </r>
    <r>
      <rPr>
        <sz val="10"/>
        <color rgb="FF000000"/>
        <rFont val="Arial"/>
        <family val="2"/>
        <scheme val="minor"/>
      </rPr>
      <t xml:space="preserve"> 1</t>
    </r>
    <r>
      <rPr>
        <sz val="10"/>
        <color rgb="FF000000"/>
        <rFont val="맑은 고딕"/>
        <family val="3"/>
        <charset val="129"/>
      </rPr>
      <t>인당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청년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참여인원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맑은 고딕"/>
        <family val="3"/>
        <charset val="129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이하로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제한</t>
    </r>
    <phoneticPr fontId="9" type="noConversion"/>
  </si>
  <si>
    <r>
      <rPr>
        <b/>
        <sz val="13"/>
        <color theme="1"/>
        <rFont val="맑은 고딕"/>
        <family val="3"/>
        <charset val="129"/>
      </rPr>
      <t>전화번호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 Unicode MS"/>
        <family val="2"/>
        <charset val="129"/>
      </rPr>
      <t>팩스번호</t>
    </r>
    <r>
      <rPr>
        <b/>
        <sz val="13"/>
        <color theme="1"/>
        <rFont val="Arial"/>
        <family val="2"/>
        <scheme val="minor"/>
      </rPr>
      <t>)</t>
    </r>
    <phoneticPr fontId="9" type="noConversion"/>
  </si>
  <si>
    <t>참여일</t>
    <phoneticPr fontId="9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</si>
  <si>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멘토1</t>
    </r>
    <phoneticPr fontId="9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</si>
  <si>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멘토2</t>
    </r>
    <phoneticPr fontId="9" type="noConversion"/>
  </si>
  <si>
    <t>단위명</t>
    <phoneticPr fontId="9" type="noConversion"/>
  </si>
  <si>
    <t>교육기간 및 총시수</t>
  </si>
  <si>
    <t>교육정원</t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</si>
  <si>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계획서</t>
    </r>
    <phoneticPr fontId="9" type="noConversion"/>
  </si>
  <si>
    <r>
      <rPr>
        <b/>
        <sz val="14"/>
        <color theme="1"/>
        <rFont val="Arial"/>
        <family val="2"/>
        <charset val="129"/>
        <scheme val="minor"/>
      </rPr>
      <t>필드</t>
    </r>
    <phoneticPr fontId="9" type="noConversion"/>
  </si>
  <si>
    <r>
      <rPr>
        <b/>
        <sz val="14"/>
        <color theme="1"/>
        <rFont val="Arial"/>
        <family val="2"/>
        <charset val="129"/>
        <scheme val="minor"/>
      </rPr>
      <t>입력</t>
    </r>
    <phoneticPr fontId="9" type="noConversion"/>
  </si>
  <si>
    <r>
      <t>[</t>
    </r>
    <r>
      <rPr>
        <sz val="12"/>
        <color theme="1"/>
        <rFont val="Arial"/>
        <family val="2"/>
        <charset val="129"/>
        <scheme val="minor"/>
      </rPr>
      <t>노마드랩</t>
    </r>
    <r>
      <rPr>
        <sz val="12"/>
        <color theme="1"/>
        <rFont val="Arial"/>
        <family val="2"/>
        <scheme val="minor"/>
      </rPr>
      <t xml:space="preserve">] </t>
    </r>
    <r>
      <rPr>
        <sz val="12"/>
        <color theme="1"/>
        <rFont val="Arial"/>
        <family val="2"/>
        <charset val="129"/>
        <scheme val="minor"/>
      </rPr>
      <t>빅데이터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활용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개발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</si>
  <si>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매칭</t>
    </r>
    <r>
      <rPr>
        <b/>
        <sz val="12"/>
        <color theme="1"/>
        <rFont val="Arial"/>
        <family val="2"/>
        <scheme val="minor"/>
      </rPr>
      <t>-</t>
    </r>
    <r>
      <rPr>
        <b/>
        <sz val="12"/>
        <color theme="1"/>
        <rFont val="Arial"/>
        <family val="2"/>
        <charset val="129"/>
        <scheme val="minor"/>
      </rPr>
      <t>프로그램명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</si>
  <si>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직무분야</t>
    </r>
    <phoneticPr fontId="9" type="noConversion"/>
  </si>
  <si>
    <r>
      <rPr>
        <b/>
        <sz val="12"/>
        <color rgb="FF000000"/>
        <rFont val="Arial"/>
        <family val="3"/>
        <charset val="129"/>
        <scheme val="minor"/>
      </rPr>
      <t>교육기간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총시수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</si>
  <si>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교육정원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</si>
  <si>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교육목적</t>
    </r>
    <phoneticPr fontId="9" type="noConversion"/>
  </si>
  <si>
    <t>사전직무교육 운영 계획서</t>
  </si>
  <si>
    <t>일경험 유형</t>
  </si>
  <si>
    <t> 인턴형</t>
  </si>
  <si>
    <t>□ 프로젝트형</t>
  </si>
  <si>
    <t>매칭-프로그램명</t>
  </si>
  <si>
    <t>매칭-운영기관명</t>
  </si>
  <si>
    <t>직무교육기관명</t>
  </si>
  <si>
    <t>교육</t>
  </si>
  <si>
    <t>장소</t>
  </si>
  <si>
    <t>기관명</t>
  </si>
  <si>
    <t>주 소</t>
  </si>
  <si>
    <t>직무분야</t>
  </si>
  <si>
    <t>담당자 소속</t>
  </si>
  <si>
    <t>김민재</t>
  </si>
  <si>
    <t>이름</t>
  </si>
  <si>
    <t>운영지원팀</t>
  </si>
  <si>
    <t>070-7701-7735</t>
  </si>
  <si>
    <t>교육방법</t>
  </si>
  <si>
    <t xml:space="preserve">■ 오프라인 </t>
  </si>
  <si>
    <t>□ 온라인</t>
  </si>
  <si>
    <t>□ 혼합(오프라인+온라인)</t>
  </si>
  <si>
    <t>교육목적</t>
  </si>
  <si>
    <t>주차</t>
  </si>
  <si>
    <t>구분</t>
  </si>
  <si>
    <r>
      <t>1</t>
    </r>
    <r>
      <rPr>
        <b/>
        <sz val="11"/>
        <color rgb="FF000000"/>
        <rFont val="맑은 고딕"/>
        <family val="3"/>
        <charset val="129"/>
      </rPr>
      <t>주차</t>
    </r>
  </si>
  <si>
    <t>시간</t>
  </si>
  <si>
    <t>내용</t>
  </si>
  <si>
    <t>강사</t>
  </si>
  <si>
    <r>
      <t>2</t>
    </r>
    <r>
      <rPr>
        <b/>
        <sz val="11"/>
        <color rgb="FF000000"/>
        <rFont val="맑은 고딕"/>
        <family val="3"/>
        <charset val="129"/>
      </rPr>
      <t>주차</t>
    </r>
  </si>
  <si>
    <r>
      <t>3</t>
    </r>
    <r>
      <rPr>
        <b/>
        <sz val="11"/>
        <color rgb="FF000000"/>
        <rFont val="맑은 고딕"/>
        <family val="3"/>
        <charset val="129"/>
      </rPr>
      <t>주차</t>
    </r>
  </si>
  <si>
    <r>
      <rPr>
        <b/>
        <i/>
        <sz val="10"/>
        <color rgb="FFFF0000"/>
        <rFont val="맑은 고딕"/>
        <family val="3"/>
        <charset val="129"/>
      </rPr>
      <t>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추가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시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이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위에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행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삽입</t>
    </r>
    <phoneticPr fontId="9" type="noConversion"/>
  </si>
  <si>
    <t>미완료</t>
    <phoneticPr fontId="9" type="noConversion"/>
  </si>
  <si>
    <r>
      <t>완료</t>
    </r>
    <r>
      <rPr>
        <sz val="12"/>
        <color rgb="FF006100"/>
        <rFont val="Arial"/>
        <family val="2"/>
        <scheme val="minor"/>
      </rPr>
      <t xml:space="preserve"> 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</si>
  <si>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단위명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</si>
  <si>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단위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</si>
  <si>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입력값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</si>
  <si>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입력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</si>
  <si>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필드명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</si>
  <si>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필드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</si>
  <si>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타이틀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</si>
  <si>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테두리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</si>
  <si>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색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</si>
  <si>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정렬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</si>
  <si>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크기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</si>
  <si>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폰트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</si>
  <si>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용도</t>
    </r>
    <phoneticPr fontId="9" type="noConversion"/>
  </si>
  <si>
    <r>
      <rPr>
        <b/>
        <u/>
        <sz val="15"/>
        <color rgb="FF000000"/>
        <rFont val="맑은 고딕"/>
        <family val="3"/>
        <charset val="129"/>
      </rPr>
      <t>글,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맑은 고딕"/>
        <family val="3"/>
        <charset val="129"/>
      </rPr>
      <t>폰트, 표 규격</t>
    </r>
    <phoneticPr fontId="9" type="noConversion"/>
  </si>
  <si>
    <t>여부</t>
    <phoneticPr fontId="9" type="noConversion"/>
  </si>
  <si>
    <r>
      <rPr>
        <b/>
        <sz val="14"/>
        <color rgb="FF000000"/>
        <rFont val="Arial"/>
        <family val="3"/>
        <charset val="129"/>
        <scheme val="minor"/>
      </rPr>
      <t>담당자</t>
    </r>
    <r>
      <rPr>
        <b/>
        <sz val="14"/>
        <color rgb="FF000000"/>
        <rFont val="Arial"/>
        <family val="2"/>
        <scheme val="minor"/>
      </rPr>
      <t>/</t>
    </r>
    <r>
      <rPr>
        <b/>
        <sz val="14"/>
        <color rgb="FF000000"/>
        <rFont val="Arial"/>
        <family val="3"/>
        <charset val="129"/>
        <scheme val="minor"/>
      </rPr>
      <t>멘토</t>
    </r>
    <phoneticPr fontId="9" type="noConversion"/>
  </si>
  <si>
    <r>
      <rPr>
        <b/>
        <u/>
        <sz val="20"/>
        <color rgb="FF000000"/>
        <rFont val="Arial Unicode MS"/>
        <family val="2"/>
        <charset val="129"/>
      </rPr>
      <t>잠금시트</t>
    </r>
    <r>
      <rPr>
        <b/>
        <u/>
        <sz val="20"/>
        <color rgb="FF000000"/>
        <rFont val="Arial Unicode MS"/>
        <family val="2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리스트</t>
    </r>
    <phoneticPr fontId="9" type="noConversion"/>
  </si>
  <si>
    <r>
      <rPr>
        <u/>
        <sz val="20"/>
        <color rgb="FF000000"/>
        <rFont val="Arial"/>
        <family val="3"/>
        <charset val="129"/>
        <scheme val="minor"/>
      </rPr>
      <t>시트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잠금하는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법</t>
    </r>
    <phoneticPr fontId="9" type="noConversion"/>
  </si>
  <si>
    <r>
      <rPr>
        <b/>
        <sz val="12"/>
        <color theme="1"/>
        <rFont val="Arial Unicode MS"/>
        <family val="2"/>
        <charset val="129"/>
      </rPr>
      <t>매칭</t>
    </r>
    <r>
      <rPr>
        <b/>
        <sz val="12"/>
        <color theme="1"/>
        <rFont val="Arial"/>
        <family val="2"/>
      </rPr>
      <t>-</t>
    </r>
    <r>
      <rPr>
        <b/>
        <sz val="12"/>
        <color theme="1"/>
        <rFont val="Arial Unicode MS"/>
        <family val="2"/>
        <charset val="129"/>
      </rPr>
      <t>운영기관명</t>
    </r>
    <phoneticPr fontId="9" type="noConversion"/>
  </si>
  <si>
    <t>직무교육기관명</t>
    <phoneticPr fontId="9" type="noConversion"/>
  </si>
  <si>
    <t>기관명</t>
    <phoneticPr fontId="9" type="noConversion"/>
  </si>
  <si>
    <t>운영기관명</t>
  </si>
  <si>
    <r>
      <rPr>
        <u/>
        <sz val="20"/>
        <color rgb="FF000000"/>
        <rFont val="맑은 고딕"/>
        <family val="3"/>
        <charset val="129"/>
      </rPr>
      <t>일경험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맑은 고딕"/>
        <family val="3"/>
        <charset val="129"/>
      </rPr>
      <t>정보</t>
    </r>
    <phoneticPr fontId="9" type="noConversion"/>
  </si>
  <si>
    <t>일경험 장소</t>
    <phoneticPr fontId="9" type="noConversion"/>
  </si>
  <si>
    <t>인턴형 기간(개월수)</t>
    <phoneticPr fontId="9" type="noConversion"/>
  </si>
  <si>
    <t>인턴형</t>
    <phoneticPr fontId="9" type="noConversion"/>
  </si>
  <si>
    <r>
      <rPr>
        <b/>
        <sz val="12"/>
        <color theme="1"/>
        <rFont val="Arial Unicode MS"/>
        <family val="2"/>
        <charset val="129"/>
      </rPr>
      <t>일경험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Arial Unicode MS"/>
        <family val="2"/>
        <charset val="129"/>
      </rPr>
      <t>유형</t>
    </r>
    <phoneticPr fontId="9" type="noConversion"/>
  </si>
  <si>
    <t>멘토 계좌번호</t>
    <phoneticPr fontId="9" type="noConversion"/>
  </si>
  <si>
    <t>멘토 은행명</t>
    <phoneticPr fontId="9" type="noConversion"/>
  </si>
  <si>
    <r>
      <rPr>
        <b/>
        <sz val="12"/>
        <color theme="1"/>
        <rFont val="맑은 고딕"/>
        <family val="3"/>
        <charset val="129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명</t>
    </r>
    <phoneticPr fontId="9" type="noConversion"/>
  </si>
  <si>
    <r>
      <rPr>
        <b/>
        <sz val="12"/>
        <color theme="1"/>
        <rFont val="맑은 고딕"/>
        <family val="3"/>
        <charset val="129"/>
      </rPr>
      <t>회사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소개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및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주요사업</t>
    </r>
    <phoneticPr fontId="9" type="noConversion"/>
  </si>
  <si>
    <t>홈페이지</t>
    <phoneticPr fontId="9" type="noConversion"/>
  </si>
  <si>
    <r>
      <rPr>
        <b/>
        <sz val="12"/>
        <color theme="1"/>
        <rFont val="맑은 고딕"/>
        <family val="3"/>
        <charset val="129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맑은 고딕"/>
        <family val="3"/>
        <charset val="129"/>
      </rPr>
      <t>일경험 장소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</si>
  <si>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t>051)111-1111</t>
    <phoneticPr fontId="9" type="noConversion"/>
  </si>
  <si>
    <t>참여기업</t>
    <phoneticPr fontId="9" type="noConversion"/>
  </si>
  <si>
    <t>프로그램</t>
  </si>
  <si>
    <t>프로그램</t>
    <phoneticPr fontId="9" type="noConversion"/>
  </si>
  <si>
    <t>장소(소재지)</t>
  </si>
  <si>
    <t>참여인원</t>
  </si>
  <si>
    <r>
      <rPr>
        <b/>
        <sz val="12"/>
        <color theme="1"/>
        <rFont val="Arial"/>
        <family val="3"/>
        <charset val="129"/>
        <scheme val="minor"/>
      </rPr>
      <t>프로그램명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</si>
  <si>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직무분야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</si>
  <si>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프로그램내용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</si>
  <si>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프로그램기간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</si>
  <si>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장소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소재지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</si>
  <si>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참여인원</t>
    </r>
    <phoneticPr fontId="9" type="noConversion"/>
  </si>
  <si>
    <t>기업지원금</t>
  </si>
  <si>
    <t>멘토지원금</t>
  </si>
  <si>
    <t>금액</t>
  </si>
  <si>
    <t>입금계좌</t>
  </si>
  <si>
    <t>입금계좌(은행명)</t>
  </si>
  <si>
    <t>입금계좌(은행명)</t>
    <phoneticPr fontId="9" type="noConversion"/>
  </si>
  <si>
    <t>지원금</t>
  </si>
  <si>
    <t>기업지원금금액</t>
    <phoneticPr fontId="9" type="noConversion"/>
  </si>
  <si>
    <t>멘토지원금금액</t>
    <phoneticPr fontId="9" type="noConversion"/>
  </si>
  <si>
    <r>
      <rPr>
        <u/>
        <sz val="20"/>
        <color rgb="FF000000"/>
        <rFont val="Arial"/>
        <family val="2"/>
        <charset val="129"/>
        <scheme val="major"/>
      </rPr>
      <t>지원금</t>
    </r>
    <phoneticPr fontId="9" type="noConversion"/>
  </si>
  <si>
    <t>참여시간(B)</t>
  </si>
  <si>
    <t>참여시간(B)</t>
    <phoneticPr fontId="9" type="noConversion"/>
  </si>
  <si>
    <t>지원금액</t>
  </si>
  <si>
    <t>지원금액</t>
    <phoneticPr fontId="9" type="noConversion"/>
  </si>
  <si>
    <t>은행명</t>
  </si>
  <si>
    <t>은행명</t>
    <phoneticPr fontId="9" type="noConversion"/>
  </si>
  <si>
    <t>계좌번호</t>
  </si>
  <si>
    <r>
      <rPr>
        <b/>
        <sz val="12"/>
        <color theme="1"/>
        <rFont val="Arial"/>
        <family val="3"/>
        <charset val="129"/>
        <scheme val="minor"/>
      </rPr>
      <t>성명</t>
    </r>
    <phoneticPr fontId="9" type="noConversion"/>
  </si>
  <si>
    <r>
      <rPr>
        <b/>
        <sz val="12"/>
        <color theme="1"/>
        <rFont val="Arial Unicode MS"/>
        <family val="2"/>
        <charset val="129"/>
      </rPr>
      <t>출석률(</t>
    </r>
    <r>
      <rPr>
        <b/>
        <sz val="12"/>
        <color theme="1"/>
        <rFont val="Arial"/>
        <family val="2"/>
      </rPr>
      <t>B/A)</t>
    </r>
    <phoneticPr fontId="9" type="noConversion"/>
  </si>
  <si>
    <t>사업장</t>
  </si>
  <si>
    <t>현 황</t>
  </si>
  <si>
    <t>업종</t>
  </si>
  <si>
    <t>피보험자수</t>
  </si>
  <si>
    <t>정 보</t>
  </si>
  <si>
    <t>(팩스번호)</t>
  </si>
  <si>
    <t>* 담당자는 프로그램 전담인력을 의미하며 1인당 청년 참여인원 10명 이하로 제한</t>
  </si>
  <si>
    <t>(프로그램의 참여인원이 10명 이상인 경우 각 각의 담당자 명단 제출)</t>
  </si>
  <si>
    <t>프로그램 기간</t>
  </si>
  <si>
    <t>프로그램기간</t>
  </si>
  <si>
    <t>* 참여자 출석률에 따른 기원지원금 총금액 작성</t>
  </si>
  <si>
    <t>참여자</t>
  </si>
  <si>
    <t>명단</t>
  </si>
  <si>
    <t>주민등록</t>
  </si>
  <si>
    <t>번 호</t>
  </si>
  <si>
    <r>
      <t>출석률</t>
    </r>
    <r>
      <rPr>
        <vertAlign val="superscript"/>
        <sz val="7.5"/>
        <color rgb="FF000000"/>
        <rFont val="KoPubWorld돋움체 Light"/>
        <family val="3"/>
        <charset val="129"/>
      </rPr>
      <t>*</t>
    </r>
    <r>
      <rPr>
        <sz val="7.5"/>
        <color rgb="FF000000"/>
        <rFont val="KoPubWorld돋움체 Light"/>
        <family val="3"/>
        <charset val="129"/>
      </rPr>
      <t>(B/A)</t>
    </r>
  </si>
  <si>
    <t>* 출석률 : 프로그램의 월 편성시간 대비 청년의 실제 참여시간 비율</t>
  </si>
  <si>
    <t xml:space="preserve">통보합니다. </t>
  </si>
  <si>
    <t>2024년 월 일</t>
  </si>
  <si>
    <t>1. 참여청년, 멘토, 기업 명의 통장사본(최초 1회 신청 시에만 제출)</t>
  </si>
  <si>
    <t xml:space="preserve">2. 개인정보제공동의서(청년) </t>
  </si>
  <si>
    <t>3. 멘토 활동 증빙(서식 114 – 멘토 면담 일지)</t>
  </si>
  <si>
    <r>
      <t>0000</t>
    </r>
    <r>
      <rPr>
        <sz val="13"/>
        <color theme="1"/>
        <rFont val="Arial Unicode MS"/>
        <family val="2"/>
        <charset val="129"/>
      </rPr>
      <t>년 0월 0일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</si>
  <si>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대표자명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</si>
  <si>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피보험자수</t>
    </r>
    <phoneticPr fontId="9" type="noConversion"/>
  </si>
  <si>
    <r>
      <rPr>
        <b/>
        <sz val="12"/>
        <color theme="1"/>
        <rFont val="맑은 고딕"/>
        <family val="3"/>
        <charset val="129"/>
      </rPr>
      <t>전화번호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 Unicode MS"/>
        <family val="2"/>
        <charset val="129"/>
      </rPr>
      <t>팩스번호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</si>
  <si>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이메일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</si>
  <si>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결과보고하는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달</t>
    </r>
    <phoneticPr fontId="9" type="noConversion"/>
  </si>
  <si>
    <t>운 영</t>
  </si>
  <si>
    <t>기 관</t>
  </si>
  <si>
    <r>
      <t>운영기관명</t>
    </r>
    <r>
      <rPr>
        <sz val="9"/>
        <color rgb="FF000000"/>
        <rFont val="Arial"/>
        <family val="2"/>
        <scheme val="minor"/>
      </rPr>
      <t xml:space="preserve"> </t>
    </r>
  </si>
  <si>
    <t>약정인원</t>
  </si>
  <si>
    <t>약 정 금 액</t>
  </si>
  <si>
    <t>약정금액</t>
  </si>
  <si>
    <r>
      <t>사업장명</t>
    </r>
    <r>
      <rPr>
        <sz val="9"/>
        <color rgb="FF000000"/>
        <rFont val="Arial"/>
        <family val="2"/>
        <scheme val="minor"/>
      </rPr>
      <t xml:space="preserve"> </t>
    </r>
  </si>
  <si>
    <t>이수인원</t>
  </si>
  <si>
    <t>(A)</t>
  </si>
  <si>
    <t>지원금(A)</t>
  </si>
  <si>
    <t>지급액</t>
  </si>
  <si>
    <t>(B)</t>
  </si>
  <si>
    <t>합계</t>
  </si>
  <si>
    <t>잔액</t>
  </si>
  <si>
    <t>(A-B)</t>
  </si>
  <si>
    <t>잔액(A-B)</t>
  </si>
  <si>
    <t>기업</t>
  </si>
  <si>
    <t>청년</t>
  </si>
  <si>
    <t>이수여부</t>
  </si>
  <si>
    <t>비고</t>
  </si>
  <si>
    <t xml:space="preserve">위와 같이 『청년 일경험 지원사업(인턴형 일경험)』의 실시결과를 제출합니다. </t>
  </si>
  <si>
    <t>확인자</t>
  </si>
  <si>
    <t>(대표자)</t>
  </si>
  <si>
    <t>일경험 통합지원센터장</t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</si>
  <si>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결과보고</t>
    </r>
    <phoneticPr fontId="9" type="noConversion"/>
  </si>
  <si>
    <r>
      <rPr>
        <b/>
        <sz val="20"/>
        <color theme="1"/>
        <rFont val="Arial"/>
        <family val="3"/>
        <charset val="129"/>
        <scheme val="minor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실시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결과보고</t>
    </r>
    <phoneticPr fontId="9" type="noConversion"/>
  </si>
  <si>
    <t>약정인원</t>
    <phoneticPr fontId="9" type="noConversion"/>
  </si>
  <si>
    <t>약정금액</t>
    <phoneticPr fontId="9" type="noConversion"/>
  </si>
  <si>
    <t>피보험자수</t>
    <phoneticPr fontId="9" type="noConversion"/>
  </si>
  <si>
    <t>프로그램기간</t>
    <phoneticPr fontId="9" type="noConversion"/>
  </si>
  <si>
    <t>이수인원</t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</si>
  <si>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지원금</t>
    </r>
    <r>
      <rPr>
        <b/>
        <sz val="12"/>
        <color theme="1"/>
        <rFont val="Arial"/>
        <family val="2"/>
        <scheme val="minor"/>
      </rPr>
      <t>(A)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</si>
  <si>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잔액</t>
    </r>
    <r>
      <rPr>
        <b/>
        <sz val="12"/>
        <color theme="1"/>
        <rFont val="Arial"/>
        <family val="2"/>
        <scheme val="minor"/>
      </rPr>
      <t>(A-B)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</si>
  <si>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지급액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합계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</si>
  <si>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지금액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기업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</si>
  <si>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지급액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청년</t>
    </r>
    <phoneticPr fontId="9" type="noConversion"/>
  </si>
  <si>
    <t>참여기간</t>
    <phoneticPr fontId="9" type="noConversion"/>
  </si>
  <si>
    <t>이수여부</t>
    <phoneticPr fontId="9" type="noConversion"/>
  </si>
  <si>
    <t>비고</t>
    <phoneticPr fontId="9" type="noConversion"/>
  </si>
  <si>
    <t>.</t>
    <phoneticPr fontId="9" type="noConversion"/>
  </si>
  <si>
    <t>작성날짜</t>
    <phoneticPr fontId="9" type="noConversion"/>
  </si>
  <si>
    <t>운영기관</t>
    <phoneticPr fontId="9" type="noConversion"/>
  </si>
  <si>
    <r>
      <t xml:space="preserve">45. </t>
    </r>
    <r>
      <rPr>
        <sz val="14"/>
        <color rgb="FF000000"/>
        <rFont val="Arial"/>
        <family val="2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모니터링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점검표</t>
    </r>
    <phoneticPr fontId="9" type="noConversion"/>
  </si>
  <si>
    <t>모니터링</t>
    <phoneticPr fontId="9" type="noConversion"/>
  </si>
  <si>
    <t>중도포기</t>
    <phoneticPr fontId="9" type="noConversion"/>
  </si>
  <si>
    <t>일경험
종료</t>
    <phoneticPr fontId="9" type="noConversion"/>
  </si>
  <si>
    <r>
      <t>105. (</t>
    </r>
    <r>
      <rPr>
        <sz val="14"/>
        <color rgb="FF000000"/>
        <rFont val="Arial"/>
        <family val="3"/>
        <charset val="129"/>
        <scheme val="minor"/>
      </rPr>
      <t>운영기관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담당관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참여청년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면담일지</t>
    </r>
    <phoneticPr fontId="9" type="noConversion"/>
  </si>
  <si>
    <r>
      <t>134-1. (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3"/>
        <charset val="129"/>
        <scheme val="minor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멘토수당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신청서</t>
    </r>
    <phoneticPr fontId="9" type="noConversion"/>
  </si>
  <si>
    <r>
      <t>105. (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참여청년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면담일지</t>
    </r>
    <phoneticPr fontId="9" type="noConversion"/>
  </si>
  <si>
    <r>
      <t xml:space="preserve">&lt;= * </t>
    </r>
    <r>
      <rPr>
        <b/>
        <sz val="8"/>
        <color rgb="FFFF0000"/>
        <rFont val="Arial"/>
        <family val="3"/>
        <charset val="129"/>
        <scheme val="minor"/>
      </rPr>
      <t>새로운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단위명이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올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때는</t>
    </r>
    <r>
      <rPr>
        <b/>
        <sz val="8"/>
        <color rgb="FFFF0000"/>
        <rFont val="Arial"/>
        <family val="2"/>
        <scheme val="minor"/>
      </rPr>
      <t xml:space="preserve"> row </t>
    </r>
    <r>
      <rPr>
        <b/>
        <sz val="8"/>
        <color rgb="FFFF0000"/>
        <rFont val="Arial"/>
        <family val="3"/>
        <charset val="129"/>
        <scheme val="minor"/>
      </rPr>
      <t>한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줄을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빈칸으로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둔다</t>
    </r>
    <r>
      <rPr>
        <b/>
        <sz val="8"/>
        <color rgb="FFFF0000"/>
        <rFont val="Arial"/>
        <family val="2"/>
        <scheme val="minor"/>
      </rPr>
      <t>.</t>
    </r>
    <phoneticPr fontId="9" type="noConversion"/>
  </si>
  <si>
    <r>
      <t xml:space="preserve">17. </t>
    </r>
    <r>
      <rPr>
        <sz val="14"/>
        <color rgb="FF000000"/>
        <rFont val="Arial"/>
        <family val="2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출석부</t>
    </r>
    <phoneticPr fontId="9" type="noConversion"/>
  </si>
  <si>
    <r>
      <rPr>
        <sz val="10"/>
        <color rgb="FF000000"/>
        <rFont val="맑은 고딕"/>
        <family val="3"/>
        <charset val="129"/>
      </rPr>
      <t>일경험</t>
    </r>
    <r>
      <rPr>
        <sz val="10"/>
        <color rgb="FF000000"/>
        <rFont val="Arial"/>
        <family val="3"/>
      </rPr>
      <t xml:space="preserve"> </t>
    </r>
    <r>
      <rPr>
        <sz val="10"/>
        <color rgb="FF000000"/>
        <rFont val="Arial Unicode MS"/>
        <family val="3"/>
        <charset val="129"/>
      </rPr>
      <t>중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</si>
  <si>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일경험
시작</t>
    </r>
    <phoneticPr fontId="9" type="noConversion"/>
  </si>
  <si>
    <r>
      <rPr>
        <b/>
        <u/>
        <sz val="20"/>
        <color theme="1"/>
        <rFont val="Arial"/>
        <family val="3"/>
        <charset val="129"/>
        <scheme val="minor"/>
      </rPr>
      <t>참여기업</t>
    </r>
    <r>
      <rPr>
        <b/>
        <u/>
        <sz val="20"/>
        <color theme="1"/>
        <rFont val="Arial"/>
        <family val="2"/>
        <scheme val="minor"/>
      </rPr>
      <t xml:space="preserve"> </t>
    </r>
    <r>
      <rPr>
        <b/>
        <u/>
        <sz val="20"/>
        <color theme="1"/>
        <rFont val="Arial"/>
        <family val="3"/>
        <charset val="129"/>
        <scheme val="minor"/>
      </rPr>
      <t>및</t>
    </r>
    <r>
      <rPr>
        <b/>
        <u/>
        <sz val="20"/>
        <color theme="1"/>
        <rFont val="Arial"/>
        <family val="2"/>
        <scheme val="minor"/>
      </rPr>
      <t xml:space="preserve"> </t>
    </r>
    <r>
      <rPr>
        <b/>
        <u/>
        <sz val="20"/>
        <color theme="1"/>
        <rFont val="Arial"/>
        <family val="3"/>
        <charset val="129"/>
        <scheme val="minor"/>
      </rPr>
      <t>일경험정보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</si>
  <si>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사전직무</t>
    </r>
    <phoneticPr fontId="9" type="noConversion"/>
  </si>
  <si>
    <t>[서식33] 인턴형 일경험 참여신청서
[서식40] 개인정보 활용에 관한 동의서
[서식46] 참여 청년용 확인서</t>
    <phoneticPr fontId="9" type="noConversion"/>
  </si>
  <si>
    <r>
      <rPr>
        <sz val="10"/>
        <color rgb="FF000000"/>
        <rFont val="Arial"/>
        <family val="2"/>
        <charset val="129"/>
        <scheme val="minor"/>
      </rPr>
      <t>참여청년</t>
    </r>
    <phoneticPr fontId="9" type="noConversion"/>
  </si>
  <si>
    <t>[서식12] 청년 일경험 프로그램 참여기업 신청서
[서식42] 청년 일경험 지원사업 기업 참여 의향서
[서식46] 참여기업용 확인서
[서식121] (공통-운영기관) 운영기관-참여기업 협약서</t>
    <phoneticPr fontId="9" type="noConversion"/>
  </si>
  <si>
    <r>
      <rPr>
        <sz val="10"/>
        <color rgb="FF000000"/>
        <rFont val="Arial"/>
        <family val="2"/>
        <charset val="129"/>
        <scheme val="minor"/>
      </rPr>
      <t>참여기업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</si>
  <si>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프로그램
등록</t>
    </r>
    <phoneticPr fontId="9" type="noConversion"/>
  </si>
  <si>
    <t>x</t>
  </si>
  <si>
    <t>x</t>
    <phoneticPr fontId="9" type="noConversion"/>
  </si>
  <si>
    <r>
      <rPr>
        <sz val="14"/>
        <color rgb="FF000000"/>
        <rFont val="Arial"/>
        <family val="3"/>
        <charset val="129"/>
        <scheme val="minor"/>
      </rPr>
      <t>목차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</si>
  <si>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참조시트</t>
    </r>
    <phoneticPr fontId="9" type="noConversion"/>
  </si>
  <si>
    <t>단계</t>
    <phoneticPr fontId="9" type="noConversion"/>
  </si>
  <si>
    <r>
      <rPr>
        <b/>
        <sz val="20"/>
        <color rgb="FF000000"/>
        <rFont val="Arial"/>
        <family val="2"/>
        <charset val="129"/>
        <scheme val="minor"/>
      </rPr>
      <t>표</t>
    </r>
    <r>
      <rPr>
        <b/>
        <sz val="20"/>
        <color rgb="FF000000"/>
        <rFont val="Arial"/>
        <family val="2"/>
        <scheme val="minor"/>
      </rPr>
      <t xml:space="preserve"> </t>
    </r>
    <r>
      <rPr>
        <b/>
        <sz val="20"/>
        <color rgb="FF000000"/>
        <rFont val="Arial"/>
        <family val="2"/>
        <charset val="129"/>
        <scheme val="minor"/>
      </rPr>
      <t>서식</t>
    </r>
    <r>
      <rPr>
        <b/>
        <sz val="20"/>
        <color rgb="FF000000"/>
        <rFont val="Arial"/>
        <family val="2"/>
        <scheme val="minor"/>
      </rPr>
      <t>(</t>
    </r>
    <r>
      <rPr>
        <b/>
        <sz val="20"/>
        <color rgb="FF000000"/>
        <rFont val="Arial"/>
        <family val="2"/>
        <charset val="129"/>
        <scheme val="minor"/>
      </rPr>
      <t>타입</t>
    </r>
    <r>
      <rPr>
        <b/>
        <sz val="20"/>
        <color rgb="FF000000"/>
        <rFont val="Arial"/>
        <family val="2"/>
        <scheme val="minor"/>
      </rPr>
      <t>)</t>
    </r>
    <phoneticPr fontId="9" type="noConversion"/>
  </si>
  <si>
    <r>
      <rPr>
        <u/>
        <sz val="20"/>
        <color rgb="FF000000"/>
        <rFont val="Arial"/>
        <family val="3"/>
        <charset val="129"/>
        <scheme val="minor"/>
      </rPr>
      <t>사전직무교육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공가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관리대장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</si>
  <si>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교육기관명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</si>
  <si>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운영기관명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</si>
  <si>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교육명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</si>
  <si>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교육기간</t>
    </r>
    <phoneticPr fontId="9" type="noConversion"/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</si>
  <si>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공가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관리대장</t>
    </r>
    <phoneticPr fontId="9" type="noConversion"/>
  </si>
  <si>
    <r>
      <rPr>
        <b/>
        <sz val="12"/>
        <color rgb="FF000000"/>
        <rFont val="Arial"/>
        <family val="2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공가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관리대장</t>
    </r>
    <phoneticPr fontId="9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</si>
  <si>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공가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관리대장</t>
    </r>
  </si>
  <si>
    <r>
      <rPr>
        <sz val="10"/>
        <color rgb="FF000000"/>
        <rFont val="Arial"/>
        <family val="3"/>
        <charset val="129"/>
        <scheme val="minor"/>
      </rPr>
      <t>교육기관명</t>
    </r>
  </si>
  <si>
    <r>
      <rPr>
        <sz val="10"/>
        <color rgb="FF000000"/>
        <rFont val="Arial"/>
        <family val="3"/>
        <charset val="129"/>
        <scheme val="minor"/>
      </rPr>
      <t>운영기관명</t>
    </r>
  </si>
  <si>
    <r>
      <rPr>
        <sz val="10"/>
        <color rgb="FF000000"/>
        <rFont val="Arial"/>
        <family val="3"/>
        <charset val="129"/>
        <scheme val="minor"/>
      </rPr>
      <t>교육명</t>
    </r>
  </si>
  <si>
    <r>
      <rPr>
        <sz val="10"/>
        <color rgb="FF000000"/>
        <rFont val="Arial"/>
        <family val="3"/>
        <charset val="129"/>
        <scheme val="minor"/>
      </rPr>
      <t>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기간</t>
    </r>
  </si>
  <si>
    <r>
      <rPr>
        <sz val="10"/>
        <color rgb="FF000000"/>
        <rFont val="Arial"/>
        <family val="3"/>
        <charset val="129"/>
        <scheme val="minor"/>
      </rPr>
      <t>일련</t>
    </r>
  </si>
  <si>
    <r>
      <rPr>
        <sz val="10"/>
        <color rgb="FF000000"/>
        <rFont val="Arial"/>
        <family val="3"/>
        <charset val="129"/>
        <scheme val="minor"/>
      </rPr>
      <t>공가발생일</t>
    </r>
  </si>
  <si>
    <r>
      <rPr>
        <sz val="10"/>
        <color rgb="FF000000"/>
        <rFont val="Arial"/>
        <family val="3"/>
        <charset val="129"/>
        <scheme val="minor"/>
      </rPr>
      <t>성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</si>
  <si>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유</t>
    </r>
  </si>
  <si>
    <r>
      <rPr>
        <sz val="10"/>
        <color rgb="FF000000"/>
        <rFont val="Arial"/>
        <family val="3"/>
        <charset val="129"/>
        <scheme val="minor"/>
      </rPr>
      <t>관리자</t>
    </r>
  </si>
  <si>
    <r>
      <rPr>
        <sz val="10"/>
        <color rgb="FF000000"/>
        <rFont val="Arial"/>
        <family val="3"/>
        <charset val="129"/>
        <scheme val="minor"/>
      </rPr>
      <t>번호</t>
    </r>
  </si>
  <si>
    <r>
      <rPr>
        <sz val="10"/>
        <color rgb="FF000000"/>
        <rFont val="Arial"/>
        <family val="3"/>
        <charset val="129"/>
        <scheme val="minor"/>
      </rPr>
      <t>확인</t>
    </r>
  </si>
  <si>
    <r>
      <rPr>
        <b/>
        <u/>
        <sz val="20"/>
        <color rgb="FF000000"/>
        <rFont val="Arial"/>
        <family val="3"/>
        <charset val="129"/>
        <scheme val="minor"/>
      </rPr>
      <t>공가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3"/>
        <charset val="129"/>
        <scheme val="minor"/>
      </rPr>
      <t>명단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</si>
  <si>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공가발생일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</si>
  <si>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성명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</si>
  <si>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사유</t>
    </r>
    <phoneticPr fontId="9" type="noConversion"/>
  </si>
  <si>
    <r>
      <t>[</t>
    </r>
    <r>
      <rPr>
        <u/>
        <sz val="15"/>
        <color rgb="FF000000"/>
        <rFont val="Arial"/>
        <family val="1"/>
        <charset val="129"/>
        <scheme val="minor"/>
      </rPr>
      <t>별첨</t>
    </r>
    <r>
      <rPr>
        <u/>
        <sz val="15"/>
        <color rgb="FF000000"/>
        <rFont val="Arial"/>
        <family val="2"/>
        <scheme val="minor"/>
      </rPr>
      <t xml:space="preserve">] </t>
    </r>
    <r>
      <rPr>
        <u/>
        <sz val="15"/>
        <color rgb="FF000000"/>
        <rFont val="Arial"/>
        <family val="1"/>
        <charset val="129"/>
        <scheme val="minor"/>
      </rPr>
      <t>청년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일경험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공가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인정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기준</t>
    </r>
  </si>
  <si>
    <r>
      <rPr>
        <sz val="9"/>
        <color rgb="FF000000"/>
        <rFont val="Arial"/>
        <family val="1"/>
        <charset val="129"/>
        <scheme val="minor"/>
      </rPr>
      <t>순번</t>
    </r>
  </si>
  <si>
    <r>
      <rPr>
        <sz val="9"/>
        <color rgb="FF000000"/>
        <rFont val="Arial"/>
        <family val="1"/>
        <charset val="129"/>
        <scheme val="minor"/>
      </rPr>
      <t>구분</t>
    </r>
  </si>
  <si>
    <r>
      <rPr>
        <sz val="9"/>
        <color rgb="FF000000"/>
        <rFont val="Arial"/>
        <family val="1"/>
        <charset val="129"/>
        <scheme val="minor"/>
      </rPr>
      <t>인정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내용</t>
    </r>
  </si>
  <si>
    <r>
      <rPr>
        <sz val="9"/>
        <color rgb="FF000000"/>
        <rFont val="Arial"/>
        <family val="1"/>
        <charset val="129"/>
        <scheme val="minor"/>
      </rPr>
      <t>대상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또는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내용</t>
    </r>
  </si>
  <si>
    <r>
      <rPr>
        <sz val="9"/>
        <color rgb="FF000000"/>
        <rFont val="Arial"/>
        <family val="1"/>
        <charset val="129"/>
        <scheme val="minor"/>
      </rPr>
      <t>증빙서류</t>
    </r>
  </si>
  <si>
    <r>
      <rPr>
        <sz val="9"/>
        <color rgb="FF000000"/>
        <rFont val="Arial"/>
        <family val="1"/>
        <charset val="129"/>
        <scheme val="minor"/>
      </rPr>
      <t>훈련‧시험</t>
    </r>
  </si>
  <si>
    <r>
      <rPr>
        <sz val="9"/>
        <color rgb="FF000000"/>
        <rFont val="Arial"/>
        <family val="1"/>
        <charset val="129"/>
        <scheme val="minor"/>
      </rPr>
      <t>소요일수</t>
    </r>
  </si>
  <si>
    <r>
      <rPr>
        <sz val="9"/>
        <color rgb="FF000000"/>
        <rFont val="Arial"/>
        <family val="1"/>
        <charset val="129"/>
        <scheme val="minor"/>
      </rPr>
      <t>예비군‧민방위훈련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국가시험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자격증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면허증</t>
    </r>
    <r>
      <rPr>
        <sz val="9"/>
        <color rgb="FF000000"/>
        <rFont val="Arial"/>
        <family val="2"/>
        <scheme val="minor"/>
      </rPr>
      <t xml:space="preserve">), </t>
    </r>
    <r>
      <rPr>
        <sz val="9"/>
        <color rgb="FF000000"/>
        <rFont val="Arial"/>
        <family val="1"/>
        <charset val="129"/>
        <scheme val="minor"/>
      </rPr>
      <t>취업관련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자격증취득시험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정부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지자체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공단에서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인정하는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대회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참가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</si>
  <si>
    <r>
      <rPr>
        <sz val="9"/>
        <color rgb="FF000000"/>
        <rFont val="Arial"/>
        <family val="1"/>
        <charset val="129"/>
        <scheme val="minor"/>
      </rPr>
      <t>수험표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기타</t>
    </r>
  </si>
  <si>
    <r>
      <t>(</t>
    </r>
    <r>
      <rPr>
        <sz val="9"/>
        <color rgb="FF000000"/>
        <rFont val="Arial"/>
        <family val="1"/>
        <charset val="129"/>
        <scheme val="minor"/>
      </rPr>
      <t>시간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</si>
  <si>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면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접</t>
    </r>
  </si>
  <si>
    <r>
      <rPr>
        <sz val="9"/>
        <color rgb="FF000000"/>
        <rFont val="Arial"/>
        <family val="1"/>
        <charset val="129"/>
        <scheme val="minor"/>
      </rPr>
      <t>채용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업체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면접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또는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시험</t>
    </r>
  </si>
  <si>
    <r>
      <rPr>
        <sz val="9"/>
        <color rgb="FF000000"/>
        <rFont val="Arial"/>
        <family val="1"/>
        <charset val="129"/>
        <scheme val="minor"/>
      </rPr>
      <t>면접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확인서</t>
    </r>
    <r>
      <rPr>
        <sz val="9"/>
        <color rgb="FF000000"/>
        <rFont val="Arial"/>
        <family val="2"/>
        <scheme val="minor"/>
      </rPr>
      <t>,</t>
    </r>
  </si>
  <si>
    <r>
      <rPr>
        <sz val="9"/>
        <color rgb="FF000000"/>
        <rFont val="Arial"/>
        <family val="1"/>
        <charset val="129"/>
        <scheme val="minor"/>
      </rPr>
      <t>수험표</t>
    </r>
  </si>
  <si>
    <r>
      <rPr>
        <sz val="9"/>
        <color rgb="FF000000"/>
        <rFont val="Arial"/>
        <family val="1"/>
        <charset val="129"/>
        <scheme val="minor"/>
      </rPr>
      <t>신변상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치료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</si>
  <si>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병원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입원</t>
    </r>
    <r>
      <rPr>
        <sz val="9"/>
        <color rgb="FF000000"/>
        <rFont val="Arial"/>
        <family val="2"/>
        <scheme val="minor"/>
      </rPr>
      <t>(2</t>
    </r>
    <r>
      <rPr>
        <sz val="9"/>
        <color rgb="FF000000"/>
        <rFont val="Arial"/>
        <family val="1"/>
        <charset val="129"/>
        <scheme val="minor"/>
      </rPr>
      <t>일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이상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입원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시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</si>
  <si>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>,</t>
    </r>
    <r>
      <rPr>
        <sz val="9"/>
        <color rgb="FF000000"/>
        <rFont val="Arial"/>
        <family val="1"/>
        <charset val="129"/>
        <scheme val="minor"/>
      </rPr>
      <t>진단서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</si>
  <si>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의사의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진료를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받은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사람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필수</t>
    </r>
    <r>
      <rPr>
        <sz val="9"/>
        <color rgb="FF000000"/>
        <rFont val="Arial"/>
        <family val="2"/>
        <scheme val="minor"/>
      </rPr>
      <t>)</t>
    </r>
  </si>
  <si>
    <r>
      <t>(</t>
    </r>
    <r>
      <rPr>
        <sz val="9"/>
        <color rgb="FF000000"/>
        <rFont val="Arial"/>
        <family val="1"/>
        <charset val="129"/>
        <scheme val="minor"/>
      </rPr>
      <t>약국불가</t>
    </r>
    <r>
      <rPr>
        <sz val="9"/>
        <color rgb="FF000000"/>
        <rFont val="Arial"/>
        <family val="2"/>
        <scheme val="minor"/>
      </rPr>
      <t>)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</si>
  <si>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유행성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질병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첨부자료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필수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</si>
  <si>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결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혼</t>
    </r>
  </si>
  <si>
    <r>
      <t>5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</si>
  <si>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</si>
  <si>
    <r>
      <rPr>
        <sz val="9"/>
        <color rgb="FF000000"/>
        <rFont val="Arial"/>
        <family val="1"/>
        <charset val="129"/>
        <scheme val="minor"/>
      </rPr>
      <t>계약서</t>
    </r>
  </si>
  <si>
    <r>
      <t>(</t>
    </r>
    <r>
      <rPr>
        <sz val="9"/>
        <color rgb="FF000000"/>
        <rFont val="Arial"/>
        <family val="1"/>
        <charset val="129"/>
        <scheme val="minor"/>
      </rPr>
      <t>청첩장</t>
    </r>
    <r>
      <rPr>
        <sz val="9"/>
        <color rgb="FF000000"/>
        <rFont val="Arial"/>
        <family val="2"/>
        <scheme val="minor"/>
      </rPr>
      <t>)</t>
    </r>
    <r>
      <rPr>
        <sz val="9"/>
        <color rgb="FF000000"/>
        <rFont val="Arial"/>
        <family val="1"/>
        <charset val="129"/>
        <scheme val="minor"/>
      </rPr>
      <t>등</t>
    </r>
  </si>
  <si>
    <r>
      <t>1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</si>
  <si>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자녀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형제‧자매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결혼</t>
    </r>
  </si>
  <si>
    <r>
      <rPr>
        <sz val="9"/>
        <color rgb="FF000000"/>
        <rFont val="Arial"/>
        <family val="1"/>
        <charset val="129"/>
        <scheme val="minor"/>
      </rPr>
      <t>〃</t>
    </r>
  </si>
  <si>
    <r>
      <rPr>
        <sz val="9"/>
        <color rgb="FF000000"/>
        <rFont val="Arial"/>
        <family val="1"/>
        <charset val="129"/>
        <scheme val="minor"/>
      </rPr>
      <t>사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망</t>
    </r>
  </si>
  <si>
    <r>
      <rPr>
        <sz val="9"/>
        <color rgb="FF000000"/>
        <rFont val="Arial"/>
        <family val="1"/>
        <charset val="129"/>
        <scheme val="minor"/>
      </rPr>
      <t>배우자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부모</t>
    </r>
  </si>
  <si>
    <r>
      <rPr>
        <sz val="9"/>
        <color rgb="FF000000"/>
        <rFont val="Arial"/>
        <family val="1"/>
        <charset val="129"/>
        <scheme val="minor"/>
      </rPr>
      <t>증명서</t>
    </r>
  </si>
  <si>
    <r>
      <t>3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</si>
  <si>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조부모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외조부모</t>
    </r>
  </si>
  <si>
    <r>
      <rPr>
        <sz val="9"/>
        <color rgb="FF000000"/>
        <rFont val="Arial"/>
        <family val="1"/>
        <charset val="129"/>
        <scheme val="minor"/>
      </rPr>
      <t>자녀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자녀의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</si>
  <si>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형제‧자매</t>
    </r>
  </si>
  <si>
    <r>
      <rPr>
        <sz val="9"/>
        <color rgb="FF000000"/>
        <rFont val="Arial"/>
        <family val="1"/>
        <charset val="129"/>
        <scheme val="minor"/>
      </rPr>
      <t>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산</t>
    </r>
  </si>
  <si>
    <r>
      <t>10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</si>
  <si>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</t>
    </r>
  </si>
  <si>
    <r>
      <rPr>
        <sz val="10.5"/>
        <color rgb="FF000000"/>
        <rFont val="Arial"/>
        <family val="1"/>
        <charset val="129"/>
        <scheme val="minor"/>
      </rPr>
      <t>※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법령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및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면접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병가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등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사유에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대해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관리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기준에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따라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출석으로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</t>
    </r>
    <r>
      <rPr>
        <sz val="10.5"/>
        <color rgb="FF000000"/>
        <rFont val="Arial"/>
        <family val="2"/>
        <scheme val="minor"/>
      </rPr>
      <t>(</t>
    </r>
    <r>
      <rPr>
        <sz val="10.5"/>
        <color rgb="FF000000"/>
        <rFont val="Arial"/>
        <family val="1"/>
        <charset val="129"/>
        <scheme val="minor"/>
      </rPr>
      <t>증빙서류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첨부</t>
    </r>
    <r>
      <rPr>
        <sz val="10.5"/>
        <color rgb="FF000000"/>
        <rFont val="Arial"/>
        <family val="2"/>
        <scheme val="minor"/>
      </rPr>
      <t>)</t>
    </r>
    <r>
      <rPr>
        <sz val="10.5"/>
        <color rgb="FF000000"/>
        <rFont val="Arial"/>
        <family val="1"/>
        <charset val="129"/>
        <scheme val="minor"/>
      </rPr>
      <t>하며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기업탐방형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일경험은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위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출석인정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미적용</t>
    </r>
    <r>
      <rPr>
        <sz val="10.5"/>
        <color rgb="FF000000"/>
        <rFont val="Arial"/>
        <family val="2"/>
        <scheme val="minor"/>
      </rPr>
      <t>(</t>
    </r>
    <r>
      <rPr>
        <sz val="10.5"/>
        <color rgb="FF000000"/>
        <rFont val="Arial"/>
        <family val="1"/>
        <charset val="129"/>
        <scheme val="minor"/>
      </rPr>
      <t>단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위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사유를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증빙하는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경우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해당과정은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중복횟수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산정에서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제외</t>
    </r>
    <r>
      <rPr>
        <sz val="10.5"/>
        <color rgb="FF000000"/>
        <rFont val="Arial"/>
        <family val="2"/>
        <scheme val="minor"/>
      </rPr>
      <t>)</t>
    </r>
  </si>
  <si>
    <r>
      <rPr>
        <sz val="10.5"/>
        <color rgb="FF000000"/>
        <rFont val="Arial"/>
        <family val="1"/>
        <charset val="129"/>
        <scheme val="minor"/>
      </rPr>
      <t>※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특수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상황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발생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시</t>
    </r>
    <r>
      <rPr>
        <sz val="10.5"/>
        <color rgb="FF000000"/>
        <rFont val="Arial"/>
        <family val="2"/>
        <scheme val="minor"/>
      </rPr>
      <t xml:space="preserve">(ex: </t>
    </r>
    <r>
      <rPr>
        <sz val="10.5"/>
        <color rgb="FF000000"/>
        <rFont val="Arial"/>
        <family val="1"/>
        <charset val="129"/>
        <scheme val="minor"/>
      </rPr>
      <t>천재지변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유행성질병</t>
    </r>
    <r>
      <rPr>
        <sz val="10.5"/>
        <color rgb="FF000000"/>
        <rFont val="Arial"/>
        <family val="2"/>
        <scheme val="minor"/>
      </rPr>
      <t>-</t>
    </r>
    <r>
      <rPr>
        <sz val="10.5"/>
        <color rgb="FF000000"/>
        <rFont val="Arial"/>
        <family val="1"/>
        <charset val="129"/>
        <scheme val="minor"/>
      </rPr>
      <t>코로나바이러스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등</t>
    </r>
    <r>
      <rPr>
        <sz val="10.5"/>
        <color rgb="FF000000"/>
        <rFont val="Arial"/>
        <family val="2"/>
        <scheme val="minor"/>
      </rPr>
      <t xml:space="preserve">) </t>
    </r>
    <r>
      <rPr>
        <sz val="10.5"/>
        <color rgb="FF000000"/>
        <rFont val="Arial"/>
        <family val="1"/>
        <charset val="129"/>
        <scheme val="minor"/>
      </rPr>
      <t>운영기관에서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문서로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경우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출석으로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가능</t>
    </r>
  </si>
  <si>
    <t>※출석부 결석에 있을시 작성 관련 서류 첨부 필수.          그리고 서식명 겸 값 새로 받는 것. 표기')' 넣음            104)사전직무교육 공가 관리대장</t>
    <phoneticPr fontId="9" type="noConversion"/>
  </si>
  <si>
    <t>필드</t>
    <phoneticPr fontId="9" type="noConversion"/>
  </si>
  <si>
    <t>입력</t>
    <phoneticPr fontId="9" type="noConversion"/>
  </si>
  <si>
    <r>
      <rPr>
        <b/>
        <sz val="20"/>
        <color theme="1"/>
        <rFont val="Arial"/>
        <family val="3"/>
      </rPr>
      <t>( )</t>
    </r>
    <r>
      <rPr>
        <b/>
        <sz val="20"/>
        <color theme="1"/>
        <rFont val="Malgun Gothic"/>
        <family val="3"/>
        <charset val="129"/>
      </rPr>
      <t>월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결과보고</t>
    </r>
    <r>
      <rPr>
        <b/>
        <sz val="20"/>
        <color theme="1"/>
        <rFont val="Arial"/>
        <family val="3"/>
        <charset val="129"/>
      </rPr>
      <t xml:space="preserve"> _(1)</t>
    </r>
    <phoneticPr fontId="9" type="noConversion"/>
  </si>
  <si>
    <r>
      <t>( )</t>
    </r>
    <r>
      <rPr>
        <b/>
        <sz val="12"/>
        <color theme="1"/>
        <rFont val="맑은 고딕"/>
        <family val="3"/>
        <charset val="129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편성시간</t>
    </r>
    <r>
      <rPr>
        <b/>
        <sz val="12"/>
        <color theme="1"/>
        <rFont val="Arial"/>
        <family val="2"/>
        <scheme val="minor"/>
      </rPr>
      <t>(A)</t>
    </r>
    <phoneticPr fontId="9" type="noConversion"/>
  </si>
  <si>
    <r>
      <rPr>
        <b/>
        <sz val="20"/>
        <color theme="1"/>
        <rFont val="Arial"/>
        <family val="3"/>
      </rPr>
      <t>( )</t>
    </r>
    <r>
      <rPr>
        <b/>
        <sz val="20"/>
        <color theme="1"/>
        <rFont val="Malgun Gothic"/>
        <family val="3"/>
        <charset val="129"/>
      </rPr>
      <t>월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결과보고</t>
    </r>
    <r>
      <rPr>
        <b/>
        <sz val="20"/>
        <color theme="1"/>
        <rFont val="Arial"/>
        <family val="3"/>
        <charset val="129"/>
      </rPr>
      <t xml:space="preserve"> _(2)</t>
    </r>
    <phoneticPr fontId="9" type="noConversion"/>
  </si>
  <si>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출석부</t>
    </r>
    <r>
      <rPr>
        <b/>
        <sz val="12"/>
        <color rgb="FF000000"/>
        <rFont val="Arial"/>
        <family val="2"/>
        <scheme val="minor"/>
      </rPr>
      <t xml:space="preserve"> (1/2)</t>
    </r>
    <phoneticPr fontId="9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</si>
  <si>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출석부</t>
    </r>
    <r>
      <rPr>
        <sz val="18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2"/>
        <scheme val="minor"/>
      </rPr>
      <t>(1/2)</t>
    </r>
  </si>
  <si>
    <r>
      <rPr>
        <sz val="10"/>
        <color rgb="FF000000"/>
        <rFont val="Arial"/>
        <family val="1"/>
        <charset val="129"/>
        <scheme val="minor"/>
      </rPr>
      <t>공</t>
    </r>
  </si>
  <si>
    <r>
      <rPr>
        <sz val="10"/>
        <color rgb="FF000000"/>
        <rFont val="Arial"/>
        <family val="1"/>
        <charset val="129"/>
        <scheme val="minor"/>
      </rPr>
      <t>가</t>
    </r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</si>
  <si>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출석부</t>
    </r>
    <phoneticPr fontId="9" type="noConversion"/>
  </si>
  <si>
    <r>
      <rPr>
        <sz val="9"/>
        <color rgb="FF0000FF"/>
        <rFont val="Arial"/>
        <family val="3"/>
        <charset val="129"/>
        <scheme val="minor"/>
      </rPr>
      <t>※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공가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활용시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해당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사유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확인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및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관련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증빙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첨부</t>
    </r>
    <r>
      <rPr>
        <sz val="9"/>
        <color rgb="FF0000FF"/>
        <rFont val="Arial"/>
        <family val="2"/>
        <scheme val="minor"/>
      </rPr>
      <t xml:space="preserve"> </t>
    </r>
  </si>
  <si>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출석부</t>
    </r>
    <r>
      <rPr>
        <b/>
        <sz val="12"/>
        <color rgb="FF000000"/>
        <rFont val="Arial"/>
        <family val="2"/>
        <scheme val="minor"/>
      </rPr>
      <t xml:space="preserve"> (2/2)</t>
    </r>
    <phoneticPr fontId="9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</si>
  <si>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출석부</t>
    </r>
    <r>
      <rPr>
        <sz val="18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2"/>
        <scheme val="minor"/>
      </rPr>
      <t>(2/2)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</si>
  <si>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운영기관명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</si>
  <si>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프로젝트명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</si>
  <si>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팀명및팀원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</si>
  <si>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청년요청사항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</si>
  <si>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프로젝트진행현황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</si>
  <si>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피드백내용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</si>
  <si>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참여기업명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</si>
  <si>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직급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</si>
  <si>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연락처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</si>
  <si>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이메일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</si>
  <si>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점검일</t>
    </r>
    <phoneticPr fontId="9" type="noConversion"/>
  </si>
  <si>
    <r>
      <rPr>
        <u/>
        <sz val="20"/>
        <color rgb="FF000000"/>
        <rFont val="Arial"/>
        <family val="2"/>
        <charset val="129"/>
        <scheme val="minor"/>
      </rPr>
      <t>담당자</t>
    </r>
    <phoneticPr fontId="9" type="noConversion"/>
  </si>
  <si>
    <r>
      <rPr>
        <sz val="18"/>
        <color rgb="FF000000"/>
        <rFont val="Arial"/>
        <family val="1"/>
        <charset val="129"/>
        <scheme val="minor"/>
      </rPr>
      <t>참여기업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중간점검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일지</t>
    </r>
  </si>
  <si>
    <r>
      <rPr>
        <sz val="11"/>
        <color rgb="FF000000"/>
        <rFont val="Arial"/>
        <family val="1"/>
        <charset val="129"/>
        <scheme val="minor"/>
      </rPr>
      <t>운영기관명</t>
    </r>
  </si>
  <si>
    <r>
      <rPr>
        <sz val="11"/>
        <color rgb="FF000000"/>
        <rFont val="Arial"/>
        <family val="1"/>
        <charset val="129"/>
        <scheme val="minor"/>
      </rPr>
      <t>프로젝트명</t>
    </r>
  </si>
  <si>
    <r>
      <rPr>
        <sz val="11"/>
        <color rgb="FF000000"/>
        <rFont val="Arial"/>
        <family val="1"/>
        <charset val="129"/>
        <scheme val="minor"/>
      </rPr>
      <t>팀명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및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팀원</t>
    </r>
  </si>
  <si>
    <r>
      <rPr>
        <sz val="11"/>
        <color rgb="FF000000"/>
        <rFont val="Arial"/>
        <family val="1"/>
        <charset val="129"/>
        <scheme val="minor"/>
      </rPr>
      <t>청년</t>
    </r>
  </si>
  <si>
    <r>
      <rPr>
        <sz val="11"/>
        <color rgb="FF000000"/>
        <rFont val="Arial"/>
        <family val="1"/>
        <charset val="129"/>
        <scheme val="minor"/>
      </rPr>
      <t>요청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사항</t>
    </r>
  </si>
  <si>
    <r>
      <rPr>
        <sz val="11"/>
        <color rgb="FF000000"/>
        <rFont val="Arial"/>
        <family val="1"/>
        <charset val="129"/>
        <scheme val="minor"/>
      </rPr>
      <t>프로젝트</t>
    </r>
  </si>
  <si>
    <r>
      <rPr>
        <sz val="11"/>
        <color rgb="FF000000"/>
        <rFont val="Arial"/>
        <family val="1"/>
        <charset val="129"/>
        <scheme val="minor"/>
      </rPr>
      <t>진행현황</t>
    </r>
  </si>
  <si>
    <r>
      <rPr>
        <sz val="11"/>
        <color rgb="FF000000"/>
        <rFont val="Arial"/>
        <family val="1"/>
        <charset val="129"/>
        <scheme val="minor"/>
      </rPr>
      <t>피드백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내용</t>
    </r>
  </si>
  <si>
    <r>
      <rPr>
        <sz val="11"/>
        <color rgb="FF000000"/>
        <rFont val="Arial"/>
        <family val="1"/>
        <charset val="129"/>
        <scheme val="minor"/>
      </rPr>
      <t>참여기업명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</si>
  <si>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성명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</si>
  <si>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직급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</si>
  <si>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연락처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</si>
  <si>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이메일</t>
    </r>
  </si>
  <si>
    <r>
      <rPr>
        <sz val="11"/>
        <color rgb="FF000000"/>
        <rFont val="Arial"/>
        <family val="1"/>
        <charset val="129"/>
        <scheme val="minor"/>
      </rPr>
      <t>점검일</t>
    </r>
    <r>
      <rPr>
        <sz val="11"/>
        <color rgb="FF000000"/>
        <rFont val="Arial"/>
        <family val="2"/>
        <scheme val="minor"/>
      </rPr>
      <t xml:space="preserve"> :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</si>
  <si>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확인</t>
    </r>
    <r>
      <rPr>
        <sz val="11"/>
        <color rgb="FF000000"/>
        <rFont val="Arial"/>
        <family val="2"/>
        <scheme val="minor"/>
      </rPr>
      <t xml:space="preserve"> :</t>
    </r>
  </si>
  <si>
    <r>
      <rPr>
        <b/>
        <sz val="20"/>
        <color theme="1"/>
        <rFont val="맑은 고딕"/>
        <family val="3"/>
        <charset val="129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중간점검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일지</t>
    </r>
    <r>
      <rPr>
        <b/>
        <sz val="20"/>
        <color theme="1"/>
        <rFont val="Arial"/>
        <family val="2"/>
        <scheme val="minor"/>
      </rPr>
      <t>_(1)</t>
    </r>
    <phoneticPr fontId="9" type="noConversion"/>
  </si>
  <si>
    <r>
      <rPr>
        <b/>
        <sz val="12"/>
        <rFont val="맑은 고딕"/>
        <family val="3"/>
        <charset val="129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중간점검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일지</t>
    </r>
    <r>
      <rPr>
        <b/>
        <sz val="12"/>
        <rFont val="Arial"/>
        <family val="2"/>
        <scheme val="minor"/>
      </rPr>
      <t>_(1)</t>
    </r>
    <phoneticPr fontId="9" type="noConversion"/>
  </si>
  <si>
    <r>
      <rPr>
        <b/>
        <sz val="20"/>
        <color theme="1"/>
        <rFont val="맑은 고딕"/>
        <family val="3"/>
        <charset val="129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중간점검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일지</t>
    </r>
    <r>
      <rPr>
        <b/>
        <sz val="20"/>
        <color theme="1"/>
        <rFont val="Arial"/>
        <family val="2"/>
        <scheme val="minor"/>
      </rPr>
      <t>_(2)</t>
    </r>
    <phoneticPr fontId="9" type="noConversion"/>
  </si>
  <si>
    <r>
      <rPr>
        <b/>
        <sz val="12"/>
        <rFont val="맑은 고딕"/>
        <family val="3"/>
        <charset val="129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중간점검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일지</t>
    </r>
    <r>
      <rPr>
        <b/>
        <sz val="12"/>
        <rFont val="Arial"/>
        <family val="2"/>
        <scheme val="minor"/>
      </rPr>
      <t>_(2)</t>
    </r>
    <phoneticPr fontId="9" type="noConversion"/>
  </si>
  <si>
    <t>서식명 겸 값 새로 받는 것. 표기')' 넣음            106)참여기업 중간점검 일지</t>
    <phoneticPr fontId="9" type="noConversion"/>
  </si>
  <si>
    <r>
      <rPr>
        <sz val="10"/>
        <color rgb="FF000000"/>
        <rFont val="Arial"/>
        <family val="2"/>
        <charset val="129"/>
        <scheme val="major"/>
      </rPr>
      <t>이름</t>
    </r>
    <phoneticPr fontId="9" type="noConversion"/>
  </si>
  <si>
    <r>
      <rPr>
        <sz val="10"/>
        <color rgb="FF000000"/>
        <rFont val="Arial"/>
        <family val="2"/>
        <charset val="129"/>
        <scheme val="major"/>
      </rPr>
      <t>생년월일</t>
    </r>
    <phoneticPr fontId="9" type="noConversion"/>
  </si>
  <si>
    <r>
      <rPr>
        <sz val="10"/>
        <color rgb="FF000000"/>
        <rFont val="Arial"/>
        <family val="2"/>
        <charset val="129"/>
        <scheme val="major"/>
      </rPr>
      <t>전화번호</t>
    </r>
    <phoneticPr fontId="9" type="noConversion"/>
  </si>
  <si>
    <r>
      <rPr>
        <sz val="10"/>
        <color rgb="FF000000"/>
        <rFont val="Arial"/>
        <family val="2"/>
        <charset val="129"/>
        <scheme val="major"/>
      </rPr>
      <t>성별</t>
    </r>
    <phoneticPr fontId="9" type="noConversion"/>
  </si>
  <si>
    <r>
      <rPr>
        <sz val="10"/>
        <color rgb="FF000000"/>
        <rFont val="Arial"/>
        <family val="2"/>
        <charset val="129"/>
        <scheme val="major"/>
      </rPr>
      <t>운영기관명</t>
    </r>
    <phoneticPr fontId="9" type="noConversion"/>
  </si>
  <si>
    <r>
      <rPr>
        <sz val="10"/>
        <color rgb="FF000000"/>
        <rFont val="Arial"/>
        <family val="2"/>
        <charset val="129"/>
        <scheme val="major"/>
      </rPr>
      <t>참여기업명</t>
    </r>
    <phoneticPr fontId="9" type="noConversion"/>
  </si>
  <si>
    <r>
      <rPr>
        <sz val="10"/>
        <color rgb="FF000000"/>
        <rFont val="Arial"/>
        <family val="2"/>
        <charset val="129"/>
        <scheme val="major"/>
      </rPr>
      <t>일경험직무</t>
    </r>
    <phoneticPr fontId="9" type="noConversion"/>
  </si>
  <si>
    <r>
      <rPr>
        <sz val="10"/>
        <color rgb="FF000000"/>
        <rFont val="Arial"/>
        <family val="2"/>
        <charset val="129"/>
        <scheme val="major"/>
      </rPr>
      <t>일경험기간</t>
    </r>
    <phoneticPr fontId="9" type="noConversion"/>
  </si>
  <si>
    <r>
      <t>1</t>
    </r>
    <r>
      <rPr>
        <sz val="10"/>
        <color rgb="FF000000"/>
        <rFont val="Arial"/>
        <family val="3"/>
        <charset val="129"/>
        <scheme val="major"/>
      </rPr>
      <t>주차</t>
    </r>
    <phoneticPr fontId="9" type="noConversion"/>
  </si>
  <si>
    <r>
      <t>2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</si>
  <si>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3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</si>
  <si>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4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</si>
  <si>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5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</si>
  <si>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6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</si>
  <si>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7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</si>
  <si>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8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</si>
  <si>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rPr>
        <sz val="10"/>
        <color rgb="FF000000"/>
        <rFont val="Arial"/>
        <family val="2"/>
        <charset val="129"/>
        <scheme val="major"/>
      </rPr>
      <t>일경험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결과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및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소감</t>
    </r>
    <phoneticPr fontId="9" type="noConversion"/>
  </si>
  <si>
    <r>
      <t>109. (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종합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보고서</t>
    </r>
    <phoneticPr fontId="9" type="noConversion"/>
  </si>
  <si>
    <r>
      <t>106.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중간점검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일지</t>
    </r>
    <phoneticPr fontId="9" type="noConversion"/>
  </si>
  <si>
    <r>
      <t>104.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공가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관리대장</t>
    </r>
    <phoneticPr fontId="9" type="noConversion"/>
  </si>
  <si>
    <r>
      <t>103.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출석부</t>
    </r>
    <phoneticPr fontId="9" type="noConversion"/>
  </si>
  <si>
    <r>
      <t>118. (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참여기업청년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표준계약서</t>
    </r>
    <phoneticPr fontId="9" type="noConversion"/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</si>
  <si>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프로그램명</t>
    </r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</si>
  <si>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운영기관명</t>
    </r>
  </si>
  <si>
    <t>주소</t>
  </si>
  <si>
    <r>
      <t>(</t>
    </r>
    <r>
      <rPr>
        <b/>
        <i/>
        <sz val="11"/>
        <color rgb="FFFF0000"/>
        <rFont val="Arial"/>
        <family val="2"/>
        <scheme val="minor"/>
      </rPr>
      <t>1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</si>
  <si>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r>
      <t>(</t>
    </r>
    <r>
      <rPr>
        <b/>
        <i/>
        <sz val="11"/>
        <color rgb="FFFF0000"/>
        <rFont val="Arial"/>
        <family val="2"/>
        <scheme val="minor"/>
      </rPr>
      <t>2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</si>
  <si>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r>
      <t>(</t>
    </r>
    <r>
      <rPr>
        <b/>
        <i/>
        <sz val="11"/>
        <color rgb="FFFF0000"/>
        <rFont val="Arial"/>
        <family val="2"/>
        <scheme val="minor"/>
      </rPr>
      <t>3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</si>
  <si>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t>내용</t>
    <phoneticPr fontId="9" type="noConversion"/>
  </si>
  <si>
    <t>장소</t>
    <phoneticPr fontId="9" type="noConversion"/>
  </si>
  <si>
    <t>강사</t>
    <phoneticPr fontId="9" type="noConversion"/>
  </si>
  <si>
    <r>
      <t>1</t>
    </r>
    <r>
      <rPr>
        <sz val="10"/>
        <color rgb="FF000000"/>
        <rFont val="Arial Unicode MS"/>
        <family val="2"/>
        <charset val="129"/>
      </rPr>
      <t>주차</t>
    </r>
    <phoneticPr fontId="9" type="noConversion"/>
  </si>
  <si>
    <t>화</t>
    <phoneticPr fontId="9" type="noConversion"/>
  </si>
  <si>
    <t>수</t>
    <phoneticPr fontId="9" type="noConversion"/>
  </si>
  <si>
    <t>목</t>
    <phoneticPr fontId="9" type="noConversion"/>
  </si>
  <si>
    <t>금</t>
    <phoneticPr fontId="9" type="noConversion"/>
  </si>
  <si>
    <t>주차</t>
    <phoneticPr fontId="9" type="noConversion"/>
  </si>
  <si>
    <t>요일</t>
    <phoneticPr fontId="9" type="noConversion"/>
  </si>
  <si>
    <t>2주차</t>
    <phoneticPr fontId="9" type="noConversion"/>
  </si>
  <si>
    <t>3주차</t>
    <phoneticPr fontId="9" type="noConversion"/>
  </si>
  <si>
    <t>내용15</t>
  </si>
  <si>
    <t>장소15</t>
  </si>
  <si>
    <t>강사15</t>
  </si>
  <si>
    <r>
      <rPr>
        <b/>
        <u/>
        <sz val="20"/>
        <color rgb="FF000000"/>
        <rFont val="Arial Unicode MS"/>
        <family val="2"/>
        <charset val="129"/>
      </rPr>
      <t>사전직무교육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운영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계획서</t>
    </r>
    <r>
      <rPr>
        <b/>
        <u/>
        <sz val="20"/>
        <color rgb="FF000000"/>
        <rFont val="Arial"/>
        <family val="2"/>
        <charset val="129"/>
        <scheme val="minor"/>
      </rPr>
      <t>_</t>
    </r>
    <r>
      <rPr>
        <b/>
        <u/>
        <sz val="20"/>
        <color rgb="FF000000"/>
        <rFont val="Arial Unicode MS"/>
        <family val="2"/>
        <charset val="129"/>
      </rPr>
      <t>세로</t>
    </r>
    <phoneticPr fontId="9" type="noConversion"/>
  </si>
  <si>
    <t>시간</t>
    <phoneticPr fontId="9" type="noConversion"/>
  </si>
  <si>
    <t>09:00 ~ 18:00</t>
    <phoneticPr fontId="9" type="noConversion"/>
  </si>
  <si>
    <t>20H</t>
    <phoneticPr fontId="9" type="noConversion"/>
  </si>
  <si>
    <t>내용14</t>
    <phoneticPr fontId="9" type="noConversion"/>
  </si>
  <si>
    <t>내용16</t>
  </si>
  <si>
    <t>내용17</t>
  </si>
  <si>
    <t>내용18</t>
  </si>
  <si>
    <t>내용19</t>
  </si>
  <si>
    <t>내용20</t>
  </si>
  <si>
    <t>내용21</t>
  </si>
  <si>
    <t>내용22</t>
  </si>
  <si>
    <t>내용23</t>
  </si>
  <si>
    <t>내용24</t>
  </si>
  <si>
    <t>내용25</t>
  </si>
  <si>
    <t>내용26</t>
  </si>
  <si>
    <t>내용27</t>
  </si>
  <si>
    <t>내용28</t>
  </si>
  <si>
    <t>장소14</t>
    <phoneticPr fontId="9" type="noConversion"/>
  </si>
  <si>
    <t>강사14</t>
    <phoneticPr fontId="9" type="noConversion"/>
  </si>
  <si>
    <t>장소16</t>
  </si>
  <si>
    <t>장소17</t>
  </si>
  <si>
    <t>장소18</t>
  </si>
  <si>
    <t>장소19</t>
  </si>
  <si>
    <t>장소20</t>
  </si>
  <si>
    <t>장소21</t>
  </si>
  <si>
    <t>장소22</t>
  </si>
  <si>
    <t>장소23</t>
  </si>
  <si>
    <t>장소24</t>
  </si>
  <si>
    <t>장소25</t>
  </si>
  <si>
    <t>장소26</t>
  </si>
  <si>
    <t>장소27</t>
  </si>
  <si>
    <t>장소28</t>
  </si>
  <si>
    <t>강사16</t>
  </si>
  <si>
    <t>강사17</t>
  </si>
  <si>
    <t>강사18</t>
  </si>
  <si>
    <t>강사19</t>
  </si>
  <si>
    <t>강사20</t>
  </si>
  <si>
    <t>강사21</t>
  </si>
  <si>
    <t>강사22</t>
  </si>
  <si>
    <t>강사23</t>
  </si>
  <si>
    <t>강사24</t>
  </si>
  <si>
    <t>강사25</t>
  </si>
  <si>
    <t>강사26</t>
  </si>
  <si>
    <t>강사27</t>
  </si>
  <si>
    <t>강사28</t>
  </si>
  <si>
    <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주민등록번호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</si>
  <si>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주민등록번호</t>
    </r>
    <phoneticPr fontId="9" type="noConversion"/>
  </si>
  <si>
    <r>
      <t xml:space="preserve">* </t>
    </r>
    <r>
      <rPr>
        <sz val="14"/>
        <color rgb="FFFF0000"/>
        <rFont val="굴림"/>
        <family val="2"/>
        <charset val="129"/>
      </rPr>
      <t>담당자는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프로그램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전담인력을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의미하며</t>
    </r>
    <r>
      <rPr>
        <sz val="14"/>
        <color rgb="FFFF0000"/>
        <rFont val="Arial"/>
        <family val="2"/>
        <scheme val="minor"/>
      </rPr>
      <t xml:space="preserve"> 1</t>
    </r>
    <r>
      <rPr>
        <sz val="14"/>
        <color rgb="FFFF0000"/>
        <rFont val="굴림"/>
        <family val="2"/>
        <charset val="129"/>
      </rPr>
      <t>인당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청년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참여인원</t>
    </r>
    <r>
      <rPr>
        <sz val="14"/>
        <color rgb="FFFF0000"/>
        <rFont val="Arial"/>
        <family val="2"/>
        <scheme val="minor"/>
      </rPr>
      <t xml:space="preserve"> 10</t>
    </r>
    <r>
      <rPr>
        <sz val="14"/>
        <color rgb="FFFF0000"/>
        <rFont val="굴림"/>
        <family val="2"/>
        <charset val="129"/>
      </rPr>
      <t>명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이하로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제한</t>
    </r>
    <r>
      <rPr>
        <sz val="14"/>
        <color rgb="FFFF0000"/>
        <rFont val="Arial"/>
        <family val="2"/>
        <scheme val="minor"/>
      </rPr>
      <t xml:space="preserve">
  (</t>
    </r>
    <r>
      <rPr>
        <sz val="14"/>
        <color rgb="FFFF0000"/>
        <rFont val="굴림"/>
        <family val="2"/>
        <charset val="129"/>
      </rPr>
      <t>프로그램의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참여인원이</t>
    </r>
    <r>
      <rPr>
        <sz val="14"/>
        <color rgb="FFFF0000"/>
        <rFont val="Arial"/>
        <family val="2"/>
        <scheme val="minor"/>
      </rPr>
      <t xml:space="preserve"> 10</t>
    </r>
    <r>
      <rPr>
        <sz val="14"/>
        <color rgb="FFFF0000"/>
        <rFont val="굴림"/>
        <family val="2"/>
        <charset val="129"/>
      </rPr>
      <t>명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이상인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경우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각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각의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담당자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명단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제출</t>
    </r>
    <r>
      <rPr>
        <sz val="14"/>
        <color rgb="FFFF0000"/>
        <rFont val="Arial"/>
        <family val="2"/>
        <scheme val="minor"/>
      </rPr>
      <t>)</t>
    </r>
    <phoneticPr fontId="9" type="noConversion"/>
  </si>
  <si>
    <t>기업명</t>
    <phoneticPr fontId="9" type="noConversion"/>
  </si>
  <si>
    <t>일경험기간</t>
    <phoneticPr fontId="9" type="noConversion"/>
  </si>
  <si>
    <t>직위</t>
    <phoneticPr fontId="9" type="noConversion"/>
  </si>
  <si>
    <t>참여직무</t>
    <phoneticPr fontId="9" type="noConversion"/>
  </si>
  <si>
    <t>참여청년성명</t>
    <phoneticPr fontId="9" type="noConversion"/>
  </si>
  <si>
    <t>참여청년연령</t>
    <phoneticPr fontId="9" type="noConversion"/>
  </si>
  <si>
    <t>일경험프로그램명</t>
    <phoneticPr fontId="9" type="noConversion"/>
  </si>
  <si>
    <r>
      <t>1</t>
    </r>
    <r>
      <rPr>
        <sz val="10"/>
        <color rgb="FF000000"/>
        <rFont val="굴림"/>
        <family val="3"/>
        <charset val="129"/>
      </rPr>
      <t>주차주요직무</t>
    </r>
    <phoneticPr fontId="9" type="noConversion"/>
  </si>
  <si>
    <r>
      <t>1</t>
    </r>
    <r>
      <rPr>
        <sz val="10"/>
        <color rgb="FF000000"/>
        <rFont val="굴림"/>
        <family val="3"/>
        <charset val="129"/>
      </rPr>
      <t>주차</t>
    </r>
    <r>
      <rPr>
        <sz val="10"/>
        <color rgb="FF000000"/>
        <rFont val="굴림"/>
        <family val="2"/>
        <charset val="129"/>
      </rPr>
      <t>일경험시간</t>
    </r>
    <phoneticPr fontId="9" type="noConversion"/>
  </si>
  <si>
    <r>
      <t>2주차일경험시간</t>
    </r>
    <r>
      <rPr>
        <sz val="10"/>
        <color rgb="FF000000"/>
        <rFont val="굴림"/>
        <family val="2"/>
        <charset val="129"/>
      </rPr>
      <t/>
    </r>
  </si>
  <si>
    <r>
      <t>3주차일경험시간</t>
    </r>
    <r>
      <rPr>
        <sz val="10"/>
        <color rgb="FF000000"/>
        <rFont val="굴림"/>
        <family val="2"/>
        <charset val="129"/>
      </rPr>
      <t/>
    </r>
  </si>
  <si>
    <r>
      <t>4주차일경험시간</t>
    </r>
    <r>
      <rPr>
        <sz val="10"/>
        <color rgb="FF000000"/>
        <rFont val="굴림"/>
        <family val="2"/>
        <charset val="129"/>
      </rPr>
      <t/>
    </r>
  </si>
  <si>
    <r>
      <t>2주차주요직무</t>
    </r>
    <r>
      <rPr>
        <sz val="10"/>
        <color rgb="FF000000"/>
        <rFont val="굴림"/>
        <family val="3"/>
        <charset val="129"/>
      </rPr>
      <t/>
    </r>
  </si>
  <si>
    <r>
      <t>3주차주요직무</t>
    </r>
    <r>
      <rPr>
        <sz val="10"/>
        <color rgb="FF000000"/>
        <rFont val="굴림"/>
        <family val="3"/>
        <charset val="129"/>
      </rPr>
      <t/>
    </r>
  </si>
  <si>
    <r>
      <t>4주차주요직무</t>
    </r>
    <r>
      <rPr>
        <sz val="10"/>
        <color rgb="FF000000"/>
        <rFont val="굴림"/>
        <family val="3"/>
        <charset val="129"/>
      </rPr>
      <t/>
    </r>
  </si>
  <si>
    <t>필요서식</t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</si>
  <si>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프로그램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프로젝트</t>
    </r>
    <r>
      <rPr>
        <b/>
        <sz val="13"/>
        <color theme="1"/>
        <rFont val="Arial"/>
        <family val="2"/>
        <scheme val="minor"/>
      </rPr>
      <t>)</t>
    </r>
    <r>
      <rPr>
        <b/>
        <sz val="13"/>
        <color theme="1"/>
        <rFont val="Arial"/>
        <family val="3"/>
        <charset val="129"/>
        <scheme val="minor"/>
      </rPr>
      <t>명</t>
    </r>
    <phoneticPr fontId="9" type="noConversion"/>
  </si>
  <si>
    <r>
      <t>(</t>
    </r>
    <r>
      <rPr>
        <b/>
        <sz val="20"/>
        <color theme="1"/>
        <rFont val="Arial"/>
        <family val="3"/>
        <charset val="129"/>
        <scheme val="minor"/>
      </rPr>
      <t>공통직무교육기관</t>
    </r>
    <r>
      <rPr>
        <b/>
        <sz val="20"/>
        <color theme="1"/>
        <rFont val="Arial"/>
        <family val="2"/>
        <scheme val="minor"/>
      </rPr>
      <t xml:space="preserve">) </t>
    </r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실시보고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</si>
  <si>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장소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소재지</t>
    </r>
    <r>
      <rPr>
        <b/>
        <sz val="13"/>
        <color theme="1"/>
        <rFont val="Arial"/>
        <family val="2"/>
        <scheme val="minor"/>
      </rPr>
      <t>)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</si>
  <si>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참여프로그램명</t>
    </r>
    <phoneticPr fontId="9" type="noConversion"/>
  </si>
  <si>
    <r>
      <rPr>
        <sz val="13"/>
        <color rgb="FF000000"/>
        <rFont val="Arial"/>
        <family val="2"/>
        <charset val="129"/>
        <scheme val="minor"/>
      </rPr>
      <t>사전직무교육</t>
    </r>
    <r>
      <rPr>
        <sz val="13"/>
        <color rgb="FF000000"/>
        <rFont val="Arial"/>
        <family val="2"/>
        <scheme val="minor"/>
      </rPr>
      <t xml:space="preserve"> </t>
    </r>
    <r>
      <rPr>
        <sz val="13"/>
        <color rgb="FF000000"/>
        <rFont val="Arial"/>
        <family val="2"/>
        <charset val="129"/>
        <scheme val="minor"/>
      </rPr>
      <t>실시보고</t>
    </r>
    <phoneticPr fontId="9" type="noConversion"/>
  </si>
  <si>
    <r>
      <rPr>
        <b/>
        <sz val="18"/>
        <color rgb="FF000000"/>
        <rFont val="Arial"/>
        <family val="3"/>
        <charset val="129"/>
        <scheme val="minor"/>
      </rPr>
      <t>사전직무교육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3"/>
        <charset val="129"/>
        <scheme val="minor"/>
      </rPr>
      <t>실시보고</t>
    </r>
  </si>
  <si>
    <r>
      <rPr>
        <sz val="10"/>
        <color rgb="FF000000"/>
        <rFont val="Arial"/>
        <family val="3"/>
        <charset val="129"/>
        <scheme val="minor"/>
      </rPr>
      <t>직무교육</t>
    </r>
  </si>
  <si>
    <r>
      <rPr>
        <sz val="10"/>
        <color rgb="FF000000"/>
        <rFont val="Arial"/>
        <family val="3"/>
        <charset val="129"/>
        <scheme val="minor"/>
      </rPr>
      <t>사업장명</t>
    </r>
  </si>
  <si>
    <r>
      <rPr>
        <sz val="10"/>
        <color rgb="FF000000"/>
        <rFont val="Arial"/>
        <family val="3"/>
        <charset val="129"/>
        <scheme val="minor"/>
      </rPr>
      <t>한국융합인재교육협회</t>
    </r>
  </si>
  <si>
    <r>
      <rPr>
        <sz val="10"/>
        <color rgb="FF000000"/>
        <rFont val="Arial"/>
        <family val="3"/>
        <charset val="129"/>
        <scheme val="minor"/>
      </rPr>
      <t>대표자명</t>
    </r>
  </si>
  <si>
    <r>
      <rPr>
        <sz val="10"/>
        <color rgb="FF000000"/>
        <rFont val="Arial"/>
        <family val="3"/>
        <charset val="129"/>
        <scheme val="minor"/>
      </rPr>
      <t>황승준</t>
    </r>
  </si>
  <si>
    <r>
      <rPr>
        <sz val="10"/>
        <color rgb="FF000000"/>
        <rFont val="Arial"/>
        <family val="3"/>
        <charset val="129"/>
        <scheme val="minor"/>
      </rPr>
      <t>기관정보</t>
    </r>
  </si>
  <si>
    <r>
      <rPr>
        <sz val="10"/>
        <color rgb="FF000000"/>
        <rFont val="Arial"/>
        <family val="3"/>
        <charset val="129"/>
        <scheme val="minor"/>
      </rPr>
      <t>소재지</t>
    </r>
  </si>
  <si>
    <r>
      <rPr>
        <sz val="10"/>
        <color rgb="FF000000"/>
        <rFont val="Arial"/>
        <family val="3"/>
        <charset val="129"/>
        <scheme val="minor"/>
      </rPr>
      <t>부산광역시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사상구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주례로</t>
    </r>
    <r>
      <rPr>
        <sz val="10"/>
        <color rgb="FF000000"/>
        <rFont val="Arial"/>
        <family val="2"/>
        <scheme val="minor"/>
      </rPr>
      <t>27</t>
    </r>
    <r>
      <rPr>
        <sz val="10"/>
        <color rgb="FF000000"/>
        <rFont val="Arial"/>
        <family val="3"/>
        <charset val="129"/>
        <scheme val="minor"/>
      </rPr>
      <t>번길</t>
    </r>
    <r>
      <rPr>
        <sz val="10"/>
        <color rgb="FF000000"/>
        <rFont val="Arial"/>
        <family val="2"/>
        <scheme val="minor"/>
      </rPr>
      <t xml:space="preserve"> 34, 3</t>
    </r>
    <r>
      <rPr>
        <sz val="10"/>
        <color rgb="FF000000"/>
        <rFont val="Arial"/>
        <family val="3"/>
        <charset val="129"/>
        <scheme val="minor"/>
      </rPr>
      <t>층</t>
    </r>
    <r>
      <rPr>
        <sz val="10"/>
        <color rgb="FF000000"/>
        <rFont val="Arial"/>
        <family val="2"/>
        <scheme val="minor"/>
      </rPr>
      <t xml:space="preserve"> 305</t>
    </r>
    <r>
      <rPr>
        <sz val="10"/>
        <color rgb="FF000000"/>
        <rFont val="Arial"/>
        <family val="3"/>
        <charset val="129"/>
        <scheme val="minor"/>
      </rPr>
      <t>호</t>
    </r>
  </si>
  <si>
    <r>
      <rPr>
        <sz val="10"/>
        <color rgb="FF000000"/>
        <rFont val="Arial"/>
        <family val="3"/>
        <charset val="129"/>
        <scheme val="minor"/>
      </rPr>
      <t>업종</t>
    </r>
  </si>
  <si>
    <r>
      <rPr>
        <sz val="10"/>
        <color rgb="FF000000"/>
        <rFont val="Arial"/>
        <family val="3"/>
        <charset val="129"/>
        <scheme val="minor"/>
      </rPr>
      <t>융합인재교육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및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교육용역</t>
    </r>
  </si>
  <si>
    <r>
      <rPr>
        <sz val="9"/>
        <color rgb="FF000000"/>
        <rFont val="Arial"/>
        <family val="3"/>
        <charset val="129"/>
        <scheme val="minor"/>
      </rPr>
      <t>피보험자수</t>
    </r>
  </si>
  <si>
    <r>
      <rPr>
        <sz val="10"/>
        <color rgb="FF000000"/>
        <rFont val="Arial"/>
        <family val="3"/>
        <charset val="129"/>
        <scheme val="minor"/>
      </rPr>
      <t>교육기관</t>
    </r>
  </si>
  <si>
    <r>
      <rPr>
        <sz val="10"/>
        <color rgb="FF000000"/>
        <rFont val="Arial"/>
        <family val="3"/>
        <charset val="129"/>
        <scheme val="minor"/>
      </rPr>
      <t>담당부서</t>
    </r>
  </si>
  <si>
    <r>
      <rPr>
        <sz val="10"/>
        <color rgb="FF000000"/>
        <rFont val="Arial"/>
        <family val="3"/>
        <charset val="129"/>
        <scheme val="minor"/>
      </rPr>
      <t>운영지원팀</t>
    </r>
  </si>
  <si>
    <r>
      <rPr>
        <sz val="10"/>
        <color rgb="FF000000"/>
        <rFont val="Arial"/>
        <family val="3"/>
        <charset val="129"/>
        <scheme val="minor"/>
      </rPr>
      <t>성명</t>
    </r>
  </si>
  <si>
    <r>
      <rPr>
        <sz val="10"/>
        <color rgb="FF000000"/>
        <rFont val="Arial"/>
        <family val="3"/>
        <charset val="129"/>
        <scheme val="minor"/>
      </rPr>
      <t>김민재</t>
    </r>
  </si>
  <si>
    <r>
      <rPr>
        <sz val="10"/>
        <color rgb="FF000000"/>
        <rFont val="Arial"/>
        <family val="3"/>
        <charset val="129"/>
        <scheme val="minor"/>
      </rPr>
      <t>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자</t>
    </r>
  </si>
  <si>
    <r>
      <rPr>
        <sz val="10"/>
        <color rgb="FF000000"/>
        <rFont val="Arial"/>
        <family val="3"/>
        <charset val="129"/>
        <scheme val="minor"/>
      </rPr>
      <t>전화번호</t>
    </r>
  </si>
  <si>
    <r>
      <rPr>
        <sz val="10"/>
        <color rgb="FF000000"/>
        <rFont val="Arial"/>
        <family val="3"/>
        <charset val="129"/>
        <scheme val="minor"/>
      </rPr>
      <t>이메일</t>
    </r>
  </si>
  <si>
    <r>
      <rPr>
        <sz val="10"/>
        <color rgb="FF000000"/>
        <rFont val="Arial"/>
        <family val="3"/>
        <charset val="129"/>
        <scheme val="minor"/>
      </rPr>
      <t>프로그램</t>
    </r>
  </si>
  <si>
    <r>
      <rPr>
        <sz val="10"/>
        <color rgb="FF000000"/>
        <rFont val="Arial"/>
        <family val="3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3"/>
        <charset val="129"/>
        <scheme val="minor"/>
      </rPr>
      <t>프로젝트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</si>
  <si>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직무분야</t>
    </r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</si>
  <si>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인원</t>
    </r>
  </si>
  <si>
    <r>
      <t>(</t>
    </r>
    <r>
      <rPr>
        <sz val="10"/>
        <color rgb="FF000000"/>
        <rFont val="Arial"/>
        <family val="3"/>
        <charset val="129"/>
        <scheme val="minor"/>
      </rPr>
      <t>프로젝트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</si>
  <si>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3"/>
        <charset val="129"/>
        <scheme val="minor"/>
      </rPr>
      <t>정보</t>
    </r>
  </si>
  <si>
    <r>
      <rPr>
        <sz val="10"/>
        <color rgb="FF000000"/>
        <rFont val="Arial"/>
        <family val="3"/>
        <charset val="129"/>
        <scheme val="minor"/>
      </rPr>
      <t>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</si>
  <si>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</t>
    </r>
  </si>
  <si>
    <r>
      <rPr>
        <sz val="10"/>
        <color rgb="FF000000"/>
        <rFont val="Arial"/>
        <family val="3"/>
        <charset val="129"/>
        <scheme val="minor"/>
      </rPr>
      <t>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주요내용</t>
    </r>
  </si>
  <si>
    <r>
      <rPr>
        <sz val="10"/>
        <color rgb="FF000000"/>
        <rFont val="Arial"/>
        <family val="3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 xml:space="preserve"> (</t>
    </r>
    <r>
      <rPr>
        <sz val="10"/>
        <color rgb="FF000000"/>
        <rFont val="Arial"/>
        <family val="3"/>
        <charset val="129"/>
        <scheme val="minor"/>
      </rPr>
      <t>소재지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</si>
  <si>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3"/>
        <charset val="129"/>
        <scheme val="minor"/>
      </rPr>
      <t>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부</t>
    </r>
  </si>
  <si>
    <r>
      <t>[</t>
    </r>
    <r>
      <rPr>
        <sz val="10"/>
        <color rgb="FF000000"/>
        <rFont val="Arial"/>
        <family val="3"/>
        <charset val="129"/>
        <scheme val="minor"/>
      </rPr>
      <t>별첨</t>
    </r>
    <r>
      <rPr>
        <sz val="10"/>
        <color rgb="FF000000"/>
        <rFont val="Arial"/>
        <family val="2"/>
        <scheme val="minor"/>
      </rPr>
      <t xml:space="preserve">] </t>
    </r>
    <r>
      <rPr>
        <sz val="10"/>
        <color rgb="FF000000"/>
        <rFont val="Arial"/>
        <family val="3"/>
        <charset val="129"/>
        <scheme val="minor"/>
      </rPr>
      <t>사전직무교육참여자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명단</t>
    </r>
  </si>
  <si>
    <r>
      <t>2. [</t>
    </r>
    <r>
      <rPr>
        <sz val="10"/>
        <color rgb="FF000000"/>
        <rFont val="Arial"/>
        <family val="3"/>
        <charset val="129"/>
        <scheme val="minor"/>
      </rPr>
      <t>서식</t>
    </r>
    <r>
      <rPr>
        <sz val="10"/>
        <color rgb="FF000000"/>
        <rFont val="Arial"/>
        <family val="2"/>
        <scheme val="minor"/>
      </rPr>
      <t xml:space="preserve"> 102] </t>
    </r>
    <r>
      <rPr>
        <sz val="10"/>
        <color rgb="FF000000"/>
        <rFont val="Arial"/>
        <family val="3"/>
        <charset val="129"/>
        <scheme val="minor"/>
      </rPr>
      <t>사전직무교육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운영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계획서</t>
    </r>
  </si>
  <si>
    <r>
      <rPr>
        <b/>
        <sz val="11"/>
        <color rgb="FF000000"/>
        <rFont val="Arial"/>
        <family val="3"/>
        <charset val="129"/>
        <scheme val="minor"/>
      </rPr>
      <t>위와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같이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『청년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지원사업』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직무교육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실시현황을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통보합니다</t>
    </r>
    <r>
      <rPr>
        <b/>
        <sz val="11"/>
        <color rgb="FF000000"/>
        <rFont val="Arial"/>
        <family val="2"/>
        <scheme val="minor"/>
      </rPr>
      <t xml:space="preserve">. </t>
    </r>
  </si>
  <si>
    <r>
      <rPr>
        <sz val="10"/>
        <color rgb="FF000000"/>
        <rFont val="Arial"/>
        <family val="3"/>
        <charset val="129"/>
        <scheme val="minor"/>
      </rPr>
      <t>확인자</t>
    </r>
  </si>
  <si>
    <r>
      <t>(</t>
    </r>
    <r>
      <rPr>
        <sz val="10"/>
        <color rgb="FF5D5D5D"/>
        <rFont val="Arial"/>
        <family val="3"/>
        <charset val="129"/>
        <scheme val="minor"/>
      </rPr>
      <t>서명</t>
    </r>
    <r>
      <rPr>
        <sz val="10"/>
        <color rgb="FF5D5D5D"/>
        <rFont val="Arial"/>
        <family val="2"/>
        <scheme val="minor"/>
      </rPr>
      <t xml:space="preserve"> </t>
    </r>
    <r>
      <rPr>
        <sz val="10"/>
        <color rgb="FF5D5D5D"/>
        <rFont val="Arial"/>
        <family val="3"/>
        <charset val="129"/>
        <scheme val="minor"/>
      </rPr>
      <t>또는</t>
    </r>
    <r>
      <rPr>
        <sz val="10"/>
        <color rgb="FF5D5D5D"/>
        <rFont val="Arial"/>
        <family val="2"/>
        <scheme val="minor"/>
      </rPr>
      <t xml:space="preserve"> </t>
    </r>
    <r>
      <rPr>
        <sz val="10"/>
        <color rgb="FF5D5D5D"/>
        <rFont val="Arial"/>
        <family val="3"/>
        <charset val="129"/>
        <scheme val="minor"/>
      </rPr>
      <t>인</t>
    </r>
    <r>
      <rPr>
        <sz val="10"/>
        <color rgb="FF5D5D5D"/>
        <rFont val="Arial"/>
        <family val="2"/>
        <scheme val="minor"/>
      </rPr>
      <t>)</t>
    </r>
  </si>
  <si>
    <r>
      <t>(</t>
    </r>
    <r>
      <rPr>
        <sz val="10"/>
        <color rgb="FF000000"/>
        <rFont val="Arial"/>
        <family val="3"/>
        <charset val="129"/>
        <scheme val="minor"/>
      </rPr>
      <t>대표자</t>
    </r>
    <r>
      <rPr>
        <sz val="10"/>
        <color rgb="FF000000"/>
        <rFont val="Arial"/>
        <family val="2"/>
        <scheme val="minor"/>
      </rPr>
      <t>)</t>
    </r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</si>
  <si>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통합지원센터장</t>
    </r>
  </si>
  <si>
    <r>
      <rPr>
        <sz val="11"/>
        <color rgb="FF000000"/>
        <rFont val="Arial"/>
        <family val="3"/>
        <charset val="129"/>
        <scheme val="minor"/>
      </rPr>
      <t>귀하</t>
    </r>
  </si>
  <si>
    <t>[별첨] 사전직무교육 참여자 명단</t>
  </si>
  <si>
    <t>참여 프로그램명</t>
  </si>
  <si>
    <r>
      <t>129.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수료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보고서</t>
    </r>
    <phoneticPr fontId="9" type="noConversion"/>
  </si>
  <si>
    <r>
      <t>(</t>
    </r>
    <r>
      <rPr>
        <b/>
        <sz val="20"/>
        <color theme="1"/>
        <rFont val="Arial"/>
        <family val="2"/>
        <charset val="129"/>
        <scheme val="minor"/>
      </rPr>
      <t>공통</t>
    </r>
    <r>
      <rPr>
        <b/>
        <sz val="20"/>
        <color theme="1"/>
        <rFont val="Arial"/>
        <family val="2"/>
        <scheme val="minor"/>
      </rPr>
      <t>-</t>
    </r>
    <r>
      <rPr>
        <b/>
        <sz val="20"/>
        <color theme="1"/>
        <rFont val="Arial"/>
        <family val="2"/>
        <charset val="129"/>
        <scheme val="minor"/>
      </rPr>
      <t>직무교육기관</t>
    </r>
    <r>
      <rPr>
        <b/>
        <sz val="20"/>
        <color theme="1"/>
        <rFont val="Arial"/>
        <family val="2"/>
        <scheme val="minor"/>
      </rPr>
      <t xml:space="preserve">) </t>
    </r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수료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보고서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</si>
  <si>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교육기관명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</si>
  <si>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교육기간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</si>
  <si>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대표자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</si>
  <si>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소재지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</si>
  <si>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교육장소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</si>
  <si>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일경험프로그램명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</si>
  <si>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직무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</si>
  <si>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일경험기간</t>
    </r>
    <phoneticPr fontId="9" type="noConversion"/>
  </si>
  <si>
    <r>
      <rPr>
        <b/>
        <u/>
        <sz val="20"/>
        <color rgb="FF000000"/>
        <rFont val="Arial"/>
        <family val="2"/>
        <charset val="129"/>
        <scheme val="minor"/>
      </rPr>
      <t>사전직무교육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2"/>
        <charset val="129"/>
        <scheme val="minor"/>
      </rPr>
      <t>운영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2"/>
        <charset val="129"/>
        <scheme val="minor"/>
      </rPr>
      <t>계획서</t>
    </r>
    <r>
      <rPr>
        <b/>
        <u/>
        <sz val="20"/>
        <color rgb="FF000000"/>
        <rFont val="Arial"/>
        <family val="2"/>
        <scheme val="minor"/>
      </rPr>
      <t>_</t>
    </r>
    <r>
      <rPr>
        <b/>
        <u/>
        <sz val="20"/>
        <color rgb="FF000000"/>
        <rFont val="Arial"/>
        <family val="2"/>
        <charset val="129"/>
        <scheme val="minor"/>
      </rPr>
      <t>세로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</si>
  <si>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주차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</si>
  <si>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요일</t>
    </r>
    <phoneticPr fontId="9" type="noConversion"/>
  </si>
  <si>
    <r>
      <rPr>
        <b/>
        <sz val="10"/>
        <color rgb="FF000000"/>
        <rFont val="Arial"/>
        <family val="2"/>
        <charset val="129"/>
        <scheme val="minor"/>
      </rPr>
      <t>시간</t>
    </r>
    <phoneticPr fontId="9" type="noConversion"/>
  </si>
  <si>
    <r>
      <rPr>
        <b/>
        <sz val="10"/>
        <color rgb="FF000000"/>
        <rFont val="Arial"/>
        <family val="2"/>
        <charset val="129"/>
        <scheme val="minor"/>
      </rPr>
      <t>내용</t>
    </r>
    <phoneticPr fontId="9" type="noConversion"/>
  </si>
  <si>
    <r>
      <rPr>
        <b/>
        <sz val="10"/>
        <color rgb="FF000000"/>
        <rFont val="Arial"/>
        <family val="2"/>
        <charset val="129"/>
        <scheme val="minor"/>
      </rPr>
      <t>장소</t>
    </r>
    <phoneticPr fontId="9" type="noConversion"/>
  </si>
  <si>
    <r>
      <rPr>
        <b/>
        <sz val="10"/>
        <color rgb="FF000000"/>
        <rFont val="Arial"/>
        <family val="2"/>
        <charset val="129"/>
        <scheme val="minor"/>
      </rPr>
      <t>강사</t>
    </r>
    <phoneticPr fontId="9" type="noConversion"/>
  </si>
  <si>
    <r>
      <t>1</t>
    </r>
    <r>
      <rPr>
        <sz val="10"/>
        <color rgb="FF000000"/>
        <rFont val="Arial"/>
        <family val="2"/>
        <charset val="129"/>
        <scheme val="minor"/>
      </rPr>
      <t>주차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</si>
  <si>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월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</si>
  <si>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14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</si>
  <si>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14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</si>
  <si>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14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</si>
  <si>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화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</si>
  <si>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</si>
  <si>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</si>
  <si>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</si>
  <si>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수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</si>
  <si>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</si>
  <si>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</si>
  <si>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</si>
  <si>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목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</si>
  <si>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</si>
  <si>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</si>
  <si>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</si>
  <si>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금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</si>
  <si>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18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</si>
  <si>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18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</si>
  <si>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18</t>
    </r>
  </si>
  <si>
    <r>
      <t>2</t>
    </r>
    <r>
      <rPr>
        <sz val="10"/>
        <color rgb="FF000000"/>
        <rFont val="Arial"/>
        <family val="2"/>
        <charset val="129"/>
        <scheme val="minor"/>
      </rPr>
      <t>주차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</si>
  <si>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</si>
  <si>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</si>
  <si>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</si>
  <si>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</si>
  <si>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</si>
  <si>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</si>
  <si>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</si>
  <si>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</si>
  <si>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</si>
  <si>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</si>
  <si>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</si>
  <si>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</si>
  <si>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23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</si>
  <si>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23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</si>
  <si>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23</t>
    </r>
  </si>
  <si>
    <r>
      <t>3</t>
    </r>
    <r>
      <rPr>
        <sz val="10"/>
        <color rgb="FF000000"/>
        <rFont val="Arial"/>
        <family val="2"/>
        <charset val="129"/>
        <scheme val="minor"/>
      </rPr>
      <t>주차</t>
    </r>
    <phoneticPr fontId="9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</si>
  <si>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</si>
  <si>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</si>
  <si>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</si>
  <si>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</si>
  <si>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</si>
  <si>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</si>
  <si>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</si>
  <si>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</si>
  <si>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</si>
  <si>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</si>
  <si>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</si>
  <si>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</si>
  <si>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28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</si>
  <si>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28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</si>
  <si>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28</t>
    </r>
  </si>
  <si>
    <r>
      <rPr>
        <b/>
        <sz val="12"/>
        <color theme="1"/>
        <rFont val="Arial"/>
        <family val="2"/>
        <charset val="129"/>
        <scheme val="minor"/>
      </rPr>
      <t>정원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</si>
  <si>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비고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</si>
  <si>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실시인원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</si>
  <si>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중도탈락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</si>
  <si>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수료인원</t>
    </r>
    <phoneticPr fontId="9" type="noConversion"/>
  </si>
  <si>
    <t>(40H)</t>
  </si>
  <si>
    <t>09:00~18:00</t>
  </si>
  <si>
    <r>
      <t xml:space="preserve">1. </t>
    </r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기관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</si>
  <si>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교육기관명</t>
    </r>
  </si>
  <si>
    <r>
      <rPr>
        <b/>
        <sz val="10"/>
        <color rgb="FF000000"/>
        <rFont val="Arial"/>
        <family val="3"/>
        <charset val="129"/>
        <scheme val="minor"/>
      </rPr>
      <t>대표자</t>
    </r>
  </si>
  <si>
    <r>
      <rPr>
        <b/>
        <sz val="10"/>
        <color rgb="FF000000"/>
        <rFont val="Arial"/>
        <family val="3"/>
        <charset val="129"/>
        <scheme val="minor"/>
      </rPr>
      <t>소재지</t>
    </r>
  </si>
  <si>
    <r>
      <rPr>
        <b/>
        <sz val="10"/>
        <color rgb="FF000000"/>
        <rFont val="Arial"/>
        <family val="3"/>
        <charset val="129"/>
        <scheme val="minor"/>
      </rPr>
      <t>담당자</t>
    </r>
  </si>
  <si>
    <r>
      <rPr>
        <b/>
        <sz val="10"/>
        <color rgb="FF000000"/>
        <rFont val="Arial"/>
        <family val="3"/>
        <charset val="129"/>
        <scheme val="minor"/>
      </rPr>
      <t>성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명</t>
    </r>
    <r>
      <rPr>
        <b/>
        <sz val="10"/>
        <color rgb="FF000000"/>
        <rFont val="Arial"/>
        <family val="2"/>
        <scheme val="minor"/>
      </rPr>
      <t xml:space="preserve"> </t>
    </r>
  </si>
  <si>
    <r>
      <rPr>
        <b/>
        <sz val="10"/>
        <color rgb="FF000000"/>
        <rFont val="Arial"/>
        <family val="3"/>
        <charset val="129"/>
        <scheme val="minor"/>
      </rPr>
      <t>연락처</t>
    </r>
  </si>
  <si>
    <r>
      <t xml:space="preserve">2. </t>
    </r>
    <r>
      <rPr>
        <b/>
        <sz val="12"/>
        <color rgb="FF000000"/>
        <rFont val="Arial"/>
        <family val="3"/>
        <charset val="129"/>
        <scheme val="minor"/>
      </rPr>
      <t>운영기관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</si>
  <si>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운영기관명</t>
    </r>
  </si>
  <si>
    <r>
      <rPr>
        <b/>
        <sz val="11"/>
        <color rgb="FF000000"/>
        <rFont val="Arial"/>
        <family val="3"/>
        <charset val="129"/>
        <scheme val="minor"/>
      </rPr>
      <t>대표자</t>
    </r>
  </si>
  <si>
    <r>
      <rPr>
        <b/>
        <sz val="11"/>
        <color rgb="FF000000"/>
        <rFont val="Arial"/>
        <family val="3"/>
        <charset val="129"/>
        <scheme val="minor"/>
      </rPr>
      <t>성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명</t>
    </r>
    <r>
      <rPr>
        <b/>
        <sz val="11"/>
        <color rgb="FF000000"/>
        <rFont val="Arial"/>
        <family val="2"/>
        <scheme val="minor"/>
      </rPr>
      <t xml:space="preserve"> </t>
    </r>
  </si>
  <si>
    <r>
      <rPr>
        <b/>
        <sz val="11"/>
        <color rgb="FF000000"/>
        <rFont val="Arial"/>
        <family val="3"/>
        <charset val="129"/>
        <scheme val="minor"/>
      </rPr>
      <t>연락처</t>
    </r>
  </si>
  <si>
    <r>
      <rPr>
        <b/>
        <sz val="10"/>
        <color rgb="FF000000"/>
        <rFont val="Arial"/>
        <family val="3"/>
        <charset val="129"/>
        <scheme val="minor"/>
      </rPr>
      <t>일경험</t>
    </r>
  </si>
  <si>
    <r>
      <rPr>
        <b/>
        <sz val="11"/>
        <color rgb="FF000000"/>
        <rFont val="Arial"/>
        <family val="3"/>
        <charset val="129"/>
        <scheme val="minor"/>
      </rPr>
      <t>직무</t>
    </r>
  </si>
  <si>
    <r>
      <rPr>
        <b/>
        <sz val="10"/>
        <color rgb="FF000000"/>
        <rFont val="Arial"/>
        <family val="3"/>
        <charset val="129"/>
        <scheme val="minor"/>
      </rPr>
      <t>프로그램명</t>
    </r>
  </si>
  <si>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기간</t>
    </r>
  </si>
  <si>
    <r>
      <t xml:space="preserve">3. </t>
    </r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</si>
  <si>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교육방법</t>
    </r>
  </si>
  <si>
    <r>
      <rPr>
        <sz val="10"/>
        <color rgb="FF000000"/>
        <rFont val="Arial"/>
        <family val="3"/>
        <charset val="129"/>
        <scheme val="minor"/>
      </rPr>
      <t>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오프라인</t>
    </r>
    <r>
      <rPr>
        <sz val="10"/>
        <color rgb="FF000000"/>
        <rFont val="Arial"/>
        <family val="2"/>
        <scheme val="minor"/>
      </rPr>
      <t xml:space="preserve"> </t>
    </r>
  </si>
  <si>
    <r>
      <rPr>
        <sz val="10"/>
        <color rgb="FF000000"/>
        <rFont val="Arial"/>
        <family val="3"/>
        <charset val="129"/>
        <scheme val="minor"/>
      </rPr>
      <t>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온라인</t>
    </r>
  </si>
  <si>
    <r>
      <rPr>
        <sz val="10"/>
        <color rgb="FF000000"/>
        <rFont val="Arial"/>
        <family val="3"/>
        <charset val="129"/>
        <scheme val="minor"/>
      </rPr>
      <t>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혼합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3"/>
        <charset val="129"/>
        <scheme val="minor"/>
      </rPr>
      <t>오프라인</t>
    </r>
    <r>
      <rPr>
        <sz val="10"/>
        <color rgb="FF000000"/>
        <rFont val="Arial"/>
        <family val="2"/>
        <scheme val="minor"/>
      </rPr>
      <t>+</t>
    </r>
    <r>
      <rPr>
        <sz val="10"/>
        <color rgb="FF000000"/>
        <rFont val="Arial"/>
        <family val="3"/>
        <charset val="129"/>
        <scheme val="minor"/>
      </rPr>
      <t>온라인</t>
    </r>
    <r>
      <rPr>
        <sz val="10"/>
        <color rgb="FF000000"/>
        <rFont val="Arial"/>
        <family val="2"/>
        <scheme val="minor"/>
      </rPr>
      <t>)</t>
    </r>
  </si>
  <si>
    <r>
      <rPr>
        <b/>
        <sz val="10"/>
        <color rgb="FF000000"/>
        <rFont val="Arial"/>
        <family val="3"/>
        <charset val="129"/>
        <scheme val="minor"/>
      </rPr>
      <t>교육기간</t>
    </r>
  </si>
  <si>
    <r>
      <rPr>
        <b/>
        <sz val="10"/>
        <color rgb="FF000000"/>
        <rFont val="Arial"/>
        <family val="3"/>
        <charset val="129"/>
        <scheme val="minor"/>
      </rPr>
      <t>교육정원</t>
    </r>
  </si>
  <si>
    <r>
      <rPr>
        <b/>
        <sz val="10"/>
        <color rgb="FF000000"/>
        <rFont val="Arial"/>
        <family val="3"/>
        <charset val="129"/>
        <scheme val="minor"/>
      </rPr>
      <t>교육목적</t>
    </r>
  </si>
  <si>
    <r>
      <rPr>
        <b/>
        <sz val="10"/>
        <color rgb="FF000000"/>
        <rFont val="Arial"/>
        <family val="3"/>
        <charset val="129"/>
        <scheme val="minor"/>
      </rPr>
      <t>교육장소</t>
    </r>
  </si>
  <si>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</si>
  <si>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sz val="11"/>
        <color rgb="FF000000"/>
        <rFont val="Arial"/>
        <family val="3"/>
        <charset val="129"/>
        <scheme val="minor"/>
      </rPr>
      <t>구분</t>
    </r>
  </si>
  <si>
    <r>
      <rPr>
        <b/>
        <sz val="11"/>
        <color rgb="FF000000"/>
        <rFont val="Arial"/>
        <family val="3"/>
        <charset val="129"/>
        <scheme val="minor"/>
      </rPr>
      <t>월</t>
    </r>
  </si>
  <si>
    <r>
      <rPr>
        <b/>
        <sz val="11"/>
        <color rgb="FF000000"/>
        <rFont val="Arial"/>
        <family val="3"/>
        <charset val="129"/>
        <scheme val="minor"/>
      </rPr>
      <t>화</t>
    </r>
  </si>
  <si>
    <r>
      <rPr>
        <b/>
        <sz val="11"/>
        <color rgb="FF000000"/>
        <rFont val="Arial"/>
        <family val="3"/>
        <charset val="129"/>
        <scheme val="minor"/>
      </rPr>
      <t>수</t>
    </r>
  </si>
  <si>
    <r>
      <rPr>
        <b/>
        <sz val="11"/>
        <color rgb="FF000000"/>
        <rFont val="Arial"/>
        <family val="3"/>
        <charset val="129"/>
        <scheme val="minor"/>
      </rPr>
      <t>목</t>
    </r>
  </si>
  <si>
    <r>
      <rPr>
        <b/>
        <sz val="11"/>
        <color rgb="FF000000"/>
        <rFont val="Arial"/>
        <family val="3"/>
        <charset val="129"/>
        <scheme val="minor"/>
      </rPr>
      <t>금</t>
    </r>
  </si>
  <si>
    <r>
      <t>1</t>
    </r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</si>
  <si>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sz val="11"/>
        <color rgb="FF000000"/>
        <rFont val="Arial"/>
        <family val="3"/>
        <charset val="129"/>
        <scheme val="minor"/>
      </rPr>
      <t>시간</t>
    </r>
  </si>
  <si>
    <r>
      <rPr>
        <b/>
        <sz val="11"/>
        <color rgb="FF000000"/>
        <rFont val="Arial"/>
        <family val="3"/>
        <charset val="129"/>
        <scheme val="minor"/>
      </rPr>
      <t>내용</t>
    </r>
  </si>
  <si>
    <r>
      <rPr>
        <b/>
        <sz val="11"/>
        <color rgb="FF000000"/>
        <rFont val="Arial"/>
        <family val="3"/>
        <charset val="129"/>
        <scheme val="minor"/>
      </rPr>
      <t>장소</t>
    </r>
  </si>
  <si>
    <r>
      <rPr>
        <b/>
        <sz val="11"/>
        <color rgb="FF000000"/>
        <rFont val="Arial"/>
        <family val="3"/>
        <charset val="129"/>
        <scheme val="minor"/>
      </rPr>
      <t>강사</t>
    </r>
  </si>
  <si>
    <r>
      <t>2</t>
    </r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</si>
  <si>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u/>
        <sz val="20"/>
        <color rgb="FF000000"/>
        <rFont val="Arial"/>
        <family val="3"/>
        <charset val="129"/>
        <scheme val="minor"/>
      </rPr>
      <t>사전직무</t>
    </r>
    <r>
      <rPr>
        <b/>
        <u/>
        <sz val="20"/>
        <color rgb="FF000000"/>
        <rFont val="Arial"/>
        <family val="2"/>
        <scheme val="minor"/>
      </rPr>
      <t xml:space="preserve">  </t>
    </r>
    <r>
      <rPr>
        <b/>
        <u/>
        <sz val="20"/>
        <color rgb="FF000000"/>
        <rFont val="Arial"/>
        <family val="3"/>
        <charset val="129"/>
        <scheme val="minor"/>
      </rPr>
      <t>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3"/>
        <charset val="129"/>
        <scheme val="minor"/>
      </rPr>
      <t>현황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</si>
  <si>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참여시간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</si>
  <si>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출석률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</si>
  <si>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비고</t>
    </r>
    <phoneticPr fontId="9" type="noConversion"/>
  </si>
  <si>
    <r>
      <rPr>
        <b/>
        <sz val="12"/>
        <color rgb="FF000000"/>
        <rFont val="Arial"/>
        <family val="3"/>
      </rPr>
      <t xml:space="preserve"> (</t>
    </r>
    <r>
      <rPr>
        <b/>
        <sz val="12"/>
        <color rgb="FF000000"/>
        <rFont val="Arial Unicode MS"/>
        <family val="3"/>
        <charset val="129"/>
      </rPr>
      <t>공통</t>
    </r>
    <r>
      <rPr>
        <b/>
        <sz val="12"/>
        <color rgb="FF000000"/>
        <rFont val="Arial"/>
        <family val="3"/>
      </rPr>
      <t>-</t>
    </r>
    <r>
      <rPr>
        <b/>
        <sz val="12"/>
        <color rgb="FF000000"/>
        <rFont val="Arial Unicode MS"/>
        <family val="3"/>
        <charset val="129"/>
      </rPr>
      <t>직무교육기관</t>
    </r>
    <r>
      <rPr>
        <b/>
        <sz val="12"/>
        <color rgb="FF000000"/>
        <rFont val="Arial"/>
        <family val="3"/>
      </rPr>
      <t xml:space="preserve">) </t>
    </r>
    <r>
      <rPr>
        <b/>
        <sz val="12"/>
        <color rgb="FF000000"/>
        <rFont val="Arial Unicode MS"/>
        <family val="3"/>
        <charset val="129"/>
      </rPr>
      <t>사전직무교육</t>
    </r>
    <r>
      <rPr>
        <b/>
        <sz val="12"/>
        <color rgb="FF000000"/>
        <rFont val="Arial"/>
        <family val="3"/>
      </rPr>
      <t xml:space="preserve"> </t>
    </r>
    <r>
      <rPr>
        <b/>
        <sz val="12"/>
        <color rgb="FF000000"/>
        <rFont val="Arial Unicode MS"/>
        <family val="3"/>
        <charset val="129"/>
      </rPr>
      <t>수료</t>
    </r>
    <r>
      <rPr>
        <b/>
        <sz val="12"/>
        <color rgb="FF000000"/>
        <rFont val="Arial"/>
        <family val="3"/>
      </rPr>
      <t xml:space="preserve"> </t>
    </r>
    <r>
      <rPr>
        <b/>
        <sz val="12"/>
        <color rgb="FF000000"/>
        <rFont val="Arial Unicode MS"/>
        <family val="3"/>
        <charset val="129"/>
      </rPr>
      <t>보고서</t>
    </r>
    <phoneticPr fontId="9" type="noConversion"/>
  </si>
  <si>
    <t>4. 사전직무교육 현황</t>
  </si>
  <si>
    <t>정원</t>
  </si>
  <si>
    <t>실시인원</t>
  </si>
  <si>
    <t>중도탈락</t>
  </si>
  <si>
    <t>수료인원</t>
  </si>
  <si>
    <t>번호</t>
  </si>
  <si>
    <t>참여시간</t>
  </si>
  <si>
    <t>출석률</t>
  </si>
  <si>
    <t>시트이름</t>
    <phoneticPr fontId="9" type="noConversion"/>
  </si>
  <si>
    <r>
      <rPr>
        <sz val="14"/>
        <color rgb="FF000000"/>
        <rFont val="Arial"/>
        <family val="3"/>
        <charset val="129"/>
        <scheme val="minor"/>
      </rPr>
      <t>체크리스트</t>
    </r>
    <phoneticPr fontId="9" type="noConversion"/>
  </si>
  <si>
    <t>\</t>
    <phoneticPr fontId="10" type="noConversion"/>
  </si>
  <si>
    <r>
      <t>123.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중도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포기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신청서</t>
    </r>
    <phoneticPr fontId="9" type="noConversion"/>
  </si>
  <si>
    <t>참여기업명</t>
  </si>
  <si>
    <t>다시보기용</t>
    <phoneticPr fontId="9" type="noConversion"/>
  </si>
  <si>
    <r>
      <t xml:space="preserve">12, 42, 46,121.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서류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모음</t>
    </r>
    <phoneticPr fontId="9" type="noConversion"/>
  </si>
  <si>
    <r>
      <t xml:space="preserve">46,40,33. </t>
    </r>
    <r>
      <rPr>
        <sz val="14"/>
        <color rgb="FF000000"/>
        <rFont val="맑은 고딕"/>
        <family val="3"/>
        <charset val="129"/>
      </rPr>
      <t>청년서류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모음</t>
    </r>
    <phoneticPr fontId="9" type="noConversion"/>
  </si>
  <si>
    <r>
      <rPr>
        <b/>
        <u/>
        <sz val="20"/>
        <color rgb="FF000000"/>
        <rFont val="맑은 고딕"/>
        <family val="3"/>
        <charset val="129"/>
      </rPr>
      <t>시트</t>
    </r>
    <r>
      <rPr>
        <b/>
        <u/>
        <sz val="20"/>
        <color rgb="FF000000"/>
        <rFont val="Arial"/>
        <family val="2"/>
        <scheme val="major"/>
      </rPr>
      <t xml:space="preserve"> </t>
    </r>
    <r>
      <rPr>
        <b/>
        <u/>
        <sz val="20"/>
        <color rgb="FF000000"/>
        <rFont val="맑은 고딕"/>
        <family val="3"/>
        <charset val="129"/>
      </rPr>
      <t>정보</t>
    </r>
    <phoneticPr fontId="9" type="noConversion"/>
  </si>
  <si>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정보</t>
    </r>
    <phoneticPr fontId="9" type="noConversion"/>
  </si>
  <si>
    <r>
      <t xml:space="preserve">102.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운영계획서</t>
    </r>
    <phoneticPr fontId="9" type="noConversion"/>
  </si>
  <si>
    <r>
      <t xml:space="preserve">108.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운영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계획서</t>
    </r>
    <phoneticPr fontId="9" type="noConversion"/>
  </si>
  <si>
    <r>
      <t>125. (</t>
    </r>
    <r>
      <rPr>
        <sz val="14"/>
        <color rgb="FF000000"/>
        <rFont val="맑은 고딕"/>
        <family val="3"/>
        <charset val="129"/>
      </rPr>
      <t>공통직무교육기관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실시보고</t>
    </r>
    <phoneticPr fontId="9" type="noConversion"/>
  </si>
  <si>
    <r>
      <t xml:space="preserve">34.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실시보고</t>
    </r>
    <phoneticPr fontId="9" type="noConversion"/>
  </si>
  <si>
    <r>
      <t>134-2. (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멘토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결과보고서</t>
    </r>
    <phoneticPr fontId="9" type="noConversion"/>
  </si>
  <si>
    <r>
      <t xml:space="preserve">13.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지원금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지급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신청서</t>
    </r>
    <phoneticPr fontId="9" type="noConversion"/>
  </si>
  <si>
    <r>
      <t>35. ()</t>
    </r>
    <r>
      <rPr>
        <sz val="14"/>
        <color rgb="FF000000"/>
        <rFont val="맑은 고딕"/>
        <family val="3"/>
        <charset val="129"/>
      </rPr>
      <t>월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결과보고</t>
    </r>
    <phoneticPr fontId="9" type="noConversion"/>
  </si>
  <si>
    <r>
      <t xml:space="preserve">36.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실시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결과보고</t>
    </r>
    <phoneticPr fontId="9" type="noConversion"/>
  </si>
  <si>
    <t>청년 일경험 프로그램 참여 신청서</t>
  </si>
  <si>
    <t>1. 사업장 현황</t>
  </si>
  <si>
    <t>사 업 장 명</t>
  </si>
  <si>
    <t>대 표 자 명</t>
  </si>
  <si>
    <t>사업자등록번호(법인번호)</t>
  </si>
  <si>
    <t>고용보험사업장관리번호</t>
  </si>
  <si>
    <t>주된업종</t>
  </si>
  <si>
    <t>고용보험피보험자수</t>
  </si>
  <si>
    <r>
      <t>[</t>
    </r>
    <r>
      <rPr>
        <i/>
        <sz val="12"/>
        <color rgb="FFFF0000"/>
        <rFont val="KoPub돋움체 Light"/>
        <family val="3"/>
        <charset val="129"/>
      </rPr>
      <t>중소기업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 xml:space="preserve">] 󰊱 중소기업 </t>
    </r>
  </si>
  <si>
    <t>□신기술·신성장유망기업 □강소기업·청년친화강소기업</t>
  </si>
  <si>
    <t>□우수벤처기업</t>
  </si>
  <si>
    <t>□사회적기업 □기타 중소기업</t>
  </si>
  <si>
    <r>
      <t xml:space="preserve">[ </t>
    </r>
    <r>
      <rPr>
        <i/>
        <sz val="12"/>
        <color rgb="FFFF0000"/>
        <rFont val="KoPub돋움체 Light"/>
        <family val="3"/>
        <charset val="129"/>
      </rPr>
      <t>중견기업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 xml:space="preserve">] 󰊲 중견기업 </t>
    </r>
  </si>
  <si>
    <r>
      <t xml:space="preserve">[ </t>
    </r>
    <r>
      <rPr>
        <i/>
        <sz val="12"/>
        <color rgb="FFFF0000"/>
        <rFont val="KoPub돋움체 Light"/>
        <family val="3"/>
        <charset val="129"/>
      </rPr>
      <t>대기업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 xml:space="preserve">] 󰊳 대기업 </t>
    </r>
  </si>
  <si>
    <r>
      <t xml:space="preserve">[ </t>
    </r>
    <r>
      <rPr>
        <i/>
        <sz val="12"/>
        <color rgb="FFFF0000"/>
        <rFont val="KoPub돋움체 Light"/>
        <family val="3"/>
        <charset val="129"/>
      </rPr>
      <t>기타</t>
    </r>
    <r>
      <rPr>
        <sz val="12"/>
        <color rgb="FF000000"/>
        <rFont val="KoPub돋움체 Light"/>
        <family val="3"/>
        <charset val="129"/>
      </rPr>
      <t>] 󰊴 기타(비영리 법인 등)</t>
    </r>
  </si>
  <si>
    <t>회사소개및주요사업</t>
  </si>
  <si>
    <t xml:space="preserve">3. 운 영 계 획 </t>
  </si>
  <si>
    <t xml:space="preserve">일경험 유형 </t>
  </si>
  <si>
    <t xml:space="preserve">□ 프로젝트형 ■ 인턴형 </t>
  </si>
  <si>
    <t>일경험 기간</t>
  </si>
  <si>
    <t>(참여자 기준)</t>
  </si>
  <si>
    <r>
      <t>■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>인턴형 [2]개월</t>
    </r>
  </si>
  <si>
    <t>수행업무(직무)</t>
  </si>
  <si>
    <t>광고마케팅</t>
  </si>
  <si>
    <t>참여자 자격요건</t>
  </si>
  <si>
    <t>(해당업무가 별도 자격 등 필요한 경우)</t>
  </si>
  <si>
    <r>
      <t>■ 없음, □ 있음[</t>
    </r>
    <r>
      <rPr>
        <i/>
        <sz val="12"/>
        <color rgb="FF000000"/>
        <rFont val="Arial"/>
        <family val="2"/>
        <scheme val="minor"/>
      </rPr>
      <t xml:space="preserve"> </t>
    </r>
    <r>
      <rPr>
        <i/>
        <sz val="12"/>
        <color rgb="FF000000"/>
        <rFont val="KoPub돋움체 Light"/>
        <family val="3"/>
        <charset val="129"/>
      </rPr>
      <t xml:space="preserve">자격내용 </t>
    </r>
    <r>
      <rPr>
        <sz val="12"/>
        <color rgb="FF000000"/>
        <rFont val="KoPub돋움체 Light"/>
        <family val="3"/>
        <charset val="129"/>
      </rPr>
      <t>]</t>
    </r>
  </si>
  <si>
    <t xml:space="preserve">󰡔청년 일경험 프로그램󰡕 사업 참여를 위와 같이 신청합니다. </t>
  </si>
  <si>
    <t>0000년00월00일</t>
  </si>
  <si>
    <t>한국무선인터넷솔루션협회</t>
  </si>
  <si>
    <t>1. 참여자격 확인 서류</t>
  </si>
  <si>
    <t>(사업자등록증 또는 고유번호증, 강소기업 확인서 등)</t>
  </si>
  <si>
    <r>
      <rPr>
        <sz val="10"/>
        <color rgb="FF000000"/>
        <rFont val="Arial Unicode MS"/>
        <family val="2"/>
        <charset val="129"/>
      </rPr>
      <t>서식12. 청년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일경험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프로그램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참여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신청서</t>
    </r>
    <phoneticPr fontId="9" type="noConversion"/>
  </si>
  <si>
    <t>청년 일경험 지원사업</t>
  </si>
  <si>
    <t>기업 참여 의향서</t>
  </si>
  <si>
    <t>참여 기업명</t>
  </si>
  <si>
    <t>참여 프로그램</t>
  </si>
  <si>
    <t>참여프로그램</t>
  </si>
  <si>
    <t>부 서</t>
  </si>
  <si>
    <t>담당자부서</t>
  </si>
  <si>
    <t>직 위</t>
  </si>
  <si>
    <t>성 명</t>
  </si>
  <si>
    <t>담당자연락처</t>
  </si>
  <si>
    <t xml:space="preserve">당사는 위와 같이 청년 일경험 지원사업의 참여기업으로 참여할 </t>
  </si>
  <si>
    <t>의사가 있음을 확인합니다.</t>
  </si>
  <si>
    <t>2024년 8 월 1 일</t>
  </si>
  <si>
    <r>
      <t>확인자 ㈜0000 홍 길 동</t>
    </r>
    <r>
      <rPr>
        <sz val="13.6"/>
        <color rgb="FF000000"/>
        <rFont val="Arial"/>
        <family val="2"/>
        <scheme val="minor"/>
      </rPr>
      <t xml:space="preserve"> </t>
    </r>
    <r>
      <rPr>
        <sz val="13.6"/>
        <color rgb="FF000000"/>
        <rFont val="HY견명조"/>
        <family val="1"/>
        <charset val="129"/>
      </rPr>
      <t>(인)</t>
    </r>
  </si>
  <si>
    <r>
      <t>한국무선인터넷솔루션협회 운영기관장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HY견명조"/>
        <family val="1"/>
        <charset val="129"/>
      </rPr>
      <t>귀하</t>
    </r>
  </si>
  <si>
    <r>
      <rPr>
        <sz val="10"/>
        <color rgb="FF000000"/>
        <rFont val="Arial Unicode MS"/>
        <family val="2"/>
        <charset val="129"/>
      </rPr>
      <t>서식42. 청년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일경험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지원사업</t>
    </r>
    <r>
      <rPr>
        <sz val="10"/>
        <color rgb="FF000000"/>
        <rFont val="Arial"/>
        <family val="2"/>
        <charset val="129"/>
      </rPr>
      <t xml:space="preserve"> </t>
    </r>
    <r>
      <rPr>
        <sz val="10"/>
        <color rgb="FF000000"/>
        <rFont val="Arial Unicode MS"/>
        <family val="2"/>
        <charset val="129"/>
      </rPr>
      <t>기업 참여 의향서</t>
    </r>
    <phoneticPr fontId="9" type="noConversion"/>
  </si>
  <si>
    <r>
      <t>&lt;</t>
    </r>
    <r>
      <rPr>
        <sz val="10"/>
        <color rgb="FF000000"/>
        <rFont val="HY견고딕"/>
        <family val="1"/>
        <charset val="129"/>
      </rPr>
      <t>참여기업용</t>
    </r>
    <r>
      <rPr>
        <sz val="10"/>
        <color rgb="FF000000"/>
        <rFont val="Arial"/>
        <family val="2"/>
        <scheme val="minor"/>
      </rPr>
      <t>&gt;</t>
    </r>
  </si>
  <si>
    <t>확 인 서</t>
  </si>
  <si>
    <t>※ [ ]에는 해당되는 곳에 √표를 합니다.</t>
  </si>
  <si>
    <t>■ 신청기업 개요</t>
  </si>
  <si>
    <t>■ 확인내용</t>
  </si>
  <si>
    <r>
      <t>확인사항</t>
    </r>
    <r>
      <rPr>
        <sz val="8"/>
        <color rgb="FF000000"/>
        <rFont val="Arial"/>
        <family val="2"/>
        <scheme val="minor"/>
      </rPr>
      <t xml:space="preserve"> </t>
    </r>
  </si>
  <si>
    <t>① 참여 신청 직전 월말 기준 고용보험 피보험자수 10인 미만 기업</t>
  </si>
  <si>
    <t>［ ］예 ［ ］아니오</t>
  </si>
  <si>
    <t>①-1.「벤처기업육성에 관한 특별조치법」에 따른 벤처기업,「기술혁신형 중소기업 제도 운영규정」,「경영혁신형 중소기업 제도 운영규정」에 따른 경영혁신형 및 기술혁신형 중소기업, 「사회적기업 육성법」에 따른 사회적 기업</t>
  </si>
  <si>
    <t>* 10민 미만 기업 참여 가능</t>
  </si>
  <si>
    <t>② 소비･향락업 등에 해당하는 업종</t>
  </si>
  <si>
    <r>
      <t xml:space="preserve">※ </t>
    </r>
    <r>
      <rPr>
        <sz val="9"/>
        <color rgb="FF000000"/>
        <rFont val="돋움체"/>
        <family val="3"/>
        <charset val="129"/>
      </rPr>
      <t>「중소기업 인력지원 특별법」 제3조 및 시행령 제2조,｢청소년보호법｣ 제2조제5호,</t>
    </r>
  </si>
  <si>
    <r>
      <t>｢풍속영업의 규제에 관한 법률｣ 제2조, ｢사해행위 등 규제 및 처벌 특례법｣ 제2조에 해당하는 업종</t>
    </r>
    <r>
      <rPr>
        <sz val="9"/>
        <color rgb="FF000000"/>
        <rFont val="Arial"/>
        <family val="2"/>
        <scheme val="minor"/>
      </rPr>
      <t xml:space="preserve"> </t>
    </r>
  </si>
  <si>
    <t xml:space="preserve">ex) 단란주점업, 유흥주점업, 노래연습장업, 비디오감상실업, 게임제공업, 무도장운영업, </t>
  </si>
  <si>
    <t>목욕장업, 숙박업, 복권발행업, 기타 갬블링 및 베팅업 등</t>
  </si>
  <si>
    <t>③ 임시 및 일용 인력 공급업 또는 근로자 파견업에 해당하는 사업</t>
  </si>
  <si>
    <t>④「근로기준법」제43조의2에 따라, 임금 등을 체불하여 명단이 공표된 사업장(사업주)</t>
  </si>
  <si>
    <t>※ 확인방법: 고용노동부 홈페이지 → 정보공개 → 체불사업주 명단 공개</t>
  </si>
  <si>
    <t>⑤「산업안전보건법」제10조에 따라, 중대재해 발생 등으로 명단이 공표된 사업장(사업주)</t>
  </si>
  <si>
    <t xml:space="preserve">※ 확인방법: 고용노동부 홈페이지 → 정보공개 → 사전정보공표목록 → 산재예방/산재보상 </t>
  </si>
  <si>
    <t>→ 사업장의 산업재해 발생 건수 등 공표</t>
  </si>
  <si>
    <t>⑥「초․중등교육법」 및 「고등교육법」에 따른 학교</t>
  </si>
  <si>
    <r>
      <t xml:space="preserve">⑦ 직장 내 괴롭힘과 관련하여 </t>
    </r>
    <r>
      <rPr>
        <sz val="9"/>
        <color rgb="FF000000"/>
        <rFont val="한양중고딕"/>
        <family val="3"/>
        <charset val="129"/>
      </rPr>
      <t>’</t>
    </r>
    <r>
      <rPr>
        <sz val="9"/>
        <color rgb="FF000000"/>
        <rFont val="돋움체"/>
        <family val="3"/>
        <charset val="129"/>
      </rPr>
      <t>21~22년 기간 중 과태료 처분을 받은 사업장(사업주)</t>
    </r>
  </si>
  <si>
    <r>
      <t>⑧ 청년일경험지원사업 참여기간 중 참여 제한사유 발생 시 즉시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돋움체"/>
        <family val="3"/>
        <charset val="129"/>
      </rPr>
      <t xml:space="preserve">운영기관에 이 사실을 고지할 것을 확인합니다. </t>
    </r>
  </si>
  <si>
    <t>［］예 ［ ］아니오</t>
  </si>
  <si>
    <r>
      <t>▶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돋움체"/>
        <family val="3"/>
        <charset val="129"/>
      </rPr>
      <t>(유의사항)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돋움체"/>
        <family val="3"/>
        <charset val="129"/>
      </rPr>
      <t>사업주(대표자)의 배우자, 직계존속, 비속에 해당하는 자의 일경험 참여 제한 ［］확인</t>
    </r>
  </si>
  <si>
    <t>본인은 위의 내용을 충분히 이해하였으며, 거짓 기타 부정한 방법으로 지원금을 지급받거나 지급받고자 한 자의 경우에는 지원금 반환명령, 약정해지, 재참여 제한 등의 불이익 조치를 받을 수 있음을 확인합니다.</t>
  </si>
  <si>
    <r>
      <t xml:space="preserve">［ </t>
    </r>
    <r>
      <rPr>
        <sz val="9"/>
        <color rgb="FF000000"/>
        <rFont val="돋움체"/>
        <family val="3"/>
        <charset val="129"/>
      </rPr>
      <t>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돋움체"/>
        <family val="3"/>
        <charset val="129"/>
      </rPr>
      <t>］예 ［ ］아니오</t>
    </r>
  </si>
  <si>
    <t>2024년 0 월 00 일</t>
  </si>
  <si>
    <r>
      <t xml:space="preserve">한국무선인터넷솔루션협회 운영기관 </t>
    </r>
    <r>
      <rPr>
        <sz val="10"/>
        <color rgb="FF000000"/>
        <rFont val="돋움체"/>
        <family val="3"/>
        <charset val="129"/>
      </rPr>
      <t>귀중</t>
    </r>
  </si>
  <si>
    <t>참여기업용 확인서</t>
    <phoneticPr fontId="9" type="noConversion"/>
  </si>
  <si>
    <r>
      <t>(</t>
    </r>
    <r>
      <rPr>
        <b/>
        <sz val="20"/>
        <color theme="1"/>
        <rFont val="Arial"/>
        <family val="2"/>
        <charset val="129"/>
        <scheme val="minor"/>
      </rPr>
      <t>공통</t>
    </r>
    <r>
      <rPr>
        <b/>
        <sz val="20"/>
        <color theme="1"/>
        <rFont val="Arial"/>
        <family val="2"/>
        <scheme val="minor"/>
      </rPr>
      <t>-</t>
    </r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)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중도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포기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신청서</t>
    </r>
    <phoneticPr fontId="9" type="noConversion"/>
  </si>
  <si>
    <r>
      <rPr>
        <b/>
        <sz val="12"/>
        <color rgb="FF000000"/>
        <rFont val="Arial"/>
        <family val="2"/>
        <charset val="129"/>
        <scheme val="minor"/>
      </rPr>
      <t>청년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중도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포기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신청서</t>
    </r>
    <phoneticPr fontId="9" type="noConversion"/>
  </si>
  <si>
    <r>
      <rPr>
        <b/>
        <sz val="18"/>
        <color rgb="FF000000"/>
        <rFont val="Arial"/>
        <family val="1"/>
        <charset val="129"/>
        <scheme val="minor"/>
      </rPr>
      <t>청년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일경험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중도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포기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신청서</t>
    </r>
  </si>
  <si>
    <r>
      <rPr>
        <b/>
        <sz val="12"/>
        <color theme="1"/>
        <rFont val="Arial"/>
        <family val="2"/>
        <charset val="129"/>
        <scheme val="minor"/>
      </rPr>
      <t>이름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</si>
  <si>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생년월일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</si>
  <si>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전화번호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</si>
  <si>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성별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</si>
  <si>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참여기업명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</si>
  <si>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중도포기일자</t>
    </r>
    <phoneticPr fontId="9" type="noConversion"/>
  </si>
  <si>
    <r>
      <rPr>
        <b/>
        <sz val="13"/>
        <color theme="1"/>
        <rFont val="Arial"/>
        <family val="3"/>
        <charset val="129"/>
        <scheme val="minor"/>
      </rPr>
      <t>포기사유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</si>
  <si>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신청일</t>
    </r>
    <phoneticPr fontId="9" type="noConversion"/>
  </si>
  <si>
    <r>
      <rPr>
        <sz val="11"/>
        <rFont val="Arial"/>
        <family val="1"/>
        <charset val="129"/>
        <scheme val="minor"/>
      </rPr>
      <t>이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름</t>
    </r>
  </si>
  <si>
    <r>
      <rPr>
        <sz val="11"/>
        <rFont val="Arial"/>
        <family val="1"/>
        <charset val="129"/>
        <scheme val="minor"/>
      </rPr>
      <t>생년월일</t>
    </r>
  </si>
  <si>
    <r>
      <rPr>
        <sz val="11"/>
        <rFont val="Arial"/>
        <family val="1"/>
        <charset val="129"/>
        <scheme val="minor"/>
      </rPr>
      <t>전화번호</t>
    </r>
  </si>
  <si>
    <r>
      <rPr>
        <sz val="11"/>
        <rFont val="Arial"/>
        <family val="1"/>
        <charset val="129"/>
        <scheme val="minor"/>
      </rPr>
      <t>성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별</t>
    </r>
  </si>
  <si>
    <r>
      <rPr>
        <sz val="11"/>
        <rFont val="Arial"/>
        <family val="1"/>
        <charset val="129"/>
        <scheme val="minor"/>
      </rPr>
      <t>운영기관명</t>
    </r>
  </si>
  <si>
    <r>
      <t>(</t>
    </r>
    <r>
      <rPr>
        <sz val="11"/>
        <rFont val="Arial"/>
        <family val="1"/>
        <charset val="129"/>
        <scheme val="minor"/>
      </rPr>
      <t>직무교육기관</t>
    </r>
    <r>
      <rPr>
        <sz val="11"/>
        <rFont val="Arial"/>
        <family val="2"/>
        <scheme val="minor"/>
      </rPr>
      <t>)</t>
    </r>
  </si>
  <si>
    <r>
      <rPr>
        <sz val="11"/>
        <rFont val="Arial"/>
        <family val="1"/>
        <charset val="129"/>
        <scheme val="minor"/>
      </rPr>
      <t>프로그램명</t>
    </r>
  </si>
  <si>
    <r>
      <rPr>
        <sz val="11"/>
        <rFont val="Arial"/>
        <family val="1"/>
        <charset val="129"/>
        <scheme val="minor"/>
      </rPr>
      <t>참여기업명</t>
    </r>
  </si>
  <si>
    <r>
      <t>(</t>
    </r>
    <r>
      <rPr>
        <sz val="11"/>
        <rFont val="Arial"/>
        <family val="1"/>
        <charset val="129"/>
        <scheme val="minor"/>
      </rPr>
      <t>해당시</t>
    </r>
    <r>
      <rPr>
        <sz val="11"/>
        <rFont val="Arial"/>
        <family val="2"/>
        <scheme val="minor"/>
      </rPr>
      <t>)</t>
    </r>
  </si>
  <si>
    <r>
      <rPr>
        <sz val="11"/>
        <rFont val="Arial"/>
        <family val="1"/>
        <charset val="129"/>
        <scheme val="minor"/>
      </rPr>
      <t>중도포기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일자</t>
    </r>
  </si>
  <si>
    <r>
      <rPr>
        <sz val="11"/>
        <rFont val="Arial"/>
        <family val="1"/>
        <charset val="129"/>
        <scheme val="minor"/>
      </rPr>
      <t>포기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사유</t>
    </r>
  </si>
  <si>
    <r>
      <rPr>
        <sz val="11"/>
        <rFont val="Arial"/>
        <family val="1"/>
        <charset val="129"/>
        <scheme val="minor"/>
      </rPr>
      <t>상기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본인은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상기의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사유로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인하여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중도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포기하고자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합니다</t>
    </r>
    <r>
      <rPr>
        <sz val="11"/>
        <rFont val="Arial"/>
        <family val="2"/>
        <scheme val="minor"/>
      </rPr>
      <t>.</t>
    </r>
  </si>
  <si>
    <r>
      <rPr>
        <sz val="11"/>
        <rFont val="Arial"/>
        <family val="1"/>
        <charset val="129"/>
        <scheme val="minor"/>
      </rPr>
      <t>신청일</t>
    </r>
  </si>
  <si>
    <r>
      <rPr>
        <sz val="11"/>
        <rFont val="Arial"/>
        <family val="1"/>
        <charset val="129"/>
        <scheme val="minor"/>
      </rPr>
      <t>신청자</t>
    </r>
    <r>
      <rPr>
        <sz val="11"/>
        <rFont val="Arial"/>
        <family val="2"/>
        <scheme val="minor"/>
      </rPr>
      <t xml:space="preserve"> :</t>
    </r>
  </si>
  <si>
    <r>
      <rPr>
        <b/>
        <sz val="16"/>
        <rFont val="Arial"/>
        <family val="1"/>
        <charset val="129"/>
        <scheme val="minor"/>
      </rPr>
      <t>한국무선인터넷솔루션협회</t>
    </r>
    <r>
      <rPr>
        <b/>
        <sz val="16"/>
        <rFont val="Arial"/>
        <family val="2"/>
        <scheme val="minor"/>
      </rPr>
      <t xml:space="preserve"> </t>
    </r>
    <r>
      <rPr>
        <b/>
        <sz val="16"/>
        <rFont val="Arial"/>
        <family val="1"/>
        <charset val="129"/>
        <scheme val="minor"/>
      </rPr>
      <t>기관장</t>
    </r>
    <r>
      <rPr>
        <b/>
        <sz val="16"/>
        <rFont val="Arial"/>
        <family val="2"/>
        <scheme val="minor"/>
      </rPr>
      <t xml:space="preserve"> </t>
    </r>
    <r>
      <rPr>
        <b/>
        <sz val="16"/>
        <rFont val="Arial"/>
        <family val="1"/>
        <charset val="129"/>
        <scheme val="minor"/>
      </rPr>
      <t>귀하</t>
    </r>
    <phoneticPr fontId="9" type="noConversion"/>
  </si>
  <si>
    <t>이화여자대학교</t>
    <phoneticPr fontId="9" type="noConversion"/>
  </si>
  <si>
    <t>대학교_2년제</t>
    <phoneticPr fontId="9" type="noConversion"/>
  </si>
  <si>
    <t>광고 마케팅</t>
  </si>
  <si>
    <t>광고 마케팅</t>
    <phoneticPr fontId="9" type="noConversion"/>
  </si>
  <si>
    <t>교육명</t>
    <phoneticPr fontId="9" type="noConversion"/>
  </si>
  <si>
    <t>교육기관명</t>
    <phoneticPr fontId="9" type="noConversion"/>
  </si>
  <si>
    <t>교육인원</t>
    <phoneticPr fontId="9" type="noConversion"/>
  </si>
  <si>
    <t>한국융합인재교육협회</t>
    <phoneticPr fontId="9" type="noConversion"/>
  </si>
  <si>
    <t>총시수</t>
    <phoneticPr fontId="9" type="noConversion"/>
  </si>
  <si>
    <t>2024.12.23~2024.12.27</t>
    <phoneticPr fontId="9" type="noConversion"/>
  </si>
  <si>
    <r>
      <rPr>
        <b/>
        <sz val="12"/>
        <color theme="1"/>
        <rFont val="Arial Unicode MS"/>
        <family val="2"/>
        <charset val="129"/>
      </rPr>
      <t>교육장소</t>
    </r>
    <r>
      <rPr>
        <b/>
        <sz val="12"/>
        <color theme="1"/>
        <rFont val="Arial"/>
        <family val="2"/>
      </rPr>
      <t>_</t>
    </r>
    <r>
      <rPr>
        <b/>
        <sz val="12"/>
        <color theme="1"/>
        <rFont val="Arial Unicode MS"/>
        <family val="2"/>
        <charset val="129"/>
      </rPr>
      <t>주소</t>
    </r>
    <phoneticPr fontId="9" type="noConversion"/>
  </si>
  <si>
    <r>
      <rPr>
        <sz val="12"/>
        <color theme="1"/>
        <rFont val="Arial Unicode MS"/>
        <family val="2"/>
        <charset val="129"/>
      </rPr>
      <t>부산광역시</t>
    </r>
    <r>
      <rPr>
        <sz val="12"/>
        <color theme="1"/>
        <rFont val="Arial"/>
        <family val="2"/>
      </rPr>
      <t xml:space="preserve"> </t>
    </r>
    <r>
      <rPr>
        <sz val="12"/>
        <color theme="1"/>
        <rFont val="Arial Unicode MS"/>
        <family val="2"/>
        <charset val="129"/>
      </rPr>
      <t>연제구 24</t>
    </r>
    <phoneticPr fontId="9" type="noConversion"/>
  </si>
  <si>
    <t>IT  분야 일경험 프로그램 수행을 위해 필수적인 기초 소양 배양</t>
  </si>
  <si>
    <t>미래내일일경험 광고 마케팅</t>
    <phoneticPr fontId="9" type="noConversion"/>
  </si>
  <si>
    <t>한국무선인터넷솔루션협회</t>
    <phoneticPr fontId="9" type="noConversion"/>
  </si>
  <si>
    <r>
      <rPr>
        <u/>
        <sz val="20"/>
        <color rgb="FF000000"/>
        <rFont val="맑은 고딕"/>
        <family val="3"/>
        <charset val="129"/>
      </rPr>
      <t>사전직무</t>
    </r>
    <r>
      <rPr>
        <u/>
        <sz val="20"/>
        <color rgb="FF000000"/>
        <rFont val="Arial"/>
        <family val="2"/>
        <scheme val="major"/>
      </rPr>
      <t xml:space="preserve"> 
</t>
    </r>
    <r>
      <rPr>
        <u/>
        <sz val="20"/>
        <color rgb="FF000000"/>
        <rFont val="맑은 고딕"/>
        <family val="3"/>
        <charset val="129"/>
      </rPr>
      <t>운영</t>
    </r>
    <r>
      <rPr>
        <u/>
        <sz val="20"/>
        <color rgb="FF000000"/>
        <rFont val="Arial"/>
        <family val="2"/>
        <scheme val="major"/>
      </rPr>
      <t xml:space="preserve"> </t>
    </r>
    <r>
      <rPr>
        <u/>
        <sz val="20"/>
        <color rgb="FF000000"/>
        <rFont val="맑은 고딕"/>
        <family val="3"/>
        <charset val="129"/>
      </rPr>
      <t>계획서</t>
    </r>
    <phoneticPr fontId="9" type="noConversion"/>
  </si>
  <si>
    <r>
      <rPr>
        <sz val="10"/>
        <rFont val="Arial"/>
        <family val="1"/>
        <charset val="129"/>
        <scheme val="minor"/>
      </rPr>
      <t>명</t>
    </r>
  </si>
  <si>
    <r>
      <rPr>
        <sz val="10"/>
        <rFont val="Arial"/>
        <family val="1"/>
        <charset val="129"/>
        <scheme val="minor"/>
      </rPr>
      <t>교육방법</t>
    </r>
  </si>
  <si>
    <r>
      <rPr>
        <sz val="10"/>
        <rFont val="Arial"/>
        <family val="1"/>
        <charset val="129"/>
        <scheme val="minor"/>
      </rPr>
      <t>순번</t>
    </r>
  </si>
  <si>
    <r>
      <rPr>
        <sz val="10"/>
        <rFont val="Arial"/>
        <family val="1"/>
        <charset val="129"/>
        <scheme val="minor"/>
      </rPr>
      <t>날짜</t>
    </r>
  </si>
  <si>
    <r>
      <rPr>
        <sz val="10"/>
        <rFont val="Arial"/>
        <family val="1"/>
        <charset val="129"/>
        <scheme val="minor"/>
      </rPr>
      <t>출</t>
    </r>
  </si>
  <si>
    <r>
      <rPr>
        <sz val="10"/>
        <rFont val="Arial"/>
        <family val="1"/>
        <charset val="129"/>
        <scheme val="minor"/>
      </rPr>
      <t>결</t>
    </r>
  </si>
  <si>
    <r>
      <rPr>
        <sz val="10"/>
        <rFont val="Arial"/>
        <family val="1"/>
        <charset val="129"/>
        <scheme val="minor"/>
      </rPr>
      <t>지</t>
    </r>
  </si>
  <si>
    <r>
      <rPr>
        <sz val="10"/>
        <rFont val="Arial"/>
        <family val="1"/>
        <charset val="129"/>
        <scheme val="minor"/>
      </rPr>
      <t>조</t>
    </r>
  </si>
  <si>
    <r>
      <rPr>
        <sz val="10"/>
        <rFont val="Arial"/>
        <family val="1"/>
        <charset val="129"/>
        <scheme val="minor"/>
      </rPr>
      <t>강의시간</t>
    </r>
  </si>
  <si>
    <r>
      <rPr>
        <sz val="10"/>
        <rFont val="Arial"/>
        <family val="1"/>
        <charset val="129"/>
        <scheme val="minor"/>
      </rPr>
      <t>시작시간</t>
    </r>
  </si>
  <si>
    <r>
      <rPr>
        <sz val="10"/>
        <rFont val="Arial"/>
        <family val="1"/>
        <charset val="129"/>
        <scheme val="minor"/>
      </rPr>
      <t>종료시간</t>
    </r>
  </si>
  <si>
    <r>
      <rPr>
        <sz val="10"/>
        <rFont val="Arial"/>
        <family val="1"/>
        <charset val="129"/>
        <scheme val="minor"/>
      </rPr>
      <t>석</t>
    </r>
  </si>
  <si>
    <r>
      <rPr>
        <sz val="10"/>
        <rFont val="Arial"/>
        <family val="1"/>
        <charset val="129"/>
        <scheme val="minor"/>
      </rPr>
      <t>각</t>
    </r>
  </si>
  <si>
    <r>
      <rPr>
        <sz val="10"/>
        <rFont val="Arial"/>
        <family val="1"/>
        <charset val="129"/>
        <scheme val="minor"/>
      </rPr>
      <t>퇴</t>
    </r>
  </si>
  <si>
    <r>
      <rPr>
        <sz val="8"/>
        <rFont val="Arial"/>
        <family val="1"/>
        <charset val="129"/>
        <scheme val="minor"/>
      </rPr>
      <t>※강사수기작성</t>
    </r>
  </si>
  <si>
    <r>
      <rPr>
        <sz val="10"/>
        <rFont val="Arial"/>
        <family val="1"/>
        <charset val="129"/>
        <scheme val="minor"/>
      </rPr>
      <t>운영기관명</t>
    </r>
  </si>
  <si>
    <r>
      <rPr>
        <sz val="10"/>
        <rFont val="Arial"/>
        <family val="1"/>
        <charset val="129"/>
        <scheme val="minor"/>
      </rPr>
      <t>교육기관명</t>
    </r>
  </si>
  <si>
    <r>
      <rPr>
        <sz val="10"/>
        <rFont val="Arial"/>
        <family val="1"/>
        <charset val="129"/>
        <scheme val="minor"/>
      </rPr>
      <t>교육명</t>
    </r>
  </si>
  <si>
    <r>
      <rPr>
        <sz val="10"/>
        <rFont val="Arial"/>
        <family val="1"/>
        <charset val="129"/>
        <scheme val="minor"/>
      </rPr>
      <t>교육기간</t>
    </r>
  </si>
  <si>
    <r>
      <rPr>
        <sz val="10"/>
        <rFont val="Arial"/>
        <family val="1"/>
        <charset val="129"/>
        <scheme val="minor"/>
      </rPr>
      <t>교육인원</t>
    </r>
  </si>
  <si>
    <r>
      <rPr>
        <u/>
        <sz val="20"/>
        <color rgb="FF000000"/>
        <rFont val="Arial"/>
        <family val="2"/>
        <charset val="129"/>
        <scheme val="minor"/>
      </rPr>
      <t>사전직무</t>
    </r>
    <r>
      <rPr>
        <u/>
        <sz val="20"/>
        <color rgb="FF000000"/>
        <rFont val="Arial"/>
        <family val="2"/>
        <scheme val="minor"/>
      </rPr>
      <t xml:space="preserve"> </t>
    </r>
    <phoneticPr fontId="9" type="noConversion"/>
  </si>
  <si>
    <t>교육시간</t>
    <phoneticPr fontId="9" type="noConversion"/>
  </si>
  <si>
    <t>총 시수</t>
    <phoneticPr fontId="9" type="noConversion"/>
  </si>
  <si>
    <t>출석부</t>
    <phoneticPr fontId="9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</si>
  <si>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</t>
    </r>
    <r>
      <rPr>
        <b/>
        <sz val="20"/>
        <color theme="1"/>
        <rFont val="Arial"/>
        <family val="2"/>
      </rPr>
      <t>1</t>
    </r>
    <phoneticPr fontId="9" type="noConversion"/>
  </si>
  <si>
    <r>
      <rPr>
        <u/>
        <sz val="10"/>
        <color rgb="FF000000"/>
        <rFont val="맑은 고딕"/>
        <family val="3"/>
        <charset val="129"/>
      </rPr>
      <t>가로정렬</t>
    </r>
    <r>
      <rPr>
        <u/>
        <sz val="10"/>
        <color rgb="FF000000"/>
        <rFont val="Arial"/>
        <family val="2"/>
        <scheme val="minor"/>
      </rPr>
      <t xml:space="preserve"> : </t>
    </r>
    <r>
      <rPr>
        <u/>
        <sz val="10"/>
        <color rgb="FF000000"/>
        <rFont val="Arial Unicode MS"/>
        <family val="2"/>
        <charset val="129"/>
      </rPr>
      <t>문서가 한장일때</t>
    </r>
    <phoneticPr fontId="9" type="noConversion"/>
  </si>
  <si>
    <r>
      <rPr>
        <u/>
        <sz val="10"/>
        <color rgb="FF000000"/>
        <rFont val="맑은 고딕"/>
        <family val="3"/>
        <charset val="129"/>
      </rPr>
      <t>세로정렬</t>
    </r>
    <r>
      <rPr>
        <u/>
        <sz val="10"/>
        <color rgb="FF000000"/>
        <rFont val="Arial"/>
        <family val="2"/>
        <scheme val="minor"/>
      </rPr>
      <t xml:space="preserve"> : </t>
    </r>
    <r>
      <rPr>
        <u/>
        <sz val="10"/>
        <color rgb="FF000000"/>
        <rFont val="Arial Unicode MS"/>
        <family val="2"/>
        <charset val="129"/>
      </rPr>
      <t>문서가 두장 일때</t>
    </r>
    <phoneticPr fontId="9" type="noConversion"/>
  </si>
  <si>
    <r>
      <rPr>
        <u/>
        <sz val="10"/>
        <color rgb="FF000000"/>
        <rFont val="Arial"/>
        <family val="3"/>
        <charset val="129"/>
        <scheme val="minor"/>
      </rPr>
      <t>한</t>
    </r>
    <r>
      <rPr>
        <u/>
        <sz val="10"/>
        <color rgb="FF000000"/>
        <rFont val="Arial"/>
        <family val="2"/>
        <scheme val="minor"/>
      </rPr>
      <t xml:space="preserve"> </t>
    </r>
    <r>
      <rPr>
        <u/>
        <sz val="10"/>
        <color rgb="FF000000"/>
        <rFont val="Arial"/>
        <family val="3"/>
        <charset val="129"/>
        <scheme val="minor"/>
      </rPr>
      <t>줄</t>
    </r>
    <r>
      <rPr>
        <u/>
        <sz val="10"/>
        <color rgb="FF000000"/>
        <rFont val="Arial"/>
        <family val="2"/>
        <scheme val="minor"/>
      </rPr>
      <t xml:space="preserve"> </t>
    </r>
    <r>
      <rPr>
        <u/>
        <sz val="10"/>
        <color rgb="FF000000"/>
        <rFont val="Arial"/>
        <family val="3"/>
        <charset val="129"/>
        <scheme val="minor"/>
      </rPr>
      <t>띄우기</t>
    </r>
    <phoneticPr fontId="9" type="noConversion"/>
  </si>
  <si>
    <t>1주차</t>
    <phoneticPr fontId="9" type="noConversion"/>
  </si>
  <si>
    <r>
      <t>2</t>
    </r>
    <r>
      <rPr>
        <sz val="10"/>
        <color rgb="FF000000"/>
        <rFont val="Arial Unicode MS"/>
        <family val="2"/>
        <charset val="129"/>
      </rPr>
      <t>주차</t>
    </r>
    <phoneticPr fontId="9" type="noConversion"/>
  </si>
  <si>
    <t>2024.12.23</t>
    <phoneticPr fontId="9" type="noConversion"/>
  </si>
  <si>
    <t>교육시작날짜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</si>
</sst>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&quot;월&quot;\ d&quot;일&quot;"/>
    <numFmt numFmtId="177" formatCode="0_);[Red]\(0\)"/>
    <numFmt numFmtId="178" formatCode="yyyy&quot;년&quot;\ m&quot;월&quot;\ d&quot;일&quot;;@"/>
    <numFmt numFmtId="179" formatCode="m&quot;월&quot;\ d&quot;일&quot;;@"/>
  </numFmts>
  <fonts count="297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1"/>
      <color theme="1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Arial Unicode MS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  <charset val="129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8"/>
      <color rgb="FF000000"/>
      <name val="휴먼명조"/>
      <charset val="129"/>
    </font>
    <font>
      <b/>
      <sz val="12"/>
      <color rgb="FF000000"/>
      <name val="휴먼명조"/>
      <charset val="129"/>
    </font>
    <font>
      <b/>
      <sz val="10"/>
      <color rgb="FF000000"/>
      <name val="휴먼명조"/>
      <charset val="129"/>
    </font>
    <font>
      <i/>
      <sz val="10"/>
      <color rgb="FFFF0000"/>
      <name val="휴먼명조"/>
      <charset val="129"/>
    </font>
    <font>
      <i/>
      <sz val="9"/>
      <color rgb="FFFF0000"/>
      <name val="KoPubWorld돋움체 Light"/>
      <family val="3"/>
      <charset val="129"/>
    </font>
    <font>
      <sz val="10"/>
      <color rgb="FF000000"/>
      <name val="휴먼명조"/>
      <charset val="129"/>
    </font>
    <font>
      <sz val="6"/>
      <color rgb="FF000000"/>
      <name val="Arial"/>
      <family val="2"/>
      <scheme val="minor"/>
    </font>
    <font>
      <i/>
      <sz val="11"/>
      <color rgb="FFFF0000"/>
      <name val="KoPubWorld바탕체 Light"/>
      <family val="3"/>
      <charset val="129"/>
    </font>
    <font>
      <sz val="10"/>
      <color rgb="FF000000"/>
      <name val="굴림"/>
      <family val="3"/>
      <charset val="129"/>
    </font>
    <font>
      <i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i/>
      <sz val="10"/>
      <color rgb="FFFF0000"/>
      <name val="함초롬바탕"/>
      <family val="1"/>
      <charset val="129"/>
    </font>
    <font>
      <i/>
      <sz val="10"/>
      <color rgb="FFFF0000"/>
      <name val="Arial"/>
      <family val="2"/>
      <scheme val="minor"/>
    </font>
    <font>
      <sz val="12"/>
      <color theme="1"/>
      <name val="Arial"/>
      <family val="3"/>
      <charset val="129"/>
      <scheme val="minor"/>
    </font>
    <font>
      <sz val="7"/>
      <name val="Arial"/>
      <family val="2"/>
      <scheme val="minor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charset val="129"/>
      <scheme val="minor"/>
    </font>
    <font>
      <b/>
      <sz val="12"/>
      <color rgb="FF000000"/>
      <name val="Arial"/>
      <family val="2"/>
      <scheme val="minor"/>
    </font>
    <font>
      <u val="double"/>
      <sz val="20"/>
      <color rgb="FF000000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3"/>
      <color theme="1"/>
      <name val="Arial"/>
      <family val="3"/>
      <charset val="129"/>
      <scheme val="minor"/>
    </font>
    <font>
      <b/>
      <sz val="13"/>
      <color theme="1"/>
      <name val="Arial"/>
      <family val="2"/>
      <charset val="129"/>
      <scheme val="minor"/>
    </font>
    <font>
      <u/>
      <sz val="20"/>
      <color rgb="FF000000"/>
      <name val="Arial"/>
      <family val="2"/>
      <scheme val="minor"/>
    </font>
    <font>
      <u/>
      <sz val="20"/>
      <color rgb="FF000000"/>
      <name val="Arial"/>
      <family val="2"/>
      <charset val="129"/>
      <scheme val="minor"/>
    </font>
    <font>
      <sz val="10"/>
      <color rgb="FFFF0000"/>
      <name val="Arial"/>
      <family val="3"/>
      <charset val="129"/>
      <scheme val="minor"/>
    </font>
    <font>
      <b/>
      <sz val="12"/>
      <name val="Arial"/>
      <family val="2"/>
      <scheme val="minor"/>
    </font>
    <font>
      <sz val="12"/>
      <name val="Arial"/>
      <family val="2"/>
      <scheme val="minor"/>
    </font>
    <font>
      <vertAlign val="superscript"/>
      <sz val="12"/>
      <name val="Arial"/>
      <family val="2"/>
      <scheme val="minor"/>
    </font>
    <font>
      <b/>
      <vertAlign val="superscript"/>
      <sz val="12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i/>
      <u/>
      <sz val="11"/>
      <color rgb="FFFF0000"/>
      <name val="Arial"/>
      <family val="2"/>
      <scheme val="minor"/>
    </font>
    <font>
      <b/>
      <i/>
      <u/>
      <sz val="11"/>
      <color rgb="FFFF0000"/>
      <name val="Arial"/>
      <family val="3"/>
      <charset val="129"/>
      <scheme val="minor"/>
    </font>
    <font>
      <sz val="14"/>
      <color rgb="FF000000"/>
      <name val="Arial"/>
      <family val="2"/>
      <scheme val="minor"/>
    </font>
    <font>
      <sz val="14"/>
      <color rgb="FF000000"/>
      <name val="Arial"/>
      <family val="3"/>
      <charset val="129"/>
      <scheme val="minor"/>
    </font>
    <font>
      <b/>
      <u/>
      <sz val="15"/>
      <color rgb="FF000000"/>
      <name val="Arial"/>
      <family val="2"/>
      <scheme val="minor"/>
    </font>
    <font>
      <b/>
      <u/>
      <sz val="15"/>
      <color rgb="FF000000"/>
      <name val="Arial"/>
      <family val="3"/>
      <charset val="129"/>
      <scheme val="minor"/>
    </font>
    <font>
      <b/>
      <i/>
      <sz val="10"/>
      <color rgb="FFFF0000"/>
      <name val="Arial"/>
      <family val="2"/>
      <scheme val="minor"/>
    </font>
    <font>
      <sz val="14"/>
      <color rgb="FF000000"/>
      <name val="Arial"/>
      <family val="2"/>
      <charset val="129"/>
      <scheme val="minor"/>
    </font>
    <font>
      <b/>
      <u/>
      <sz val="20"/>
      <color rgb="FF000000"/>
      <name val="Arial"/>
      <family val="2"/>
      <scheme val="minor"/>
    </font>
    <font>
      <b/>
      <u/>
      <sz val="20"/>
      <color rgb="FF000000"/>
      <name val="Arial"/>
      <family val="3"/>
      <charset val="129"/>
      <scheme val="minor"/>
    </font>
    <font>
      <sz val="12"/>
      <color theme="1"/>
      <name val="Arial"/>
      <family val="2"/>
      <charset val="129"/>
      <scheme val="minor"/>
    </font>
    <font>
      <u/>
      <sz val="20"/>
      <color rgb="FF000000"/>
      <name val="Arial"/>
      <family val="3"/>
      <charset val="129"/>
      <scheme val="minor"/>
    </font>
    <font>
      <b/>
      <sz val="14"/>
      <color rgb="FF000000"/>
      <name val="Arial"/>
      <family val="2"/>
      <scheme val="minor"/>
    </font>
    <font>
      <b/>
      <sz val="14"/>
      <color rgb="FF000000"/>
      <name val="Arial"/>
      <family val="3"/>
      <charset val="129"/>
      <scheme val="minor"/>
    </font>
    <font>
      <sz val="10"/>
      <color rgb="FF000000"/>
      <name val="Arial"/>
      <family val="1"/>
      <charset val="129"/>
      <scheme val="minor"/>
    </font>
    <font>
      <sz val="7"/>
      <color rgb="FF000000"/>
      <name val="Arial"/>
      <family val="2"/>
      <scheme val="minor"/>
    </font>
    <font>
      <sz val="7"/>
      <color rgb="FF000000"/>
      <name val="Arial"/>
      <family val="3"/>
      <charset val="129"/>
      <scheme val="minor"/>
    </font>
    <font>
      <sz val="9"/>
      <color rgb="FFFF0000"/>
      <name val="Arial"/>
      <family val="2"/>
      <scheme val="minor"/>
    </font>
    <font>
      <sz val="9"/>
      <color rgb="FFFF0000"/>
      <name val="Arial"/>
      <family val="1"/>
      <charset val="129"/>
      <scheme val="minor"/>
    </font>
    <font>
      <sz val="9"/>
      <color rgb="FF5D5D5D"/>
      <name val="Arial"/>
      <family val="2"/>
      <scheme val="minor"/>
    </font>
    <font>
      <sz val="9"/>
      <color rgb="FF5D5D5D"/>
      <name val="Arial"/>
      <family val="3"/>
      <charset val="129"/>
      <scheme val="minor"/>
    </font>
    <font>
      <b/>
      <sz val="12"/>
      <name val="Arial"/>
      <family val="3"/>
      <charset val="129"/>
      <scheme val="minor"/>
    </font>
    <font>
      <sz val="12"/>
      <color rgb="FFFF0000"/>
      <name val="Arial"/>
      <family val="2"/>
      <scheme val="minor"/>
    </font>
    <font>
      <sz val="12"/>
      <color rgb="FFFF0000"/>
      <name val="Arial"/>
      <family val="2"/>
      <charset val="129"/>
      <scheme val="minor"/>
    </font>
    <font>
      <sz val="12"/>
      <color rgb="FFFF0000"/>
      <name val="Arial"/>
      <family val="3"/>
      <charset val="129"/>
      <scheme val="minor"/>
    </font>
    <font>
      <u/>
      <sz val="12"/>
      <name val="Arial"/>
      <family val="2"/>
      <scheme val="minor"/>
    </font>
    <font>
      <b/>
      <sz val="20"/>
      <color rgb="FF000000"/>
      <name val="Arial"/>
      <family val="2"/>
      <scheme val="minor"/>
    </font>
    <font>
      <b/>
      <sz val="12"/>
      <color rgb="FF000000"/>
      <name val="Arial Unicode MS"/>
      <family val="2"/>
      <charset val="129"/>
    </font>
    <font>
      <b/>
      <sz val="14"/>
      <color rgb="FF000000"/>
      <name val="Arial"/>
      <family val="2"/>
      <charset val="129"/>
      <scheme val="minor"/>
    </font>
    <font>
      <b/>
      <sz val="20"/>
      <color theme="1"/>
      <name val="맑은 고딕"/>
      <family val="3"/>
      <charset val="129"/>
    </font>
    <font>
      <b/>
      <sz val="20"/>
      <color theme="1"/>
      <name val="Arial Unicode MS"/>
      <family val="2"/>
      <charset val="129"/>
    </font>
    <font>
      <b/>
      <sz val="13"/>
      <color theme="1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3"/>
      <name val="Arial"/>
      <family val="3"/>
      <charset val="129"/>
      <scheme val="minor"/>
    </font>
    <font>
      <b/>
      <sz val="13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3"/>
      <color theme="1"/>
      <name val="Arial Unicode MS"/>
      <family val="2"/>
      <charset val="129"/>
    </font>
    <font>
      <sz val="9"/>
      <color rgb="FFFF0000"/>
      <name val="맑은 고딕"/>
      <family val="3"/>
      <charset val="129"/>
    </font>
    <font>
      <b/>
      <sz val="14"/>
      <color theme="1"/>
      <name val="Arial"/>
      <family val="2"/>
      <charset val="129"/>
      <scheme val="minor"/>
    </font>
    <font>
      <b/>
      <sz val="18"/>
      <color rgb="FF000000"/>
      <name val="맑은 고딕"/>
      <family val="3"/>
      <charset val="129"/>
    </font>
    <font>
      <sz val="5"/>
      <color rgb="FF000000"/>
      <name val="Arial"/>
      <family val="2"/>
      <scheme val="minor"/>
    </font>
    <font>
      <sz val="12"/>
      <color rgb="FF000000"/>
      <name val="맑은 고딕"/>
      <family val="3"/>
      <charset val="129"/>
    </font>
    <font>
      <i/>
      <sz val="11"/>
      <color rgb="FFFF0000"/>
      <name val="함초롬바탕"/>
      <family val="1"/>
      <charset val="129"/>
    </font>
    <font>
      <i/>
      <sz val="11"/>
      <color rgb="FFFF0000"/>
      <name val="Arial"/>
      <family val="2"/>
      <scheme val="minor"/>
    </font>
    <font>
      <sz val="11"/>
      <color rgb="FF000000"/>
      <name val="함초롬바탕"/>
      <family val="1"/>
      <charset val="129"/>
    </font>
    <font>
      <b/>
      <sz val="11"/>
      <color rgb="FF000000"/>
      <name val="맑은 고딕"/>
      <family val="3"/>
      <charset val="129"/>
    </font>
    <font>
      <b/>
      <sz val="11"/>
      <color rgb="FF000000"/>
      <name val="Arial"/>
      <family val="2"/>
      <scheme val="minor"/>
    </font>
    <font>
      <sz val="14"/>
      <color rgb="FF000000"/>
      <name val="맑은 고딕"/>
      <family val="3"/>
      <charset val="129"/>
    </font>
    <font>
      <sz val="11"/>
      <color rgb="FF006100"/>
      <name val="Arial"/>
      <family val="2"/>
      <charset val="129"/>
      <scheme val="minor"/>
    </font>
    <font>
      <b/>
      <i/>
      <sz val="10"/>
      <color rgb="FFFF0000"/>
      <name val="Arial"/>
      <family val="3"/>
      <charset val="129"/>
      <scheme val="minor"/>
    </font>
    <font>
      <b/>
      <i/>
      <sz val="10"/>
      <color rgb="FFFF0000"/>
      <name val="맑은 고딕"/>
      <family val="3"/>
      <charset val="129"/>
    </font>
    <font>
      <sz val="12"/>
      <color rgb="FF000000"/>
      <name val="맑은 고딕"/>
      <family val="2"/>
      <charset val="129"/>
    </font>
    <font>
      <sz val="12"/>
      <color rgb="FF006100"/>
      <name val="Arial"/>
      <family val="2"/>
      <charset val="129"/>
      <scheme val="minor"/>
    </font>
    <font>
      <sz val="12"/>
      <color rgb="FF006100"/>
      <name val="Arial"/>
      <family val="2"/>
      <scheme val="minor"/>
    </font>
    <font>
      <b/>
      <u/>
      <sz val="15"/>
      <color rgb="FF000000"/>
      <name val="맑은 고딕"/>
      <family val="3"/>
      <charset val="129"/>
    </font>
    <font>
      <sz val="10"/>
      <color rgb="FF000000"/>
      <name val="맑은 고딕"/>
      <family val="2"/>
      <charset val="129"/>
    </font>
    <font>
      <b/>
      <u/>
      <sz val="20"/>
      <color rgb="FF000000"/>
      <name val="Arial Unicode MS"/>
      <family val="2"/>
      <charset val="129"/>
    </font>
    <font>
      <b/>
      <u/>
      <sz val="20"/>
      <color rgb="FF000000"/>
      <name val="Arial Unicode MS"/>
      <family val="2"/>
    </font>
    <font>
      <b/>
      <sz val="12"/>
      <color theme="1"/>
      <name val="Arial Unicode MS"/>
      <family val="2"/>
      <charset val="129"/>
    </font>
    <font>
      <b/>
      <sz val="12"/>
      <color theme="1"/>
      <name val="굴림"/>
      <family val="2"/>
      <charset val="129"/>
    </font>
    <font>
      <b/>
      <sz val="12"/>
      <color theme="1"/>
      <name val="Arial"/>
      <family val="2"/>
    </font>
    <font>
      <b/>
      <sz val="12"/>
      <color theme="1"/>
      <name val="Arial"/>
      <family val="2"/>
      <charset val="129"/>
    </font>
    <font>
      <sz val="12"/>
      <color theme="1"/>
      <name val="굴림"/>
      <family val="2"/>
      <charset val="129"/>
    </font>
    <font>
      <u/>
      <sz val="20"/>
      <color rgb="FF000000"/>
      <name val="맑은 고딕"/>
      <family val="3"/>
      <charset val="129"/>
    </font>
    <font>
      <sz val="10"/>
      <color rgb="FF000000"/>
      <name val="굴림"/>
      <family val="2"/>
      <charset val="129"/>
    </font>
    <font>
      <b/>
      <sz val="12"/>
      <color theme="1"/>
      <name val="맑은 고딕"/>
      <family val="3"/>
      <charset val="129"/>
    </font>
    <font>
      <u/>
      <sz val="20"/>
      <color rgb="FF000000"/>
      <name val="Arial"/>
      <family val="2"/>
      <scheme val="major"/>
    </font>
    <font>
      <u/>
      <sz val="20"/>
      <color rgb="FF000000"/>
      <name val="Arial"/>
      <family val="2"/>
      <charset val="129"/>
      <scheme val="major"/>
    </font>
    <font>
      <sz val="9"/>
      <color rgb="FF000000"/>
      <name val="KoPubWorld돋움체 Light"/>
      <family val="3"/>
      <charset val="129"/>
    </font>
    <font>
      <i/>
      <sz val="10"/>
      <color rgb="FFFF0000"/>
      <name val="KoPubWorld돋움체 Light"/>
      <family val="3"/>
      <charset val="129"/>
    </font>
    <font>
      <sz val="1"/>
      <color rgb="FF000000"/>
      <name val="Arial"/>
      <family val="2"/>
      <scheme val="minor"/>
    </font>
    <font>
      <sz val="7.5"/>
      <color rgb="FF000000"/>
      <name val="KoPubWorld돋움체 Light"/>
      <family val="3"/>
      <charset val="129"/>
    </font>
    <font>
      <vertAlign val="superscript"/>
      <sz val="7.5"/>
      <color rgb="FF000000"/>
      <name val="KoPubWorld돋움체 Light"/>
      <family val="3"/>
      <charset val="129"/>
    </font>
    <font>
      <i/>
      <sz val="5"/>
      <color rgb="FFFF0000"/>
      <name val="KoPubWorld돋움체 Light"/>
      <family val="3"/>
      <charset val="129"/>
    </font>
    <font>
      <b/>
      <sz val="10"/>
      <color rgb="FF000000"/>
      <name val="KoPubWorld돋움체 Light"/>
      <family val="3"/>
      <charset val="129"/>
    </font>
    <font>
      <sz val="9"/>
      <color rgb="FF5D5D5D"/>
      <name val="KoPubWorld돋움체 Light"/>
      <family val="3"/>
      <charset val="129"/>
    </font>
    <font>
      <b/>
      <sz val="9"/>
      <color rgb="FF000000"/>
      <name val="KoPub돋움체 Light"/>
      <family val="3"/>
      <charset val="129"/>
    </font>
    <font>
      <sz val="10"/>
      <color rgb="FF000000"/>
      <name val="KoPubWorld돋움체 Light"/>
      <family val="3"/>
      <charset val="129"/>
    </font>
    <font>
      <i/>
      <sz val="12"/>
      <color rgb="FFFF0000"/>
      <name val="KoPubWorld돋움체 Light"/>
      <family val="3"/>
      <charset val="129"/>
    </font>
    <font>
      <b/>
      <sz val="9"/>
      <color rgb="FF000000"/>
      <name val="KoPubWorld돋움체 Light"/>
      <family val="3"/>
      <charset val="129"/>
    </font>
    <font>
      <b/>
      <sz val="12"/>
      <color theme="1"/>
      <name val="맑은 고딕"/>
      <family val="2"/>
      <charset val="129"/>
    </font>
    <font>
      <sz val="12"/>
      <color rgb="FF000000"/>
      <name val="Arial Unicode MS"/>
      <family val="2"/>
      <charset val="129"/>
    </font>
    <font>
      <b/>
      <sz val="8"/>
      <color rgb="FFFF0000"/>
      <name val="Arial"/>
      <family val="2"/>
      <scheme val="minor"/>
    </font>
    <font>
      <b/>
      <sz val="8"/>
      <color rgb="FFFF0000"/>
      <name val="Arial"/>
      <family val="3"/>
      <charset val="129"/>
      <scheme val="minor"/>
    </font>
    <font>
      <sz val="10"/>
      <color rgb="FF000000"/>
      <name val="Arial Unicode MS"/>
      <family val="3"/>
      <charset val="129"/>
    </font>
    <font>
      <b/>
      <u/>
      <sz val="20"/>
      <color theme="1"/>
      <name val="Arial"/>
      <family val="2"/>
      <scheme val="minor"/>
    </font>
    <font>
      <b/>
      <u/>
      <sz val="20"/>
      <color theme="1"/>
      <name val="Arial"/>
      <family val="3"/>
      <charset val="129"/>
      <scheme val="minor"/>
    </font>
    <font>
      <sz val="10"/>
      <color rgb="FFFF0000"/>
      <name val="맑은 고딕"/>
      <family val="2"/>
      <charset val="129"/>
    </font>
    <font>
      <u val="double"/>
      <sz val="10"/>
      <color rgb="FF000000"/>
      <name val="Arial"/>
      <family val="2"/>
      <scheme val="minor"/>
    </font>
    <font>
      <b/>
      <sz val="14"/>
      <color rgb="FF000000"/>
      <name val="맑은 고딕"/>
      <family val="2"/>
      <charset val="129"/>
    </font>
    <font>
      <b/>
      <sz val="14"/>
      <color rgb="FF000000"/>
      <name val="Arial Unicode MS"/>
      <family val="2"/>
      <charset val="129"/>
    </font>
    <font>
      <b/>
      <u/>
      <sz val="20"/>
      <color rgb="FF000000"/>
      <name val="Arial"/>
      <family val="2"/>
      <scheme val="major"/>
    </font>
    <font>
      <b/>
      <sz val="20"/>
      <color rgb="FF000000"/>
      <name val="Arial"/>
      <family val="2"/>
      <charset val="129"/>
      <scheme val="minor"/>
    </font>
    <font>
      <b/>
      <u/>
      <sz val="20"/>
      <color rgb="FF000000"/>
      <name val="Arial"/>
      <family val="3"/>
      <charset val="129"/>
      <scheme val="major"/>
    </font>
    <font>
      <sz val="13"/>
      <color rgb="FF000000"/>
      <name val="Arial"/>
      <family val="2"/>
      <scheme val="minor"/>
    </font>
    <font>
      <sz val="10"/>
      <color rgb="FF000000"/>
      <name val="Arial"/>
      <family val="3"/>
      <charset val="129"/>
      <scheme val="major"/>
    </font>
    <font>
      <sz val="8"/>
      <color rgb="FF000000"/>
      <name val="Arial"/>
      <family val="2"/>
      <scheme val="minor"/>
    </font>
    <font>
      <sz val="10.5"/>
      <color rgb="FF000000"/>
      <name val="Arial"/>
      <family val="2"/>
      <scheme val="minor"/>
    </font>
    <font>
      <b/>
      <sz val="12"/>
      <color rgb="FF000000"/>
      <name val="Arial"/>
      <family val="2"/>
      <charset val="129"/>
      <scheme val="minor"/>
    </font>
    <font>
      <sz val="18"/>
      <color rgb="FF000000"/>
      <name val="Arial"/>
      <family val="2"/>
      <scheme val="minor"/>
    </font>
    <font>
      <sz val="18"/>
      <color rgb="FF000000"/>
      <name val="Arial"/>
      <family val="1"/>
      <charset val="129"/>
      <scheme val="minor"/>
    </font>
    <font>
      <i/>
      <sz val="8"/>
      <color rgb="FFFF0000"/>
      <name val="Arial"/>
      <family val="2"/>
      <scheme val="minor"/>
    </font>
    <font>
      <u/>
      <sz val="15"/>
      <color rgb="FF000000"/>
      <name val="Arial"/>
      <family val="2"/>
      <scheme val="minor"/>
    </font>
    <font>
      <u/>
      <sz val="15"/>
      <color rgb="FF000000"/>
      <name val="Arial"/>
      <family val="1"/>
      <charset val="129"/>
      <scheme val="minor"/>
    </font>
    <font>
      <sz val="9"/>
      <color rgb="FF000000"/>
      <name val="Arial"/>
      <family val="1"/>
      <charset val="129"/>
      <scheme val="minor"/>
    </font>
    <font>
      <sz val="10.5"/>
      <color rgb="FF000000"/>
      <name val="Arial"/>
      <family val="1"/>
      <charset val="129"/>
      <scheme val="minor"/>
    </font>
    <font>
      <sz val="9"/>
      <color rgb="FF0000FF"/>
      <name val="Arial"/>
      <family val="2"/>
      <scheme val="minor"/>
    </font>
    <font>
      <sz val="9"/>
      <color rgb="FF0000FF"/>
      <name val="Arial"/>
      <family val="3"/>
      <charset val="129"/>
      <scheme val="minor"/>
    </font>
    <font>
      <sz val="11"/>
      <color rgb="FF000000"/>
      <name val="Arial"/>
      <family val="1"/>
      <charset val="129"/>
      <scheme val="minor"/>
    </font>
    <font>
      <i/>
      <sz val="9"/>
      <color rgb="FFFF0000"/>
      <name val="Arial"/>
      <family val="2"/>
      <scheme val="minor"/>
    </font>
    <font>
      <i/>
      <sz val="11"/>
      <color rgb="FFFF0000"/>
      <name val="맑은 고딕"/>
      <family val="3"/>
      <charset val="129"/>
    </font>
    <font>
      <b/>
      <sz val="12"/>
      <name val="맑은 고딕"/>
      <family val="3"/>
      <charset val="129"/>
    </font>
    <font>
      <sz val="12"/>
      <color rgb="FFFF0000"/>
      <name val="맑은 고딕"/>
      <family val="2"/>
      <charset val="129"/>
    </font>
    <font>
      <sz val="10"/>
      <color rgb="FF000000"/>
      <name val="Arial"/>
      <family val="2"/>
      <charset val="129"/>
      <scheme val="major"/>
    </font>
    <font>
      <b/>
      <i/>
      <sz val="11"/>
      <color rgb="FFFF0000"/>
      <name val="Arial"/>
      <family val="2"/>
      <scheme val="minor"/>
    </font>
    <font>
      <b/>
      <i/>
      <sz val="11"/>
      <color rgb="FFFF0000"/>
      <name val="맑은 고딕"/>
      <family val="3"/>
      <charset val="129"/>
    </font>
    <font>
      <b/>
      <sz val="10"/>
      <color rgb="FF000000"/>
      <name val="굴림"/>
      <family val="2"/>
      <charset val="129"/>
    </font>
    <font>
      <b/>
      <sz val="10"/>
      <color rgb="FF000000"/>
      <name val="Arial Unicode MS"/>
      <family val="3"/>
      <charset val="129"/>
    </font>
    <font>
      <b/>
      <u/>
      <sz val="20"/>
      <color rgb="FF000000"/>
      <name val="Arial"/>
      <family val="2"/>
      <charset val="129"/>
      <scheme val="minor"/>
    </font>
    <font>
      <b/>
      <sz val="14"/>
      <color theme="1"/>
      <name val="맑은 고딕"/>
      <family val="3"/>
      <charset val="129"/>
    </font>
    <font>
      <sz val="14"/>
      <color rgb="FFFF0000"/>
      <name val="Arial"/>
      <family val="2"/>
      <scheme val="minor"/>
    </font>
    <font>
      <sz val="14"/>
      <color rgb="FFFF0000"/>
      <name val="굴림"/>
      <family val="2"/>
      <charset val="129"/>
    </font>
    <font>
      <b/>
      <sz val="18"/>
      <color rgb="FF000000"/>
      <name val="Arial"/>
      <family val="2"/>
      <scheme val="minor"/>
    </font>
    <font>
      <i/>
      <sz val="10"/>
      <color rgb="FFFF0000"/>
      <name val="휴먼명조"/>
      <family val="3"/>
      <charset val="129"/>
    </font>
    <font>
      <sz val="2"/>
      <color rgb="FF000000"/>
      <name val="Arial"/>
      <family val="2"/>
      <scheme val="minor"/>
    </font>
    <font>
      <sz val="13"/>
      <color rgb="FF000000"/>
      <name val="Arial"/>
      <family val="2"/>
      <charset val="129"/>
      <scheme val="minor"/>
    </font>
    <font>
      <b/>
      <sz val="18"/>
      <color rgb="FF000000"/>
      <name val="Arial"/>
      <family val="3"/>
      <charset val="129"/>
      <scheme val="minor"/>
    </font>
    <font>
      <sz val="10"/>
      <color rgb="FF5D5D5D"/>
      <name val="Arial"/>
      <family val="2"/>
      <scheme val="minor"/>
    </font>
    <font>
      <sz val="10"/>
      <color rgb="FF5D5D5D"/>
      <name val="Arial"/>
      <family val="3"/>
      <charset val="129"/>
      <scheme val="minor"/>
    </font>
    <font>
      <sz val="12"/>
      <color rgb="FF000000"/>
      <name val="HY헤드라인M"/>
      <family val="1"/>
      <charset val="129"/>
    </font>
    <font>
      <sz val="10"/>
      <color rgb="FF000000"/>
      <name val="함초롬바탕"/>
      <family val="1"/>
      <charset val="129"/>
    </font>
    <font>
      <b/>
      <sz val="10"/>
      <color rgb="FF000000"/>
      <name val="Arial"/>
      <family val="2"/>
      <charset val="129"/>
      <scheme val="minor"/>
    </font>
    <font>
      <i/>
      <sz val="12"/>
      <color rgb="FFFF0000"/>
      <name val="Arial"/>
      <family val="2"/>
      <scheme val="minor"/>
    </font>
    <font>
      <i/>
      <sz val="11"/>
      <color rgb="FFFF0000"/>
      <name val="Arial Unicode MS"/>
      <family val="2"/>
      <charset val="129"/>
    </font>
    <font>
      <b/>
      <sz val="12"/>
      <color rgb="FF000000"/>
      <name val="Arial"/>
      <family val="3"/>
    </font>
    <font>
      <b/>
      <sz val="12"/>
      <color rgb="FF000000"/>
      <name val="Arial Unicode MS"/>
      <family val="3"/>
      <charset val="129"/>
    </font>
    <font>
      <sz val="3"/>
      <color rgb="FF000000"/>
      <name val="Arial"/>
      <family val="2"/>
      <scheme val="minor"/>
    </font>
    <font>
      <b/>
      <sz val="14"/>
      <color rgb="FF000000"/>
      <name val="맑은 고딕"/>
      <family val="3"/>
      <charset val="129"/>
    </font>
    <font>
      <b/>
      <u/>
      <sz val="20"/>
      <color rgb="FF000000"/>
      <name val="맑은 고딕"/>
      <family val="3"/>
      <charset val="129"/>
    </font>
    <font>
      <sz val="18"/>
      <color rgb="FF000000"/>
      <name val="KoPub돋움체 Bold"/>
      <family val="3"/>
      <charset val="129"/>
    </font>
    <font>
      <i/>
      <sz val="12"/>
      <color rgb="FFFF0000"/>
      <name val="KoPub돋움체 Light"/>
      <family val="3"/>
      <charset val="129"/>
    </font>
    <font>
      <i/>
      <sz val="12"/>
      <color rgb="FF000000"/>
      <name val="Arial"/>
      <family val="2"/>
      <scheme val="minor"/>
    </font>
    <font>
      <sz val="8"/>
      <color rgb="FF000000"/>
      <name val="KoPubWorld돋움체 Light"/>
      <family val="3"/>
      <charset val="129"/>
    </font>
    <font>
      <sz val="19"/>
      <color rgb="FF000000"/>
      <name val="HY견명조"/>
      <family val="1"/>
      <charset val="129"/>
    </font>
    <font>
      <sz val="13.6"/>
      <color rgb="FF000000"/>
      <name val="Arial"/>
      <family val="2"/>
      <scheme val="minor"/>
    </font>
    <font>
      <sz val="11"/>
      <color rgb="FF000000"/>
      <name val="KoPubWorld바탕체 Light"/>
      <family val="3"/>
      <charset val="129"/>
    </font>
    <font>
      <sz val="13.6"/>
      <color rgb="FF000000"/>
      <name val="HY견명조"/>
      <family val="1"/>
      <charset val="129"/>
    </font>
    <font>
      <sz val="18"/>
      <color rgb="FF000000"/>
      <name val="HY견명조"/>
      <family val="1"/>
      <charset val="129"/>
    </font>
    <font>
      <sz val="10"/>
      <color rgb="FF000000"/>
      <name val="HY견고딕"/>
      <family val="1"/>
      <charset val="129"/>
    </font>
    <font>
      <sz val="16"/>
      <color rgb="FF000000"/>
      <name val="HY견고딕"/>
      <family val="1"/>
      <charset val="129"/>
    </font>
    <font>
      <sz val="7"/>
      <color rgb="FF000000"/>
      <name val="돋움체"/>
      <family val="3"/>
      <charset val="129"/>
    </font>
    <font>
      <b/>
      <sz val="10"/>
      <color rgb="FF000000"/>
      <name val="돋움체"/>
      <family val="3"/>
      <charset val="129"/>
    </font>
    <font>
      <sz val="11"/>
      <color rgb="FF000000"/>
      <name val="돋움체"/>
      <family val="3"/>
      <charset val="129"/>
    </font>
    <font>
      <i/>
      <sz val="11"/>
      <color rgb="FFFF0000"/>
      <name val="돋움체"/>
      <family val="3"/>
      <charset val="129"/>
    </font>
    <font>
      <i/>
      <sz val="10"/>
      <color rgb="FFFF0000"/>
      <name val="돋움체"/>
      <family val="3"/>
      <charset val="129"/>
    </font>
    <font>
      <b/>
      <sz val="9"/>
      <color rgb="FF000000"/>
      <name val="돋움체"/>
      <family val="3"/>
      <charset val="129"/>
    </font>
    <font>
      <sz val="9"/>
      <color rgb="FF000000"/>
      <name val="돋움체"/>
      <family val="3"/>
      <charset val="129"/>
    </font>
    <font>
      <b/>
      <u/>
      <sz val="9"/>
      <color rgb="FF000000"/>
      <name val="돋움체"/>
      <family val="3"/>
      <charset val="129"/>
    </font>
    <font>
      <sz val="9"/>
      <color rgb="FF000000"/>
      <name val="한양중고딕"/>
      <family val="3"/>
      <charset val="129"/>
    </font>
    <font>
      <b/>
      <sz val="15"/>
      <color rgb="FF000000"/>
      <name val="돋움체"/>
      <family val="3"/>
      <charset val="129"/>
    </font>
    <font>
      <sz val="10"/>
      <color rgb="FF000000"/>
      <name val="돋움체"/>
      <family val="3"/>
      <charset val="129"/>
    </font>
    <font>
      <sz val="8"/>
      <color rgb="FF5D5D5D"/>
      <name val="Arial"/>
      <family val="2"/>
      <scheme val="minor"/>
    </font>
    <font>
      <b/>
      <sz val="18"/>
      <color rgb="FF000000"/>
      <name val="Arial"/>
      <family val="1"/>
      <charset val="129"/>
      <scheme val="minor"/>
    </font>
    <font>
      <sz val="11"/>
      <name val="Arial"/>
      <family val="2"/>
      <scheme val="minor"/>
    </font>
    <font>
      <sz val="11"/>
      <name val="Arial"/>
      <family val="1"/>
      <charset val="129"/>
      <scheme val="minor"/>
    </font>
    <font>
      <i/>
      <sz val="11"/>
      <name val="Arial"/>
      <family val="2"/>
      <scheme val="minor"/>
    </font>
    <font>
      <sz val="5"/>
      <name val="Arial"/>
      <family val="2"/>
      <scheme val="minor"/>
    </font>
    <font>
      <b/>
      <sz val="16"/>
      <name val="Arial"/>
      <family val="2"/>
      <scheme val="minor"/>
    </font>
    <font>
      <b/>
      <sz val="16"/>
      <name val="Arial"/>
      <family val="1"/>
      <charset val="129"/>
      <scheme val="minor"/>
    </font>
    <font>
      <sz val="12"/>
      <color theme="1"/>
      <name val="Arial Unicode MS"/>
      <family val="2"/>
      <charset val="129"/>
    </font>
    <font>
      <sz val="12"/>
      <color theme="1"/>
      <name val="Arial"/>
      <family val="2"/>
    </font>
    <font>
      <sz val="12"/>
      <color theme="1"/>
      <name val="Arial"/>
      <family val="2"/>
      <charset val="129"/>
    </font>
    <font>
      <u/>
      <sz val="20"/>
      <color rgb="FF000000"/>
      <name val="Arial"/>
      <family val="3"/>
      <charset val="129"/>
      <scheme val="major"/>
    </font>
    <font>
      <sz val="10"/>
      <name val="맑은 고딕"/>
      <family val="3"/>
      <charset val="129"/>
    </font>
    <font>
      <sz val="10"/>
      <name val="Arial"/>
      <family val="1"/>
      <charset val="129"/>
      <scheme val="minor"/>
    </font>
    <font>
      <sz val="8"/>
      <name val="Arial"/>
      <family val="2"/>
      <scheme val="minor"/>
    </font>
    <font>
      <sz val="8"/>
      <name val="Arial"/>
      <family val="1"/>
      <charset val="129"/>
      <scheme val="minor"/>
    </font>
    <font>
      <sz val="10"/>
      <color rgb="FF000000"/>
      <name val="Arial Unicode MS"/>
      <charset val="129"/>
    </font>
    <font>
      <b/>
      <sz val="20"/>
      <color theme="1"/>
      <name val="Arial"/>
      <family val="2"/>
    </font>
    <font>
      <u/>
      <sz val="10"/>
      <color rgb="FF000000"/>
      <name val="Arial"/>
      <family val="3"/>
      <charset val="129"/>
      <scheme val="minor"/>
    </font>
    <font>
      <u/>
      <sz val="10"/>
      <color rgb="FF000000"/>
      <name val="맑은 고딕"/>
      <family val="3"/>
      <charset val="129"/>
    </font>
    <font>
      <u/>
      <sz val="10"/>
      <color rgb="FF000000"/>
      <name val="Arial"/>
      <family val="2"/>
      <scheme val="minor"/>
    </font>
    <font>
      <u/>
      <sz val="10"/>
      <color rgb="FF000000"/>
      <name val="Arial Unicode MS"/>
      <family val="2"/>
      <charset val="129"/>
    </font>
  </fonts>
  <fills count="3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D6D6D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FF2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7" tint="0.79998168889431442"/>
        <bgColor rgb="FFFFFFFF"/>
      </patternFill>
    </fill>
  </fills>
  <borders count="30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0" tint="-0.14999847407452621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5D5D5D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666666"/>
      </right>
      <top style="thin">
        <color rgb="FF000000"/>
      </top>
      <bottom/>
      <diagonal/>
    </border>
    <border>
      <left/>
      <right style="thin">
        <color rgb="FF666666"/>
      </right>
      <top/>
      <bottom/>
      <diagonal/>
    </border>
    <border>
      <left/>
      <right style="thin">
        <color rgb="FF666666"/>
      </right>
      <top/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999999"/>
      </bottom>
      <diagonal/>
    </border>
    <border>
      <left/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/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000000"/>
      </right>
      <top style="thin">
        <color rgb="FF999999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/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thin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medium">
        <color rgb="FF000000"/>
      </top>
      <bottom/>
      <diagonal/>
    </border>
    <border>
      <left style="thin">
        <color rgb="FF666666"/>
      </left>
      <right/>
      <top/>
      <bottom style="thin">
        <color rgb="FF999999"/>
      </bottom>
      <diagonal/>
    </border>
    <border>
      <left/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/>
      <top style="thick">
        <color rgb="FF666666"/>
      </top>
      <bottom/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thin">
        <color rgb="FF999999"/>
      </top>
      <bottom style="medium">
        <color rgb="FF000000"/>
      </bottom>
      <diagonal/>
    </border>
    <border>
      <left/>
      <right style="thin">
        <color rgb="FF666666"/>
      </right>
      <top style="thin">
        <color rgb="FF999999"/>
      </top>
      <bottom style="medium">
        <color rgb="FF000000"/>
      </bottom>
      <diagonal/>
    </border>
    <border>
      <left/>
      <right/>
      <top style="thin">
        <color rgb="FF999999"/>
      </top>
      <bottom style="medium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rgb="FF666666"/>
      </right>
      <top/>
      <bottom style="thin">
        <color rgb="FF000000"/>
      </bottom>
      <diagonal/>
    </border>
    <border>
      <left style="thin">
        <color rgb="FF666666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666666"/>
      </right>
      <top style="thin">
        <color rgb="FF000000"/>
      </top>
      <bottom style="thin">
        <color rgb="FF999999"/>
      </bottom>
      <diagonal/>
    </border>
    <border>
      <left style="thin">
        <color rgb="FF666666"/>
      </left>
      <right style="thin">
        <color rgb="FF666666"/>
      </right>
      <top style="thin">
        <color rgb="FF999999"/>
      </top>
      <bottom style="thin">
        <color rgb="FF000000"/>
      </bottom>
      <diagonal/>
    </border>
    <border>
      <left style="thin">
        <color rgb="FF666666"/>
      </left>
      <right/>
      <top style="thin">
        <color rgb="FF999999"/>
      </top>
      <bottom style="thin">
        <color rgb="FF000000"/>
      </bottom>
      <diagonal/>
    </border>
    <border>
      <left/>
      <right style="thin">
        <color rgb="FF666666"/>
      </right>
      <top style="thin">
        <color rgb="FF999999"/>
      </top>
      <bottom style="thin">
        <color rgb="FF000000"/>
      </bottom>
      <diagonal/>
    </border>
    <border>
      <left/>
      <right style="thin">
        <color rgb="FF666666"/>
      </right>
      <top style="thin">
        <color rgb="FF000000"/>
      </top>
      <bottom style="medium">
        <color rgb="FF000000"/>
      </bottom>
      <diagonal/>
    </border>
    <border>
      <left style="thin">
        <color rgb="FF666666"/>
      </left>
      <right/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medium">
        <color rgb="FF000000"/>
      </top>
      <bottom style="thin">
        <color rgb="FF999999"/>
      </bottom>
      <diagonal/>
    </border>
    <border>
      <left style="thin">
        <color rgb="FF666666"/>
      </left>
      <right/>
      <top style="medium">
        <color rgb="FF000000"/>
      </top>
      <bottom style="thin">
        <color rgb="FF999999"/>
      </bottom>
      <diagonal/>
    </border>
    <border>
      <left/>
      <right/>
      <top style="medium">
        <color rgb="FF000000"/>
      </top>
      <bottom style="thin">
        <color rgb="FF999999"/>
      </bottom>
      <diagonal/>
    </border>
    <border>
      <left/>
      <right style="thin">
        <color rgb="FF5D5D5D"/>
      </right>
      <top/>
      <bottom/>
      <diagonal/>
    </border>
    <border>
      <left/>
      <right style="thin">
        <color rgb="FF5D5D5D"/>
      </right>
      <top/>
      <bottom style="thin">
        <color rgb="FF5D5D5D"/>
      </bottom>
      <diagonal/>
    </border>
    <border>
      <left style="thin">
        <color rgb="FF5D5D5D"/>
      </left>
      <right/>
      <top/>
      <bottom/>
      <diagonal/>
    </border>
    <border>
      <left style="thin">
        <color rgb="FF5D5D5D"/>
      </left>
      <right/>
      <top/>
      <bottom style="thin">
        <color rgb="FF5D5D5D"/>
      </bottom>
      <diagonal/>
    </border>
    <border>
      <left style="thin">
        <color rgb="FF666666"/>
      </left>
      <right/>
      <top/>
      <bottom style="medium">
        <color rgb="FF000000"/>
      </bottom>
      <diagonal/>
    </border>
    <border>
      <left style="thin">
        <color rgb="FF666666"/>
      </left>
      <right/>
      <top/>
      <bottom/>
      <diagonal/>
    </border>
    <border>
      <left/>
      <right style="thin">
        <color rgb="FF666666"/>
      </right>
      <top style="medium">
        <color rgb="FF000000"/>
      </top>
      <bottom style="thin">
        <color rgb="FF999999"/>
      </bottom>
      <diagonal/>
    </border>
    <border>
      <left style="thin">
        <color rgb="FF666666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/>
      <top style="thin">
        <color indexed="64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rgb="FF5D5D5D"/>
      </bottom>
      <diagonal/>
    </border>
    <border>
      <left style="thin">
        <color indexed="64"/>
      </left>
      <right/>
      <top style="thin">
        <color rgb="FF5D5D5D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5D5D5D"/>
      </bottom>
      <diagonal/>
    </border>
    <border>
      <left/>
      <right/>
      <top style="thin">
        <color rgb="FF000000"/>
      </top>
      <bottom style="thin">
        <color rgb="FF5D5D5D"/>
      </bottom>
      <diagonal/>
    </border>
    <border>
      <left style="thin">
        <color indexed="64"/>
      </left>
      <right/>
      <top style="thin">
        <color rgb="FF5D5D5D"/>
      </top>
      <bottom/>
      <diagonal/>
    </border>
    <border>
      <left style="thin">
        <color indexed="64"/>
      </left>
      <right/>
      <top/>
      <bottom style="thick">
        <color rgb="FF666666"/>
      </bottom>
      <diagonal/>
    </border>
    <border>
      <left style="thin">
        <color indexed="64"/>
      </left>
      <right/>
      <top style="thick">
        <color rgb="FF666666"/>
      </top>
      <bottom style="thin">
        <color rgb="FF5D5D5D"/>
      </bottom>
      <diagonal/>
    </border>
    <border>
      <left style="thin">
        <color indexed="64"/>
      </left>
      <right style="thin">
        <color rgb="FF5D5D5D"/>
      </right>
      <top style="thin">
        <color rgb="FF5D5D5D"/>
      </top>
      <bottom/>
      <diagonal/>
    </border>
    <border>
      <left style="thin">
        <color indexed="64"/>
      </left>
      <right style="thin">
        <color rgb="FF5D5D5D"/>
      </right>
      <top/>
      <bottom style="thin">
        <color rgb="FF5D5D5D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ck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ck">
        <color rgb="FF000000"/>
      </right>
      <top style="double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/>
      <right/>
      <top style="thin">
        <color indexed="64"/>
      </top>
      <bottom style="thick">
        <color rgb="FF000000"/>
      </bottom>
      <diagonal/>
    </border>
    <border>
      <left style="thin">
        <color rgb="FF999999"/>
      </left>
      <right/>
      <top style="thin">
        <color rgb="FF999999"/>
      </top>
      <bottom style="dotted">
        <color rgb="FF999999"/>
      </bottom>
      <diagonal/>
    </border>
    <border>
      <left style="thin">
        <color rgb="FF999999"/>
      </left>
      <right/>
      <top style="dotted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6">
    <xf numFmtId="0" fontId="0" fillId="0" borderId="0"/>
    <xf numFmtId="0" fontId="15" fillId="0" borderId="0" applyNumberFormat="0" applyFill="0" applyBorder="0" applyAlignment="0" applyProtection="0"/>
    <xf numFmtId="0" fontId="51" fillId="18" borderId="0" applyNumberFormat="0" applyBorder="0" applyAlignment="0" applyProtection="0">
      <alignment vertical="center"/>
    </xf>
    <xf numFmtId="0" fontId="7" fillId="0" borderId="0"/>
    <xf numFmtId="0" fontId="162" fillId="32" borderId="0" applyNumberFormat="0" applyBorder="0" applyAlignment="0" applyProtection="0">
      <alignment vertical="center"/>
    </xf>
    <xf numFmtId="0" fontId="14" fillId="0" borderId="0"/>
  </cellStyleXfs>
  <cellXfs count="1752">
    <xf numFmtId="0" fontId="0" fillId="0" borderId="0" xfId="0"/>
    <xf numFmtId="0" fontId="8" fillId="5" borderId="2" xfId="0" applyFont="1" applyFill="1" applyBorder="1" applyAlignment="1">
      <alignment horizontal="left" vertical="center" wrapText="1"/>
    </xf>
    <xf numFmtId="0" fontId="11" fillId="5" borderId="1" xfId="0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0" fontId="0" fillId="6" borderId="1" xfId="0" applyFill="1" applyBorder="1"/>
    <xf numFmtId="0" fontId="3" fillId="4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1" fillId="2" borderId="11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7" borderId="20" xfId="0" applyFont="1" applyFill="1" applyBorder="1" applyAlignment="1">
      <alignment vertical="center"/>
    </xf>
    <xf numFmtId="0" fontId="20" fillId="2" borderId="14" xfId="0" applyFont="1" applyFill="1" applyBorder="1" applyAlignment="1">
      <alignment vertical="center"/>
    </xf>
    <xf numFmtId="0" fontId="20" fillId="2" borderId="11" xfId="0" applyFont="1" applyFill="1" applyBorder="1" applyAlignment="1">
      <alignment vertical="center"/>
    </xf>
    <xf numFmtId="0" fontId="16" fillId="2" borderId="14" xfId="0" applyFont="1" applyFill="1" applyBorder="1" applyAlignment="1">
      <alignment horizontal="center" vertical="center"/>
    </xf>
    <xf numFmtId="0" fontId="21" fillId="0" borderId="11" xfId="0" applyFont="1" applyBorder="1"/>
    <xf numFmtId="0" fontId="21" fillId="0" borderId="0" xfId="0" applyFont="1"/>
    <xf numFmtId="0" fontId="21" fillId="0" borderId="13" xfId="0" applyFont="1" applyBorder="1"/>
    <xf numFmtId="0" fontId="21" fillId="0" borderId="8" xfId="0" applyFont="1" applyBorder="1"/>
    <xf numFmtId="0" fontId="0" fillId="6" borderId="6" xfId="0" applyFill="1" applyBorder="1"/>
    <xf numFmtId="0" fontId="17" fillId="8" borderId="16" xfId="0" applyFont="1" applyFill="1" applyBorder="1"/>
    <xf numFmtId="0" fontId="0" fillId="0" borderId="22" xfId="0" applyBorder="1"/>
    <xf numFmtId="0" fontId="17" fillId="0" borderId="10" xfId="0" applyFont="1" applyBorder="1"/>
    <xf numFmtId="0" fontId="17" fillId="8" borderId="23" xfId="0" applyFont="1" applyFill="1" applyBorder="1"/>
    <xf numFmtId="0" fontId="17" fillId="8" borderId="15" xfId="0" applyFont="1" applyFill="1" applyBorder="1"/>
    <xf numFmtId="0" fontId="3" fillId="4" borderId="3" xfId="0" applyFont="1" applyFill="1" applyBorder="1" applyAlignment="1">
      <alignment vertical="center"/>
    </xf>
    <xf numFmtId="0" fontId="14" fillId="0" borderId="6" xfId="0" applyFont="1" applyBorder="1"/>
    <xf numFmtId="0" fontId="14" fillId="0" borderId="1" xfId="0" applyFont="1" applyBorder="1"/>
    <xf numFmtId="0" fontId="14" fillId="0" borderId="17" xfId="0" applyFont="1" applyBorder="1"/>
    <xf numFmtId="0" fontId="1" fillId="2" borderId="24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2" fillId="2" borderId="12" xfId="0" applyFont="1" applyFill="1" applyBorder="1" applyAlignment="1">
      <alignment horizontal="center" vertical="center"/>
    </xf>
    <xf numFmtId="0" fontId="19" fillId="0" borderId="15" xfId="0" applyFont="1" applyBorder="1"/>
    <xf numFmtId="0" fontId="15" fillId="2" borderId="4" xfId="1" applyFill="1" applyBorder="1" applyAlignment="1">
      <alignment vertical="center"/>
    </xf>
    <xf numFmtId="0" fontId="15" fillId="0" borderId="1" xfId="1" applyBorder="1"/>
    <xf numFmtId="0" fontId="14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17" xfId="0" applyFont="1" applyBorder="1" applyAlignment="1">
      <alignment horizontal="left"/>
    </xf>
    <xf numFmtId="0" fontId="14" fillId="0" borderId="0" xfId="0" applyFont="1"/>
    <xf numFmtId="0" fontId="3" fillId="11" borderId="5" xfId="0" applyFont="1" applyFill="1" applyBorder="1" applyAlignment="1">
      <alignment vertical="center"/>
    </xf>
    <xf numFmtId="0" fontId="16" fillId="2" borderId="9" xfId="0" applyFont="1" applyFill="1" applyBorder="1" applyAlignment="1">
      <alignment horizontal="center" vertical="center"/>
    </xf>
    <xf numFmtId="0" fontId="30" fillId="0" borderId="0" xfId="0" applyFont="1"/>
    <xf numFmtId="49" fontId="32" fillId="0" borderId="29" xfId="0" applyNumberFormat="1" applyFont="1" applyBorder="1" applyAlignment="1">
      <alignment horizontal="center" vertical="center"/>
    </xf>
    <xf numFmtId="0" fontId="32" fillId="0" borderId="29" xfId="0" applyFont="1" applyBorder="1" applyAlignment="1">
      <alignment horizontal="center" vertical="center"/>
    </xf>
    <xf numFmtId="0" fontId="32" fillId="0" borderId="28" xfId="0" applyFont="1" applyBorder="1" applyAlignment="1">
      <alignment horizontal="center" vertical="center"/>
    </xf>
    <xf numFmtId="49" fontId="32" fillId="0" borderId="28" xfId="0" applyNumberFormat="1" applyFont="1" applyBorder="1" applyAlignment="1">
      <alignment horizontal="center" vertical="center"/>
    </xf>
    <xf numFmtId="0" fontId="32" fillId="0" borderId="27" xfId="0" applyFont="1" applyBorder="1" applyAlignment="1">
      <alignment horizontal="center" vertical="center"/>
    </xf>
    <xf numFmtId="177" fontId="32" fillId="0" borderId="30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32" fillId="0" borderId="1" xfId="0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7" fillId="5" borderId="2" xfId="0" applyFont="1" applyFill="1" applyBorder="1" applyAlignment="1">
      <alignment horizontal="left" vertical="center" wrapText="1"/>
    </xf>
    <xf numFmtId="0" fontId="14" fillId="6" borderId="1" xfId="0" applyFont="1" applyFill="1" applyBorder="1"/>
    <xf numFmtId="0" fontId="39" fillId="5" borderId="3" xfId="0" applyFont="1" applyFill="1" applyBorder="1" applyAlignment="1">
      <alignment horizontal="center" vertical="center"/>
    </xf>
    <xf numFmtId="0" fontId="39" fillId="5" borderId="1" xfId="0" applyFont="1" applyFill="1" applyBorder="1" applyAlignment="1">
      <alignment horizontal="center" vertical="center"/>
    </xf>
    <xf numFmtId="0" fontId="43" fillId="4" borderId="1" xfId="0" applyFont="1" applyFill="1" applyBorder="1" applyAlignment="1">
      <alignment vertical="center"/>
    </xf>
    <xf numFmtId="0" fontId="27" fillId="0" borderId="0" xfId="0" applyFont="1"/>
    <xf numFmtId="0" fontId="46" fillId="0" borderId="0" xfId="0" applyFont="1"/>
    <xf numFmtId="0" fontId="45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6" fillId="0" borderId="0" xfId="0" applyFont="1"/>
    <xf numFmtId="0" fontId="48" fillId="0" borderId="1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49" fontId="32" fillId="0" borderId="32" xfId="0" applyNumberFormat="1" applyFont="1" applyBorder="1" applyAlignment="1">
      <alignment horizontal="center" vertical="center"/>
    </xf>
    <xf numFmtId="0" fontId="52" fillId="0" borderId="1" xfId="0" applyFont="1" applyBorder="1"/>
    <xf numFmtId="0" fontId="13" fillId="4" borderId="1" xfId="0" applyFont="1" applyFill="1" applyBorder="1" applyAlignment="1">
      <alignment vertical="center"/>
    </xf>
    <xf numFmtId="0" fontId="56" fillId="20" borderId="96" xfId="0" applyFont="1" applyFill="1" applyBorder="1" applyAlignment="1">
      <alignment horizontal="center" vertical="center" wrapText="1"/>
    </xf>
    <xf numFmtId="0" fontId="56" fillId="20" borderId="103" xfId="0" applyFont="1" applyFill="1" applyBorder="1" applyAlignment="1">
      <alignment horizontal="center" vertical="center" wrapText="1"/>
    </xf>
    <xf numFmtId="0" fontId="56" fillId="20" borderId="106" xfId="0" applyFont="1" applyFill="1" applyBorder="1" applyAlignment="1">
      <alignment horizontal="center" vertical="center" wrapText="1"/>
    </xf>
    <xf numFmtId="0" fontId="59" fillId="0" borderId="108" xfId="0" applyFont="1" applyBorder="1" applyAlignment="1">
      <alignment horizontal="center" vertical="center" wrapText="1"/>
    </xf>
    <xf numFmtId="0" fontId="59" fillId="0" borderId="63" xfId="0" applyFont="1" applyBorder="1" applyAlignment="1">
      <alignment horizontal="center" vertical="center" wrapText="1"/>
    </xf>
    <xf numFmtId="0" fontId="56" fillId="20" borderId="107" xfId="0" applyFont="1" applyFill="1" applyBorder="1" applyAlignment="1">
      <alignment horizontal="center" vertical="center" wrapText="1"/>
    </xf>
    <xf numFmtId="0" fontId="56" fillId="20" borderId="97" xfId="0" applyFont="1" applyFill="1" applyBorder="1" applyAlignment="1">
      <alignment horizontal="center" vertical="center" wrapText="1"/>
    </xf>
    <xf numFmtId="0" fontId="57" fillId="0" borderId="101" xfId="0" applyFont="1" applyBorder="1" applyAlignment="1">
      <alignment horizontal="center" vertical="center" wrapText="1"/>
    </xf>
    <xf numFmtId="0" fontId="56" fillId="20" borderId="27" xfId="0" applyFont="1" applyFill="1" applyBorder="1" applyAlignment="1">
      <alignment horizontal="center" vertical="center" wrapText="1"/>
    </xf>
    <xf numFmtId="0" fontId="56" fillId="20" borderId="114" xfId="0" applyFont="1" applyFill="1" applyBorder="1" applyAlignment="1">
      <alignment horizontal="center" vertical="center" wrapText="1"/>
    </xf>
    <xf numFmtId="0" fontId="56" fillId="20" borderId="113" xfId="0" applyFont="1" applyFill="1" applyBorder="1" applyAlignment="1">
      <alignment horizontal="center" vertical="center" wrapText="1"/>
    </xf>
    <xf numFmtId="0" fontId="0" fillId="20" borderId="113" xfId="0" applyFill="1" applyBorder="1" applyAlignment="1">
      <alignment vertical="center" wrapText="1"/>
    </xf>
    <xf numFmtId="0" fontId="0" fillId="20" borderId="107" xfId="0" applyFill="1" applyBorder="1" applyAlignment="1">
      <alignment vertical="center" wrapText="1"/>
    </xf>
    <xf numFmtId="0" fontId="64" fillId="21" borderId="27" xfId="0" applyFont="1" applyFill="1" applyBorder="1" applyAlignment="1">
      <alignment horizontal="center" vertical="center" wrapText="1"/>
    </xf>
    <xf numFmtId="0" fontId="64" fillId="0" borderId="27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64" fillId="21" borderId="104" xfId="0" applyFont="1" applyFill="1" applyBorder="1" applyAlignment="1">
      <alignment horizontal="center" vertical="center" wrapText="1"/>
    </xf>
    <xf numFmtId="0" fontId="27" fillId="0" borderId="104" xfId="0" applyFont="1" applyBorder="1" applyAlignment="1">
      <alignment horizontal="center" vertical="center" wrapText="1"/>
    </xf>
    <xf numFmtId="0" fontId="57" fillId="0" borderId="127" xfId="0" applyFont="1" applyBorder="1" applyAlignment="1">
      <alignment horizontal="center" vertical="center" wrapText="1"/>
    </xf>
    <xf numFmtId="0" fontId="56" fillId="21" borderId="127" xfId="0" applyFont="1" applyFill="1" applyBorder="1" applyAlignment="1">
      <alignment horizontal="center" vertical="center" wrapText="1"/>
    </xf>
    <xf numFmtId="0" fontId="57" fillId="0" borderId="115" xfId="0" applyFont="1" applyBorder="1" applyAlignment="1">
      <alignment horizontal="center" vertical="center" wrapText="1"/>
    </xf>
    <xf numFmtId="0" fontId="70" fillId="8" borderId="0" xfId="3" applyFont="1" applyFill="1" applyAlignment="1">
      <alignment vertical="center"/>
    </xf>
    <xf numFmtId="0" fontId="71" fillId="8" borderId="0" xfId="3" applyFont="1" applyFill="1" applyAlignment="1">
      <alignment vertical="center"/>
    </xf>
    <xf numFmtId="0" fontId="72" fillId="8" borderId="0" xfId="3" applyFont="1" applyFill="1" applyAlignment="1">
      <alignment vertical="center"/>
    </xf>
    <xf numFmtId="0" fontId="71" fillId="8" borderId="0" xfId="3" applyFont="1" applyFill="1" applyAlignment="1">
      <alignment horizontal="center" vertical="center"/>
    </xf>
    <xf numFmtId="0" fontId="7" fillId="8" borderId="0" xfId="3" applyFill="1"/>
    <xf numFmtId="0" fontId="75" fillId="0" borderId="61" xfId="3" applyFont="1" applyBorder="1" applyAlignment="1">
      <alignment horizontal="center" vertical="center"/>
    </xf>
    <xf numFmtId="0" fontId="75" fillId="0" borderId="30" xfId="3" applyFont="1" applyBorder="1" applyAlignment="1">
      <alignment horizontal="center" vertical="center"/>
    </xf>
    <xf numFmtId="0" fontId="67" fillId="23" borderId="1" xfId="3" applyFont="1" applyFill="1" applyBorder="1"/>
    <xf numFmtId="0" fontId="67" fillId="8" borderId="1" xfId="3" applyFont="1" applyFill="1" applyBorder="1"/>
    <xf numFmtId="0" fontId="77" fillId="25" borderId="30" xfId="3" applyFont="1" applyFill="1" applyBorder="1" applyAlignment="1">
      <alignment vertical="center" wrapText="1"/>
    </xf>
    <xf numFmtId="0" fontId="77" fillId="25" borderId="62" xfId="3" applyFont="1" applyFill="1" applyBorder="1" applyAlignment="1">
      <alignment vertical="center" wrapText="1"/>
    </xf>
    <xf numFmtId="0" fontId="77" fillId="25" borderId="61" xfId="3" applyFont="1" applyFill="1" applyBorder="1" applyAlignment="1">
      <alignment vertical="center" wrapText="1"/>
    </xf>
    <xf numFmtId="0" fontId="78" fillId="0" borderId="30" xfId="3" applyFont="1" applyBorder="1" applyAlignment="1">
      <alignment vertical="center" wrapText="1"/>
    </xf>
    <xf numFmtId="0" fontId="78" fillId="0" borderId="62" xfId="3" applyFont="1" applyBorder="1" applyAlignment="1">
      <alignment vertical="center" wrapText="1"/>
    </xf>
    <xf numFmtId="0" fontId="78" fillId="0" borderId="61" xfId="3" applyFont="1" applyBorder="1" applyAlignment="1">
      <alignment vertical="center" wrapText="1"/>
    </xf>
    <xf numFmtId="0" fontId="67" fillId="23" borderId="1" xfId="3" applyFont="1" applyFill="1" applyBorder="1" applyAlignment="1">
      <alignment vertical="center"/>
    </xf>
    <xf numFmtId="0" fontId="67" fillId="8" borderId="1" xfId="3" applyFont="1" applyFill="1" applyBorder="1" applyAlignment="1">
      <alignment horizontal="center" vertical="center"/>
    </xf>
    <xf numFmtId="0" fontId="73" fillId="8" borderId="0" xfId="3" applyFont="1" applyFill="1" applyAlignment="1">
      <alignment horizontal="center" vertical="center"/>
    </xf>
    <xf numFmtId="14" fontId="74" fillId="0" borderId="0" xfId="3" applyNumberFormat="1" applyFont="1" applyAlignment="1">
      <alignment horizontal="center" vertical="center"/>
    </xf>
    <xf numFmtId="0" fontId="74" fillId="0" borderId="0" xfId="3" applyFont="1" applyAlignment="1">
      <alignment horizontal="center" vertical="center"/>
    </xf>
    <xf numFmtId="0" fontId="75" fillId="0" borderId="29" xfId="3" applyFont="1" applyBorder="1" applyAlignment="1">
      <alignment horizontal="center" vertical="center"/>
    </xf>
    <xf numFmtId="0" fontId="56" fillId="20" borderId="103" xfId="3" applyFont="1" applyFill="1" applyBorder="1" applyAlignment="1">
      <alignment horizontal="center" vertical="center" wrapText="1"/>
    </xf>
    <xf numFmtId="14" fontId="79" fillId="8" borderId="0" xfId="3" applyNumberFormat="1" applyFont="1" applyFill="1" applyAlignment="1">
      <alignment horizontal="center" vertical="center"/>
    </xf>
    <xf numFmtId="14" fontId="67" fillId="8" borderId="1" xfId="3" applyNumberFormat="1" applyFont="1" applyFill="1" applyBorder="1" applyAlignment="1">
      <alignment horizontal="center" vertical="center"/>
    </xf>
    <xf numFmtId="0" fontId="7" fillId="8" borderId="1" xfId="3" applyFill="1" applyBorder="1" applyAlignment="1">
      <alignment horizontal="center"/>
    </xf>
    <xf numFmtId="0" fontId="75" fillId="0" borderId="26" xfId="3" applyFont="1" applyBorder="1" applyAlignment="1">
      <alignment horizontal="center" vertical="center"/>
    </xf>
    <xf numFmtId="0" fontId="4" fillId="8" borderId="1" xfId="3" applyFont="1" applyFill="1" applyBorder="1" applyAlignment="1">
      <alignment horizontal="center" vertical="center"/>
    </xf>
    <xf numFmtId="0" fontId="76" fillId="23" borderId="138" xfId="3" applyFont="1" applyFill="1" applyBorder="1" applyAlignment="1">
      <alignment horizontal="center" vertical="center"/>
    </xf>
    <xf numFmtId="0" fontId="70" fillId="8" borderId="139" xfId="3" applyFont="1" applyFill="1" applyBorder="1" applyAlignment="1">
      <alignment horizontal="center" vertical="center"/>
    </xf>
    <xf numFmtId="0" fontId="81" fillId="0" borderId="30" xfId="3" applyFont="1" applyBorder="1" applyAlignment="1">
      <alignment horizontal="center" vertical="center"/>
    </xf>
    <xf numFmtId="0" fontId="56" fillId="20" borderId="106" xfId="3" applyFont="1" applyFill="1" applyBorder="1" applyAlignment="1">
      <alignment horizontal="center" vertical="center" wrapText="1"/>
    </xf>
    <xf numFmtId="0" fontId="7" fillId="26" borderId="1" xfId="3" applyFill="1" applyBorder="1"/>
    <xf numFmtId="0" fontId="7" fillId="26" borderId="3" xfId="3" applyFill="1" applyBorder="1" applyAlignment="1">
      <alignment horizontal="center"/>
    </xf>
    <xf numFmtId="0" fontId="49" fillId="8" borderId="0" xfId="3" applyFont="1" applyFill="1" applyAlignment="1">
      <alignment horizontal="center" vertical="center"/>
    </xf>
    <xf numFmtId="0" fontId="82" fillId="0" borderId="0" xfId="3" applyFont="1" applyAlignment="1">
      <alignment horizontal="center" vertical="center"/>
    </xf>
    <xf numFmtId="0" fontId="76" fillId="23" borderId="1" xfId="3" applyFont="1" applyFill="1" applyBorder="1" applyAlignment="1">
      <alignment horizontal="center" vertical="center"/>
    </xf>
    <xf numFmtId="0" fontId="70" fillId="8" borderId="142" xfId="3" applyFont="1" applyFill="1" applyBorder="1" applyAlignment="1">
      <alignment horizontal="center" vertical="center"/>
    </xf>
    <xf numFmtId="0" fontId="77" fillId="25" borderId="108" xfId="3" applyFont="1" applyFill="1" applyBorder="1" applyAlignment="1">
      <alignment vertical="center" wrapText="1"/>
    </xf>
    <xf numFmtId="0" fontId="77" fillId="25" borderId="29" xfId="3" applyFont="1" applyFill="1" applyBorder="1" applyAlignment="1">
      <alignment vertical="center" wrapText="1"/>
    </xf>
    <xf numFmtId="0" fontId="56" fillId="20" borderId="113" xfId="3" applyFont="1" applyFill="1" applyBorder="1" applyAlignment="1">
      <alignment horizontal="center" vertical="center" wrapText="1"/>
    </xf>
    <xf numFmtId="0" fontId="83" fillId="21" borderId="27" xfId="3" applyFont="1" applyFill="1" applyBorder="1" applyAlignment="1">
      <alignment horizontal="center" vertical="center" wrapText="1"/>
    </xf>
    <xf numFmtId="0" fontId="83" fillId="21" borderId="104" xfId="3" applyFont="1" applyFill="1" applyBorder="1" applyAlignment="1">
      <alignment horizontal="center" vertical="center" wrapText="1"/>
    </xf>
    <xf numFmtId="14" fontId="7" fillId="8" borderId="1" xfId="3" applyNumberFormat="1" applyFill="1" applyBorder="1"/>
    <xf numFmtId="0" fontId="73" fillId="23" borderId="34" xfId="3" applyFont="1" applyFill="1" applyBorder="1" applyAlignment="1">
      <alignment horizontal="center" vertical="center" wrapText="1" shrinkToFit="1"/>
    </xf>
    <xf numFmtId="0" fontId="73" fillId="23" borderId="143" xfId="3" applyFont="1" applyFill="1" applyBorder="1" applyAlignment="1">
      <alignment horizontal="center" vertical="center" shrinkToFit="1"/>
    </xf>
    <xf numFmtId="0" fontId="73" fillId="23" borderId="143" xfId="3" applyFont="1" applyFill="1" applyBorder="1" applyAlignment="1">
      <alignment horizontal="center" vertical="center"/>
    </xf>
    <xf numFmtId="0" fontId="73" fillId="22" borderId="144" xfId="3" applyFont="1" applyFill="1" applyBorder="1" applyAlignment="1">
      <alignment horizontal="center" vertical="center"/>
    </xf>
    <xf numFmtId="0" fontId="77" fillId="25" borderId="63" xfId="3" applyFont="1" applyFill="1" applyBorder="1" applyAlignment="1">
      <alignment vertical="center" wrapText="1"/>
    </xf>
    <xf numFmtId="0" fontId="77" fillId="25" borderId="26" xfId="3" applyFont="1" applyFill="1" applyBorder="1" applyAlignment="1">
      <alignment vertical="center" wrapText="1"/>
    </xf>
    <xf numFmtId="0" fontId="7" fillId="20" borderId="113" xfId="3" applyFill="1" applyBorder="1" applyAlignment="1">
      <alignment vertical="center" wrapText="1"/>
    </xf>
    <xf numFmtId="0" fontId="83" fillId="0" borderId="27" xfId="3" applyFont="1" applyBorder="1" applyAlignment="1">
      <alignment horizontal="center" vertical="center" wrapText="1"/>
    </xf>
    <xf numFmtId="0" fontId="26" fillId="0" borderId="27" xfId="3" applyFont="1" applyBorder="1" applyAlignment="1">
      <alignment horizontal="center" vertical="center" wrapText="1"/>
    </xf>
    <xf numFmtId="0" fontId="26" fillId="0" borderId="104" xfId="3" applyFont="1" applyBorder="1" applyAlignment="1">
      <alignment horizontal="center" vertical="center" wrapText="1"/>
    </xf>
    <xf numFmtId="0" fontId="71" fillId="8" borderId="1" xfId="3" applyFont="1" applyFill="1" applyBorder="1" applyAlignment="1">
      <alignment horizontal="center" vertical="center"/>
    </xf>
    <xf numFmtId="0" fontId="71" fillId="8" borderId="1" xfId="3" applyFont="1" applyFill="1" applyBorder="1" applyAlignment="1">
      <alignment vertical="center"/>
    </xf>
    <xf numFmtId="0" fontId="81" fillId="0" borderId="62" xfId="3" applyFont="1" applyBorder="1" applyAlignment="1">
      <alignment vertical="center" wrapText="1"/>
    </xf>
    <xf numFmtId="0" fontId="76" fillId="23" borderId="39" xfId="3" applyFont="1" applyFill="1" applyBorder="1" applyAlignment="1">
      <alignment horizontal="center" vertical="center"/>
    </xf>
    <xf numFmtId="0" fontId="70" fillId="8" borderId="148" xfId="3" applyFont="1" applyFill="1" applyBorder="1" applyAlignment="1">
      <alignment horizontal="center" vertical="center"/>
    </xf>
    <xf numFmtId="0" fontId="75" fillId="0" borderId="149" xfId="3" applyFont="1" applyBorder="1" applyAlignment="1">
      <alignment horizontal="center" vertical="center"/>
    </xf>
    <xf numFmtId="0" fontId="7" fillId="20" borderId="107" xfId="3" applyFill="1" applyBorder="1" applyAlignment="1">
      <alignment vertical="center" wrapText="1"/>
    </xf>
    <xf numFmtId="0" fontId="80" fillId="8" borderId="0" xfId="3" applyFont="1" applyFill="1" applyAlignment="1">
      <alignment vertical="center"/>
    </xf>
    <xf numFmtId="0" fontId="76" fillId="8" borderId="0" xfId="3" applyFont="1" applyFill="1" applyAlignment="1">
      <alignment horizontal="center" vertical="center"/>
    </xf>
    <xf numFmtId="0" fontId="70" fillId="8" borderId="0" xfId="3" applyFont="1" applyFill="1" applyAlignment="1">
      <alignment horizontal="center" vertical="center"/>
    </xf>
    <xf numFmtId="0" fontId="88" fillId="0" borderId="62" xfId="3" applyFont="1" applyBorder="1" applyAlignment="1">
      <alignment vertical="center" wrapText="1"/>
    </xf>
    <xf numFmtId="0" fontId="56" fillId="20" borderId="107" xfId="3" applyFont="1" applyFill="1" applyBorder="1" applyAlignment="1">
      <alignment horizontal="center" vertical="center" wrapText="1"/>
    </xf>
    <xf numFmtId="0" fontId="75" fillId="0" borderId="27" xfId="3" applyFont="1" applyBorder="1" applyAlignment="1">
      <alignment horizontal="center" vertical="center"/>
    </xf>
    <xf numFmtId="0" fontId="50" fillId="17" borderId="27" xfId="3" applyFont="1" applyFill="1" applyBorder="1" applyAlignment="1">
      <alignment horizontal="center" vertical="center" wrapText="1"/>
    </xf>
    <xf numFmtId="0" fontId="50" fillId="17" borderId="30" xfId="3" applyFont="1" applyFill="1" applyBorder="1" applyAlignment="1">
      <alignment vertical="center" wrapText="1"/>
    </xf>
    <xf numFmtId="0" fontId="50" fillId="17" borderId="61" xfId="3" applyFont="1" applyFill="1" applyBorder="1" applyAlignment="1">
      <alignment vertical="center" wrapText="1"/>
    </xf>
    <xf numFmtId="0" fontId="50" fillId="17" borderId="62" xfId="3" applyFont="1" applyFill="1" applyBorder="1" applyAlignment="1">
      <alignment vertical="center" wrapText="1"/>
    </xf>
    <xf numFmtId="0" fontId="90" fillId="0" borderId="27" xfId="3" applyFont="1" applyBorder="1" applyAlignment="1">
      <alignment horizontal="justify" vertical="center"/>
    </xf>
    <xf numFmtId="0" fontId="50" fillId="25" borderId="28" xfId="3" applyFont="1" applyFill="1" applyBorder="1" applyAlignment="1">
      <alignment horizontal="center" vertical="center" wrapText="1"/>
    </xf>
    <xf numFmtId="0" fontId="50" fillId="25" borderId="30" xfId="3" applyFont="1" applyFill="1" applyBorder="1" applyAlignment="1">
      <alignment vertical="center" wrapText="1"/>
    </xf>
    <xf numFmtId="0" fontId="50" fillId="25" borderId="61" xfId="3" applyFont="1" applyFill="1" applyBorder="1" applyAlignment="1">
      <alignment vertical="center" wrapText="1"/>
    </xf>
    <xf numFmtId="0" fontId="78" fillId="0" borderId="27" xfId="3" applyFont="1" applyBorder="1" applyAlignment="1">
      <alignment horizontal="center" vertical="center" wrapText="1"/>
    </xf>
    <xf numFmtId="0" fontId="7" fillId="0" borderId="26" xfId="3" applyBorder="1" applyAlignment="1">
      <alignment vertical="center"/>
    </xf>
    <xf numFmtId="0" fontId="50" fillId="25" borderId="153" xfId="3" applyFont="1" applyFill="1" applyBorder="1" applyAlignment="1">
      <alignment horizontal="center" vertical="center" wrapText="1"/>
    </xf>
    <xf numFmtId="0" fontId="50" fillId="25" borderId="108" xfId="3" applyFont="1" applyFill="1" applyBorder="1" applyAlignment="1">
      <alignment vertical="center" wrapText="1"/>
    </xf>
    <xf numFmtId="0" fontId="50" fillId="25" borderId="29" xfId="3" applyFont="1" applyFill="1" applyBorder="1" applyAlignment="1">
      <alignment vertical="center" wrapText="1"/>
    </xf>
    <xf numFmtId="0" fontId="78" fillId="0" borderId="108" xfId="3" applyFont="1" applyBorder="1" applyAlignment="1">
      <alignment vertical="center" wrapText="1"/>
    </xf>
    <xf numFmtId="0" fontId="78" fillId="0" borderId="29" xfId="3" applyFont="1" applyBorder="1" applyAlignment="1">
      <alignment vertical="center" wrapText="1"/>
    </xf>
    <xf numFmtId="0" fontId="91" fillId="0" borderId="108" xfId="3" applyFont="1" applyBorder="1" applyAlignment="1">
      <alignment vertical="center" wrapText="1"/>
    </xf>
    <xf numFmtId="0" fontId="91" fillId="0" borderId="29" xfId="3" applyFont="1" applyBorder="1" applyAlignment="1">
      <alignment vertical="center" wrapText="1"/>
    </xf>
    <xf numFmtId="0" fontId="78" fillId="0" borderId="28" xfId="3" applyFont="1" applyBorder="1" applyAlignment="1">
      <alignment horizontal="center" vertical="center" wrapText="1"/>
    </xf>
    <xf numFmtId="0" fontId="7" fillId="25" borderId="153" xfId="3" applyFill="1" applyBorder="1" applyAlignment="1">
      <alignment vertical="center" wrapText="1"/>
    </xf>
    <xf numFmtId="0" fontId="50" fillId="25" borderId="63" xfId="3" applyFont="1" applyFill="1" applyBorder="1" applyAlignment="1">
      <alignment vertical="center" wrapText="1"/>
    </xf>
    <xf numFmtId="0" fontId="50" fillId="25" borderId="26" xfId="3" applyFont="1" applyFill="1" applyBorder="1" applyAlignment="1">
      <alignment vertical="center" wrapText="1"/>
    </xf>
    <xf numFmtId="0" fontId="78" fillId="0" borderId="63" xfId="3" applyFont="1" applyBorder="1" applyAlignment="1">
      <alignment vertical="center" wrapText="1"/>
    </xf>
    <xf numFmtId="0" fontId="78" fillId="0" borderId="26" xfId="3" applyFont="1" applyBorder="1" applyAlignment="1">
      <alignment vertical="center" wrapText="1"/>
    </xf>
    <xf numFmtId="0" fontId="91" fillId="0" borderId="63" xfId="3" applyFont="1" applyBorder="1" applyAlignment="1">
      <alignment vertical="center" wrapText="1"/>
    </xf>
    <xf numFmtId="0" fontId="91" fillId="0" borderId="26" xfId="3" applyFont="1" applyBorder="1" applyAlignment="1">
      <alignment vertical="center" wrapText="1"/>
    </xf>
    <xf numFmtId="0" fontId="78" fillId="0" borderId="154" xfId="3" applyFont="1" applyBorder="1" applyAlignment="1">
      <alignment horizontal="center" vertical="center" wrapText="1"/>
    </xf>
    <xf numFmtId="0" fontId="78" fillId="0" borderId="31" xfId="3" applyFont="1" applyBorder="1" applyAlignment="1">
      <alignment vertical="center" wrapText="1"/>
    </xf>
    <xf numFmtId="0" fontId="75" fillId="0" borderId="30" xfId="3" applyFont="1" applyBorder="1" applyAlignment="1">
      <alignment horizontal="justify" vertical="center"/>
    </xf>
    <xf numFmtId="0" fontId="78" fillId="0" borderId="57" xfId="3" applyFont="1" applyBorder="1" applyAlignment="1">
      <alignment vertical="center" wrapText="1"/>
    </xf>
    <xf numFmtId="0" fontId="7" fillId="25" borderId="154" xfId="3" applyFill="1" applyBorder="1" applyAlignment="1">
      <alignment vertical="center" wrapText="1"/>
    </xf>
    <xf numFmtId="0" fontId="78" fillId="0" borderId="27" xfId="3" applyFont="1" applyBorder="1" applyAlignment="1">
      <alignment vertical="center" wrapText="1"/>
    </xf>
    <xf numFmtId="0" fontId="78" fillId="0" borderId="28" xfId="3" applyFont="1" applyBorder="1" applyAlignment="1">
      <alignment vertical="center" wrapText="1"/>
    </xf>
    <xf numFmtId="0" fontId="78" fillId="0" borderId="154" xfId="3" applyFont="1" applyBorder="1" applyAlignment="1">
      <alignment vertical="center" wrapText="1"/>
    </xf>
    <xf numFmtId="0" fontId="49" fillId="22" borderId="1" xfId="3" applyFont="1" applyFill="1" applyBorder="1" applyAlignment="1">
      <alignment horizontal="center" vertical="center"/>
    </xf>
    <xf numFmtId="0" fontId="49" fillId="22" borderId="1" xfId="3" applyFont="1" applyFill="1" applyBorder="1" applyAlignment="1">
      <alignment vertical="center"/>
    </xf>
    <xf numFmtId="0" fontId="94" fillId="18" borderId="1" xfId="2" applyFont="1" applyBorder="1" applyAlignment="1">
      <alignment horizontal="center" vertical="center"/>
    </xf>
    <xf numFmtId="0" fontId="94" fillId="18" borderId="1" xfId="2" applyFont="1" applyBorder="1" applyAlignment="1">
      <alignment vertical="center"/>
    </xf>
    <xf numFmtId="0" fontId="71" fillId="8" borderId="3" xfId="3" applyFont="1" applyFill="1" applyBorder="1" applyAlignment="1">
      <alignment vertical="center"/>
    </xf>
    <xf numFmtId="0" fontId="95" fillId="8" borderId="0" xfId="3" applyFont="1" applyFill="1"/>
    <xf numFmtId="0" fontId="96" fillId="18" borderId="1" xfId="2" applyFont="1" applyBorder="1" applyAlignment="1">
      <alignment horizontal="center" vertical="center"/>
    </xf>
    <xf numFmtId="0" fontId="96" fillId="18" borderId="1" xfId="2" applyFont="1" applyBorder="1" applyAlignment="1">
      <alignment vertical="center"/>
    </xf>
    <xf numFmtId="176" fontId="4" fillId="2" borderId="4" xfId="0" applyNumberFormat="1" applyFont="1" applyFill="1" applyBorder="1" applyAlignment="1">
      <alignment horizontal="left" vertical="center"/>
    </xf>
    <xf numFmtId="0" fontId="68" fillId="0" borderId="0" xfId="0" applyFont="1" applyAlignment="1">
      <alignment vertical="center" wrapText="1"/>
    </xf>
    <xf numFmtId="0" fontId="3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3" fillId="2" borderId="33" xfId="0" applyFont="1" applyFill="1" applyBorder="1" applyAlignment="1">
      <alignment horizontal="left" vertical="center"/>
    </xf>
    <xf numFmtId="0" fontId="3" fillId="2" borderId="155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4" fillId="2" borderId="40" xfId="0" applyFont="1" applyFill="1" applyBorder="1" applyAlignment="1">
      <alignment horizontal="left" vertical="center"/>
    </xf>
    <xf numFmtId="0" fontId="14" fillId="6" borderId="1" xfId="0" applyFont="1" applyFill="1" applyBorder="1" applyAlignment="1">
      <alignment vertical="center"/>
    </xf>
    <xf numFmtId="0" fontId="98" fillId="30" borderId="3" xfId="0" applyFont="1" applyFill="1" applyBorder="1" applyAlignment="1">
      <alignment horizontal="center" vertical="center" wrapText="1"/>
    </xf>
    <xf numFmtId="0" fontId="98" fillId="30" borderId="7" xfId="0" applyFont="1" applyFill="1" applyBorder="1" applyAlignment="1">
      <alignment horizontal="center" vertical="center" wrapText="1"/>
    </xf>
    <xf numFmtId="178" fontId="5" fillId="0" borderId="5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8" fillId="14" borderId="37" xfId="0" applyFont="1" applyFill="1" applyBorder="1" applyAlignment="1">
      <alignment vertical="center"/>
    </xf>
    <xf numFmtId="0" fontId="98" fillId="14" borderId="1" xfId="0" applyFont="1" applyFill="1" applyBorder="1" applyAlignment="1">
      <alignment vertical="center"/>
    </xf>
    <xf numFmtId="0" fontId="4" fillId="2" borderId="4" xfId="0" applyFont="1" applyFill="1" applyBorder="1" applyAlignment="1">
      <alignment horizontal="left" vertical="center"/>
    </xf>
    <xf numFmtId="0" fontId="98" fillId="14" borderId="3" xfId="0" applyFont="1" applyFill="1" applyBorder="1" applyAlignment="1">
      <alignment vertical="center"/>
    </xf>
    <xf numFmtId="0" fontId="98" fillId="14" borderId="39" xfId="0" applyFont="1" applyFill="1" applyBorder="1" applyAlignment="1">
      <alignment vertical="center"/>
    </xf>
    <xf numFmtId="0" fontId="98" fillId="30" borderId="37" xfId="0" applyFont="1" applyFill="1" applyBorder="1" applyAlignment="1">
      <alignment horizontal="left" vertical="center"/>
    </xf>
    <xf numFmtId="0" fontId="98" fillId="30" borderId="1" xfId="0" applyFont="1" applyFill="1" applyBorder="1" applyAlignment="1">
      <alignment horizontal="left" vertical="center"/>
    </xf>
    <xf numFmtId="0" fontId="98" fillId="30" borderId="1" xfId="0" applyFont="1" applyFill="1" applyBorder="1" applyAlignment="1">
      <alignment horizontal="left" vertical="center" wrapText="1"/>
    </xf>
    <xf numFmtId="0" fontId="98" fillId="30" borderId="3" xfId="0" applyFont="1" applyFill="1" applyBorder="1" applyAlignment="1">
      <alignment horizontal="left" vertical="center"/>
    </xf>
    <xf numFmtId="0" fontId="98" fillId="30" borderId="39" xfId="0" applyFont="1" applyFill="1" applyBorder="1" applyAlignment="1">
      <alignment horizontal="left" vertical="center"/>
    </xf>
    <xf numFmtId="0" fontId="98" fillId="30" borderId="37" xfId="0" applyFont="1" applyFill="1" applyBorder="1" applyAlignment="1">
      <alignment vertical="center"/>
    </xf>
    <xf numFmtId="0" fontId="98" fillId="30" borderId="1" xfId="0" applyFont="1" applyFill="1" applyBorder="1" applyAlignment="1">
      <alignment vertical="center"/>
    </xf>
    <xf numFmtId="0" fontId="98" fillId="30" borderId="1" xfId="0" applyFont="1" applyFill="1" applyBorder="1" applyAlignment="1">
      <alignment vertical="center" wrapText="1"/>
    </xf>
    <xf numFmtId="176" fontId="4" fillId="2" borderId="7" xfId="0" applyNumberFormat="1" applyFont="1" applyFill="1" applyBorder="1" applyAlignment="1">
      <alignment horizontal="left" vertical="center"/>
    </xf>
    <xf numFmtId="0" fontId="98" fillId="30" borderId="3" xfId="0" applyFont="1" applyFill="1" applyBorder="1" applyAlignment="1">
      <alignment vertical="center"/>
    </xf>
    <xf numFmtId="0" fontId="98" fillId="30" borderId="39" xfId="0" applyFont="1" applyFill="1" applyBorder="1" applyAlignment="1">
      <alignment vertical="center"/>
    </xf>
    <xf numFmtId="178" fontId="5" fillId="0" borderId="155" xfId="0" applyNumberFormat="1" applyFont="1" applyBorder="1" applyAlignment="1">
      <alignment horizontal="center" vertical="center"/>
    </xf>
    <xf numFmtId="0" fontId="5" fillId="0" borderId="15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5" fillId="0" borderId="39" xfId="0" applyFont="1" applyBorder="1" applyAlignment="1">
      <alignment horizontal="center"/>
    </xf>
    <xf numFmtId="178" fontId="5" fillId="0" borderId="1" xfId="0" applyNumberFormat="1" applyFont="1" applyBorder="1" applyAlignment="1">
      <alignment horizontal="center" vertical="center"/>
    </xf>
    <xf numFmtId="178" fontId="5" fillId="0" borderId="39" xfId="0" applyNumberFormat="1" applyFont="1" applyBorder="1" applyAlignment="1">
      <alignment horizontal="center" vertical="center"/>
    </xf>
    <xf numFmtId="0" fontId="3" fillId="30" borderId="3" xfId="0" applyFont="1" applyFill="1" applyBorder="1" applyAlignment="1">
      <alignment horizontal="center" vertical="center"/>
    </xf>
    <xf numFmtId="0" fontId="3" fillId="30" borderId="7" xfId="0" applyFont="1" applyFill="1" applyBorder="1" applyAlignment="1">
      <alignment horizontal="center" vertical="center"/>
    </xf>
    <xf numFmtId="0" fontId="14" fillId="0" borderId="172" xfId="0" applyFont="1" applyBorder="1" applyAlignment="1">
      <alignment horizontal="justify" vertical="center" wrapText="1"/>
    </xf>
    <xf numFmtId="0" fontId="109" fillId="0" borderId="54" xfId="0" applyFont="1" applyBorder="1" applyAlignment="1">
      <alignment horizontal="right" vertical="center" wrapText="1"/>
    </xf>
    <xf numFmtId="0" fontId="14" fillId="0" borderId="162" xfId="0" applyFont="1" applyBorder="1" applyAlignment="1">
      <alignment vertical="center" wrapText="1"/>
    </xf>
    <xf numFmtId="0" fontId="14" fillId="0" borderId="161" xfId="0" applyFont="1" applyBorder="1" applyAlignment="1">
      <alignment vertical="center" wrapText="1"/>
    </xf>
    <xf numFmtId="0" fontId="125" fillId="29" borderId="34" xfId="0" applyFont="1" applyFill="1" applyBorder="1" applyAlignment="1">
      <alignment horizontal="center"/>
    </xf>
    <xf numFmtId="0" fontId="14" fillId="0" borderId="160" xfId="0" applyFont="1" applyBorder="1" applyAlignment="1">
      <alignment horizontal="justify" vertical="center" wrapText="1"/>
    </xf>
    <xf numFmtId="0" fontId="14" fillId="0" borderId="163" xfId="0" applyFont="1" applyBorder="1" applyAlignment="1">
      <alignment horizontal="justify" vertical="center" wrapText="1"/>
    </xf>
    <xf numFmtId="0" fontId="14" fillId="0" borderId="161" xfId="0" applyFont="1" applyBorder="1" applyAlignment="1">
      <alignment horizontal="justify" vertical="center" wrapText="1"/>
    </xf>
    <xf numFmtId="0" fontId="14" fillId="0" borderId="167" xfId="0" applyFont="1" applyBorder="1" applyAlignment="1">
      <alignment horizontal="justify" vertical="center" wrapText="1"/>
    </xf>
    <xf numFmtId="0" fontId="14" fillId="0" borderId="168" xfId="0" applyFont="1" applyBorder="1" applyAlignment="1">
      <alignment horizontal="justify" vertical="center" wrapText="1"/>
    </xf>
    <xf numFmtId="0" fontId="14" fillId="0" borderId="170" xfId="0" applyFont="1" applyBorder="1" applyAlignment="1">
      <alignment horizontal="justify" vertical="center" wrapText="1"/>
    </xf>
    <xf numFmtId="0" fontId="14" fillId="0" borderId="165" xfId="0" applyFont="1" applyBorder="1" applyAlignment="1">
      <alignment horizontal="justify" vertical="center" wrapText="1"/>
    </xf>
    <xf numFmtId="0" fontId="14" fillId="0" borderId="171" xfId="0" applyFont="1" applyBorder="1" applyAlignment="1">
      <alignment horizontal="justify" vertical="center" wrapText="1"/>
    </xf>
    <xf numFmtId="0" fontId="14" fillId="0" borderId="174" xfId="0" applyFont="1" applyBorder="1" applyAlignment="1">
      <alignment horizontal="center" vertical="center" wrapText="1"/>
    </xf>
    <xf numFmtId="0" fontId="37" fillId="0" borderId="170" xfId="0" applyFont="1" applyBorder="1" applyAlignment="1">
      <alignment horizontal="justify" vertical="center" wrapText="1"/>
    </xf>
    <xf numFmtId="0" fontId="37" fillId="0" borderId="161" xfId="0" applyFont="1" applyBorder="1" applyAlignment="1">
      <alignment horizontal="justify" vertical="center" wrapText="1"/>
    </xf>
    <xf numFmtId="0" fontId="130" fillId="0" borderId="168" xfId="0" applyFont="1" applyBorder="1" applyAlignment="1">
      <alignment horizontal="center" vertical="center" wrapText="1"/>
    </xf>
    <xf numFmtId="0" fontId="132" fillId="0" borderId="0" xfId="0" applyFont="1" applyAlignment="1">
      <alignment horizontal="right" vertical="center" wrapText="1"/>
    </xf>
    <xf numFmtId="0" fontId="125" fillId="29" borderId="144" xfId="0" applyFont="1" applyFill="1" applyBorder="1" applyAlignment="1">
      <alignment horizontal="center" vertical="center"/>
    </xf>
    <xf numFmtId="0" fontId="108" fillId="0" borderId="65" xfId="0" applyFont="1" applyBorder="1" applyAlignment="1">
      <alignment horizontal="center" vertical="center" wrapText="1"/>
    </xf>
    <xf numFmtId="0" fontId="108" fillId="0" borderId="53" xfId="0" applyFont="1" applyBorder="1" applyAlignment="1">
      <alignment horizontal="center" vertical="center" wrapText="1"/>
    </xf>
    <xf numFmtId="0" fontId="135" fillId="0" borderId="5" xfId="0" applyFont="1" applyBorder="1" applyAlignment="1">
      <alignment horizontal="center" vertical="center"/>
    </xf>
    <xf numFmtId="0" fontId="135" fillId="0" borderId="155" xfId="0" applyFont="1" applyBorder="1" applyAlignment="1">
      <alignment horizontal="center" vertical="center"/>
    </xf>
    <xf numFmtId="0" fontId="109" fillId="0" borderId="0" xfId="0" applyFont="1" applyAlignment="1">
      <alignment horizontal="center" vertical="center" wrapText="1"/>
    </xf>
    <xf numFmtId="0" fontId="4" fillId="2" borderId="37" xfId="0" applyFont="1" applyFill="1" applyBorder="1" applyAlignment="1">
      <alignment horizontal="left" vertical="center"/>
    </xf>
    <xf numFmtId="0" fontId="12" fillId="13" borderId="34" xfId="0" applyFont="1" applyFill="1" applyBorder="1" applyAlignment="1">
      <alignment horizontal="center" vertical="center"/>
    </xf>
    <xf numFmtId="49" fontId="14" fillId="0" borderId="0" xfId="0" applyNumberFormat="1" applyFont="1"/>
    <xf numFmtId="49" fontId="0" fillId="0" borderId="0" xfId="0" applyNumberFormat="1"/>
    <xf numFmtId="0" fontId="32" fillId="0" borderId="6" xfId="0" applyFont="1" applyBorder="1" applyAlignment="1">
      <alignment horizontal="center" vertical="center"/>
    </xf>
    <xf numFmtId="49" fontId="130" fillId="0" borderId="168" xfId="0" applyNumberFormat="1" applyFont="1" applyBorder="1" applyAlignment="1">
      <alignment horizontal="center" vertical="center" wrapText="1"/>
    </xf>
    <xf numFmtId="0" fontId="37" fillId="0" borderId="183" xfId="0" applyFont="1" applyBorder="1" applyAlignment="1">
      <alignment vertical="center" wrapText="1"/>
    </xf>
    <xf numFmtId="0" fontId="39" fillId="5" borderId="4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159" fillId="17" borderId="27" xfId="0" applyFont="1" applyFill="1" applyBorder="1" applyAlignment="1">
      <alignment horizontal="center" vertical="center" wrapText="1"/>
    </xf>
    <xf numFmtId="0" fontId="160" fillId="25" borderId="28" xfId="0" applyFont="1" applyFill="1" applyBorder="1" applyAlignment="1">
      <alignment horizontal="center" vertical="center" wrapText="1"/>
    </xf>
    <xf numFmtId="0" fontId="160" fillId="25" borderId="153" xfId="0" applyFont="1" applyFill="1" applyBorder="1" applyAlignment="1">
      <alignment horizontal="center" vertical="center" wrapText="1"/>
    </xf>
    <xf numFmtId="0" fontId="0" fillId="25" borderId="153" xfId="0" applyFill="1" applyBorder="1" applyAlignment="1">
      <alignment vertical="center" wrapText="1"/>
    </xf>
    <xf numFmtId="0" fontId="0" fillId="25" borderId="154" xfId="0" applyFill="1" applyBorder="1" applyAlignment="1">
      <alignment vertical="center" wrapText="1"/>
    </xf>
    <xf numFmtId="0" fontId="14" fillId="0" borderId="0" xfId="5" applyAlignment="1">
      <alignment vertical="center"/>
    </xf>
    <xf numFmtId="0" fontId="14" fillId="0" borderId="0" xfId="5"/>
    <xf numFmtId="0" fontId="4" fillId="2" borderId="40" xfId="5" applyFont="1" applyFill="1" applyBorder="1" applyAlignment="1">
      <alignment horizontal="left" vertical="center"/>
    </xf>
    <xf numFmtId="0" fontId="4" fillId="2" borderId="4" xfId="5" applyFont="1" applyFill="1" applyBorder="1" applyAlignment="1">
      <alignment horizontal="left" vertical="center"/>
    </xf>
    <xf numFmtId="0" fontId="101" fillId="0" borderId="0" xfId="5" applyFont="1" applyAlignment="1">
      <alignment horizontal="center" vertical="center"/>
    </xf>
    <xf numFmtId="0" fontId="165" fillId="0" borderId="33" xfId="5" applyFont="1" applyBorder="1" applyAlignment="1">
      <alignment horizontal="center" vertical="center"/>
    </xf>
    <xf numFmtId="0" fontId="5" fillId="0" borderId="140" xfId="5" applyFont="1" applyBorder="1" applyAlignment="1">
      <alignment horizontal="center" vertical="center"/>
    </xf>
    <xf numFmtId="0" fontId="115" fillId="0" borderId="3" xfId="5" applyFont="1" applyBorder="1" applyAlignment="1">
      <alignment vertical="center"/>
    </xf>
    <xf numFmtId="0" fontId="14" fillId="8" borderId="21" xfId="5" applyFill="1" applyBorder="1" applyAlignment="1">
      <alignment horizontal="center" vertical="center"/>
    </xf>
    <xf numFmtId="0" fontId="115" fillId="0" borderId="1" xfId="5" applyFont="1" applyBorder="1" applyAlignment="1">
      <alignment vertical="center"/>
    </xf>
    <xf numFmtId="0" fontId="5" fillId="22" borderId="140" xfId="5" applyFont="1" applyFill="1" applyBorder="1" applyAlignment="1">
      <alignment horizontal="center" vertical="center"/>
    </xf>
    <xf numFmtId="0" fontId="14" fillId="0" borderId="5" xfId="5" applyBorder="1" applyAlignment="1">
      <alignment vertical="center"/>
    </xf>
    <xf numFmtId="0" fontId="14" fillId="0" borderId="21" xfId="5" applyBorder="1" applyAlignment="1">
      <alignment vertical="center"/>
    </xf>
    <xf numFmtId="0" fontId="14" fillId="0" borderId="4" xfId="5" applyBorder="1" applyAlignment="1">
      <alignment vertical="center"/>
    </xf>
    <xf numFmtId="0" fontId="14" fillId="0" borderId="1" xfId="5" applyBorder="1" applyAlignment="1">
      <alignment vertical="center"/>
    </xf>
    <xf numFmtId="0" fontId="112" fillId="29" borderId="21" xfId="5" applyFont="1" applyFill="1" applyBorder="1" applyAlignment="1">
      <alignment vertical="center"/>
    </xf>
    <xf numFmtId="0" fontId="14" fillId="0" borderId="0" xfId="5" applyAlignment="1">
      <alignment horizontal="left" vertical="center"/>
    </xf>
    <xf numFmtId="0" fontId="14" fillId="0" borderId="38" xfId="5" applyBorder="1" applyAlignment="1">
      <alignment vertical="center"/>
    </xf>
    <xf numFmtId="0" fontId="14" fillId="0" borderId="3" xfId="5" applyBorder="1" applyAlignment="1">
      <alignment vertical="center"/>
    </xf>
    <xf numFmtId="0" fontId="112" fillId="29" borderId="132" xfId="5" applyFont="1" applyFill="1" applyBorder="1" applyAlignment="1">
      <alignment vertical="center"/>
    </xf>
    <xf numFmtId="0" fontId="112" fillId="33" borderId="128" xfId="5" applyFont="1" applyFill="1" applyBorder="1" applyAlignment="1">
      <alignment horizontal="center" vertical="center"/>
    </xf>
    <xf numFmtId="0" fontId="112" fillId="33" borderId="144" xfId="5" applyFont="1" applyFill="1" applyBorder="1" applyAlignment="1">
      <alignment horizontal="center" vertical="center"/>
    </xf>
    <xf numFmtId="0" fontId="169" fillId="8" borderId="0" xfId="5" applyFont="1" applyFill="1" applyAlignment="1">
      <alignment vertical="center"/>
    </xf>
    <xf numFmtId="0" fontId="14" fillId="8" borderId="0" xfId="5" applyFill="1" applyAlignment="1">
      <alignment vertical="center"/>
    </xf>
    <xf numFmtId="0" fontId="113" fillId="0" borderId="0" xfId="5" applyFont="1" applyAlignment="1">
      <alignment vertical="center"/>
    </xf>
    <xf numFmtId="0" fontId="113" fillId="0" borderId="131" xfId="5" applyFont="1" applyBorder="1" applyAlignment="1">
      <alignment vertical="center"/>
    </xf>
    <xf numFmtId="0" fontId="14" fillId="8" borderId="34" xfId="5" applyFill="1" applyBorder="1" applyAlignment="1">
      <alignment vertical="center"/>
    </xf>
    <xf numFmtId="0" fontId="14" fillId="0" borderId="4" xfId="5" applyBorder="1" applyAlignment="1">
      <alignment horizontal="center" vertical="center"/>
    </xf>
    <xf numFmtId="0" fontId="14" fillId="0" borderId="21" xfId="5" applyBorder="1" applyAlignment="1">
      <alignment horizontal="center" vertical="center"/>
    </xf>
    <xf numFmtId="0" fontId="112" fillId="33" borderId="131" xfId="5" applyFont="1" applyFill="1" applyBorder="1" applyAlignment="1">
      <alignment horizontal="center" vertical="center"/>
    </xf>
    <xf numFmtId="0" fontId="112" fillId="33" borderId="192" xfId="5" applyFont="1" applyFill="1" applyBorder="1" applyAlignment="1">
      <alignment horizontal="center" vertical="center"/>
    </xf>
    <xf numFmtId="0" fontId="26" fillId="0" borderId="18" xfId="5" applyFont="1" applyBorder="1" applyAlignment="1">
      <alignment horizontal="left" vertical="center"/>
    </xf>
    <xf numFmtId="0" fontId="14" fillId="0" borderId="18" xfId="5" applyBorder="1" applyAlignment="1">
      <alignment horizontal="left" vertical="center"/>
    </xf>
    <xf numFmtId="0" fontId="14" fillId="0" borderId="130" xfId="5" applyBorder="1" applyAlignment="1">
      <alignment horizontal="left" vertical="center"/>
    </xf>
    <xf numFmtId="0" fontId="14" fillId="0" borderId="5" xfId="5" applyBorder="1" applyAlignment="1">
      <alignment horizontal="left" vertical="center"/>
    </xf>
    <xf numFmtId="0" fontId="98" fillId="14" borderId="4" xfId="5" applyFont="1" applyFill="1" applyBorder="1" applyAlignment="1">
      <alignment horizontal="left" vertical="center"/>
    </xf>
    <xf numFmtId="0" fontId="12" fillId="13" borderId="156" xfId="5" applyFont="1" applyFill="1" applyBorder="1" applyAlignment="1">
      <alignment horizontal="center" vertical="center"/>
    </xf>
    <xf numFmtId="0" fontId="12" fillId="13" borderId="143" xfId="5" applyFont="1" applyFill="1" applyBorder="1" applyAlignment="1">
      <alignment horizontal="center" vertical="center"/>
    </xf>
    <xf numFmtId="0" fontId="12" fillId="13" borderId="36" xfId="5" applyFont="1" applyFill="1" applyBorder="1" applyAlignment="1">
      <alignment horizontal="center" vertical="center"/>
    </xf>
    <xf numFmtId="0" fontId="98" fillId="14" borderId="38" xfId="5" applyFont="1" applyFill="1" applyBorder="1" applyAlignment="1">
      <alignment horizontal="left" vertical="center"/>
    </xf>
    <xf numFmtId="0" fontId="98" fillId="14" borderId="40" xfId="5" applyFont="1" applyFill="1" applyBorder="1" applyAlignment="1">
      <alignment horizontal="left" vertical="center"/>
    </xf>
    <xf numFmtId="0" fontId="4" fillId="2" borderId="155" xfId="5" applyFont="1" applyFill="1" applyBorder="1" applyAlignment="1">
      <alignment horizontal="center" vertical="center"/>
    </xf>
    <xf numFmtId="0" fontId="4" fillId="2" borderId="33" xfId="5" applyFont="1" applyFill="1" applyBorder="1" applyAlignment="1">
      <alignment horizontal="center" vertical="center"/>
    </xf>
    <xf numFmtId="0" fontId="98" fillId="14" borderId="33" xfId="5" applyFont="1" applyFill="1" applyBorder="1" applyAlignment="1">
      <alignment horizontal="center" vertical="center"/>
    </xf>
    <xf numFmtId="0" fontId="14" fillId="0" borderId="0" xfId="5" applyAlignment="1">
      <alignment horizontal="center" vertical="center"/>
    </xf>
    <xf numFmtId="0" fontId="65" fillId="0" borderId="27" xfId="0" applyFont="1" applyBorder="1" applyAlignment="1">
      <alignment horizontal="center" vertical="center" wrapText="1"/>
    </xf>
    <xf numFmtId="0" fontId="175" fillId="14" borderId="3" xfId="0" applyFont="1" applyFill="1" applyBorder="1" applyAlignment="1">
      <alignment vertical="center"/>
    </xf>
    <xf numFmtId="0" fontId="173" fillId="14" borderId="3" xfId="0" applyFont="1" applyFill="1" applyBorder="1" applyAlignment="1">
      <alignment vertical="center"/>
    </xf>
    <xf numFmtId="0" fontId="176" fillId="2" borderId="3" xfId="0" applyFont="1" applyFill="1" applyBorder="1" applyAlignment="1">
      <alignment horizontal="left" vertical="center"/>
    </xf>
    <xf numFmtId="0" fontId="39" fillId="5" borderId="1" xfId="5" applyFont="1" applyFill="1" applyBorder="1" applyAlignment="1">
      <alignment horizontal="center" vertical="center"/>
    </xf>
    <xf numFmtId="178" fontId="109" fillId="2" borderId="40" xfId="5" applyNumberFormat="1" applyFont="1" applyFill="1" applyBorder="1" applyAlignment="1">
      <alignment horizontal="left" vertical="center"/>
    </xf>
    <xf numFmtId="0" fontId="108" fillId="14" borderId="39" xfId="5" applyFont="1" applyFill="1" applyBorder="1" applyAlignment="1">
      <alignment vertical="center"/>
    </xf>
    <xf numFmtId="176" fontId="109" fillId="2" borderId="19" xfId="5" applyNumberFormat="1" applyFont="1" applyFill="1" applyBorder="1" applyAlignment="1">
      <alignment horizontal="left" vertical="center"/>
    </xf>
    <xf numFmtId="0" fontId="148" fillId="14" borderId="6" xfId="5" applyFont="1" applyFill="1" applyBorder="1" applyAlignment="1">
      <alignment vertical="center"/>
    </xf>
    <xf numFmtId="0" fontId="108" fillId="14" borderId="6" xfId="5" applyFont="1" applyFill="1" applyBorder="1" applyAlignment="1">
      <alignment vertical="center"/>
    </xf>
    <xf numFmtId="176" fontId="4" fillId="2" borderId="5" xfId="5" applyNumberFormat="1" applyFont="1" applyFill="1" applyBorder="1" applyAlignment="1">
      <alignment vertical="center" wrapText="1"/>
    </xf>
    <xf numFmtId="0" fontId="98" fillId="14" borderId="1" xfId="5" applyFont="1" applyFill="1" applyBorder="1" applyAlignment="1">
      <alignment vertical="center"/>
    </xf>
    <xf numFmtId="176" fontId="109" fillId="2" borderId="4" xfId="5" applyNumberFormat="1" applyFont="1" applyFill="1" applyBorder="1" applyAlignment="1">
      <alignment horizontal="left" vertical="center"/>
    </xf>
    <xf numFmtId="0" fontId="108" fillId="14" borderId="1" xfId="5" applyFont="1" applyFill="1" applyBorder="1" applyAlignment="1">
      <alignment vertical="center"/>
    </xf>
    <xf numFmtId="178" fontId="109" fillId="2" borderId="4" xfId="5" applyNumberFormat="1" applyFont="1" applyFill="1" applyBorder="1" applyAlignment="1">
      <alignment horizontal="left" vertical="center"/>
    </xf>
    <xf numFmtId="176" fontId="4" fillId="2" borderId="4" xfId="5" applyNumberFormat="1" applyFont="1" applyFill="1" applyBorder="1" applyAlignment="1">
      <alignment horizontal="left" vertical="center"/>
    </xf>
    <xf numFmtId="176" fontId="4" fillId="2" borderId="136" xfId="5" applyNumberFormat="1" applyFont="1" applyFill="1" applyBorder="1" applyAlignment="1">
      <alignment horizontal="center" vertical="center"/>
    </xf>
    <xf numFmtId="0" fontId="98" fillId="14" borderId="1" xfId="5" applyFont="1" applyFill="1" applyBorder="1" applyAlignment="1">
      <alignment horizontal="center" vertical="center"/>
    </xf>
    <xf numFmtId="178" fontId="4" fillId="2" borderId="4" xfId="5" applyNumberFormat="1" applyFont="1" applyFill="1" applyBorder="1" applyAlignment="1">
      <alignment horizontal="left" vertical="center"/>
    </xf>
    <xf numFmtId="0" fontId="98" fillId="14" borderId="21" xfId="5" applyFont="1" applyFill="1" applyBorder="1" applyAlignment="1">
      <alignment horizontal="center" vertical="center"/>
    </xf>
    <xf numFmtId="0" fontId="98" fillId="14" borderId="1" xfId="5" applyFont="1" applyFill="1" applyBorder="1" applyAlignment="1">
      <alignment horizontal="left" vertical="center"/>
    </xf>
    <xf numFmtId="176" fontId="4" fillId="2" borderId="4" xfId="5" applyNumberFormat="1" applyFont="1" applyFill="1" applyBorder="1" applyAlignment="1">
      <alignment vertical="center" wrapText="1"/>
    </xf>
    <xf numFmtId="0" fontId="5" fillId="0" borderId="4" xfId="5" applyFont="1" applyBorder="1" applyAlignment="1">
      <alignment horizontal="left" vertical="center"/>
    </xf>
    <xf numFmtId="176" fontId="4" fillId="2" borderId="1" xfId="5" applyNumberFormat="1" applyFont="1" applyFill="1" applyBorder="1" applyAlignment="1">
      <alignment horizontal="left" vertical="center"/>
    </xf>
    <xf numFmtId="0" fontId="5" fillId="0" borderId="18" xfId="5" applyFont="1" applyBorder="1" applyAlignment="1">
      <alignment horizontal="left" vertical="center"/>
    </xf>
    <xf numFmtId="0" fontId="172" fillId="14" borderId="1" xfId="5" applyFont="1" applyFill="1" applyBorder="1" applyAlignment="1">
      <alignment vertical="center"/>
    </xf>
    <xf numFmtId="176" fontId="176" fillId="2" borderId="1" xfId="5" applyNumberFormat="1" applyFont="1" applyFill="1" applyBorder="1" applyAlignment="1">
      <alignment horizontal="left" vertical="center"/>
    </xf>
    <xf numFmtId="0" fontId="4" fillId="2" borderId="33" xfId="5" applyFont="1" applyFill="1" applyBorder="1" applyAlignment="1">
      <alignment horizontal="left" vertical="center"/>
    </xf>
    <xf numFmtId="0" fontId="4" fillId="2" borderId="0" xfId="5" applyFont="1" applyFill="1" applyAlignment="1">
      <alignment vertical="center"/>
    </xf>
    <xf numFmtId="0" fontId="5" fillId="0" borderId="33" xfId="5" applyFont="1" applyBorder="1" applyAlignment="1">
      <alignment vertical="center"/>
    </xf>
    <xf numFmtId="0" fontId="5" fillId="0" borderId="0" xfId="5" applyFont="1" applyAlignment="1">
      <alignment vertical="center"/>
    </xf>
    <xf numFmtId="0" fontId="4" fillId="2" borderId="193" xfId="5" applyFont="1" applyFill="1" applyBorder="1" applyAlignment="1">
      <alignment horizontal="left" vertical="center"/>
    </xf>
    <xf numFmtId="0" fontId="5" fillId="0" borderId="193" xfId="5" applyFont="1" applyBorder="1" applyAlignment="1">
      <alignment vertical="center"/>
    </xf>
    <xf numFmtId="176" fontId="4" fillId="2" borderId="135" xfId="5" applyNumberFormat="1" applyFont="1" applyFill="1" applyBorder="1" applyAlignment="1">
      <alignment horizontal="left" vertical="center"/>
    </xf>
    <xf numFmtId="0" fontId="98" fillId="14" borderId="95" xfId="5" applyFont="1" applyFill="1" applyBorder="1" applyAlignment="1">
      <alignment vertical="center"/>
    </xf>
    <xf numFmtId="176" fontId="4" fillId="2" borderId="95" xfId="5" applyNumberFormat="1" applyFont="1" applyFill="1" applyBorder="1" applyAlignment="1">
      <alignment horizontal="left" vertical="center"/>
    </xf>
    <xf numFmtId="0" fontId="5" fillId="0" borderId="4" xfId="5" applyFont="1" applyBorder="1"/>
    <xf numFmtId="0" fontId="5" fillId="0" borderId="1" xfId="5" applyFont="1" applyBorder="1"/>
    <xf numFmtId="176" fontId="67" fillId="2" borderId="4" xfId="5" applyNumberFormat="1" applyFont="1" applyFill="1" applyBorder="1" applyAlignment="1">
      <alignment horizontal="left" vertical="center"/>
    </xf>
    <xf numFmtId="0" fontId="178" fillId="0" borderId="0" xfId="5" applyFont="1" applyAlignment="1">
      <alignment vertical="center"/>
    </xf>
    <xf numFmtId="0" fontId="76" fillId="14" borderId="1" xfId="5" applyFont="1" applyFill="1" applyBorder="1" applyAlignment="1">
      <alignment vertical="center"/>
    </xf>
    <xf numFmtId="0" fontId="26" fillId="0" borderId="0" xfId="5" applyFont="1" applyAlignment="1">
      <alignment vertical="center"/>
    </xf>
    <xf numFmtId="0" fontId="4" fillId="2" borderId="39" xfId="5" applyFont="1" applyFill="1" applyBorder="1" applyAlignment="1">
      <alignment vertical="center"/>
    </xf>
    <xf numFmtId="176" fontId="4" fillId="2" borderId="39" xfId="5" applyNumberFormat="1" applyFont="1" applyFill="1" applyBorder="1" applyAlignment="1">
      <alignment horizontal="left" vertical="center"/>
    </xf>
    <xf numFmtId="0" fontId="98" fillId="14" borderId="39" xfId="5" applyFont="1" applyFill="1" applyBorder="1" applyAlignment="1">
      <alignment vertical="center"/>
    </xf>
    <xf numFmtId="0" fontId="4" fillId="2" borderId="1" xfId="5" applyFont="1" applyFill="1" applyBorder="1" applyAlignment="1">
      <alignment vertical="center"/>
    </xf>
    <xf numFmtId="176" fontId="4" fillId="2" borderId="6" xfId="5" applyNumberFormat="1" applyFont="1" applyFill="1" applyBorder="1" applyAlignment="1">
      <alignment horizontal="left" vertical="center"/>
    </xf>
    <xf numFmtId="0" fontId="98" fillId="14" borderId="6" xfId="5" applyFont="1" applyFill="1" applyBorder="1" applyAlignment="1">
      <alignment vertical="center"/>
    </xf>
    <xf numFmtId="0" fontId="98" fillId="14" borderId="3" xfId="5" applyFont="1" applyFill="1" applyBorder="1" applyAlignment="1">
      <alignment vertical="center"/>
    </xf>
    <xf numFmtId="0" fontId="4" fillId="2" borderId="1" xfId="5" applyFont="1" applyFill="1" applyBorder="1" applyAlignment="1">
      <alignment horizontal="left" vertical="center"/>
    </xf>
    <xf numFmtId="0" fontId="5" fillId="0" borderId="5" xfId="5" applyFont="1" applyBorder="1" applyAlignment="1">
      <alignment horizontal="left" vertical="center"/>
    </xf>
    <xf numFmtId="0" fontId="5" fillId="0" borderId="1" xfId="5" applyFont="1" applyBorder="1" applyAlignment="1">
      <alignment vertical="center"/>
    </xf>
    <xf numFmtId="0" fontId="4" fillId="11" borderId="0" xfId="5" applyFont="1" applyFill="1" applyAlignment="1">
      <alignment horizontal="left" vertical="center"/>
    </xf>
    <xf numFmtId="0" fontId="4" fillId="11" borderId="33" xfId="5" applyFont="1" applyFill="1" applyBorder="1" applyAlignment="1">
      <alignment vertical="center"/>
    </xf>
    <xf numFmtId="0" fontId="5" fillId="8" borderId="33" xfId="5" applyFont="1" applyFill="1" applyBorder="1" applyAlignment="1">
      <alignment vertical="center"/>
    </xf>
    <xf numFmtId="0" fontId="5" fillId="8" borderId="0" xfId="5" applyFont="1" applyFill="1" applyAlignment="1">
      <alignment vertical="center"/>
    </xf>
    <xf numFmtId="0" fontId="14" fillId="8" borderId="35" xfId="5" applyFill="1" applyBorder="1" applyAlignment="1">
      <alignment vertical="center"/>
    </xf>
    <xf numFmtId="0" fontId="4" fillId="11" borderId="193" xfId="5" applyFont="1" applyFill="1" applyBorder="1" applyAlignment="1">
      <alignment vertical="center"/>
    </xf>
    <xf numFmtId="0" fontId="5" fillId="8" borderId="193" xfId="5" applyFont="1" applyFill="1" applyBorder="1" applyAlignment="1">
      <alignment vertical="center"/>
    </xf>
    <xf numFmtId="176" fontId="4" fillId="2" borderId="7" xfId="5" applyNumberFormat="1" applyFont="1" applyFill="1" applyBorder="1" applyAlignment="1">
      <alignment horizontal="left" vertical="center"/>
    </xf>
    <xf numFmtId="0" fontId="179" fillId="14" borderId="3" xfId="5" applyFont="1" applyFill="1" applyBorder="1" applyAlignment="1">
      <alignment vertical="center"/>
    </xf>
    <xf numFmtId="0" fontId="179" fillId="14" borderId="1" xfId="5" applyFont="1" applyFill="1" applyBorder="1" applyAlignment="1">
      <alignment vertical="center"/>
    </xf>
    <xf numFmtId="176" fontId="4" fillId="2" borderId="38" xfId="5" applyNumberFormat="1" applyFont="1" applyFill="1" applyBorder="1" applyAlignment="1">
      <alignment horizontal="left" vertical="center"/>
    </xf>
    <xf numFmtId="0" fontId="98" fillId="14" borderId="37" xfId="5" applyFont="1" applyFill="1" applyBorder="1" applyAlignment="1">
      <alignment vertical="center"/>
    </xf>
    <xf numFmtId="0" fontId="4" fillId="2" borderId="37" xfId="5" applyFont="1" applyFill="1" applyBorder="1" applyAlignment="1">
      <alignment horizontal="left" vertical="center"/>
    </xf>
    <xf numFmtId="0" fontId="12" fillId="13" borderId="36" xfId="5" applyFont="1" applyFill="1" applyBorder="1" applyAlignment="1">
      <alignment horizontal="left" vertical="center"/>
    </xf>
    <xf numFmtId="0" fontId="12" fillId="13" borderId="34" xfId="5" applyFont="1" applyFill="1" applyBorder="1" applyAlignment="1">
      <alignment horizontal="center" vertical="center"/>
    </xf>
    <xf numFmtId="0" fontId="39" fillId="5" borderId="3" xfId="5" applyFont="1" applyFill="1" applyBorder="1" applyAlignment="1">
      <alignment horizontal="center" vertical="center"/>
    </xf>
    <xf numFmtId="0" fontId="14" fillId="6" borderId="1" xfId="5" applyFill="1" applyBorder="1" applyAlignment="1">
      <alignment vertical="center"/>
    </xf>
    <xf numFmtId="0" fontId="14" fillId="6" borderId="1" xfId="5" applyFill="1" applyBorder="1" applyAlignment="1">
      <alignment horizontal="left" vertical="center"/>
    </xf>
    <xf numFmtId="0" fontId="37" fillId="5" borderId="2" xfId="5" applyFont="1" applyFill="1" applyBorder="1" applyAlignment="1">
      <alignment horizontal="left" vertical="center" wrapText="1"/>
    </xf>
    <xf numFmtId="0" fontId="98" fillId="30" borderId="1" xfId="0" applyFont="1" applyFill="1" applyBorder="1" applyAlignment="1">
      <alignment horizontal="center" vertical="center"/>
    </xf>
    <xf numFmtId="0" fontId="98" fillId="30" borderId="3" xfId="0" applyFont="1" applyFill="1" applyBorder="1" applyAlignment="1">
      <alignment horizontal="center" vertical="center"/>
    </xf>
    <xf numFmtId="0" fontId="98" fillId="30" borderId="39" xfId="0" applyFont="1" applyFill="1" applyBorder="1" applyAlignment="1">
      <alignment horizontal="center" vertical="center"/>
    </xf>
    <xf numFmtId="0" fontId="179" fillId="30" borderId="3" xfId="0" applyFont="1" applyFill="1" applyBorder="1" applyAlignment="1">
      <alignment horizontal="center" vertical="center"/>
    </xf>
    <xf numFmtId="0" fontId="175" fillId="30" borderId="7" xfId="0" applyFont="1" applyFill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2" fillId="0" borderId="161" xfId="0" applyFont="1" applyBorder="1" applyAlignment="1">
      <alignment horizontal="center" vertical="center" wrapText="1"/>
    </xf>
    <xf numFmtId="0" fontId="0" fillId="0" borderId="194" xfId="0" applyBorder="1" applyAlignment="1">
      <alignment vertical="center" wrapText="1"/>
    </xf>
    <xf numFmtId="0" fontId="0" fillId="0" borderId="162" xfId="0" applyBorder="1" applyAlignment="1">
      <alignment vertical="center" wrapText="1"/>
    </xf>
    <xf numFmtId="0" fontId="182" fillId="0" borderId="170" xfId="0" applyFont="1" applyBorder="1" applyAlignment="1">
      <alignment horizontal="justify" vertical="center" wrapText="1"/>
    </xf>
    <xf numFmtId="0" fontId="182" fillId="0" borderId="161" xfId="0" applyFont="1" applyBorder="1" applyAlignment="1">
      <alignment horizontal="justify" vertical="center" wrapText="1"/>
    </xf>
    <xf numFmtId="0" fontId="0" fillId="0" borderId="161" xfId="0" applyBorder="1" applyAlignment="1">
      <alignment vertical="center" wrapText="1"/>
    </xf>
    <xf numFmtId="0" fontId="185" fillId="0" borderId="181" xfId="0" applyFont="1" applyBorder="1" applyAlignment="1">
      <alignment horizontal="center" vertical="center" wrapText="1"/>
    </xf>
    <xf numFmtId="0" fontId="187" fillId="0" borderId="181" xfId="0" applyFont="1" applyBorder="1" applyAlignment="1">
      <alignment horizontal="center" vertical="center" wrapText="1"/>
    </xf>
    <xf numFmtId="0" fontId="187" fillId="0" borderId="168" xfId="0" applyFont="1" applyBorder="1" applyAlignment="1">
      <alignment horizontal="center" vertical="center" wrapText="1"/>
    </xf>
    <xf numFmtId="0" fontId="182" fillId="0" borderId="162" xfId="0" applyFont="1" applyBorder="1" applyAlignment="1">
      <alignment horizontal="center" vertical="center" wrapText="1"/>
    </xf>
    <xf numFmtId="0" fontId="179" fillId="30" borderId="1" xfId="0" applyFont="1" applyFill="1" applyBorder="1" applyAlignment="1">
      <alignment horizontal="center" vertical="center"/>
    </xf>
    <xf numFmtId="0" fontId="76" fillId="30" borderId="1" xfId="0" applyFont="1" applyFill="1" applyBorder="1" applyAlignment="1">
      <alignment horizontal="center" vertical="center"/>
    </xf>
    <xf numFmtId="0" fontId="58" fillId="0" borderId="175" xfId="0" applyFont="1" applyBorder="1" applyAlignment="1">
      <alignment horizontal="right" vertical="center" wrapText="1"/>
    </xf>
    <xf numFmtId="0" fontId="182" fillId="0" borderId="203" xfId="0" applyFont="1" applyBorder="1" applyAlignment="1">
      <alignment horizontal="center" vertical="center" wrapText="1"/>
    </xf>
    <xf numFmtId="0" fontId="58" fillId="0" borderId="168" xfId="0" applyFont="1" applyBorder="1" applyAlignment="1">
      <alignment horizontal="center" vertical="center" wrapText="1"/>
    </xf>
    <xf numFmtId="0" fontId="58" fillId="0" borderId="197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33" xfId="0" applyFont="1" applyBorder="1"/>
    <xf numFmtId="0" fontId="5" fillId="0" borderId="157" xfId="0" applyFont="1" applyBorder="1"/>
    <xf numFmtId="0" fontId="172" fillId="30" borderId="7" xfId="0" applyFont="1" applyFill="1" applyBorder="1" applyAlignment="1">
      <alignment horizontal="center" vertical="center"/>
    </xf>
    <xf numFmtId="0" fontId="179" fillId="30" borderId="7" xfId="0" applyFont="1" applyFill="1" applyBorder="1" applyAlignment="1">
      <alignment horizontal="center" vertical="center"/>
    </xf>
    <xf numFmtId="0" fontId="105" fillId="0" borderId="0" xfId="0" applyFont="1" applyAlignment="1">
      <alignment horizontal="center"/>
    </xf>
    <xf numFmtId="0" fontId="98" fillId="0" borderId="0" xfId="0" applyFont="1" applyAlignment="1">
      <alignment horizontal="center" vertical="center"/>
    </xf>
    <xf numFmtId="0" fontId="125" fillId="29" borderId="36" xfId="0" applyFont="1" applyFill="1" applyBorder="1" applyAlignment="1">
      <alignment horizontal="center" vertical="center"/>
    </xf>
    <xf numFmtId="0" fontId="102" fillId="30" borderId="3" xfId="0" applyFont="1" applyFill="1" applyBorder="1" applyAlignment="1">
      <alignment horizontal="center" vertical="center"/>
    </xf>
    <xf numFmtId="0" fontId="14" fillId="0" borderId="0" xfId="5" applyAlignment="1">
      <alignment horizontal="center"/>
    </xf>
    <xf numFmtId="0" fontId="14" fillId="0" borderId="33" xfId="5" applyBorder="1" applyAlignment="1">
      <alignment vertical="center"/>
    </xf>
    <xf numFmtId="0" fontId="100" fillId="31" borderId="5" xfId="5" applyFont="1" applyFill="1" applyBorder="1" applyAlignment="1">
      <alignment vertical="center"/>
    </xf>
    <xf numFmtId="0" fontId="165" fillId="0" borderId="140" xfId="5" applyFont="1" applyBorder="1" applyAlignment="1">
      <alignment horizontal="center" vertical="center"/>
    </xf>
    <xf numFmtId="0" fontId="195" fillId="0" borderId="140" xfId="5" applyFont="1" applyBorder="1" applyAlignment="1">
      <alignment horizontal="center" vertical="center"/>
    </xf>
    <xf numFmtId="0" fontId="178" fillId="8" borderId="140" xfId="5" applyFont="1" applyFill="1" applyBorder="1" applyAlignment="1">
      <alignment horizontal="center" vertical="center"/>
    </xf>
    <xf numFmtId="0" fontId="4" fillId="2" borderId="0" xfId="5" applyFont="1" applyFill="1" applyAlignment="1">
      <alignment horizontal="left" vertical="center"/>
    </xf>
    <xf numFmtId="0" fontId="30" fillId="8" borderId="1" xfId="5" applyFont="1" applyFill="1" applyBorder="1" applyAlignment="1">
      <alignment horizontal="center" vertical="center" wrapText="1"/>
    </xf>
    <xf numFmtId="0" fontId="100" fillId="31" borderId="33" xfId="5" applyFont="1" applyFill="1" applyBorder="1" applyAlignment="1">
      <alignment vertical="center"/>
    </xf>
    <xf numFmtId="0" fontId="115" fillId="29" borderId="1" xfId="5" applyFont="1" applyFill="1" applyBorder="1" applyAlignment="1">
      <alignment vertical="center"/>
    </xf>
    <xf numFmtId="0" fontId="166" fillId="32" borderId="140" xfId="4" applyFont="1" applyBorder="1" applyAlignment="1">
      <alignment horizontal="center" vertical="center"/>
    </xf>
    <xf numFmtId="0" fontId="201" fillId="0" borderId="33" xfId="5" applyFont="1" applyBorder="1" applyAlignment="1">
      <alignment horizontal="left" vertical="center" wrapText="1"/>
    </xf>
    <xf numFmtId="0" fontId="101" fillId="0" borderId="0" xfId="5" applyFont="1" applyAlignment="1">
      <alignment vertical="center"/>
    </xf>
    <xf numFmtId="0" fontId="169" fillId="0" borderId="33" xfId="5" applyFont="1" applyBorder="1" applyAlignment="1">
      <alignment horizontal="left" vertical="center" wrapText="1"/>
    </xf>
    <xf numFmtId="0" fontId="14" fillId="0" borderId="193" xfId="5" applyBorder="1" applyAlignment="1">
      <alignment vertical="center"/>
    </xf>
    <xf numFmtId="0" fontId="112" fillId="33" borderId="215" xfId="5" applyFont="1" applyFill="1" applyBorder="1" applyAlignment="1">
      <alignment horizontal="center" vertical="center"/>
    </xf>
    <xf numFmtId="0" fontId="115" fillId="0" borderId="1" xfId="5" applyFont="1" applyBorder="1" applyAlignment="1">
      <alignment vertical="center" wrapText="1"/>
    </xf>
    <xf numFmtId="0" fontId="4" fillId="2" borderId="39" xfId="5" applyFont="1" applyFill="1" applyBorder="1" applyAlignment="1">
      <alignment horizontal="center" vertical="center"/>
    </xf>
    <xf numFmtId="0" fontId="98" fillId="14" borderId="39" xfId="5" applyFont="1" applyFill="1" applyBorder="1" applyAlignment="1">
      <alignment horizontal="left" vertical="center"/>
    </xf>
    <xf numFmtId="0" fontId="4" fillId="2" borderId="3" xfId="5" applyFont="1" applyFill="1" applyBorder="1" applyAlignment="1">
      <alignment horizontal="center" vertical="center"/>
    </xf>
    <xf numFmtId="0" fontId="98" fillId="14" borderId="37" xfId="5" applyFont="1" applyFill="1" applyBorder="1" applyAlignment="1">
      <alignment horizontal="left" vertical="center"/>
    </xf>
    <xf numFmtId="0" fontId="98" fillId="14" borderId="37" xfId="5" applyFont="1" applyFill="1" applyBorder="1" applyAlignment="1">
      <alignment horizontal="center" vertical="center"/>
    </xf>
    <xf numFmtId="0" fontId="202" fillId="0" borderId="33" xfId="5" applyFont="1" applyBorder="1" applyAlignment="1">
      <alignment vertical="center"/>
    </xf>
    <xf numFmtId="0" fontId="202" fillId="0" borderId="0" xfId="5" applyFont="1" applyAlignment="1">
      <alignment vertical="center"/>
    </xf>
    <xf numFmtId="0" fontId="14" fillId="8" borderId="0" xfId="5" applyFill="1" applyAlignment="1">
      <alignment horizontal="center" vertical="center"/>
    </xf>
    <xf numFmtId="0" fontId="14" fillId="8" borderId="131" xfId="5" applyFill="1" applyBorder="1" applyAlignment="1">
      <alignment horizontal="center" vertical="center"/>
    </xf>
    <xf numFmtId="0" fontId="14" fillId="0" borderId="27" xfId="0" applyFont="1" applyBorder="1" applyAlignment="1">
      <alignment horizontal="center" vertical="center" wrapText="1"/>
    </xf>
    <xf numFmtId="0" fontId="14" fillId="0" borderId="30" xfId="0" applyFont="1" applyBorder="1" applyAlignment="1">
      <alignment horizontal="center" vertical="center" wrapText="1"/>
    </xf>
    <xf numFmtId="0" fontId="4" fillId="2" borderId="39" xfId="5" applyFont="1" applyFill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0" fontId="5" fillId="0" borderId="40" xfId="0" applyFont="1" applyBorder="1" applyAlignment="1">
      <alignment horizontal="center" vertical="center"/>
    </xf>
    <xf numFmtId="0" fontId="208" fillId="0" borderId="0" xfId="0" applyFont="1" applyAlignment="1">
      <alignment horizontal="right" vertical="center"/>
    </xf>
    <xf numFmtId="0" fontId="66" fillId="0" borderId="30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154" xfId="0" applyFont="1" applyBorder="1" applyAlignment="1">
      <alignment horizontal="center" vertical="center" wrapText="1"/>
    </xf>
    <xf numFmtId="0" fontId="66" fillId="0" borderId="27" xfId="0" applyFont="1" applyBorder="1" applyAlignment="1">
      <alignment horizontal="center" vertical="center" wrapText="1"/>
    </xf>
    <xf numFmtId="0" fontId="98" fillId="30" borderId="38" xfId="0" applyFont="1" applyFill="1" applyBorder="1" applyAlignment="1">
      <alignment horizontal="center" vertical="center" wrapText="1"/>
    </xf>
    <xf numFmtId="0" fontId="37" fillId="25" borderId="27" xfId="0" applyFont="1" applyFill="1" applyBorder="1" applyAlignment="1">
      <alignment horizontal="center" vertical="center" wrapText="1"/>
    </xf>
    <xf numFmtId="0" fontId="14" fillId="0" borderId="154" xfId="0" applyFont="1" applyBorder="1" applyAlignment="1">
      <alignment vertical="center" wrapText="1"/>
    </xf>
    <xf numFmtId="0" fontId="37" fillId="0" borderId="27" xfId="0" applyFont="1" applyBorder="1" applyAlignment="1">
      <alignment horizontal="center" vertical="center" wrapText="1"/>
    </xf>
    <xf numFmtId="0" fontId="14" fillId="0" borderId="30" xfId="0" applyFont="1" applyBorder="1" applyAlignment="1">
      <alignment vertical="center" wrapText="1"/>
    </xf>
    <xf numFmtId="0" fontId="211" fillId="0" borderId="0" xfId="0" applyFont="1" applyAlignment="1">
      <alignment vertical="center" wrapText="1"/>
    </xf>
    <xf numFmtId="0" fontId="37" fillId="25" borderId="30" xfId="0" applyFont="1" applyFill="1" applyBorder="1" applyAlignment="1">
      <alignment horizontal="center" vertical="center" wrapText="1"/>
    </xf>
    <xf numFmtId="0" fontId="37" fillId="0" borderId="108" xfId="0" applyFont="1" applyBorder="1" applyAlignment="1">
      <alignment horizontal="center" vertical="center" wrapText="1"/>
    </xf>
    <xf numFmtId="0" fontId="37" fillId="0" borderId="63" xfId="0" applyFont="1" applyBorder="1" applyAlignment="1">
      <alignment horizontal="center" vertical="center" wrapText="1"/>
    </xf>
    <xf numFmtId="0" fontId="37" fillId="0" borderId="126" xfId="0" applyFont="1" applyBorder="1" applyAlignment="1">
      <alignment horizontal="center" vertical="center" wrapText="1"/>
    </xf>
    <xf numFmtId="0" fontId="14" fillId="0" borderId="63" xfId="0" applyFont="1" applyBorder="1" applyAlignment="1">
      <alignment vertical="center" wrapText="1"/>
    </xf>
    <xf numFmtId="0" fontId="37" fillId="0" borderId="30" xfId="0" applyFont="1" applyBorder="1" applyAlignment="1">
      <alignment horizontal="center" vertical="center" wrapText="1"/>
    </xf>
    <xf numFmtId="0" fontId="37" fillId="25" borderId="61" xfId="0" applyFont="1" applyFill="1" applyBorder="1" applyAlignment="1">
      <alignment horizontal="center" vertical="center" wrapText="1"/>
    </xf>
    <xf numFmtId="0" fontId="37" fillId="0" borderId="29" xfId="0" applyFont="1" applyBorder="1" applyAlignment="1">
      <alignment horizontal="center" vertical="center" wrapText="1"/>
    </xf>
    <xf numFmtId="0" fontId="37" fillId="0" borderId="26" xfId="0" applyFont="1" applyBorder="1" applyAlignment="1">
      <alignment horizontal="center" vertical="center" wrapText="1"/>
    </xf>
    <xf numFmtId="0" fontId="37" fillId="0" borderId="149" xfId="0" applyFont="1" applyBorder="1" applyAlignment="1">
      <alignment horizontal="center" vertical="center" wrapText="1"/>
    </xf>
    <xf numFmtId="0" fontId="14" fillId="0" borderId="26" xfId="0" applyFont="1" applyBorder="1" applyAlignment="1">
      <alignment vertical="center" wrapText="1"/>
    </xf>
    <xf numFmtId="0" fontId="37" fillId="0" borderId="61" xfId="0" applyFont="1" applyBorder="1" applyAlignment="1">
      <alignment horizontal="center" vertical="center" wrapText="1"/>
    </xf>
    <xf numFmtId="0" fontId="203" fillId="29" borderId="34" xfId="0" applyFont="1" applyFill="1" applyBorder="1"/>
    <xf numFmtId="0" fontId="14" fillId="0" borderId="39" xfId="0" applyFont="1" applyBorder="1"/>
    <xf numFmtId="0" fontId="14" fillId="0" borderId="4" xfId="0" applyFont="1" applyBorder="1" applyAlignment="1">
      <alignment horizontal="center"/>
    </xf>
    <xf numFmtId="0" fontId="14" fillId="0" borderId="153" xfId="0" applyFont="1" applyBorder="1" applyAlignment="1">
      <alignment horizontal="center" vertical="center" wrapText="1"/>
    </xf>
    <xf numFmtId="0" fontId="14" fillId="0" borderId="35" xfId="0" applyFont="1" applyBorder="1"/>
    <xf numFmtId="0" fontId="14" fillId="0" borderId="25" xfId="0" applyFont="1" applyBorder="1"/>
    <xf numFmtId="0" fontId="98" fillId="14" borderId="95" xfId="0" applyFont="1" applyFill="1" applyBorder="1" applyAlignment="1">
      <alignment vertical="center"/>
    </xf>
    <xf numFmtId="0" fontId="4" fillId="2" borderId="95" xfId="0" applyFont="1" applyFill="1" applyBorder="1" applyAlignment="1">
      <alignment horizontal="left" vertical="center"/>
    </xf>
    <xf numFmtId="0" fontId="39" fillId="25" borderId="27" xfId="0" applyFont="1" applyFill="1" applyBorder="1" applyAlignment="1">
      <alignment horizontal="center" vertical="center" wrapText="1"/>
    </xf>
    <xf numFmtId="0" fontId="39" fillId="25" borderId="28" xfId="0" applyFont="1" applyFill="1" applyBorder="1" applyAlignment="1">
      <alignment horizontal="center" vertical="center" wrapText="1"/>
    </xf>
    <xf numFmtId="0" fontId="39" fillId="25" borderId="154" xfId="0" applyFont="1" applyFill="1" applyBorder="1" applyAlignment="1">
      <alignment horizontal="center" vertical="center" wrapText="1"/>
    </xf>
    <xf numFmtId="0" fontId="157" fillId="0" borderId="27" xfId="0" applyFont="1" applyBorder="1" applyAlignment="1">
      <alignment horizontal="center" vertical="center" wrapText="1"/>
    </xf>
    <xf numFmtId="0" fontId="223" fillId="0" borderId="27" xfId="0" applyFont="1" applyBorder="1" applyAlignment="1">
      <alignment horizontal="center" vertical="center" wrapText="1"/>
    </xf>
    <xf numFmtId="0" fontId="39" fillId="0" borderId="31" xfId="0" applyFont="1" applyBorder="1" applyAlignment="1">
      <alignment horizontal="center" vertical="center" wrapText="1"/>
    </xf>
    <xf numFmtId="0" fontId="39" fillId="0" borderId="31" xfId="0" applyFont="1" applyBorder="1" applyAlignment="1">
      <alignment horizontal="justify" vertical="center" wrapText="1"/>
    </xf>
    <xf numFmtId="0" fontId="157" fillId="0" borderId="31" xfId="0" applyFont="1" applyBorder="1" applyAlignment="1">
      <alignment horizontal="right" vertical="center" wrapText="1"/>
    </xf>
    <xf numFmtId="0" fontId="226" fillId="0" borderId="33" xfId="5" applyFont="1" applyBorder="1" applyAlignment="1">
      <alignment horizontal="center" vertical="center" wrapText="1"/>
    </xf>
    <xf numFmtId="0" fontId="33" fillId="35" borderId="26" xfId="0" applyFont="1" applyFill="1" applyBorder="1" applyAlignment="1">
      <alignment horizontal="center" vertical="center"/>
    </xf>
    <xf numFmtId="0" fontId="33" fillId="35" borderId="27" xfId="0" applyFont="1" applyFill="1" applyBorder="1" applyAlignment="1">
      <alignment horizontal="center" vertical="center"/>
    </xf>
    <xf numFmtId="0" fontId="33" fillId="35" borderId="28" xfId="0" applyFont="1" applyFill="1" applyBorder="1" applyAlignment="1">
      <alignment horizontal="center" vertical="center"/>
    </xf>
    <xf numFmtId="0" fontId="34" fillId="36" borderId="30" xfId="0" applyFont="1" applyFill="1" applyBorder="1" applyAlignment="1">
      <alignment horizontal="center" vertical="center"/>
    </xf>
    <xf numFmtId="0" fontId="34" fillId="36" borderId="27" xfId="0" applyFont="1" applyFill="1" applyBorder="1" applyAlignment="1">
      <alignment horizontal="center" vertical="center"/>
    </xf>
    <xf numFmtId="0" fontId="34" fillId="36" borderId="29" xfId="0" applyFont="1" applyFill="1" applyBorder="1" applyAlignment="1">
      <alignment horizontal="center" vertical="center"/>
    </xf>
    <xf numFmtId="0" fontId="35" fillId="36" borderId="3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39" fillId="5" borderId="1" xfId="0" applyFont="1" applyFill="1" applyBorder="1" applyAlignment="1">
      <alignment horizontal="left" vertical="center"/>
    </xf>
    <xf numFmtId="0" fontId="21" fillId="34" borderId="1" xfId="0" applyFont="1" applyFill="1" applyBorder="1" applyAlignment="1">
      <alignment horizontal="left" vertical="center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78" fillId="0" borderId="1" xfId="0" applyFont="1" applyBorder="1" applyAlignment="1">
      <alignment horizontal="center"/>
    </xf>
    <xf numFmtId="0" fontId="178" fillId="0" borderId="4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231" fillId="31" borderId="3" xfId="0" applyFont="1" applyFill="1" applyBorder="1" applyAlignment="1">
      <alignment horizontal="center"/>
    </xf>
    <xf numFmtId="0" fontId="230" fillId="31" borderId="3" xfId="0" applyFont="1" applyFill="1" applyBorder="1" applyAlignment="1">
      <alignment horizontal="center"/>
    </xf>
    <xf numFmtId="0" fontId="230" fillId="31" borderId="7" xfId="0" applyFont="1" applyFill="1" applyBorder="1" applyAlignment="1">
      <alignment horizontal="center"/>
    </xf>
    <xf numFmtId="0" fontId="230" fillId="31" borderId="38" xfId="0" applyFont="1" applyFill="1" applyBorder="1" applyAlignment="1">
      <alignment horizontal="center"/>
    </xf>
    <xf numFmtId="0" fontId="178" fillId="0" borderId="6" xfId="0" applyFont="1" applyBorder="1" applyAlignment="1">
      <alignment vertical="center"/>
    </xf>
    <xf numFmtId="0" fontId="178" fillId="0" borderId="17" xfId="0" applyFont="1" applyBorder="1" applyAlignment="1">
      <alignment vertical="center"/>
    </xf>
    <xf numFmtId="0" fontId="178" fillId="0" borderId="3" xfId="0" applyFont="1" applyBorder="1" applyAlignment="1">
      <alignment vertical="center"/>
    </xf>
    <xf numFmtId="0" fontId="233" fillId="13" borderId="34" xfId="0" applyFont="1" applyFill="1" applyBorder="1" applyAlignment="1">
      <alignment horizontal="center" vertical="center"/>
    </xf>
    <xf numFmtId="0" fontId="210" fillId="0" borderId="27" xfId="0" applyFont="1" applyBorder="1" applyAlignment="1">
      <alignment horizontal="center" vertical="center" wrapText="1"/>
    </xf>
    <xf numFmtId="0" fontId="76" fillId="14" borderId="3" xfId="5" applyFont="1" applyFill="1" applyBorder="1" applyAlignment="1">
      <alignment vertical="center"/>
    </xf>
    <xf numFmtId="176" fontId="4" fillId="2" borderId="3" xfId="5" applyNumberFormat="1" applyFont="1" applyFill="1" applyBorder="1" applyAlignment="1">
      <alignment horizontal="left" vertical="center"/>
    </xf>
    <xf numFmtId="0" fontId="178" fillId="34" borderId="1" xfId="0" applyFont="1" applyFill="1" applyBorder="1" applyAlignment="1">
      <alignment horizontal="center" vertical="center"/>
    </xf>
    <xf numFmtId="0" fontId="125" fillId="29" borderId="34" xfId="0" applyFont="1" applyFill="1" applyBorder="1" applyAlignment="1">
      <alignment horizontal="center" vertical="center"/>
    </xf>
    <xf numFmtId="0" fontId="14" fillId="29" borderId="0" xfId="0" applyFont="1" applyFill="1"/>
    <xf numFmtId="0" fontId="14" fillId="0" borderId="8" xfId="0" applyFont="1" applyBorder="1"/>
    <xf numFmtId="0" fontId="14" fillId="29" borderId="135" xfId="0" applyFont="1" applyFill="1" applyBorder="1"/>
    <xf numFmtId="0" fontId="4" fillId="2" borderId="135" xfId="0" applyFont="1" applyFill="1" applyBorder="1" applyAlignment="1">
      <alignment horizontal="left" vertical="center"/>
    </xf>
    <xf numFmtId="0" fontId="98" fillId="30" borderId="95" xfId="0" applyFont="1" applyFill="1" applyBorder="1" applyAlignment="1">
      <alignment horizontal="left" vertical="center"/>
    </xf>
    <xf numFmtId="0" fontId="102" fillId="30" borderId="7" xfId="0" applyFont="1" applyFill="1" applyBorder="1" applyAlignment="1">
      <alignment horizontal="center" vertical="center"/>
    </xf>
    <xf numFmtId="0" fontId="208" fillId="0" borderId="0" xfId="0" applyFont="1" applyAlignment="1">
      <alignment horizontal="center" vertical="center"/>
    </xf>
    <xf numFmtId="0" fontId="208" fillId="0" borderId="223" xfId="0" applyFont="1" applyBorder="1" applyAlignment="1">
      <alignment horizontal="center" vertical="center" wrapText="1"/>
    </xf>
    <xf numFmtId="0" fontId="14" fillId="0" borderId="0" xfId="0" applyFont="1" applyAlignment="1">
      <alignment horizontal="justify" vertical="center"/>
    </xf>
    <xf numFmtId="0" fontId="14" fillId="0" borderId="160" xfId="0" applyFont="1" applyBorder="1" applyAlignment="1">
      <alignment horizontal="center" vertical="center" wrapText="1"/>
    </xf>
    <xf numFmtId="0" fontId="14" fillId="0" borderId="165" xfId="0" applyFont="1" applyBorder="1" applyAlignment="1">
      <alignment horizontal="center" vertical="center" wrapText="1"/>
    </xf>
    <xf numFmtId="0" fontId="14" fillId="0" borderId="161" xfId="0" applyFont="1" applyBorder="1" applyAlignment="1">
      <alignment horizontal="center" vertical="center" wrapText="1"/>
    </xf>
    <xf numFmtId="0" fontId="14" fillId="0" borderId="194" xfId="0" applyFont="1" applyBorder="1" applyAlignment="1">
      <alignment vertical="center" wrapText="1"/>
    </xf>
    <xf numFmtId="0" fontId="14" fillId="0" borderId="194" xfId="0" applyFont="1" applyBorder="1" applyAlignment="1">
      <alignment horizontal="justify" vertical="center" wrapText="1"/>
    </xf>
    <xf numFmtId="0" fontId="14" fillId="0" borderId="170" xfId="0" applyFont="1" applyBorder="1" applyAlignment="1">
      <alignment horizontal="center" vertical="center" wrapText="1"/>
    </xf>
    <xf numFmtId="0" fontId="66" fillId="0" borderId="175" xfId="0" applyFont="1" applyBorder="1" applyAlignment="1">
      <alignment horizontal="center" vertical="center" wrapText="1"/>
    </xf>
    <xf numFmtId="0" fontId="243" fillId="0" borderId="0" xfId="0" applyFont="1" applyAlignment="1">
      <alignment horizontal="left" vertical="center"/>
    </xf>
    <xf numFmtId="0" fontId="244" fillId="0" borderId="27" xfId="0" applyFont="1" applyBorder="1" applyAlignment="1">
      <alignment horizontal="center" vertical="center" wrapText="1"/>
    </xf>
    <xf numFmtId="0" fontId="65" fillId="0" borderId="227" xfId="0" applyFont="1" applyBorder="1" applyAlignment="1">
      <alignment horizontal="center" vertical="center" wrapText="1"/>
    </xf>
    <xf numFmtId="0" fontId="237" fillId="0" borderId="27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left" vertical="center"/>
    </xf>
    <xf numFmtId="0" fontId="98" fillId="0" borderId="17" xfId="0" applyFont="1" applyBorder="1" applyAlignment="1">
      <alignment horizontal="left" vertical="center"/>
    </xf>
    <xf numFmtId="0" fontId="14" fillId="29" borderId="19" xfId="0" applyFont="1" applyFill="1" applyBorder="1"/>
    <xf numFmtId="0" fontId="102" fillId="30" borderId="3" xfId="0" applyFont="1" applyFill="1" applyBorder="1" applyAlignment="1">
      <alignment horizontal="left" vertical="center"/>
    </xf>
    <xf numFmtId="0" fontId="112" fillId="31" borderId="3" xfId="0" applyFont="1" applyFill="1" applyBorder="1" applyAlignment="1">
      <alignment horizontal="center"/>
    </xf>
    <xf numFmtId="0" fontId="112" fillId="31" borderId="38" xfId="0" applyFont="1" applyFill="1" applyBorder="1" applyAlignment="1">
      <alignment horizontal="center"/>
    </xf>
    <xf numFmtId="0" fontId="112" fillId="31" borderId="7" xfId="0" applyFont="1" applyFill="1" applyBorder="1" applyAlignment="1">
      <alignment horizontal="center"/>
    </xf>
    <xf numFmtId="0" fontId="14" fillId="0" borderId="6" xfId="0" applyFont="1" applyBorder="1" applyAlignment="1">
      <alignment vertical="center"/>
    </xf>
    <xf numFmtId="0" fontId="14" fillId="0" borderId="17" xfId="0" applyFont="1" applyBorder="1" applyAlignment="1">
      <alignment vertical="center"/>
    </xf>
    <xf numFmtId="0" fontId="14" fillId="0" borderId="3" xfId="0" applyFont="1" applyBorder="1" applyAlignment="1">
      <alignment vertical="center"/>
    </xf>
    <xf numFmtId="0" fontId="37" fillId="0" borderId="0" xfId="0" applyFont="1" applyAlignment="1">
      <alignment horizontal="right" vertical="center" wrapText="1"/>
    </xf>
    <xf numFmtId="0" fontId="160" fillId="25" borderId="27" xfId="0" applyFont="1" applyFill="1" applyBorder="1" applyAlignment="1">
      <alignment horizontal="center" vertical="center" wrapText="1"/>
    </xf>
    <xf numFmtId="0" fontId="160" fillId="17" borderId="27" xfId="0" applyFont="1" applyFill="1" applyBorder="1" applyAlignment="1">
      <alignment horizontal="center" vertical="center" wrapText="1"/>
    </xf>
    <xf numFmtId="0" fontId="14" fillId="25" borderId="153" xfId="0" applyFont="1" applyFill="1" applyBorder="1" applyAlignment="1">
      <alignment vertical="center" wrapText="1"/>
    </xf>
    <xf numFmtId="0" fontId="14" fillId="25" borderId="154" xfId="0" applyFont="1" applyFill="1" applyBorder="1" applyAlignment="1">
      <alignment vertical="center" wrapText="1"/>
    </xf>
    <xf numFmtId="0" fontId="112" fillId="25" borderId="234" xfId="0" applyFont="1" applyFill="1" applyBorder="1" applyAlignment="1">
      <alignment horizontal="center" vertical="center" wrapText="1"/>
    </xf>
    <xf numFmtId="0" fontId="112" fillId="25" borderId="239" xfId="0" applyFont="1" applyFill="1" applyBorder="1" applyAlignment="1">
      <alignment horizontal="center" vertical="center" wrapText="1"/>
    </xf>
    <xf numFmtId="0" fontId="112" fillId="25" borderId="240" xfId="0" applyFont="1" applyFill="1" applyBorder="1" applyAlignment="1">
      <alignment horizontal="center" vertical="center" wrapText="1"/>
    </xf>
    <xf numFmtId="0" fontId="112" fillId="25" borderId="247" xfId="0" applyFont="1" applyFill="1" applyBorder="1" applyAlignment="1">
      <alignment horizontal="center" vertical="center" wrapText="1"/>
    </xf>
    <xf numFmtId="0" fontId="112" fillId="25" borderId="248" xfId="0" applyFont="1" applyFill="1" applyBorder="1" applyAlignment="1">
      <alignment horizontal="center" vertical="center" wrapText="1"/>
    </xf>
    <xf numFmtId="0" fontId="112" fillId="25" borderId="250" xfId="0" applyFont="1" applyFill="1" applyBorder="1" applyAlignment="1">
      <alignment horizontal="center" vertical="center" wrapText="1"/>
    </xf>
    <xf numFmtId="0" fontId="160" fillId="25" borderId="256" xfId="0" applyFont="1" applyFill="1" applyBorder="1" applyAlignment="1">
      <alignment horizontal="center" vertical="center" wrapText="1"/>
    </xf>
    <xf numFmtId="0" fontId="112" fillId="25" borderId="262" xfId="0" applyFont="1" applyFill="1" applyBorder="1" applyAlignment="1">
      <alignment horizontal="center" vertical="center" wrapText="1"/>
    </xf>
    <xf numFmtId="0" fontId="112" fillId="25" borderId="261" xfId="0" applyFont="1" applyFill="1" applyBorder="1" applyAlignment="1">
      <alignment horizontal="center" vertical="center" wrapText="1"/>
    </xf>
    <xf numFmtId="0" fontId="160" fillId="25" borderId="263" xfId="0" applyFont="1" applyFill="1" applyBorder="1" applyAlignment="1">
      <alignment horizontal="center" vertical="center" wrapText="1"/>
    </xf>
    <xf numFmtId="0" fontId="64" fillId="25" borderId="230" xfId="0" applyFont="1" applyFill="1" applyBorder="1" applyAlignment="1">
      <alignment horizontal="center" vertical="center" wrapText="1"/>
    </xf>
    <xf numFmtId="0" fontId="14" fillId="0" borderId="231" xfId="0" applyFont="1" applyBorder="1" applyAlignment="1">
      <alignment horizontal="center" vertical="center" wrapText="1"/>
    </xf>
    <xf numFmtId="0" fontId="64" fillId="25" borderId="27" xfId="0" applyFont="1" applyFill="1" applyBorder="1" applyAlignment="1">
      <alignment horizontal="center" vertical="center" wrapText="1"/>
    </xf>
    <xf numFmtId="0" fontId="63" fillId="0" borderId="227" xfId="0" applyFont="1" applyBorder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251" fillId="29" borderId="17" xfId="5" applyFont="1" applyFill="1" applyBorder="1" applyAlignment="1">
      <alignment horizontal="center" vertical="center"/>
    </xf>
    <xf numFmtId="0" fontId="125" fillId="29" borderId="145" xfId="5" applyFont="1" applyFill="1" applyBorder="1" applyAlignment="1">
      <alignment horizontal="center" vertical="center"/>
    </xf>
    <xf numFmtId="0" fontId="203" fillId="29" borderId="0" xfId="5" applyFont="1" applyFill="1" applyAlignment="1">
      <alignment horizontal="center" vertical="center"/>
    </xf>
    <xf numFmtId="0" fontId="125" fillId="29" borderId="17" xfId="5" applyFont="1" applyFill="1" applyBorder="1" applyAlignment="1">
      <alignment horizontal="center" vertical="center"/>
    </xf>
    <xf numFmtId="0" fontId="14" fillId="8" borderId="17" xfId="5" applyFill="1" applyBorder="1" applyAlignment="1">
      <alignment vertical="center"/>
    </xf>
    <xf numFmtId="0" fontId="14" fillId="8" borderId="3" xfId="5" applyFill="1" applyBorder="1" applyAlignment="1">
      <alignment vertical="center"/>
    </xf>
    <xf numFmtId="0" fontId="204" fillId="29" borderId="145" xfId="5" applyFont="1" applyFill="1" applyBorder="1" applyAlignment="1">
      <alignment horizontal="center" vertical="center"/>
    </xf>
    <xf numFmtId="0" fontId="14" fillId="8" borderId="140" xfId="5" applyFill="1" applyBorder="1" applyAlignment="1">
      <alignment horizontal="center" vertical="center"/>
    </xf>
    <xf numFmtId="0" fontId="115" fillId="0" borderId="1" xfId="5" applyFont="1" applyBorder="1" applyAlignment="1">
      <alignment horizontal="center" vertical="center"/>
    </xf>
    <xf numFmtId="0" fontId="115" fillId="0" borderId="1" xfId="5" applyFont="1" applyBorder="1" applyAlignment="1">
      <alignment horizontal="left" vertical="center"/>
    </xf>
    <xf numFmtId="0" fontId="14" fillId="6" borderId="6" xfId="0" applyFont="1" applyFill="1" applyBorder="1"/>
    <xf numFmtId="0" fontId="22" fillId="0" borderId="0" xfId="0" applyFont="1" applyAlignment="1">
      <alignment vertical="center"/>
    </xf>
    <xf numFmtId="0" fontId="155" fillId="0" borderId="140" xfId="5" applyFont="1" applyBorder="1" applyAlignment="1">
      <alignment horizontal="center" vertical="center"/>
    </xf>
    <xf numFmtId="0" fontId="161" fillId="0" borderId="1" xfId="5" applyFont="1" applyBorder="1" applyAlignment="1">
      <alignment vertical="center"/>
    </xf>
    <xf numFmtId="0" fontId="116" fillId="0" borderId="1" xfId="5" applyFont="1" applyBorder="1" applyAlignment="1">
      <alignment vertical="center"/>
    </xf>
    <xf numFmtId="0" fontId="0" fillId="0" borderId="0" xfId="0" applyAlignment="1">
      <alignment vertical="center" wrapText="1"/>
    </xf>
    <xf numFmtId="0" fontId="61" fillId="0" borderId="284" xfId="0" applyFont="1" applyBorder="1" applyAlignment="1">
      <alignment horizontal="center" vertical="center" wrapText="1"/>
    </xf>
    <xf numFmtId="0" fontId="61" fillId="0" borderId="287" xfId="0" applyFont="1" applyBorder="1" applyAlignment="1">
      <alignment horizontal="center" vertical="center" wrapText="1"/>
    </xf>
    <xf numFmtId="0" fontId="61" fillId="0" borderId="104" xfId="0" applyFont="1" applyBorder="1" applyAlignment="1">
      <alignment horizontal="justify" vertical="center" wrapText="1"/>
    </xf>
    <xf numFmtId="0" fontId="266" fillId="0" borderId="27" xfId="0" applyFont="1" applyBorder="1" applyAlignment="1">
      <alignment horizontal="center" vertical="center" wrapText="1"/>
    </xf>
    <xf numFmtId="0" fontId="267" fillId="0" borderId="27" xfId="0" applyFont="1" applyBorder="1" applyAlignment="1">
      <alignment horizontal="center" vertical="center" wrapText="1"/>
    </xf>
    <xf numFmtId="0" fontId="270" fillId="0" borderId="303" xfId="0" applyFont="1" applyBorder="1" applyAlignment="1">
      <alignment horizontal="center" vertical="center" wrapText="1"/>
    </xf>
    <xf numFmtId="0" fontId="270" fillId="0" borderId="0" xfId="0" applyFont="1" applyAlignment="1">
      <alignment horizontal="center" vertical="center" wrapText="1"/>
    </xf>
    <xf numFmtId="0" fontId="270" fillId="0" borderId="54" xfId="0" applyFont="1" applyBorder="1" applyAlignment="1">
      <alignment horizontal="center" vertical="center" wrapText="1"/>
    </xf>
    <xf numFmtId="0" fontId="266" fillId="0" borderId="61" xfId="0" applyFont="1" applyBorder="1" applyAlignment="1">
      <alignment horizontal="center" vertical="center" wrapText="1"/>
    </xf>
    <xf numFmtId="0" fontId="268" fillId="0" borderId="30" xfId="0" applyFont="1" applyBorder="1" applyAlignment="1">
      <alignment horizontal="center" vertical="center" wrapText="1"/>
    </xf>
    <xf numFmtId="0" fontId="270" fillId="0" borderId="0" xfId="0" applyFont="1" applyAlignment="1">
      <alignment horizontal="right" vertical="center" wrapText="1"/>
    </xf>
    <xf numFmtId="0" fontId="275" fillId="0" borderId="57" xfId="0" applyFont="1" applyBorder="1" applyAlignment="1">
      <alignment horizontal="right" vertical="center" wrapText="1"/>
    </xf>
    <xf numFmtId="0" fontId="102" fillId="30" borderId="1" xfId="0" applyFont="1" applyFill="1" applyBorder="1" applyAlignment="1">
      <alignment horizontal="left" vertical="center"/>
    </xf>
    <xf numFmtId="0" fontId="98" fillId="30" borderId="39" xfId="0" applyFont="1" applyFill="1" applyBorder="1" applyAlignment="1">
      <alignment horizontal="left" vertical="center" wrapText="1"/>
    </xf>
    <xf numFmtId="0" fontId="277" fillId="25" borderId="27" xfId="0" applyFont="1" applyFill="1" applyBorder="1" applyAlignment="1">
      <alignment horizontal="center" vertical="center" wrapText="1"/>
    </xf>
    <xf numFmtId="0" fontId="279" fillId="0" borderId="27" xfId="0" applyFont="1" applyBorder="1" applyAlignment="1">
      <alignment horizontal="center" vertical="center" wrapText="1"/>
    </xf>
    <xf numFmtId="0" fontId="277" fillId="25" borderId="28" xfId="0" applyFont="1" applyFill="1" applyBorder="1" applyAlignment="1">
      <alignment horizontal="center" vertical="center" wrapText="1"/>
    </xf>
    <xf numFmtId="0" fontId="277" fillId="25" borderId="154" xfId="0" applyFont="1" applyFill="1" applyBorder="1" applyAlignment="1">
      <alignment horizontal="center" vertical="center" wrapText="1"/>
    </xf>
    <xf numFmtId="0" fontId="277" fillId="0" borderId="0" xfId="0" applyFont="1" applyAlignment="1">
      <alignment horizontal="center" vertical="center" wrapText="1"/>
    </xf>
    <xf numFmtId="0" fontId="279" fillId="0" borderId="0" xfId="0" applyFont="1" applyAlignment="1">
      <alignment horizontal="right" vertical="center" wrapText="1"/>
    </xf>
    <xf numFmtId="0" fontId="14" fillId="0" borderId="0" xfId="0" applyFont="1" applyAlignment="1">
      <alignment horizontal="left"/>
    </xf>
    <xf numFmtId="0" fontId="5" fillId="0" borderId="4" xfId="0" applyFont="1" applyBorder="1" applyAlignment="1">
      <alignment horizontal="left"/>
    </xf>
    <xf numFmtId="0" fontId="5" fillId="0" borderId="33" xfId="0" applyFont="1" applyBorder="1" applyAlignment="1">
      <alignment horizontal="left"/>
    </xf>
    <xf numFmtId="0" fontId="5" fillId="0" borderId="157" xfId="0" applyFont="1" applyBorder="1" applyAlignment="1">
      <alignment horizontal="left"/>
    </xf>
    <xf numFmtId="0" fontId="94" fillId="18" borderId="1" xfId="2" applyFont="1" applyBorder="1" applyAlignment="1">
      <alignment horizontal="left" vertical="center"/>
    </xf>
    <xf numFmtId="0" fontId="94" fillId="18" borderId="1" xfId="2" applyFont="1" applyBorder="1" applyAlignment="1">
      <alignment horizontal="left" vertical="center" wrapText="1"/>
    </xf>
    <xf numFmtId="0" fontId="71" fillId="8" borderId="1" xfId="3" applyFont="1" applyFill="1" applyBorder="1" applyAlignment="1">
      <alignment horizontal="left" vertical="center"/>
    </xf>
    <xf numFmtId="0" fontId="85" fillId="8" borderId="1" xfId="3" applyFont="1" applyFill="1" applyBorder="1" applyAlignment="1">
      <alignment horizontal="center" vertical="center"/>
    </xf>
    <xf numFmtId="0" fontId="71" fillId="8" borderId="1" xfId="3" applyFont="1" applyFill="1" applyBorder="1" applyAlignment="1">
      <alignment horizontal="left" vertical="center" wrapText="1"/>
    </xf>
    <xf numFmtId="0" fontId="71" fillId="0" borderId="1" xfId="3" applyFont="1" applyBorder="1" applyAlignment="1">
      <alignment horizontal="left" vertical="center" wrapText="1"/>
    </xf>
    <xf numFmtId="0" fontId="76" fillId="28" borderId="21" xfId="3" applyFont="1" applyFill="1" applyBorder="1" applyAlignment="1">
      <alignment horizontal="center" vertical="center" wrapText="1" shrinkToFit="1"/>
    </xf>
    <xf numFmtId="0" fontId="76" fillId="28" borderId="140" xfId="3" applyFont="1" applyFill="1" applyBorder="1" applyAlignment="1">
      <alignment horizontal="center" vertical="center" wrapText="1" shrinkToFit="1"/>
    </xf>
    <xf numFmtId="0" fontId="85" fillId="8" borderId="19" xfId="3" applyFont="1" applyFill="1" applyBorder="1" applyAlignment="1">
      <alignment horizontal="center" vertical="center"/>
    </xf>
    <xf numFmtId="0" fontId="85" fillId="8" borderId="136" xfId="3" applyFont="1" applyFill="1" applyBorder="1" applyAlignment="1">
      <alignment horizontal="center" vertical="center"/>
    </xf>
    <xf numFmtId="0" fontId="85" fillId="8" borderId="7" xfId="3" applyFont="1" applyFill="1" applyBorder="1" applyAlignment="1">
      <alignment horizontal="center" vertical="center"/>
    </xf>
    <xf numFmtId="0" fontId="85" fillId="8" borderId="140" xfId="3" applyFont="1" applyFill="1" applyBorder="1" applyAlignment="1">
      <alignment horizontal="center" vertical="center"/>
    </xf>
    <xf numFmtId="0" fontId="71" fillId="8" borderId="7" xfId="3" applyFont="1" applyFill="1" applyBorder="1" applyAlignment="1">
      <alignment horizontal="left" vertical="center"/>
    </xf>
    <xf numFmtId="0" fontId="71" fillId="8" borderId="33" xfId="3" applyFont="1" applyFill="1" applyBorder="1" applyAlignment="1">
      <alignment horizontal="left" vertical="center"/>
    </xf>
    <xf numFmtId="0" fontId="71" fillId="8" borderId="140" xfId="3" applyFont="1" applyFill="1" applyBorder="1" applyAlignment="1">
      <alignment horizontal="left" vertical="center"/>
    </xf>
    <xf numFmtId="0" fontId="71" fillId="8" borderId="3" xfId="3" applyFont="1" applyFill="1" applyBorder="1" applyAlignment="1">
      <alignment horizontal="left" vertical="center" wrapText="1"/>
    </xf>
    <xf numFmtId="0" fontId="71" fillId="0" borderId="3" xfId="3" applyFont="1" applyBorder="1" applyAlignment="1">
      <alignment horizontal="left" vertical="center" wrapText="1"/>
    </xf>
    <xf numFmtId="0" fontId="71" fillId="8" borderId="4" xfId="3" applyFont="1" applyFill="1" applyBorder="1" applyAlignment="1">
      <alignment horizontal="left" vertical="center"/>
    </xf>
    <xf numFmtId="0" fontId="71" fillId="8" borderId="5" xfId="3" applyFont="1" applyFill="1" applyBorder="1" applyAlignment="1">
      <alignment horizontal="left" vertical="center"/>
    </xf>
    <xf numFmtId="0" fontId="71" fillId="8" borderId="21" xfId="3" applyFont="1" applyFill="1" applyBorder="1" applyAlignment="1">
      <alignment horizontal="left" vertical="center"/>
    </xf>
    <xf numFmtId="0" fontId="87" fillId="8" borderId="19" xfId="3" applyFont="1" applyFill="1" applyBorder="1" applyAlignment="1">
      <alignment horizontal="center" vertical="center"/>
    </xf>
    <xf numFmtId="0" fontId="87" fillId="8" borderId="136" xfId="3" applyFont="1" applyFill="1" applyBorder="1" applyAlignment="1">
      <alignment horizontal="center" vertical="center"/>
    </xf>
    <xf numFmtId="0" fontId="87" fillId="8" borderId="7" xfId="3" applyFont="1" applyFill="1" applyBorder="1" applyAlignment="1">
      <alignment horizontal="center" vertical="center"/>
    </xf>
    <xf numFmtId="0" fontId="87" fillId="8" borderId="140" xfId="3" applyFont="1" applyFill="1" applyBorder="1" applyAlignment="1">
      <alignment horizontal="center" vertical="center"/>
    </xf>
    <xf numFmtId="0" fontId="49" fillId="22" borderId="1" xfId="3" applyFont="1" applyFill="1" applyBorder="1" applyAlignment="1">
      <alignment horizontal="left" vertical="center"/>
    </xf>
    <xf numFmtId="0" fontId="93" fillId="22" borderId="1" xfId="3" applyFont="1" applyFill="1" applyBorder="1" applyAlignment="1">
      <alignment horizontal="center" vertical="center"/>
    </xf>
    <xf numFmtId="0" fontId="49" fillId="22" borderId="1" xfId="3" applyFont="1" applyFill="1" applyBorder="1" applyAlignment="1">
      <alignment horizontal="left" vertical="center" wrapText="1"/>
    </xf>
    <xf numFmtId="0" fontId="94" fillId="18" borderId="19" xfId="2" applyFont="1" applyBorder="1" applyAlignment="1">
      <alignment horizontal="center" vertical="center"/>
    </xf>
    <xf numFmtId="0" fontId="94" fillId="18" borderId="136" xfId="2" applyFont="1" applyBorder="1" applyAlignment="1">
      <alignment horizontal="center" vertical="center"/>
    </xf>
    <xf numFmtId="0" fontId="94" fillId="18" borderId="35" xfId="2" applyFont="1" applyBorder="1" applyAlignment="1">
      <alignment horizontal="center" vertical="center"/>
    </xf>
    <xf numFmtId="0" fontId="94" fillId="18" borderId="145" xfId="2" applyFont="1" applyBorder="1" applyAlignment="1">
      <alignment horizontal="center" vertical="center"/>
    </xf>
    <xf numFmtId="0" fontId="94" fillId="18" borderId="7" xfId="2" applyFont="1" applyBorder="1" applyAlignment="1">
      <alignment horizontal="center" vertical="center"/>
    </xf>
    <xf numFmtId="0" fontId="94" fillId="18" borderId="140" xfId="2" applyFont="1" applyBorder="1" applyAlignment="1">
      <alignment horizontal="center" vertical="center"/>
    </xf>
    <xf numFmtId="0" fontId="87" fillId="8" borderId="1" xfId="3" applyFont="1" applyFill="1" applyBorder="1" applyAlignment="1">
      <alignment horizontal="left" vertical="center" wrapText="1"/>
    </xf>
    <xf numFmtId="0" fontId="87" fillId="0" borderId="1" xfId="3" applyFont="1" applyBorder="1" applyAlignment="1">
      <alignment horizontal="left" vertical="center" wrapText="1"/>
    </xf>
    <xf numFmtId="0" fontId="71" fillId="8" borderId="1" xfId="3" applyFont="1" applyFill="1" applyBorder="1" applyAlignment="1">
      <alignment horizontal="center" vertical="center" wrapText="1"/>
    </xf>
    <xf numFmtId="0" fontId="71" fillId="8" borderId="1" xfId="3" applyFont="1" applyFill="1" applyBorder="1" applyAlignment="1">
      <alignment horizontal="center" vertical="center"/>
    </xf>
    <xf numFmtId="0" fontId="80" fillId="24" borderId="150" xfId="3" applyFont="1" applyFill="1" applyBorder="1" applyAlignment="1">
      <alignment horizontal="center" vertical="center"/>
    </xf>
    <xf numFmtId="0" fontId="80" fillId="24" borderId="151" xfId="3" applyFont="1" applyFill="1" applyBorder="1" applyAlignment="1">
      <alignment horizontal="center" vertical="center"/>
    </xf>
    <xf numFmtId="0" fontId="80" fillId="24" borderId="152" xfId="3" applyFont="1" applyFill="1" applyBorder="1" applyAlignment="1">
      <alignment horizontal="center" vertical="center"/>
    </xf>
    <xf numFmtId="0" fontId="76" fillId="28" borderId="21" xfId="3" applyFont="1" applyFill="1" applyBorder="1" applyAlignment="1">
      <alignment horizontal="center" vertical="center" shrinkToFit="1"/>
    </xf>
    <xf numFmtId="0" fontId="71" fillId="8" borderId="6" xfId="3" applyFont="1" applyFill="1" applyBorder="1" applyAlignment="1">
      <alignment horizontal="center" vertical="center"/>
    </xf>
    <xf numFmtId="0" fontId="71" fillId="8" borderId="17" xfId="3" applyFont="1" applyFill="1" applyBorder="1" applyAlignment="1">
      <alignment horizontal="center" vertical="center"/>
    </xf>
    <xf numFmtId="0" fontId="71" fillId="8" borderId="3" xfId="3" applyFont="1" applyFill="1" applyBorder="1" applyAlignment="1">
      <alignment horizontal="center" vertical="center"/>
    </xf>
    <xf numFmtId="0" fontId="49" fillId="24" borderId="1" xfId="3" applyFont="1" applyFill="1" applyBorder="1" applyAlignment="1">
      <alignment horizontal="left" vertical="center" shrinkToFit="1"/>
    </xf>
    <xf numFmtId="0" fontId="85" fillId="8" borderId="35" xfId="3" applyFont="1" applyFill="1" applyBorder="1" applyAlignment="1">
      <alignment horizontal="center" vertical="center"/>
    </xf>
    <xf numFmtId="0" fontId="85" fillId="8" borderId="145" xfId="3" applyFont="1" applyFill="1" applyBorder="1" applyAlignment="1">
      <alignment horizontal="center" vertical="center"/>
    </xf>
    <xf numFmtId="0" fontId="96" fillId="18" borderId="1" xfId="2" applyFont="1" applyBorder="1" applyAlignment="1">
      <alignment horizontal="left" vertical="center"/>
    </xf>
    <xf numFmtId="0" fontId="97" fillId="18" borderId="19" xfId="2" applyFont="1" applyBorder="1" applyAlignment="1">
      <alignment horizontal="center" vertical="center"/>
    </xf>
    <xf numFmtId="0" fontId="96" fillId="18" borderId="136" xfId="2" applyFont="1" applyBorder="1" applyAlignment="1">
      <alignment horizontal="center" vertical="center"/>
    </xf>
    <xf numFmtId="0" fontId="96" fillId="18" borderId="7" xfId="2" applyFont="1" applyBorder="1" applyAlignment="1">
      <alignment horizontal="center" vertical="center"/>
    </xf>
    <xf numFmtId="0" fontId="96" fillId="18" borderId="140" xfId="2" applyFont="1" applyBorder="1" applyAlignment="1">
      <alignment horizontal="center" vertical="center"/>
    </xf>
    <xf numFmtId="0" fontId="96" fillId="18" borderId="1" xfId="2" applyFont="1" applyBorder="1" applyAlignment="1">
      <alignment horizontal="left" vertical="center" wrapText="1"/>
    </xf>
    <xf numFmtId="0" fontId="75" fillId="0" borderId="30" xfId="3" applyFont="1" applyBorder="1" applyAlignment="1">
      <alignment horizontal="center" vertical="center"/>
    </xf>
    <xf numFmtId="0" fontId="75" fillId="0" borderId="61" xfId="3" applyFont="1" applyBorder="1" applyAlignment="1">
      <alignment horizontal="center" vertical="center"/>
    </xf>
    <xf numFmtId="0" fontId="75" fillId="0" borderId="63" xfId="3" applyFont="1" applyBorder="1" applyAlignment="1">
      <alignment horizontal="justify" vertical="center"/>
    </xf>
    <xf numFmtId="0" fontId="75" fillId="0" borderId="57" xfId="3" applyFont="1" applyBorder="1" applyAlignment="1">
      <alignment horizontal="justify" vertical="center"/>
    </xf>
    <xf numFmtId="0" fontId="71" fillId="8" borderId="19" xfId="3" applyFont="1" applyFill="1" applyBorder="1" applyAlignment="1">
      <alignment horizontal="center" vertical="center"/>
    </xf>
    <xf numFmtId="0" fontId="71" fillId="8" borderId="136" xfId="3" applyFont="1" applyFill="1" applyBorder="1" applyAlignment="1">
      <alignment horizontal="center" vertical="center"/>
    </xf>
    <xf numFmtId="0" fontId="71" fillId="8" borderId="35" xfId="3" applyFont="1" applyFill="1" applyBorder="1" applyAlignment="1">
      <alignment horizontal="center" vertical="center"/>
    </xf>
    <xf numFmtId="0" fontId="71" fillId="8" borderId="145" xfId="3" applyFont="1" applyFill="1" applyBorder="1" applyAlignment="1">
      <alignment horizontal="center" vertical="center"/>
    </xf>
    <xf numFmtId="0" fontId="71" fillId="8" borderId="7" xfId="3" applyFont="1" applyFill="1" applyBorder="1" applyAlignment="1">
      <alignment horizontal="center" vertical="center"/>
    </xf>
    <xf numFmtId="0" fontId="71" fillId="8" borderId="140" xfId="3" applyFont="1" applyFill="1" applyBorder="1" applyAlignment="1">
      <alignment horizontal="center" vertical="center"/>
    </xf>
    <xf numFmtId="0" fontId="89" fillId="0" borderId="108" xfId="3" applyFont="1" applyBorder="1" applyAlignment="1">
      <alignment horizontal="justify" vertical="center"/>
    </xf>
    <xf numFmtId="0" fontId="89" fillId="0" borderId="31" xfId="3" applyFont="1" applyBorder="1" applyAlignment="1">
      <alignment horizontal="justify" vertical="center"/>
    </xf>
    <xf numFmtId="0" fontId="89" fillId="0" borderId="63" xfId="3" applyFont="1" applyBorder="1" applyAlignment="1">
      <alignment horizontal="justify" vertical="center"/>
    </xf>
    <xf numFmtId="0" fontId="89" fillId="0" borderId="57" xfId="3" applyFont="1" applyBorder="1" applyAlignment="1">
      <alignment horizontal="justify" vertical="center"/>
    </xf>
    <xf numFmtId="0" fontId="90" fillId="0" borderId="30" xfId="3" applyFont="1" applyBorder="1" applyAlignment="1">
      <alignment horizontal="justify" vertical="center"/>
    </xf>
    <xf numFmtId="0" fontId="90" fillId="0" borderId="61" xfId="3" applyFont="1" applyBorder="1" applyAlignment="1">
      <alignment horizontal="justify" vertical="center"/>
    </xf>
    <xf numFmtId="0" fontId="90" fillId="0" borderId="62" xfId="3" applyFont="1" applyBorder="1" applyAlignment="1">
      <alignment horizontal="justify" vertical="center"/>
    </xf>
    <xf numFmtId="0" fontId="92" fillId="0" borderId="62" xfId="3" applyFont="1" applyBorder="1" applyAlignment="1">
      <alignment horizontal="left" vertical="center"/>
    </xf>
    <xf numFmtId="0" fontId="75" fillId="0" borderId="62" xfId="3" applyFont="1" applyBorder="1" applyAlignment="1">
      <alignment horizontal="center" vertical="center"/>
    </xf>
    <xf numFmtId="0" fontId="75" fillId="0" borderId="126" xfId="3" applyFont="1" applyBorder="1" applyAlignment="1">
      <alignment horizontal="justify" vertical="center"/>
    </xf>
    <xf numFmtId="0" fontId="75" fillId="0" borderId="0" xfId="3" applyFont="1" applyAlignment="1">
      <alignment horizontal="justify" vertical="center"/>
    </xf>
    <xf numFmtId="0" fontId="78" fillId="0" borderId="108" xfId="3" applyFont="1" applyBorder="1" applyAlignment="1">
      <alignment horizontal="center" vertical="center" wrapText="1"/>
    </xf>
    <xf numFmtId="0" fontId="78" fillId="0" borderId="31" xfId="3" applyFont="1" applyBorder="1" applyAlignment="1">
      <alignment horizontal="center" vertical="center" wrapText="1"/>
    </xf>
    <xf numFmtId="0" fontId="78" fillId="0" borderId="109" xfId="3" applyFont="1" applyBorder="1" applyAlignment="1">
      <alignment horizontal="center" vertical="center" wrapText="1"/>
    </xf>
    <xf numFmtId="0" fontId="78" fillId="0" borderId="63" xfId="3" applyFont="1" applyBorder="1" applyAlignment="1">
      <alignment horizontal="center" vertical="center" wrapText="1"/>
    </xf>
    <xf numFmtId="0" fontId="78" fillId="0" borderId="57" xfId="3" applyFont="1" applyBorder="1" applyAlignment="1">
      <alignment horizontal="center" vertical="center" wrapText="1"/>
    </xf>
    <xf numFmtId="0" fontId="78" fillId="0" borderId="110" xfId="3" applyFont="1" applyBorder="1" applyAlignment="1">
      <alignment horizontal="center" vertical="center" wrapText="1"/>
    </xf>
    <xf numFmtId="0" fontId="84" fillId="27" borderId="94" xfId="3" applyFont="1" applyFill="1" applyBorder="1" applyAlignment="1">
      <alignment horizontal="center" vertical="center" textRotation="255"/>
    </xf>
    <xf numFmtId="0" fontId="84" fillId="27" borderId="17" xfId="3" applyFont="1" applyFill="1" applyBorder="1" applyAlignment="1">
      <alignment horizontal="center" vertical="center" textRotation="255"/>
    </xf>
    <xf numFmtId="0" fontId="84" fillId="27" borderId="3" xfId="3" applyFont="1" applyFill="1" applyBorder="1" applyAlignment="1">
      <alignment horizontal="center" vertical="center" textRotation="255"/>
    </xf>
    <xf numFmtId="0" fontId="76" fillId="28" borderId="145" xfId="3" applyFont="1" applyFill="1" applyBorder="1" applyAlignment="1">
      <alignment horizontal="center" vertical="center" wrapText="1" shrinkToFit="1"/>
    </xf>
    <xf numFmtId="0" fontId="71" fillId="8" borderId="134" xfId="3" applyFont="1" applyFill="1" applyBorder="1" applyAlignment="1">
      <alignment horizontal="left" vertical="center"/>
    </xf>
    <xf numFmtId="0" fontId="71" fillId="8" borderId="129" xfId="3" applyFont="1" applyFill="1" applyBorder="1" applyAlignment="1">
      <alignment horizontal="left" vertical="center"/>
    </xf>
    <xf numFmtId="0" fontId="71" fillId="8" borderId="146" xfId="3" applyFont="1" applyFill="1" applyBorder="1" applyAlignment="1">
      <alignment horizontal="left" vertical="center"/>
    </xf>
    <xf numFmtId="0" fontId="85" fillId="8" borderId="134" xfId="3" applyFont="1" applyFill="1" applyBorder="1" applyAlignment="1">
      <alignment horizontal="center" vertical="center"/>
    </xf>
    <xf numFmtId="0" fontId="85" fillId="8" borderId="146" xfId="3" applyFont="1" applyFill="1" applyBorder="1" applyAlignment="1">
      <alignment horizontal="center" vertical="center"/>
    </xf>
    <xf numFmtId="0" fontId="71" fillId="8" borderId="17" xfId="3" applyFont="1" applyFill="1" applyBorder="1" applyAlignment="1">
      <alignment horizontal="left" vertical="center" wrapText="1"/>
    </xf>
    <xf numFmtId="0" fontId="71" fillId="0" borderId="17" xfId="3" applyFont="1" applyBorder="1" applyAlignment="1">
      <alignment horizontal="left" vertical="center" wrapText="1"/>
    </xf>
    <xf numFmtId="0" fontId="86" fillId="0" borderId="63" xfId="3" applyFont="1" applyBorder="1" applyAlignment="1">
      <alignment horizontal="center" vertical="center"/>
    </xf>
    <xf numFmtId="0" fontId="86" fillId="0" borderId="26" xfId="3" applyFont="1" applyBorder="1" applyAlignment="1">
      <alignment horizontal="center" vertical="center"/>
    </xf>
    <xf numFmtId="0" fontId="75" fillId="0" borderId="29" xfId="3" applyFont="1" applyBorder="1" applyAlignment="1">
      <alignment horizontal="center" vertical="center"/>
    </xf>
    <xf numFmtId="0" fontId="75" fillId="0" borderId="149" xfId="3" applyFont="1" applyBorder="1" applyAlignment="1">
      <alignment horizontal="center" vertical="center"/>
    </xf>
    <xf numFmtId="0" fontId="75" fillId="0" borderId="26" xfId="3" applyFont="1" applyBorder="1" applyAlignment="1">
      <alignment horizontal="center" vertical="center"/>
    </xf>
    <xf numFmtId="0" fontId="75" fillId="0" borderId="108" xfId="3" applyFont="1" applyBorder="1" applyAlignment="1">
      <alignment horizontal="justify" vertical="center"/>
    </xf>
    <xf numFmtId="0" fontId="75" fillId="0" borderId="31" xfId="3" applyFont="1" applyBorder="1" applyAlignment="1">
      <alignment horizontal="justify" vertical="center"/>
    </xf>
    <xf numFmtId="0" fontId="49" fillId="24" borderId="1" xfId="3" applyFont="1" applyFill="1" applyBorder="1" applyAlignment="1">
      <alignment horizontal="left" vertical="center"/>
    </xf>
    <xf numFmtId="0" fontId="73" fillId="23" borderId="34" xfId="3" applyFont="1" applyFill="1" applyBorder="1" applyAlignment="1">
      <alignment horizontal="center" vertical="center"/>
    </xf>
    <xf numFmtId="0" fontId="73" fillId="23" borderId="144" xfId="3" applyFont="1" applyFill="1" applyBorder="1" applyAlignment="1">
      <alignment horizontal="center" vertical="center"/>
    </xf>
    <xf numFmtId="0" fontId="75" fillId="0" borderId="108" xfId="3" applyFont="1" applyBorder="1" applyAlignment="1">
      <alignment horizontal="center" vertical="center"/>
    </xf>
    <xf numFmtId="0" fontId="75" fillId="0" borderId="63" xfId="3" applyFont="1" applyBorder="1" applyAlignment="1">
      <alignment horizontal="center" vertical="center"/>
    </xf>
    <xf numFmtId="0" fontId="69" fillId="22" borderId="19" xfId="3" applyFont="1" applyFill="1" applyBorder="1" applyAlignment="1">
      <alignment horizontal="center" vertical="center"/>
    </xf>
    <xf numFmtId="0" fontId="69" fillId="22" borderId="18" xfId="3" applyFont="1" applyFill="1" applyBorder="1" applyAlignment="1">
      <alignment horizontal="center" vertical="center"/>
    </xf>
    <xf numFmtId="0" fontId="69" fillId="22" borderId="136" xfId="3" applyFont="1" applyFill="1" applyBorder="1" applyAlignment="1">
      <alignment horizontal="center" vertical="center"/>
    </xf>
    <xf numFmtId="0" fontId="69" fillId="22" borderId="35" xfId="3" applyFont="1" applyFill="1" applyBorder="1" applyAlignment="1">
      <alignment horizontal="center" vertical="center"/>
    </xf>
    <xf numFmtId="0" fontId="69" fillId="22" borderId="33" xfId="3" applyFont="1" applyFill="1" applyBorder="1" applyAlignment="1">
      <alignment horizontal="center" vertical="center"/>
    </xf>
    <xf numFmtId="0" fontId="69" fillId="22" borderId="140" xfId="3" applyFont="1" applyFill="1" applyBorder="1" applyAlignment="1">
      <alignment horizontal="center" vertical="center"/>
    </xf>
    <xf numFmtId="0" fontId="80" fillId="24" borderId="137" xfId="3" applyFont="1" applyFill="1" applyBorder="1" applyAlignment="1">
      <alignment horizontal="center" vertical="center"/>
    </xf>
    <xf numFmtId="0" fontId="80" fillId="24" borderId="141" xfId="3" applyFont="1" applyFill="1" applyBorder="1" applyAlignment="1">
      <alignment horizontal="center" vertical="center"/>
    </xf>
    <xf numFmtId="0" fontId="80" fillId="24" borderId="147" xfId="3" applyFont="1" applyFill="1" applyBorder="1" applyAlignment="1">
      <alignment horizontal="center" vertical="center"/>
    </xf>
    <xf numFmtId="0" fontId="81" fillId="0" borderId="30" xfId="3" applyFont="1" applyBorder="1" applyAlignment="1">
      <alignment horizontal="center" vertical="center"/>
    </xf>
    <xf numFmtId="0" fontId="81" fillId="0" borderId="61" xfId="3" applyFont="1" applyBorder="1" applyAlignment="1">
      <alignment horizontal="center" vertical="center"/>
    </xf>
    <xf numFmtId="0" fontId="76" fillId="24" borderId="17" xfId="3" applyFont="1" applyFill="1" applyBorder="1" applyAlignment="1">
      <alignment horizontal="center" vertical="center"/>
    </xf>
    <xf numFmtId="0" fontId="76" fillId="24" borderId="3" xfId="3" applyFont="1" applyFill="1" applyBorder="1" applyAlignment="1">
      <alignment horizontal="center" vertical="center"/>
    </xf>
    <xf numFmtId="0" fontId="26" fillId="0" borderId="30" xfId="3" applyFont="1" applyBorder="1" applyAlignment="1">
      <alignment horizontal="justify" vertical="center" wrapText="1"/>
    </xf>
    <xf numFmtId="0" fontId="26" fillId="0" borderId="62" xfId="3" applyFont="1" applyBorder="1" applyAlignment="1">
      <alignment horizontal="justify" vertical="center" wrapText="1"/>
    </xf>
    <xf numFmtId="0" fontId="26" fillId="0" borderId="105" xfId="3" applyFont="1" applyBorder="1" applyAlignment="1">
      <alignment horizontal="justify" vertical="center" wrapText="1"/>
    </xf>
    <xf numFmtId="0" fontId="76" fillId="24" borderId="1" xfId="3" applyFont="1" applyFill="1" applyBorder="1" applyAlignment="1">
      <alignment horizontal="center" vertical="center"/>
    </xf>
    <xf numFmtId="0" fontId="26" fillId="0" borderId="108" xfId="3" applyFont="1" applyBorder="1" applyAlignment="1">
      <alignment horizontal="justify" vertical="center" wrapText="1"/>
    </xf>
    <xf numFmtId="0" fontId="26" fillId="0" borderId="31" xfId="3" applyFont="1" applyBorder="1" applyAlignment="1">
      <alignment horizontal="justify" vertical="center" wrapText="1"/>
    </xf>
    <xf numFmtId="0" fontId="26" fillId="0" borderId="109" xfId="3" applyFont="1" applyBorder="1" applyAlignment="1">
      <alignment horizontal="justify" vertical="center" wrapText="1"/>
    </xf>
    <xf numFmtId="0" fontId="78" fillId="0" borderId="30" xfId="3" applyFont="1" applyBorder="1" applyAlignment="1">
      <alignment horizontal="center" vertical="center" wrapText="1"/>
    </xf>
    <xf numFmtId="0" fontId="78" fillId="0" borderId="62" xfId="3" applyFont="1" applyBorder="1" applyAlignment="1">
      <alignment horizontal="center" vertical="center" wrapText="1"/>
    </xf>
    <xf numFmtId="0" fontId="78" fillId="0" borderId="105" xfId="3" applyFont="1" applyBorder="1" applyAlignment="1">
      <alignment horizontal="center" vertical="center" wrapText="1"/>
    </xf>
    <xf numFmtId="0" fontId="26" fillId="0" borderId="63" xfId="3" applyFont="1" applyBorder="1" applyAlignment="1">
      <alignment horizontal="justify" vertical="center" wrapText="1"/>
    </xf>
    <xf numFmtId="0" fontId="26" fillId="0" borderId="57" xfId="3" applyFont="1" applyBorder="1" applyAlignment="1">
      <alignment horizontal="justify" vertical="center" wrapText="1"/>
    </xf>
    <xf numFmtId="0" fontId="26" fillId="0" borderId="110" xfId="3" applyFont="1" applyBorder="1" applyAlignment="1">
      <alignment horizontal="justify" vertical="center" wrapText="1"/>
    </xf>
    <xf numFmtId="0" fontId="139" fillId="12" borderId="18" xfId="5" applyFont="1" applyFill="1" applyBorder="1" applyAlignment="1">
      <alignment horizontal="center" vertical="center"/>
    </xf>
    <xf numFmtId="0" fontId="139" fillId="12" borderId="128" xfId="5" applyFont="1" applyFill="1" applyBorder="1" applyAlignment="1">
      <alignment horizontal="center" vertical="center"/>
    </xf>
    <xf numFmtId="0" fontId="105" fillId="29" borderId="129" xfId="5" applyFont="1" applyFill="1" applyBorder="1" applyAlignment="1">
      <alignment horizontal="center" vertical="center"/>
    </xf>
    <xf numFmtId="0" fontId="105" fillId="29" borderId="146" xfId="5" applyFont="1" applyFill="1" applyBorder="1" applyAlignment="1">
      <alignment horizontal="center" vertical="center"/>
    </xf>
    <xf numFmtId="0" fontId="105" fillId="29" borderId="157" xfId="5" applyFont="1" applyFill="1" applyBorder="1" applyAlignment="1">
      <alignment horizontal="center" vertical="center"/>
    </xf>
    <xf numFmtId="0" fontId="105" fillId="29" borderId="159" xfId="5" applyFont="1" applyFill="1" applyBorder="1" applyAlignment="1">
      <alignment horizontal="center" vertical="center"/>
    </xf>
    <xf numFmtId="0" fontId="199" fillId="3" borderId="5" xfId="5" applyFont="1" applyFill="1" applyBorder="1" applyAlignment="1">
      <alignment horizontal="center" vertical="center"/>
    </xf>
    <xf numFmtId="0" fontId="12" fillId="13" borderId="156" xfId="5" applyFont="1" applyFill="1" applyBorder="1" applyAlignment="1">
      <alignment horizontal="center" vertical="center"/>
    </xf>
    <xf numFmtId="0" fontId="4" fillId="2" borderId="130" xfId="5" applyFont="1" applyFill="1" applyBorder="1" applyAlignment="1">
      <alignment horizontal="center" vertical="center"/>
    </xf>
    <xf numFmtId="0" fontId="4" fillId="2" borderId="155" xfId="5" applyFont="1" applyFill="1" applyBorder="1" applyAlignment="1">
      <alignment horizontal="center" vertical="center"/>
    </xf>
    <xf numFmtId="0" fontId="121" fillId="29" borderId="156" xfId="5" applyFont="1" applyFill="1" applyBorder="1" applyAlignment="1">
      <alignment horizontal="center" vertical="center"/>
    </xf>
    <xf numFmtId="0" fontId="121" fillId="12" borderId="0" xfId="5" applyFont="1" applyFill="1" applyAlignment="1">
      <alignment horizontal="center" vertical="center"/>
    </xf>
    <xf numFmtId="0" fontId="121" fillId="12" borderId="128" xfId="5" applyFont="1" applyFill="1" applyBorder="1" applyAlignment="1">
      <alignment horizontal="center" vertical="center"/>
    </xf>
    <xf numFmtId="0" fontId="119" fillId="23" borderId="128" xfId="5" applyFont="1" applyFill="1" applyBorder="1" applyAlignment="1">
      <alignment horizontal="center" vertical="center"/>
    </xf>
    <xf numFmtId="0" fontId="119" fillId="23" borderId="156" xfId="5" applyFont="1" applyFill="1" applyBorder="1" applyAlignment="1">
      <alignment horizontal="center" vertical="center"/>
    </xf>
    <xf numFmtId="0" fontId="139" fillId="12" borderId="156" xfId="5" applyFont="1" applyFill="1" applyBorder="1" applyAlignment="1">
      <alignment horizontal="center" vertical="center"/>
    </xf>
    <xf numFmtId="0" fontId="105" fillId="29" borderId="0" xfId="5" applyFont="1" applyFill="1" applyAlignment="1">
      <alignment horizontal="center" vertical="center"/>
    </xf>
    <xf numFmtId="0" fontId="105" fillId="29" borderId="145" xfId="5" applyFont="1" applyFill="1" applyBorder="1" applyAlignment="1">
      <alignment horizontal="center" vertical="center"/>
    </xf>
    <xf numFmtId="0" fontId="12" fillId="13" borderId="36" xfId="5" applyFont="1" applyFill="1" applyBorder="1" applyAlignment="1">
      <alignment horizontal="center" vertical="center"/>
    </xf>
    <xf numFmtId="0" fontId="4" fillId="2" borderId="18" xfId="5" applyFont="1" applyFill="1" applyBorder="1" applyAlignment="1">
      <alignment horizontal="center" vertical="center"/>
    </xf>
    <xf numFmtId="0" fontId="199" fillId="3" borderId="0" xfId="5" applyFont="1" applyFill="1" applyAlignment="1">
      <alignment horizontal="center" vertical="center"/>
    </xf>
    <xf numFmtId="0" fontId="207" fillId="12" borderId="18" xfId="5" applyFont="1" applyFill="1" applyBorder="1" applyAlignment="1">
      <alignment horizontal="center" vertical="center"/>
    </xf>
    <xf numFmtId="0" fontId="205" fillId="12" borderId="18" xfId="5" applyFont="1" applyFill="1" applyBorder="1" applyAlignment="1">
      <alignment horizontal="center" vertical="center"/>
    </xf>
    <xf numFmtId="0" fontId="205" fillId="12" borderId="128" xfId="5" applyFont="1" applyFill="1" applyBorder="1" applyAlignment="1">
      <alignment horizontal="center" vertical="center"/>
    </xf>
    <xf numFmtId="0" fontId="14" fillId="8" borderId="6" xfId="5" applyFill="1" applyBorder="1" applyAlignment="1">
      <alignment horizontal="center" vertical="center" wrapText="1"/>
    </xf>
    <xf numFmtId="0" fontId="14" fillId="8" borderId="3" xfId="5" applyFill="1" applyBorder="1" applyAlignment="1">
      <alignment horizontal="center" vertical="center"/>
    </xf>
    <xf numFmtId="0" fontId="14" fillId="8" borderId="6" xfId="5" applyFill="1" applyBorder="1" applyAlignment="1">
      <alignment horizontal="center" vertical="center"/>
    </xf>
    <xf numFmtId="0" fontId="14" fillId="8" borderId="17" xfId="5" applyFill="1" applyBorder="1" applyAlignment="1">
      <alignment horizontal="center" vertical="center"/>
    </xf>
    <xf numFmtId="0" fontId="45" fillId="8" borderId="6" xfId="5" applyFont="1" applyFill="1" applyBorder="1" applyAlignment="1">
      <alignment horizontal="center" vertical="center" wrapText="1"/>
    </xf>
    <xf numFmtId="0" fontId="45" fillId="8" borderId="17" xfId="5" applyFont="1" applyFill="1" applyBorder="1" applyAlignment="1">
      <alignment horizontal="center" vertical="center" wrapText="1"/>
    </xf>
    <xf numFmtId="0" fontId="163" fillId="23" borderId="18" xfId="5" applyFont="1" applyFill="1" applyBorder="1" applyAlignment="1">
      <alignment horizontal="center" vertical="center"/>
    </xf>
    <xf numFmtId="0" fontId="4" fillId="2" borderId="5" xfId="5" applyFont="1" applyFill="1" applyBorder="1" applyAlignment="1">
      <alignment horizontal="center" vertical="center"/>
    </xf>
    <xf numFmtId="0" fontId="196" fillId="0" borderId="0" xfId="5" applyFont="1" applyAlignment="1">
      <alignment horizontal="center" vertical="center"/>
    </xf>
    <xf numFmtId="0" fontId="139" fillId="12" borderId="0" xfId="5" applyFont="1" applyFill="1" applyAlignment="1">
      <alignment horizontal="center" vertical="center"/>
    </xf>
    <xf numFmtId="0" fontId="124" fillId="29" borderId="6" xfId="5" applyFont="1" applyFill="1" applyBorder="1" applyAlignment="1">
      <alignment horizontal="center" vertical="center" wrapText="1"/>
    </xf>
    <xf numFmtId="0" fontId="105" fillId="29" borderId="17" xfId="5" applyFont="1" applyFill="1" applyBorder="1" applyAlignment="1">
      <alignment horizontal="center" vertical="center" wrapText="1"/>
    </xf>
    <xf numFmtId="0" fontId="105" fillId="29" borderId="95" xfId="5" applyFont="1" applyFill="1" applyBorder="1" applyAlignment="1">
      <alignment horizontal="center" vertical="center" wrapText="1"/>
    </xf>
    <xf numFmtId="0" fontId="22" fillId="3" borderId="19" xfId="5" applyFont="1" applyFill="1" applyBorder="1" applyAlignment="1">
      <alignment horizontal="center" vertical="center"/>
    </xf>
    <xf numFmtId="0" fontId="22" fillId="3" borderId="18" xfId="5" applyFont="1" applyFill="1" applyBorder="1" applyAlignment="1">
      <alignment horizontal="center" vertical="center"/>
    </xf>
    <xf numFmtId="0" fontId="105" fillId="29" borderId="6" xfId="5" applyFont="1" applyFill="1" applyBorder="1" applyAlignment="1">
      <alignment horizontal="center" vertical="center" wrapText="1"/>
    </xf>
    <xf numFmtId="0" fontId="177" fillId="29" borderId="94" xfId="5" applyFont="1" applyFill="1" applyBorder="1" applyAlignment="1">
      <alignment horizontal="center" vertical="center"/>
    </xf>
    <xf numFmtId="0" fontId="105" fillId="29" borderId="17" xfId="5" applyFont="1" applyFill="1" applyBorder="1" applyAlignment="1">
      <alignment horizontal="center" vertical="center"/>
    </xf>
    <xf numFmtId="0" fontId="105" fillId="29" borderId="95" xfId="5" applyFont="1" applyFill="1" applyBorder="1" applyAlignment="1">
      <alignment horizontal="center" vertical="center"/>
    </xf>
    <xf numFmtId="0" fontId="76" fillId="14" borderId="6" xfId="5" applyFont="1" applyFill="1" applyBorder="1" applyAlignment="1">
      <alignment horizontal="left" vertical="center" wrapText="1"/>
    </xf>
    <xf numFmtId="0" fontId="98" fillId="14" borderId="3" xfId="5" applyFont="1" applyFill="1" applyBorder="1" applyAlignment="1">
      <alignment horizontal="left" vertical="center"/>
    </xf>
    <xf numFmtId="0" fontId="4" fillId="2" borderId="19" xfId="5" applyFont="1" applyFill="1" applyBorder="1" applyAlignment="1">
      <alignment horizontal="center" vertical="center"/>
    </xf>
    <xf numFmtId="0" fontId="4" fillId="2" borderId="7" xfId="5" applyFont="1" applyFill="1" applyBorder="1" applyAlignment="1">
      <alignment horizontal="center" vertical="center"/>
    </xf>
    <xf numFmtId="0" fontId="4" fillId="2" borderId="33" xfId="5" applyFont="1" applyFill="1" applyBorder="1" applyAlignment="1">
      <alignment horizontal="center" vertical="center"/>
    </xf>
    <xf numFmtId="0" fontId="234" fillId="0" borderId="40" xfId="5" applyFont="1" applyBorder="1" applyAlignment="1">
      <alignment horizontal="left" vertical="center" wrapText="1"/>
    </xf>
    <xf numFmtId="0" fontId="234" fillId="0" borderId="155" xfId="5" applyFont="1" applyBorder="1" applyAlignment="1">
      <alignment horizontal="left" vertical="center" wrapText="1"/>
    </xf>
    <xf numFmtId="0" fontId="105" fillId="29" borderId="218" xfId="5" applyFont="1" applyFill="1" applyBorder="1" applyAlignment="1">
      <alignment horizontal="center" vertical="center" wrapText="1"/>
    </xf>
    <xf numFmtId="0" fontId="159" fillId="25" borderId="30" xfId="0" applyFont="1" applyFill="1" applyBorder="1" applyAlignment="1">
      <alignment horizontal="center" vertical="center" wrapText="1"/>
    </xf>
    <xf numFmtId="0" fontId="159" fillId="25" borderId="61" xfId="0" applyFont="1" applyFill="1" applyBorder="1" applyAlignment="1">
      <alignment horizontal="center" vertical="center" wrapText="1"/>
    </xf>
    <xf numFmtId="0" fontId="210" fillId="0" borderId="30" xfId="0" applyFont="1" applyBorder="1" applyAlignment="1">
      <alignment horizontal="center" vertical="center" wrapText="1"/>
    </xf>
    <xf numFmtId="0" fontId="210" fillId="0" borderId="61" xfId="0" applyFont="1" applyBorder="1" applyAlignment="1">
      <alignment horizontal="center" vertical="center" wrapText="1"/>
    </xf>
    <xf numFmtId="0" fontId="210" fillId="0" borderId="62" xfId="0" applyFont="1" applyBorder="1" applyAlignment="1">
      <alignment horizontal="center" vertical="center" wrapText="1"/>
    </xf>
    <xf numFmtId="0" fontId="14" fillId="0" borderId="30" xfId="0" applyFont="1" applyBorder="1" applyAlignment="1">
      <alignment horizontal="center" vertical="center" wrapText="1"/>
    </xf>
    <xf numFmtId="0" fontId="14" fillId="0" borderId="61" xfId="0" applyFont="1" applyBorder="1" applyAlignment="1">
      <alignment horizontal="center" vertical="center" wrapText="1"/>
    </xf>
    <xf numFmtId="0" fontId="14" fillId="0" borderId="62" xfId="0" applyFont="1" applyBorder="1" applyAlignment="1">
      <alignment horizontal="center" vertical="center" wrapText="1"/>
    </xf>
    <xf numFmtId="0" fontId="5" fillId="0" borderId="62" xfId="0" applyFont="1" applyBorder="1" applyAlignment="1">
      <alignment horizontal="center" vertical="center" wrapText="1"/>
    </xf>
    <xf numFmtId="0" fontId="159" fillId="17" borderId="30" xfId="0" applyFont="1" applyFill="1" applyBorder="1" applyAlignment="1">
      <alignment horizontal="center" vertical="center" wrapText="1"/>
    </xf>
    <xf numFmtId="0" fontId="159" fillId="17" borderId="61" xfId="0" applyFont="1" applyFill="1" applyBorder="1" applyAlignment="1">
      <alignment horizontal="center" vertical="center" wrapText="1"/>
    </xf>
    <xf numFmtId="0" fontId="159" fillId="17" borderId="62" xfId="0" applyFont="1" applyFill="1" applyBorder="1" applyAlignment="1">
      <alignment horizontal="center" vertical="center" wrapText="1"/>
    </xf>
    <xf numFmtId="0" fontId="145" fillId="25" borderId="30" xfId="0" applyFont="1" applyFill="1" applyBorder="1" applyAlignment="1">
      <alignment horizontal="center" vertical="center" wrapText="1"/>
    </xf>
    <xf numFmtId="0" fontId="145" fillId="25" borderId="62" xfId="0" applyFont="1" applyFill="1" applyBorder="1" applyAlignment="1">
      <alignment horizontal="center" vertical="center" wrapText="1"/>
    </xf>
    <xf numFmtId="0" fontId="145" fillId="25" borderId="61" xfId="0" applyFont="1" applyFill="1" applyBorder="1" applyAlignment="1">
      <alignment horizontal="center" vertical="center" wrapText="1"/>
    </xf>
    <xf numFmtId="0" fontId="156" fillId="0" borderId="30" xfId="0" applyFont="1" applyBorder="1" applyAlignment="1">
      <alignment horizontal="center" vertical="center" wrapText="1"/>
    </xf>
    <xf numFmtId="0" fontId="156" fillId="0" borderId="62" xfId="0" applyFont="1" applyBorder="1" applyAlignment="1">
      <alignment horizontal="center" vertical="center" wrapText="1"/>
    </xf>
    <xf numFmtId="0" fontId="156" fillId="0" borderId="61" xfId="0" applyFont="1" applyBorder="1" applyAlignment="1">
      <alignment horizontal="center" vertical="center" wrapText="1"/>
    </xf>
    <xf numFmtId="0" fontId="39" fillId="0" borderId="30" xfId="0" applyFont="1" applyBorder="1" applyAlignment="1">
      <alignment horizontal="center" vertical="center" wrapText="1"/>
    </xf>
    <xf numFmtId="0" fontId="39" fillId="0" borderId="62" xfId="0" applyFont="1" applyBorder="1" applyAlignment="1">
      <alignment horizontal="center" vertical="center" wrapText="1"/>
    </xf>
    <xf numFmtId="0" fontId="39" fillId="0" borderId="61" xfId="0" applyFont="1" applyBorder="1" applyAlignment="1">
      <alignment horizontal="center" vertical="center" wrapText="1"/>
    </xf>
    <xf numFmtId="0" fontId="155" fillId="0" borderId="30" xfId="0" applyFont="1" applyBorder="1" applyAlignment="1">
      <alignment horizontal="justify" vertical="center" wrapText="1"/>
    </xf>
    <xf numFmtId="0" fontId="155" fillId="0" borderId="62" xfId="0" applyFont="1" applyBorder="1" applyAlignment="1">
      <alignment horizontal="justify" vertical="center" wrapText="1"/>
    </xf>
    <xf numFmtId="0" fontId="155" fillId="0" borderId="62" xfId="0" applyFont="1" applyBorder="1" applyAlignment="1">
      <alignment horizontal="center" vertical="center" wrapText="1"/>
    </xf>
    <xf numFmtId="0" fontId="155" fillId="0" borderId="61" xfId="0" applyFont="1" applyBorder="1" applyAlignment="1">
      <alignment horizontal="justify" vertical="center" wrapText="1"/>
    </xf>
    <xf numFmtId="0" fontId="232" fillId="29" borderId="131" xfId="0" applyFont="1" applyFill="1" applyBorder="1" applyAlignment="1">
      <alignment horizontal="center"/>
    </xf>
    <xf numFmtId="0" fontId="232" fillId="29" borderId="128" xfId="0" applyFont="1" applyFill="1" applyBorder="1" applyAlignment="1">
      <alignment horizontal="center"/>
    </xf>
    <xf numFmtId="0" fontId="153" fillId="25" borderId="30" xfId="0" applyFont="1" applyFill="1" applyBorder="1" applyAlignment="1">
      <alignment horizontal="center" vertical="center" wrapText="1"/>
    </xf>
    <xf numFmtId="0" fontId="153" fillId="25" borderId="62" xfId="0" applyFont="1" applyFill="1" applyBorder="1" applyAlignment="1">
      <alignment horizontal="center" vertical="center" wrapText="1"/>
    </xf>
    <xf numFmtId="0" fontId="153" fillId="25" borderId="61" xfId="0" applyFont="1" applyFill="1" applyBorder="1" applyAlignment="1">
      <alignment horizontal="center" vertical="center" wrapText="1"/>
    </xf>
    <xf numFmtId="0" fontId="154" fillId="0" borderId="62" xfId="0" applyFont="1" applyBorder="1" applyAlignment="1">
      <alignment horizontal="center" vertical="center" wrapText="1"/>
    </xf>
    <xf numFmtId="0" fontId="22" fillId="3" borderId="19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14" fillId="29" borderId="94" xfId="0" applyFont="1" applyFill="1" applyBorder="1" applyAlignment="1">
      <alignment horizontal="center"/>
    </xf>
    <xf numFmtId="0" fontId="14" fillId="29" borderId="17" xfId="0" applyFont="1" applyFill="1" applyBorder="1" applyAlignment="1">
      <alignment horizontal="center"/>
    </xf>
    <xf numFmtId="0" fontId="14" fillId="29" borderId="95" xfId="0" applyFont="1" applyFill="1" applyBorder="1" applyAlignment="1">
      <alignment horizontal="center"/>
    </xf>
    <xf numFmtId="0" fontId="158" fillId="0" borderId="30" xfId="0" applyFont="1" applyBorder="1" applyAlignment="1">
      <alignment horizontal="center" vertical="center" wrapText="1"/>
    </xf>
    <xf numFmtId="0" fontId="158" fillId="0" borderId="62" xfId="0" applyFont="1" applyBorder="1" applyAlignment="1">
      <alignment horizontal="center" vertical="center" wrapText="1"/>
    </xf>
    <xf numFmtId="0" fontId="158" fillId="0" borderId="61" xfId="0" applyFont="1" applyBorder="1" applyAlignment="1">
      <alignment horizontal="center" vertical="center" wrapText="1"/>
    </xf>
    <xf numFmtId="0" fontId="145" fillId="25" borderId="108" xfId="0" applyFont="1" applyFill="1" applyBorder="1" applyAlignment="1">
      <alignment horizontal="center" vertical="center" wrapText="1"/>
    </xf>
    <xf numFmtId="0" fontId="145" fillId="25" borderId="29" xfId="0" applyFont="1" applyFill="1" applyBorder="1" applyAlignment="1">
      <alignment horizontal="center" vertical="center" wrapText="1"/>
    </xf>
    <xf numFmtId="0" fontId="145" fillId="25" borderId="63" xfId="0" applyFont="1" applyFill="1" applyBorder="1" applyAlignment="1">
      <alignment horizontal="center" vertical="center" wrapText="1"/>
    </xf>
    <xf numFmtId="0" fontId="145" fillId="25" borderId="26" xfId="0" applyFont="1" applyFill="1" applyBorder="1" applyAlignment="1">
      <alignment horizontal="center" vertical="center" wrapText="1"/>
    </xf>
    <xf numFmtId="0" fontId="56" fillId="21" borderId="116" xfId="0" applyFont="1" applyFill="1" applyBorder="1" applyAlignment="1">
      <alignment horizontal="center" vertical="center" wrapText="1"/>
    </xf>
    <xf numFmtId="0" fontId="56" fillId="21" borderId="117" xfId="0" applyFont="1" applyFill="1" applyBorder="1" applyAlignment="1">
      <alignment horizontal="center" vertical="center" wrapText="1"/>
    </xf>
    <xf numFmtId="0" fontId="56" fillId="21" borderId="125" xfId="0" applyFont="1" applyFill="1" applyBorder="1" applyAlignment="1">
      <alignment horizontal="center" vertical="center" wrapText="1"/>
    </xf>
    <xf numFmtId="0" fontId="56" fillId="0" borderId="30" xfId="0" applyFont="1" applyBorder="1" applyAlignment="1">
      <alignment horizontal="center" vertical="center" wrapText="1"/>
    </xf>
    <xf numFmtId="0" fontId="56" fillId="0" borderId="62" xfId="0" applyFont="1" applyBorder="1" applyAlignment="1">
      <alignment horizontal="center" vertical="center" wrapText="1"/>
    </xf>
    <xf numFmtId="0" fontId="56" fillId="0" borderId="61" xfId="0" applyFont="1" applyBorder="1" applyAlignment="1">
      <alignment horizontal="center" vertical="center" wrapText="1"/>
    </xf>
    <xf numFmtId="0" fontId="59" fillId="0" borderId="30" xfId="0" applyFont="1" applyBorder="1" applyAlignment="1">
      <alignment horizontal="center" vertical="center" wrapText="1"/>
    </xf>
    <xf numFmtId="0" fontId="59" fillId="0" borderId="62" xfId="0" applyFont="1" applyBorder="1" applyAlignment="1">
      <alignment horizontal="center" vertical="center" wrapText="1"/>
    </xf>
    <xf numFmtId="0" fontId="59" fillId="0" borderId="105" xfId="0" applyFont="1" applyBorder="1" applyAlignment="1">
      <alignment horizontal="center" vertical="center" wrapText="1"/>
    </xf>
    <xf numFmtId="0" fontId="65" fillId="0" borderId="30" xfId="0" applyFont="1" applyBorder="1" applyAlignment="1">
      <alignment horizontal="center" vertical="center" wrapText="1"/>
    </xf>
    <xf numFmtId="0" fontId="65" fillId="0" borderId="62" xfId="0" applyFont="1" applyBorder="1" applyAlignment="1">
      <alignment horizontal="center" vertical="center" wrapText="1"/>
    </xf>
    <xf numFmtId="0" fontId="65" fillId="0" borderId="105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justify" vertical="center" wrapText="1"/>
    </xf>
    <xf numFmtId="0" fontId="27" fillId="0" borderId="62" xfId="0" applyFont="1" applyBorder="1" applyAlignment="1">
      <alignment horizontal="justify" vertical="center" wrapText="1"/>
    </xf>
    <xf numFmtId="0" fontId="27" fillId="0" borderId="105" xfId="0" applyFont="1" applyBorder="1" applyAlignment="1">
      <alignment horizontal="justify" vertical="center" wrapText="1"/>
    </xf>
    <xf numFmtId="0" fontId="27" fillId="0" borderId="108" xfId="0" applyFont="1" applyBorder="1" applyAlignment="1">
      <alignment horizontal="justify" vertical="center" wrapText="1"/>
    </xf>
    <xf numFmtId="0" fontId="27" fillId="0" borderId="31" xfId="0" applyFont="1" applyBorder="1" applyAlignment="1">
      <alignment horizontal="justify" vertical="center" wrapText="1"/>
    </xf>
    <xf numFmtId="0" fontId="27" fillId="0" borderId="109" xfId="0" applyFont="1" applyBorder="1" applyAlignment="1">
      <alignment horizontal="justify" vertical="center" wrapText="1"/>
    </xf>
    <xf numFmtId="0" fontId="27" fillId="0" borderId="63" xfId="0" applyFont="1" applyBorder="1" applyAlignment="1">
      <alignment horizontal="justify" vertical="center" wrapText="1"/>
    </xf>
    <xf numFmtId="0" fontId="27" fillId="0" borderId="57" xfId="0" applyFont="1" applyBorder="1" applyAlignment="1">
      <alignment horizontal="justify" vertical="center" wrapText="1"/>
    </xf>
    <xf numFmtId="0" fontId="27" fillId="0" borderId="110" xfId="0" applyFont="1" applyBorder="1" applyAlignment="1">
      <alignment horizontal="justify" vertical="center" wrapText="1"/>
    </xf>
    <xf numFmtId="0" fontId="65" fillId="0" borderId="108" xfId="0" applyFont="1" applyBorder="1" applyAlignment="1">
      <alignment horizontal="left" vertical="center" wrapText="1"/>
    </xf>
    <xf numFmtId="0" fontId="65" fillId="0" borderId="31" xfId="0" applyFont="1" applyBorder="1" applyAlignment="1">
      <alignment horizontal="left" vertical="center" wrapText="1"/>
    </xf>
    <xf numFmtId="0" fontId="65" fillId="0" borderId="109" xfId="0" applyFont="1" applyBorder="1" applyAlignment="1">
      <alignment horizontal="left" vertical="center" wrapText="1"/>
    </xf>
    <xf numFmtId="0" fontId="65" fillId="0" borderId="63" xfId="0" applyFont="1" applyBorder="1" applyAlignment="1">
      <alignment horizontal="left" vertical="center" wrapText="1"/>
    </xf>
    <xf numFmtId="0" fontId="65" fillId="0" borderId="57" xfId="0" applyFont="1" applyBorder="1" applyAlignment="1">
      <alignment horizontal="left" vertical="center" wrapText="1"/>
    </xf>
    <xf numFmtId="0" fontId="65" fillId="0" borderId="110" xfId="0" applyFont="1" applyBorder="1" applyAlignment="1">
      <alignment horizontal="left" vertical="center" wrapText="1"/>
    </xf>
    <xf numFmtId="0" fontId="14" fillId="0" borderId="116" xfId="0" applyFont="1" applyBorder="1" applyAlignment="1">
      <alignment horizontal="justify" vertical="center" wrapText="1"/>
    </xf>
    <xf numFmtId="0" fontId="14" fillId="0" borderId="117" xfId="0" applyFont="1" applyBorder="1" applyAlignment="1">
      <alignment horizontal="justify" vertical="center" wrapText="1"/>
    </xf>
    <xf numFmtId="0" fontId="14" fillId="0" borderId="118" xfId="0" applyFont="1" applyBorder="1" applyAlignment="1">
      <alignment horizontal="justify" vertical="center" wrapText="1"/>
    </xf>
    <xf numFmtId="0" fontId="55" fillId="0" borderId="121" xfId="0" applyFont="1" applyBorder="1" applyAlignment="1">
      <alignment horizontal="left" vertical="center" wrapText="1"/>
    </xf>
    <xf numFmtId="0" fontId="63" fillId="0" borderId="98" xfId="0" applyFont="1" applyBorder="1" applyAlignment="1">
      <alignment horizontal="center" vertical="center" wrapText="1"/>
    </xf>
    <xf numFmtId="0" fontId="63" fillId="0" borderId="99" xfId="0" applyFont="1" applyBorder="1" applyAlignment="1">
      <alignment horizontal="center" vertical="center" wrapText="1"/>
    </xf>
    <xf numFmtId="0" fontId="63" fillId="0" borderId="102" xfId="0" applyFont="1" applyBorder="1" applyAlignment="1">
      <alignment horizontal="center" vertical="center" wrapText="1"/>
    </xf>
    <xf numFmtId="0" fontId="63" fillId="0" borderId="30" xfId="0" applyFont="1" applyBorder="1" applyAlignment="1">
      <alignment horizontal="center" vertical="center" wrapText="1"/>
    </xf>
    <xf numFmtId="0" fontId="63" fillId="0" borderId="62" xfId="0" applyFont="1" applyBorder="1" applyAlignment="1">
      <alignment horizontal="center" vertical="center" wrapText="1"/>
    </xf>
    <xf numFmtId="0" fontId="63" fillId="0" borderId="105" xfId="0" applyFont="1" applyBorder="1" applyAlignment="1">
      <alignment horizontal="center" vertical="center" wrapText="1"/>
    </xf>
    <xf numFmtId="0" fontId="57" fillId="0" borderId="30" xfId="0" applyFont="1" applyBorder="1" applyAlignment="1">
      <alignment horizontal="center" vertical="center" wrapText="1"/>
    </xf>
    <xf numFmtId="0" fontId="57" fillId="0" borderId="62" xfId="0" applyFont="1" applyBorder="1" applyAlignment="1">
      <alignment horizontal="center" vertical="center" wrapText="1"/>
    </xf>
    <xf numFmtId="0" fontId="57" fillId="0" borderId="105" xfId="0" applyFont="1" applyBorder="1" applyAlignment="1">
      <alignment horizontal="center" vertical="center" wrapText="1"/>
    </xf>
    <xf numFmtId="0" fontId="55" fillId="0" borderId="111" xfId="0" applyFont="1" applyBorder="1" applyAlignment="1">
      <alignment horizontal="left" vertical="center" wrapText="1"/>
    </xf>
    <xf numFmtId="0" fontId="59" fillId="0" borderId="98" xfId="0" applyFont="1" applyBorder="1" applyAlignment="1">
      <alignment horizontal="justify" vertical="center" wrapText="1"/>
    </xf>
    <xf numFmtId="0" fontId="59" fillId="0" borderId="99" xfId="0" applyFont="1" applyBorder="1" applyAlignment="1">
      <alignment horizontal="justify" vertical="center" wrapText="1"/>
    </xf>
    <xf numFmtId="0" fontId="59" fillId="0" borderId="102" xfId="0" applyFont="1" applyBorder="1" applyAlignment="1">
      <alignment horizontal="justify" vertical="center" wrapText="1"/>
    </xf>
    <xf numFmtId="0" fontId="56" fillId="20" borderId="106" xfId="0" applyFont="1" applyFill="1" applyBorder="1" applyAlignment="1">
      <alignment horizontal="center" vertical="center" wrapText="1"/>
    </xf>
    <xf numFmtId="0" fontId="56" fillId="20" borderId="113" xfId="0" applyFont="1" applyFill="1" applyBorder="1" applyAlignment="1">
      <alignment horizontal="center" vertical="center" wrapText="1"/>
    </xf>
    <xf numFmtId="0" fontId="56" fillId="20" borderId="107" xfId="0" applyFont="1" applyFill="1" applyBorder="1" applyAlignment="1">
      <alignment horizontal="center" vertical="center" wrapText="1"/>
    </xf>
    <xf numFmtId="0" fontId="59" fillId="0" borderId="61" xfId="0" applyFont="1" applyBorder="1" applyAlignment="1">
      <alignment horizontal="center" vertical="center" wrapText="1"/>
    </xf>
    <xf numFmtId="0" fontId="59" fillId="0" borderId="30" xfId="0" applyFont="1" applyBorder="1" applyAlignment="1">
      <alignment horizontal="justify" vertical="center" wrapText="1"/>
    </xf>
    <xf numFmtId="0" fontId="59" fillId="0" borderId="62" xfId="0" applyFont="1" applyBorder="1" applyAlignment="1">
      <alignment horizontal="justify" vertical="center" wrapText="1"/>
    </xf>
    <xf numFmtId="0" fontId="59" fillId="0" borderId="105" xfId="0" applyFont="1" applyBorder="1" applyAlignment="1">
      <alignment horizontal="justify" vertical="center" wrapText="1"/>
    </xf>
    <xf numFmtId="0" fontId="59" fillId="0" borderId="108" xfId="0" applyFont="1" applyBorder="1" applyAlignment="1">
      <alignment horizontal="center" vertical="center" wrapText="1"/>
    </xf>
    <xf numFmtId="0" fontId="59" fillId="0" borderId="31" xfId="0" applyFont="1" applyBorder="1" applyAlignment="1">
      <alignment horizontal="center" vertical="center" wrapText="1"/>
    </xf>
    <xf numFmtId="0" fontId="59" fillId="0" borderId="29" xfId="0" applyFont="1" applyBorder="1" applyAlignment="1">
      <alignment horizontal="center" vertical="center" wrapText="1"/>
    </xf>
    <xf numFmtId="0" fontId="59" fillId="0" borderId="63" xfId="0" applyFont="1" applyBorder="1" applyAlignment="1">
      <alignment horizontal="center" vertical="center" wrapText="1"/>
    </xf>
    <xf numFmtId="0" fontId="59" fillId="0" borderId="57" xfId="0" applyFont="1" applyBorder="1" applyAlignment="1">
      <alignment horizontal="center" vertical="center" wrapText="1"/>
    </xf>
    <xf numFmtId="0" fontId="59" fillId="0" borderId="26" xfId="0" applyFont="1" applyBorder="1" applyAlignment="1">
      <alignment horizontal="center" vertical="center" wrapText="1"/>
    </xf>
    <xf numFmtId="0" fontId="59" fillId="0" borderId="108" xfId="0" applyFont="1" applyBorder="1" applyAlignment="1">
      <alignment horizontal="justify" vertical="center" wrapText="1"/>
    </xf>
    <xf numFmtId="0" fontId="59" fillId="0" borderId="31" xfId="0" applyFont="1" applyBorder="1" applyAlignment="1">
      <alignment horizontal="justify" vertical="center" wrapText="1"/>
    </xf>
    <xf numFmtId="0" fontId="59" fillId="0" borderId="109" xfId="0" applyFont="1" applyBorder="1" applyAlignment="1">
      <alignment horizontal="justify" vertical="center" wrapText="1"/>
    </xf>
    <xf numFmtId="0" fontId="59" fillId="0" borderId="63" xfId="0" applyFont="1" applyBorder="1" applyAlignment="1">
      <alignment horizontal="justify" vertical="center" wrapText="1"/>
    </xf>
    <xf numFmtId="0" fontId="59" fillId="0" borderId="57" xfId="0" applyFont="1" applyBorder="1" applyAlignment="1">
      <alignment horizontal="justify" vertical="center" wrapText="1"/>
    </xf>
    <xf numFmtId="0" fontId="59" fillId="0" borderId="110" xfId="0" applyFont="1" applyBorder="1" applyAlignment="1">
      <alignment horizontal="justify" vertical="center" wrapText="1"/>
    </xf>
    <xf numFmtId="0" fontId="60" fillId="0" borderId="123" xfId="0" applyFont="1" applyBorder="1" applyAlignment="1">
      <alignment horizontal="justify" vertical="center" wrapText="1"/>
    </xf>
    <xf numFmtId="0" fontId="60" fillId="0" borderId="111" xfId="0" applyFont="1" applyBorder="1" applyAlignment="1">
      <alignment horizontal="justify" vertical="center" wrapText="1"/>
    </xf>
    <xf numFmtId="0" fontId="56" fillId="20" borderId="112" xfId="0" applyFont="1" applyFill="1" applyBorder="1" applyAlignment="1">
      <alignment horizontal="center" vertical="center" wrapText="1"/>
    </xf>
    <xf numFmtId="0" fontId="56" fillId="20" borderId="124" xfId="0" applyFont="1" applyFill="1" applyBorder="1" applyAlignment="1">
      <alignment horizontal="center" vertical="center" wrapText="1"/>
    </xf>
    <xf numFmtId="0" fontId="56" fillId="20" borderId="98" xfId="0" applyFont="1" applyFill="1" applyBorder="1" applyAlignment="1">
      <alignment horizontal="center" vertical="center" wrapText="1"/>
    </xf>
    <xf numFmtId="0" fontId="56" fillId="20" borderId="100" xfId="0" applyFont="1" applyFill="1" applyBorder="1" applyAlignment="1">
      <alignment horizontal="center" vertical="center" wrapText="1"/>
    </xf>
    <xf numFmtId="0" fontId="57" fillId="0" borderId="98" xfId="0" applyFont="1" applyBorder="1" applyAlignment="1">
      <alignment horizontal="center" vertical="center" wrapText="1"/>
    </xf>
    <xf numFmtId="0" fontId="57" fillId="0" borderId="99" xfId="0" applyFont="1" applyBorder="1" applyAlignment="1">
      <alignment horizontal="center" vertical="center" wrapText="1"/>
    </xf>
    <xf numFmtId="0" fontId="57" fillId="0" borderId="100" xfId="0" applyFont="1" applyBorder="1" applyAlignment="1">
      <alignment horizontal="center" vertical="center" wrapText="1"/>
    </xf>
    <xf numFmtId="0" fontId="56" fillId="20" borderId="116" xfId="0" applyFont="1" applyFill="1" applyBorder="1" applyAlignment="1">
      <alignment horizontal="center" vertical="center" wrapText="1"/>
    </xf>
    <xf numFmtId="0" fontId="56" fillId="20" borderId="125" xfId="0" applyFont="1" applyFill="1" applyBorder="1" applyAlignment="1">
      <alignment horizontal="center" vertical="center" wrapText="1"/>
    </xf>
    <xf numFmtId="0" fontId="61" fillId="0" borderId="116" xfId="0" applyFont="1" applyBorder="1" applyAlignment="1">
      <alignment horizontal="center" vertical="center" wrapText="1"/>
    </xf>
    <xf numFmtId="0" fontId="61" fillId="0" borderId="117" xfId="0" applyFont="1" applyBorder="1" applyAlignment="1">
      <alignment horizontal="center" vertical="center" wrapText="1"/>
    </xf>
    <xf numFmtId="0" fontId="61" fillId="0" borderId="125" xfId="0" applyFont="1" applyBorder="1" applyAlignment="1">
      <alignment horizontal="center" vertical="center" wrapText="1"/>
    </xf>
    <xf numFmtId="0" fontId="58" fillId="0" borderId="116" xfId="0" applyFont="1" applyBorder="1" applyAlignment="1">
      <alignment horizontal="center" vertical="center" wrapText="1"/>
    </xf>
    <xf numFmtId="0" fontId="58" fillId="0" borderId="117" xfId="0" applyFont="1" applyBorder="1" applyAlignment="1">
      <alignment horizontal="center" vertical="center" wrapText="1"/>
    </xf>
    <xf numFmtId="0" fontId="58" fillId="0" borderId="118" xfId="0" applyFont="1" applyBorder="1" applyAlignment="1">
      <alignment horizontal="center" vertical="center" wrapText="1"/>
    </xf>
    <xf numFmtId="0" fontId="2" fillId="9" borderId="4" xfId="0" applyFont="1" applyFill="1" applyBorder="1" applyAlignment="1">
      <alignment vertical="center"/>
    </xf>
    <xf numFmtId="0" fontId="2" fillId="9" borderId="5" xfId="0" applyFont="1" applyFill="1" applyBorder="1" applyAlignment="1">
      <alignment vertical="center"/>
    </xf>
    <xf numFmtId="0" fontId="23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54" fillId="19" borderId="30" xfId="0" applyFont="1" applyFill="1" applyBorder="1" applyAlignment="1">
      <alignment horizontal="center" vertical="center" wrapText="1"/>
    </xf>
    <xf numFmtId="0" fontId="54" fillId="19" borderId="62" xfId="0" applyFont="1" applyFill="1" applyBorder="1" applyAlignment="1">
      <alignment horizontal="center" vertical="center" wrapText="1"/>
    </xf>
    <xf numFmtId="0" fontId="54" fillId="19" borderId="61" xfId="0" applyFont="1" applyFill="1" applyBorder="1" applyAlignment="1">
      <alignment horizontal="center" vertical="center" wrapText="1"/>
    </xf>
    <xf numFmtId="0" fontId="55" fillId="0" borderId="119" xfId="0" applyFont="1" applyBorder="1" applyAlignment="1">
      <alignment horizontal="left" vertical="center" wrapText="1"/>
    </xf>
    <xf numFmtId="0" fontId="55" fillId="0" borderId="117" xfId="0" applyFont="1" applyBorder="1" applyAlignment="1">
      <alignment horizontal="left" vertical="center" wrapText="1"/>
    </xf>
    <xf numFmtId="0" fontId="56" fillId="20" borderId="99" xfId="0" applyFont="1" applyFill="1" applyBorder="1" applyAlignment="1">
      <alignment horizontal="center" vertical="center" wrapText="1"/>
    </xf>
    <xf numFmtId="0" fontId="58" fillId="0" borderId="98" xfId="0" applyFont="1" applyBorder="1" applyAlignment="1">
      <alignment horizontal="center" vertical="center" wrapText="1"/>
    </xf>
    <xf numFmtId="0" fontId="58" fillId="0" borderId="99" xfId="0" applyFont="1" applyBorder="1" applyAlignment="1">
      <alignment horizontal="center" vertical="center" wrapText="1"/>
    </xf>
    <xf numFmtId="0" fontId="58" fillId="0" borderId="102" xfId="0" applyFont="1" applyBorder="1" applyAlignment="1">
      <alignment horizontal="center" vertical="center" wrapText="1"/>
    </xf>
    <xf numFmtId="0" fontId="57" fillId="0" borderId="61" xfId="0" applyFont="1" applyBorder="1" applyAlignment="1">
      <alignment horizontal="center" vertical="center" wrapText="1"/>
    </xf>
    <xf numFmtId="0" fontId="56" fillId="20" borderId="30" xfId="0" applyFont="1" applyFill="1" applyBorder="1" applyAlignment="1">
      <alignment horizontal="center" vertical="center" wrapText="1"/>
    </xf>
    <xf numFmtId="0" fontId="56" fillId="20" borderId="62" xfId="0" applyFont="1" applyFill="1" applyBorder="1" applyAlignment="1">
      <alignment horizontal="center" vertical="center" wrapText="1"/>
    </xf>
    <xf numFmtId="0" fontId="56" fillId="20" borderId="61" xfId="0" applyFont="1" applyFill="1" applyBorder="1" applyAlignment="1">
      <alignment horizontal="center" vertical="center" wrapText="1"/>
    </xf>
    <xf numFmtId="0" fontId="58" fillId="0" borderId="30" xfId="0" applyFont="1" applyBorder="1" applyAlignment="1">
      <alignment horizontal="center" vertical="center" wrapText="1"/>
    </xf>
    <xf numFmtId="0" fontId="58" fillId="0" borderId="62" xfId="0" applyFont="1" applyBorder="1" applyAlignment="1">
      <alignment horizontal="center" vertical="center" wrapText="1"/>
    </xf>
    <xf numFmtId="0" fontId="58" fillId="0" borderId="105" xfId="0" applyFont="1" applyBorder="1" applyAlignment="1">
      <alignment horizontal="center" vertical="center" wrapText="1"/>
    </xf>
    <xf numFmtId="0" fontId="58" fillId="0" borderId="31" xfId="0" applyFont="1" applyBorder="1" applyAlignment="1">
      <alignment horizontal="center" vertical="center" wrapText="1"/>
    </xf>
    <xf numFmtId="0" fontId="58" fillId="0" borderId="109" xfId="0" applyFont="1" applyBorder="1" applyAlignment="1">
      <alignment horizontal="center" vertical="center" wrapText="1"/>
    </xf>
    <xf numFmtId="0" fontId="58" fillId="0" borderId="57" xfId="0" applyFont="1" applyBorder="1" applyAlignment="1">
      <alignment horizontal="center" vertical="center" wrapText="1"/>
    </xf>
    <xf numFmtId="0" fontId="58" fillId="0" borderId="110" xfId="0" applyFont="1" applyBorder="1" applyAlignment="1">
      <alignment horizontal="center" vertical="center" wrapText="1"/>
    </xf>
    <xf numFmtId="0" fontId="57" fillId="0" borderId="108" xfId="0" applyFont="1" applyBorder="1" applyAlignment="1">
      <alignment horizontal="center" vertical="center" wrapText="1"/>
    </xf>
    <xf numFmtId="0" fontId="57" fillId="0" borderId="31" xfId="0" applyFont="1" applyBorder="1" applyAlignment="1">
      <alignment horizontal="center" vertical="center" wrapText="1"/>
    </xf>
    <xf numFmtId="0" fontId="57" fillId="0" borderId="109" xfId="0" applyFont="1" applyBorder="1" applyAlignment="1">
      <alignment horizontal="center" vertical="center" wrapText="1"/>
    </xf>
    <xf numFmtId="0" fontId="57" fillId="0" borderId="120" xfId="0" applyFont="1" applyBorder="1" applyAlignment="1">
      <alignment horizontal="center" vertical="center" wrapText="1"/>
    </xf>
    <xf numFmtId="0" fontId="57" fillId="0" borderId="121" xfId="0" applyFont="1" applyBorder="1" applyAlignment="1">
      <alignment horizontal="center" vertical="center" wrapText="1"/>
    </xf>
    <xf numFmtId="0" fontId="57" fillId="0" borderId="122" xfId="0" applyFont="1" applyBorder="1" applyAlignment="1">
      <alignment horizontal="center" vertical="center" wrapText="1"/>
    </xf>
    <xf numFmtId="0" fontId="270" fillId="0" borderId="0" xfId="0" applyFont="1" applyAlignment="1">
      <alignment horizontal="left" vertical="center" wrapText="1"/>
    </xf>
    <xf numFmtId="0" fontId="270" fillId="0" borderId="305" xfId="0" applyFont="1" applyBorder="1" applyAlignment="1">
      <alignment horizontal="left" vertical="center" wrapText="1"/>
    </xf>
    <xf numFmtId="0" fontId="210" fillId="0" borderId="31" xfId="0" applyFont="1" applyBorder="1" applyAlignment="1">
      <alignment horizontal="right" vertical="center" wrapText="1"/>
    </xf>
    <xf numFmtId="0" fontId="30" fillId="0" borderId="18" xfId="0" applyFont="1" applyBorder="1" applyAlignment="1">
      <alignment horizontal="center"/>
    </xf>
    <xf numFmtId="0" fontId="269" fillId="17" borderId="0" xfId="0" applyFont="1" applyFill="1" applyAlignment="1">
      <alignment horizontal="center" vertical="center" wrapText="1"/>
    </xf>
    <xf numFmtId="0" fontId="264" fillId="0" borderId="0" xfId="0" applyFont="1" applyAlignment="1">
      <alignment horizontal="left" vertical="center" wrapText="1"/>
    </xf>
    <xf numFmtId="0" fontId="271" fillId="0" borderId="0" xfId="0" applyFont="1" applyAlignment="1">
      <alignment horizontal="left" vertical="center" wrapText="1"/>
    </xf>
    <xf numFmtId="0" fontId="271" fillId="0" borderId="305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8" fillId="0" borderId="305" xfId="0" applyFont="1" applyBorder="1" applyAlignment="1">
      <alignment horizontal="left" vertical="center" wrapText="1"/>
    </xf>
    <xf numFmtId="0" fontId="266" fillId="0" borderId="0" xfId="0" applyFont="1" applyAlignment="1">
      <alignment horizontal="justify" vertical="center" wrapText="1"/>
    </xf>
    <xf numFmtId="0" fontId="266" fillId="0" borderId="0" xfId="0" applyFont="1" applyAlignment="1">
      <alignment horizontal="center" vertical="center" wrapText="1"/>
    </xf>
    <xf numFmtId="0" fontId="270" fillId="0" borderId="0" xfId="0" applyFont="1" applyAlignment="1">
      <alignment horizontal="right" vertical="center" wrapText="1"/>
    </xf>
    <xf numFmtId="0" fontId="37" fillId="0" borderId="0" xfId="0" applyFont="1" applyAlignment="1">
      <alignment vertical="center" wrapText="1"/>
    </xf>
    <xf numFmtId="0" fontId="268" fillId="0" borderId="0" xfId="0" applyFont="1" applyAlignment="1">
      <alignment horizontal="center" vertical="center" wrapText="1"/>
    </xf>
    <xf numFmtId="0" fontId="273" fillId="0" borderId="57" xfId="0" applyFont="1" applyBorder="1" applyAlignment="1">
      <alignment horizontal="center" vertical="center" wrapText="1"/>
    </xf>
    <xf numFmtId="0" fontId="14" fillId="0" borderId="0" xfId="0" applyFont="1" applyAlignment="1">
      <alignment horizontal="justify" vertical="center" wrapText="1"/>
    </xf>
    <xf numFmtId="0" fontId="263" fillId="0" borderId="0" xfId="0" applyFont="1" applyAlignment="1">
      <alignment horizontal="center" vertical="center" wrapText="1"/>
    </xf>
    <xf numFmtId="0" fontId="264" fillId="0" borderId="57" xfId="0" applyFont="1" applyBorder="1" applyAlignment="1">
      <alignment horizontal="justify" vertical="center" wrapText="1"/>
    </xf>
    <xf numFmtId="0" fontId="265" fillId="0" borderId="57" xfId="0" applyFont="1" applyBorder="1" applyAlignment="1">
      <alignment horizontal="justify" vertical="center" wrapText="1"/>
    </xf>
    <xf numFmtId="0" fontId="265" fillId="0" borderId="31" xfId="0" applyFont="1" applyBorder="1" applyAlignment="1">
      <alignment horizontal="justify" vertical="center" wrapText="1"/>
    </xf>
    <xf numFmtId="0" fontId="270" fillId="0" borderId="304" xfId="0" applyFont="1" applyBorder="1" applyAlignment="1">
      <alignment horizontal="center" vertical="center" wrapText="1"/>
    </xf>
    <xf numFmtId="0" fontId="270" fillId="0" borderId="53" xfId="0" applyFont="1" applyBorder="1" applyAlignment="1">
      <alignment horizontal="center" vertical="center" wrapText="1"/>
    </xf>
    <xf numFmtId="0" fontId="270" fillId="0" borderId="52" xfId="0" applyFont="1" applyBorder="1" applyAlignment="1">
      <alignment horizontal="center" vertical="center" wrapText="1"/>
    </xf>
    <xf numFmtId="0" fontId="270" fillId="0" borderId="306" xfId="0" applyFont="1" applyBorder="1" applyAlignment="1">
      <alignment horizontal="center" vertical="center" wrapText="1"/>
    </xf>
    <xf numFmtId="0" fontId="258" fillId="0" borderId="279" xfId="0" applyFont="1" applyBorder="1" applyAlignment="1">
      <alignment horizontal="center" vertical="center" wrapText="1"/>
    </xf>
    <xf numFmtId="0" fontId="258" fillId="0" borderId="0" xfId="0" applyFont="1" applyAlignment="1">
      <alignment horizontal="center" vertical="center" wrapText="1"/>
    </xf>
    <xf numFmtId="0" fontId="258" fillId="0" borderId="280" xfId="0" applyFont="1" applyBorder="1" applyAlignment="1">
      <alignment horizontal="center" vertical="center" wrapText="1"/>
    </xf>
    <xf numFmtId="0" fontId="260" fillId="0" borderId="279" xfId="0" applyFont="1" applyBorder="1" applyAlignment="1">
      <alignment horizontal="center" vertical="center" wrapText="1"/>
    </xf>
    <xf numFmtId="0" fontId="260" fillId="0" borderId="0" xfId="0" applyFont="1" applyAlignment="1">
      <alignment horizontal="center" vertical="center" wrapText="1"/>
    </xf>
    <xf numFmtId="0" fontId="260" fillId="0" borderId="280" xfId="0" applyFont="1" applyBorder="1" applyAlignment="1">
      <alignment horizontal="center" vertical="center" wrapText="1"/>
    </xf>
    <xf numFmtId="0" fontId="261" fillId="0" borderId="297" xfId="0" applyFont="1" applyBorder="1" applyAlignment="1">
      <alignment horizontal="center" vertical="center" wrapText="1"/>
    </xf>
    <xf numFmtId="0" fontId="261" fillId="0" borderId="121" xfId="0" applyFont="1" applyBorder="1" applyAlignment="1">
      <alignment horizontal="center" vertical="center" wrapText="1"/>
    </xf>
    <xf numFmtId="0" fontId="261" fillId="0" borderId="122" xfId="0" applyFont="1" applyBorder="1" applyAlignment="1">
      <alignment horizontal="center" vertical="center" wrapText="1"/>
    </xf>
    <xf numFmtId="0" fontId="258" fillId="0" borderId="300" xfId="0" applyFont="1" applyBorder="1" applyAlignment="1">
      <alignment horizontal="center" vertical="center" wrapText="1"/>
    </xf>
    <xf numFmtId="0" fontId="258" fillId="0" borderId="173" xfId="0" applyFont="1" applyBorder="1" applyAlignment="1">
      <alignment horizontal="center" vertical="center" wrapText="1"/>
    </xf>
    <xf numFmtId="0" fontId="258" fillId="0" borderId="301" xfId="0" applyFont="1" applyBorder="1" applyAlignment="1">
      <alignment horizontal="center" vertical="center" wrapText="1"/>
    </xf>
    <xf numFmtId="0" fontId="259" fillId="0" borderId="291" xfId="0" applyFont="1" applyBorder="1" applyAlignment="1">
      <alignment horizontal="center" vertical="center" wrapText="1"/>
    </xf>
    <xf numFmtId="0" fontId="259" fillId="0" borderId="281" xfId="0" applyFont="1" applyBorder="1" applyAlignment="1">
      <alignment horizontal="center" vertical="center" wrapText="1"/>
    </xf>
    <xf numFmtId="0" fontId="61" fillId="0" borderId="282" xfId="0" applyFont="1" applyBorder="1" applyAlignment="1">
      <alignment horizontal="center" vertical="center" wrapText="1"/>
    </xf>
    <xf numFmtId="0" fontId="61" fillId="0" borderId="283" xfId="0" applyFont="1" applyBorder="1" applyAlignment="1">
      <alignment horizontal="center" vertical="center" wrapText="1"/>
    </xf>
    <xf numFmtId="0" fontId="61" fillId="0" borderId="292" xfId="0" applyFont="1" applyBorder="1" applyAlignment="1">
      <alignment horizontal="center" vertical="center" wrapText="1"/>
    </xf>
    <xf numFmtId="0" fontId="259" fillId="0" borderId="293" xfId="0" applyFont="1" applyBorder="1" applyAlignment="1">
      <alignment horizontal="center" vertical="center" wrapText="1"/>
    </xf>
    <xf numFmtId="0" fontId="259" fillId="0" borderId="295" xfId="0" applyFont="1" applyBorder="1" applyAlignment="1">
      <alignment horizontal="center" vertical="center" wrapText="1"/>
    </xf>
    <xf numFmtId="0" fontId="259" fillId="0" borderId="285" xfId="0" applyFont="1" applyBorder="1" applyAlignment="1">
      <alignment horizontal="center" vertical="center" wrapText="1"/>
    </xf>
    <xf numFmtId="0" fontId="259" fillId="0" borderId="286" xfId="0" applyFont="1" applyBorder="1" applyAlignment="1">
      <alignment horizontal="center" vertical="center" wrapText="1"/>
    </xf>
    <xf numFmtId="0" fontId="61" fillId="0" borderId="285" xfId="0" applyFont="1" applyBorder="1" applyAlignment="1">
      <alignment horizontal="center" vertical="center" wrapText="1"/>
    </xf>
    <xf numFmtId="0" fontId="61" fillId="0" borderId="294" xfId="0" applyFont="1" applyBorder="1" applyAlignment="1">
      <alignment horizontal="center" vertical="center" wrapText="1"/>
    </xf>
    <xf numFmtId="0" fontId="259" fillId="0" borderId="223" xfId="0" applyFont="1" applyBorder="1" applyAlignment="1">
      <alignment horizontal="center" vertical="center" wrapText="1"/>
    </xf>
    <xf numFmtId="0" fontId="259" fillId="0" borderId="222" xfId="0" applyFont="1" applyBorder="1" applyAlignment="1">
      <alignment horizontal="center" vertical="center" wrapText="1"/>
    </xf>
    <xf numFmtId="0" fontId="61" fillId="0" borderId="223" xfId="0" applyFont="1" applyBorder="1" applyAlignment="1">
      <alignment horizontal="center" vertical="center" wrapText="1"/>
    </xf>
    <xf numFmtId="0" fontId="61" fillId="0" borderId="296" xfId="0" applyFont="1" applyBorder="1" applyAlignment="1">
      <alignment horizontal="center" vertical="center" wrapText="1"/>
    </xf>
    <xf numFmtId="0" fontId="48" fillId="0" borderId="19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59" fillId="0" borderId="288" xfId="0" applyFont="1" applyBorder="1" applyAlignment="1">
      <alignment horizontal="center" vertical="center" wrapText="1"/>
    </xf>
    <xf numFmtId="0" fontId="259" fillId="0" borderId="229" xfId="0" applyFont="1" applyBorder="1" applyAlignment="1">
      <alignment horizontal="center" vertical="center" wrapText="1"/>
    </xf>
    <xf numFmtId="0" fontId="61" fillId="0" borderId="228" xfId="0" applyFont="1" applyBorder="1" applyAlignment="1">
      <alignment horizontal="justify" vertical="center" wrapText="1"/>
    </xf>
    <xf numFmtId="0" fontId="61" fillId="0" borderId="221" xfId="0" applyFont="1" applyBorder="1" applyAlignment="1">
      <alignment horizontal="justify" vertical="center" wrapText="1"/>
    </xf>
    <xf numFmtId="0" fontId="61" fillId="0" borderId="289" xfId="0" applyFont="1" applyBorder="1" applyAlignment="1">
      <alignment horizontal="justify" vertical="center" wrapText="1"/>
    </xf>
    <xf numFmtId="0" fontId="259" fillId="0" borderId="290" xfId="0" applyFont="1" applyBorder="1" applyAlignment="1">
      <alignment horizontal="center" vertical="center" wrapText="1"/>
    </xf>
    <xf numFmtId="0" fontId="259" fillId="0" borderId="61" xfId="0" applyFont="1" applyBorder="1" applyAlignment="1">
      <alignment horizontal="center" vertical="center" wrapText="1"/>
    </xf>
    <xf numFmtId="0" fontId="61" fillId="0" borderId="30" xfId="0" applyFont="1" applyBorder="1" applyAlignment="1">
      <alignment horizontal="justify" vertical="center" wrapText="1"/>
    </xf>
    <xf numFmtId="0" fontId="61" fillId="0" borderId="62" xfId="0" applyFont="1" applyBorder="1" applyAlignment="1">
      <alignment horizontal="justify" vertical="center" wrapText="1"/>
    </xf>
    <xf numFmtId="0" fontId="61" fillId="0" borderId="61" xfId="0" applyFont="1" applyBorder="1" applyAlignment="1">
      <alignment horizontal="justify" vertical="center" wrapText="1"/>
    </xf>
    <xf numFmtId="0" fontId="259" fillId="0" borderId="30" xfId="0" applyFont="1" applyBorder="1" applyAlignment="1">
      <alignment horizontal="center" vertical="center" wrapText="1"/>
    </xf>
    <xf numFmtId="0" fontId="257" fillId="0" borderId="276" xfId="0" applyFont="1" applyBorder="1" applyAlignment="1">
      <alignment horizontal="center" vertical="center" wrapText="1"/>
    </xf>
    <xf numFmtId="0" fontId="257" fillId="0" borderId="277" xfId="0" applyFont="1" applyBorder="1" applyAlignment="1">
      <alignment horizontal="center" vertical="center" wrapText="1"/>
    </xf>
    <xf numFmtId="0" fontId="257" fillId="0" borderId="278" xfId="0" applyFont="1" applyBorder="1" applyAlignment="1">
      <alignment horizontal="center" vertical="center" wrapText="1"/>
    </xf>
    <xf numFmtId="0" fontId="257" fillId="0" borderId="279" xfId="0" applyFont="1" applyBorder="1" applyAlignment="1">
      <alignment horizontal="center" vertical="center" wrapText="1"/>
    </xf>
    <xf numFmtId="0" fontId="257" fillId="0" borderId="0" xfId="0" applyFont="1" applyAlignment="1">
      <alignment horizontal="center" vertical="center" wrapText="1"/>
    </xf>
    <xf numFmtId="0" fontId="257" fillId="0" borderId="280" xfId="0" applyFont="1" applyBorder="1" applyAlignment="1">
      <alignment horizontal="center" vertical="center" wrapText="1"/>
    </xf>
    <xf numFmtId="0" fontId="258" fillId="0" borderId="298" xfId="0" applyFont="1" applyBorder="1" applyAlignment="1">
      <alignment horizontal="center" vertical="center" wrapText="1"/>
    </xf>
    <xf numFmtId="0" fontId="258" fillId="0" borderId="89" xfId="0" applyFont="1" applyBorder="1" applyAlignment="1">
      <alignment horizontal="center" vertical="center" wrapText="1"/>
    </xf>
    <xf numFmtId="0" fontId="258" fillId="0" borderId="299" xfId="0" applyFont="1" applyBorder="1" applyAlignment="1">
      <alignment horizontal="center" vertical="center" wrapText="1"/>
    </xf>
    <xf numFmtId="0" fontId="48" fillId="0" borderId="302" xfId="0" applyFont="1" applyBorder="1" applyAlignment="1">
      <alignment horizontal="center"/>
    </xf>
    <xf numFmtId="0" fontId="14" fillId="0" borderId="302" xfId="0" applyFont="1" applyBorder="1" applyAlignment="1">
      <alignment horizontal="center"/>
    </xf>
    <xf numFmtId="0" fontId="253" fillId="0" borderId="264" xfId="0" applyFont="1" applyBorder="1" applyAlignment="1">
      <alignment horizontal="center" vertical="center" wrapText="1"/>
    </xf>
    <xf numFmtId="0" fontId="253" fillId="0" borderId="73" xfId="0" applyFont="1" applyBorder="1" applyAlignment="1">
      <alignment horizontal="center" vertical="center" wrapText="1"/>
    </xf>
    <xf numFmtId="0" fontId="250" fillId="0" borderId="265" xfId="0" applyFont="1" applyBorder="1" applyAlignment="1">
      <alignment horizontal="center" vertical="center" wrapText="1"/>
    </xf>
    <xf numFmtId="0" fontId="250" fillId="0" borderId="43" xfId="0" applyFont="1" applyBorder="1" applyAlignment="1">
      <alignment horizontal="center" vertical="center" wrapText="1"/>
    </xf>
    <xf numFmtId="0" fontId="210" fillId="0" borderId="266" xfId="0" applyFont="1" applyBorder="1" applyAlignment="1">
      <alignment horizontal="center" vertical="center" wrapText="1"/>
    </xf>
    <xf numFmtId="0" fontId="210" fillId="0" borderId="31" xfId="0" applyFont="1" applyBorder="1" applyAlignment="1">
      <alignment horizontal="center" vertical="center" wrapText="1"/>
    </xf>
    <xf numFmtId="0" fontId="92" fillId="0" borderId="267" xfId="0" applyFont="1" applyBorder="1" applyAlignment="1">
      <alignment horizontal="left" vertical="center" wrapText="1"/>
    </xf>
    <xf numFmtId="0" fontId="92" fillId="0" borderId="57" xfId="0" applyFont="1" applyBorder="1" applyAlignment="1">
      <alignment horizontal="left" vertical="center" wrapText="1"/>
    </xf>
    <xf numFmtId="0" fontId="75" fillId="0" borderId="268" xfId="0" applyFont="1" applyBorder="1" applyAlignment="1">
      <alignment horizontal="center" vertical="center" wrapText="1"/>
    </xf>
    <xf numFmtId="0" fontId="75" fillId="0" borderId="61" xfId="0" applyFont="1" applyBorder="1" applyAlignment="1">
      <alignment horizontal="center" vertical="center" wrapText="1"/>
    </xf>
    <xf numFmtId="0" fontId="254" fillId="0" borderId="30" xfId="0" applyFont="1" applyBorder="1" applyAlignment="1">
      <alignment horizontal="center" vertical="center" wrapText="1"/>
    </xf>
    <xf numFmtId="0" fontId="254" fillId="0" borderId="62" xfId="0" applyFont="1" applyBorder="1" applyAlignment="1">
      <alignment horizontal="center" vertical="center" wrapText="1"/>
    </xf>
    <xf numFmtId="0" fontId="254" fillId="0" borderId="61" xfId="0" applyFont="1" applyBorder="1" applyAlignment="1">
      <alignment horizontal="center" vertical="center" wrapText="1"/>
    </xf>
    <xf numFmtId="0" fontId="75" fillId="0" borderId="30" xfId="0" applyFont="1" applyBorder="1" applyAlignment="1">
      <alignment horizontal="center" vertical="center" wrapText="1"/>
    </xf>
    <xf numFmtId="0" fontId="75" fillId="0" borderId="62" xfId="0" applyFont="1" applyBorder="1" applyAlignment="1">
      <alignment horizontal="center" vertical="center" wrapText="1"/>
    </xf>
    <xf numFmtId="0" fontId="92" fillId="0" borderId="272" xfId="0" applyFont="1" applyBorder="1" applyAlignment="1">
      <alignment horizontal="center" vertical="center" wrapText="1"/>
    </xf>
    <xf numFmtId="0" fontId="92" fillId="0" borderId="68" xfId="0" applyFont="1" applyBorder="1" applyAlignment="1">
      <alignment horizontal="center" vertical="center" wrapText="1"/>
    </xf>
    <xf numFmtId="0" fontId="75" fillId="0" borderId="68" xfId="0" applyFont="1" applyBorder="1" applyAlignment="1">
      <alignment horizontal="justify" vertical="center" wrapText="1"/>
    </xf>
    <xf numFmtId="0" fontId="5" fillId="0" borderId="273" xfId="0" applyFont="1" applyBorder="1" applyAlignment="1">
      <alignment horizontal="center" vertical="center" wrapText="1"/>
    </xf>
    <xf numFmtId="0" fontId="5" fillId="0" borderId="69" xfId="0" applyFont="1" applyBorder="1" applyAlignment="1">
      <alignment horizontal="center" vertical="center" wrapText="1"/>
    </xf>
    <xf numFmtId="0" fontId="75" fillId="0" borderId="274" xfId="0" applyFont="1" applyBorder="1" applyAlignment="1">
      <alignment horizontal="center" vertical="center" wrapText="1"/>
    </xf>
    <xf numFmtId="0" fontId="75" fillId="0" borderId="275" xfId="0" applyFont="1" applyBorder="1" applyAlignment="1">
      <alignment horizontal="center" vertical="center" wrapText="1"/>
    </xf>
    <xf numFmtId="0" fontId="75" fillId="0" borderId="74" xfId="0" applyFont="1" applyBorder="1" applyAlignment="1">
      <alignment horizontal="justify" vertical="center" wrapText="1"/>
    </xf>
    <xf numFmtId="0" fontId="75" fillId="0" borderId="71" xfId="0" applyFont="1" applyBorder="1" applyAlignment="1">
      <alignment horizontal="justify" vertical="center" wrapText="1"/>
    </xf>
    <xf numFmtId="0" fontId="75" fillId="0" borderId="209" xfId="0" applyFont="1" applyBorder="1" applyAlignment="1">
      <alignment horizontal="justify" vertical="center" wrapText="1"/>
    </xf>
    <xf numFmtId="0" fontId="75" fillId="0" borderId="73" xfId="0" applyFont="1" applyBorder="1" applyAlignment="1">
      <alignment horizontal="justify" vertical="center" wrapText="1"/>
    </xf>
    <xf numFmtId="0" fontId="5" fillId="0" borderId="269" xfId="0" applyFont="1" applyBorder="1" applyAlignment="1">
      <alignment horizontal="justify" vertical="center" wrapText="1"/>
    </xf>
    <xf numFmtId="0" fontId="5" fillId="0" borderId="270" xfId="0" applyFont="1" applyBorder="1" applyAlignment="1">
      <alignment horizontal="justify" vertical="center" wrapText="1"/>
    </xf>
    <xf numFmtId="0" fontId="5" fillId="0" borderId="271" xfId="0" applyFont="1" applyBorder="1" applyAlignment="1">
      <alignment horizontal="center" vertical="center" wrapText="1"/>
    </xf>
    <xf numFmtId="0" fontId="5" fillId="0" borderId="71" xfId="0" applyFont="1" applyBorder="1" applyAlignment="1">
      <alignment horizontal="center" vertical="center" wrapText="1"/>
    </xf>
    <xf numFmtId="0" fontId="92" fillId="0" borderId="35" xfId="0" applyFont="1" applyBorder="1" applyAlignment="1">
      <alignment horizontal="justify" vertical="center" wrapText="1"/>
    </xf>
    <xf numFmtId="0" fontId="92" fillId="0" borderId="0" xfId="0" applyFont="1" applyAlignment="1">
      <alignment horizontal="justify" vertical="center" wrapText="1"/>
    </xf>
    <xf numFmtId="0" fontId="254" fillId="0" borderId="35" xfId="0" applyFont="1" applyBorder="1" applyAlignment="1">
      <alignment horizontal="right" vertical="center" wrapText="1"/>
    </xf>
    <xf numFmtId="0" fontId="254" fillId="0" borderId="0" xfId="0" applyFont="1" applyAlignment="1">
      <alignment horizontal="right" vertical="center" wrapText="1"/>
    </xf>
    <xf numFmtId="0" fontId="5" fillId="0" borderId="35" xfId="0" applyFont="1" applyBorder="1" applyAlignment="1">
      <alignment horizontal="right" vertical="center" wrapText="1"/>
    </xf>
    <xf numFmtId="0" fontId="5" fillId="0" borderId="0" xfId="0" applyFont="1" applyAlignment="1">
      <alignment horizontal="right" vertical="center" wrapText="1"/>
    </xf>
    <xf numFmtId="0" fontId="256" fillId="0" borderId="0" xfId="0" applyFont="1" applyAlignment="1">
      <alignment horizontal="center" vertical="center" wrapText="1"/>
    </xf>
    <xf numFmtId="0" fontId="192" fillId="0" borderId="0" xfId="0" applyFont="1" applyAlignment="1">
      <alignment horizontal="center" vertical="center" wrapText="1"/>
    </xf>
    <xf numFmtId="0" fontId="256" fillId="0" borderId="0" xfId="0" applyFont="1" applyAlignment="1">
      <alignment horizontal="right" vertical="center" wrapText="1"/>
    </xf>
    <xf numFmtId="0" fontId="86" fillId="0" borderId="266" xfId="0" applyFont="1" applyBorder="1" applyAlignment="1">
      <alignment horizontal="center" vertical="center" wrapText="1"/>
    </xf>
    <xf numFmtId="0" fontId="86" fillId="0" borderId="29" xfId="0" applyFont="1" applyBorder="1" applyAlignment="1">
      <alignment horizontal="center" vertical="center" wrapText="1"/>
    </xf>
    <xf numFmtId="0" fontId="75" fillId="0" borderId="267" xfId="0" applyFont="1" applyBorder="1" applyAlignment="1">
      <alignment horizontal="center" vertical="center" wrapText="1"/>
    </xf>
    <xf numFmtId="0" fontId="75" fillId="0" borderId="26" xfId="0" applyFont="1" applyBorder="1" applyAlignment="1">
      <alignment horizontal="center" vertical="center" wrapText="1"/>
    </xf>
    <xf numFmtId="0" fontId="75" fillId="0" borderId="108" xfId="0" applyFont="1" applyBorder="1" applyAlignment="1">
      <alignment horizontal="justify" vertical="center" wrapText="1"/>
    </xf>
    <xf numFmtId="0" fontId="75" fillId="0" borderId="31" xfId="0" applyFont="1" applyBorder="1" applyAlignment="1">
      <alignment horizontal="justify" vertical="center" wrapText="1"/>
    </xf>
    <xf numFmtId="0" fontId="75" fillId="0" borderId="63" xfId="0" applyFont="1" applyBorder="1" applyAlignment="1">
      <alignment horizontal="justify" vertical="center" wrapText="1"/>
    </xf>
    <xf numFmtId="0" fontId="75" fillId="0" borderId="57" xfId="0" applyFont="1" applyBorder="1" applyAlignment="1">
      <alignment horizontal="justify" vertical="center" wrapText="1"/>
    </xf>
    <xf numFmtId="0" fontId="75" fillId="0" borderId="30" xfId="0" applyFont="1" applyBorder="1" applyAlignment="1">
      <alignment horizontal="justify" vertical="center" wrapText="1"/>
    </xf>
    <xf numFmtId="0" fontId="75" fillId="0" borderId="62" xfId="0" applyFont="1" applyBorder="1" applyAlignment="1">
      <alignment horizontal="justify" vertical="center" wrapText="1"/>
    </xf>
    <xf numFmtId="0" fontId="75" fillId="0" borderId="266" xfId="0" applyFont="1" applyBorder="1" applyAlignment="1">
      <alignment horizontal="center" vertical="center" wrapText="1"/>
    </xf>
    <xf numFmtId="0" fontId="75" fillId="0" borderId="29" xfId="0" applyFont="1" applyBorder="1" applyAlignment="1">
      <alignment horizontal="center" vertical="center" wrapText="1"/>
    </xf>
    <xf numFmtId="0" fontId="92" fillId="0" borderId="268" xfId="0" applyFont="1" applyBorder="1" applyAlignment="1">
      <alignment horizontal="left" vertical="center" wrapText="1"/>
    </xf>
    <xf numFmtId="0" fontId="92" fillId="0" borderId="62" xfId="0" applyFont="1" applyBorder="1" applyAlignment="1">
      <alignment horizontal="left" vertical="center" wrapText="1"/>
    </xf>
    <xf numFmtId="0" fontId="255" fillId="0" borderId="30" xfId="0" applyFont="1" applyBorder="1" applyAlignment="1">
      <alignment horizontal="justify" vertical="center" wrapText="1"/>
    </xf>
    <xf numFmtId="0" fontId="255" fillId="0" borderId="62" xfId="0" applyFont="1" applyBorder="1" applyAlignment="1">
      <alignment horizontal="justify" vertical="center" wrapText="1"/>
    </xf>
    <xf numFmtId="0" fontId="255" fillId="0" borderId="61" xfId="0" applyFont="1" applyBorder="1" applyAlignment="1">
      <alignment horizontal="justify" vertical="center" wrapText="1"/>
    </xf>
    <xf numFmtId="0" fontId="75" fillId="0" borderId="35" xfId="0" applyFont="1" applyBorder="1" applyAlignment="1">
      <alignment horizontal="center" vertical="center" wrapText="1"/>
    </xf>
    <xf numFmtId="0" fontId="75" fillId="0" borderId="149" xfId="0" applyFont="1" applyBorder="1" applyAlignment="1">
      <alignment horizontal="center" vertical="center" wrapText="1"/>
    </xf>
    <xf numFmtId="0" fontId="0" fillId="0" borderId="267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75" fillId="0" borderId="126" xfId="0" applyFont="1" applyBorder="1" applyAlignment="1">
      <alignment horizontal="justify" vertical="center" wrapText="1"/>
    </xf>
    <xf numFmtId="0" fontId="75" fillId="0" borderId="0" xfId="0" applyFont="1" applyAlignment="1">
      <alignment horizontal="justify" vertical="center" wrapText="1"/>
    </xf>
    <xf numFmtId="0" fontId="254" fillId="0" borderId="108" xfId="0" applyFont="1" applyBorder="1" applyAlignment="1">
      <alignment horizontal="justify" vertical="center" wrapText="1"/>
    </xf>
    <xf numFmtId="0" fontId="254" fillId="0" borderId="31" xfId="0" applyFont="1" applyBorder="1" applyAlignment="1">
      <alignment horizontal="justify" vertical="center" wrapText="1"/>
    </xf>
    <xf numFmtId="0" fontId="254" fillId="0" borderId="63" xfId="0" applyFont="1" applyBorder="1" applyAlignment="1">
      <alignment horizontal="justify" vertical="center" wrapText="1"/>
    </xf>
    <xf numFmtId="0" fontId="254" fillId="0" borderId="57" xfId="0" applyFont="1" applyBorder="1" applyAlignment="1">
      <alignment horizontal="justify" vertical="center" wrapText="1"/>
    </xf>
    <xf numFmtId="0" fontId="254" fillId="0" borderId="108" xfId="0" applyFont="1" applyBorder="1" applyAlignment="1">
      <alignment horizontal="center" vertical="center" wrapText="1"/>
    </xf>
    <xf numFmtId="0" fontId="254" fillId="0" borderId="31" xfId="0" applyFont="1" applyBorder="1" applyAlignment="1">
      <alignment horizontal="center" vertical="center" wrapText="1"/>
    </xf>
    <xf numFmtId="0" fontId="254" fillId="0" borderId="29" xfId="0" applyFont="1" applyBorder="1" applyAlignment="1">
      <alignment horizontal="center" vertical="center" wrapText="1"/>
    </xf>
    <xf numFmtId="0" fontId="254" fillId="0" borderId="63" xfId="0" applyFont="1" applyBorder="1" applyAlignment="1">
      <alignment horizontal="center" vertical="center" wrapText="1"/>
    </xf>
    <xf numFmtId="0" fontId="254" fillId="0" borderId="57" xfId="0" applyFont="1" applyBorder="1" applyAlignment="1">
      <alignment horizontal="center" vertical="center" wrapText="1"/>
    </xf>
    <xf numFmtId="0" fontId="254" fillId="0" borderId="26" xfId="0" applyFont="1" applyBorder="1" applyAlignment="1">
      <alignment horizontal="center" vertical="center" wrapText="1"/>
    </xf>
    <xf numFmtId="0" fontId="75" fillId="0" borderId="108" xfId="0" applyFont="1" applyBorder="1" applyAlignment="1">
      <alignment horizontal="center" vertical="center" wrapText="1"/>
    </xf>
    <xf numFmtId="0" fontId="75" fillId="0" borderId="31" xfId="0" applyFont="1" applyBorder="1" applyAlignment="1">
      <alignment horizontal="center" vertical="center" wrapText="1"/>
    </xf>
    <xf numFmtId="0" fontId="86" fillId="0" borderId="63" xfId="0" applyFont="1" applyBorder="1" applyAlignment="1">
      <alignment horizontal="center" vertical="center" wrapText="1"/>
    </xf>
    <xf numFmtId="0" fontId="86" fillId="0" borderId="57" xfId="0" applyFont="1" applyBorder="1" applyAlignment="1">
      <alignment horizontal="center" vertical="center" wrapText="1"/>
    </xf>
    <xf numFmtId="0" fontId="86" fillId="0" borderId="26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61" xfId="0" applyFont="1" applyBorder="1" applyAlignment="1">
      <alignment horizontal="center" vertical="center" wrapText="1"/>
    </xf>
    <xf numFmtId="0" fontId="75" fillId="0" borderId="63" xfId="0" applyFont="1" applyBorder="1" applyAlignment="1">
      <alignment horizontal="center" vertical="center" wrapText="1"/>
    </xf>
    <xf numFmtId="0" fontId="75" fillId="0" borderId="57" xfId="0" applyFont="1" applyBorder="1" applyAlignment="1">
      <alignment horizontal="center" vertical="center" wrapText="1"/>
    </xf>
    <xf numFmtId="0" fontId="22" fillId="3" borderId="4" xfId="0" applyFont="1" applyFill="1" applyBorder="1" applyAlignment="1">
      <alignment horizontal="center" vertical="center"/>
    </xf>
    <xf numFmtId="0" fontId="22" fillId="3" borderId="5" xfId="0" applyFont="1" applyFill="1" applyBorder="1" applyAlignment="1">
      <alignment horizontal="center" vertical="center"/>
    </xf>
    <xf numFmtId="0" fontId="14" fillId="0" borderId="154" xfId="0" applyFont="1" applyBorder="1" applyAlignment="1">
      <alignment horizontal="center" vertical="center" wrapText="1"/>
    </xf>
    <xf numFmtId="0" fontId="100" fillId="0" borderId="1" xfId="0" applyFont="1" applyBorder="1" applyAlignment="1">
      <alignment horizontal="center" vertical="center"/>
    </xf>
    <xf numFmtId="0" fontId="220" fillId="0" borderId="31" xfId="0" applyFont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213" fillId="21" borderId="216" xfId="0" applyFont="1" applyFill="1" applyBorder="1" applyAlignment="1">
      <alignment horizontal="center" vertical="center" wrapText="1"/>
    </xf>
    <xf numFmtId="0" fontId="213" fillId="21" borderId="33" xfId="0" applyFont="1" applyFill="1" applyBorder="1" applyAlignment="1">
      <alignment horizontal="center" vertical="center" wrapText="1"/>
    </xf>
    <xf numFmtId="0" fontId="66" fillId="0" borderId="4" xfId="0" applyFont="1" applyBorder="1" applyAlignment="1">
      <alignment horizontal="center" vertical="center" wrapText="1"/>
    </xf>
    <xf numFmtId="0" fontId="66" fillId="0" borderId="21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4" fillId="0" borderId="21" xfId="0" applyFont="1" applyBorder="1" applyAlignment="1">
      <alignment horizontal="center" vertical="center" wrapText="1"/>
    </xf>
    <xf numFmtId="0" fontId="22" fillId="3" borderId="4" xfId="5" applyFont="1" applyFill="1" applyBorder="1" applyAlignment="1">
      <alignment horizontal="center" vertical="center"/>
    </xf>
    <xf numFmtId="0" fontId="22" fillId="3" borderId="5" xfId="5" applyFont="1" applyFill="1" applyBorder="1" applyAlignment="1">
      <alignment horizontal="center" vertical="center"/>
    </xf>
    <xf numFmtId="0" fontId="66" fillId="0" borderId="30" xfId="0" applyFont="1" applyBorder="1" applyAlignment="1">
      <alignment horizontal="center" vertical="center" wrapText="1"/>
    </xf>
    <xf numFmtId="0" fontId="66" fillId="0" borderId="61" xfId="0" applyFont="1" applyBorder="1" applyAlignment="1">
      <alignment horizontal="center" vertical="center" wrapText="1"/>
    </xf>
    <xf numFmtId="0" fontId="105" fillId="29" borderId="94" xfId="5" applyFont="1" applyFill="1" applyBorder="1" applyAlignment="1">
      <alignment horizontal="center" vertical="center" wrapText="1"/>
    </xf>
    <xf numFmtId="0" fontId="121" fillId="29" borderId="19" xfId="0" applyFont="1" applyFill="1" applyBorder="1" applyAlignment="1">
      <alignment horizontal="center" vertical="center"/>
    </xf>
    <xf numFmtId="0" fontId="121" fillId="29" borderId="18" xfId="0" applyFont="1" applyFill="1" applyBorder="1" applyAlignment="1">
      <alignment horizontal="center" vertical="center"/>
    </xf>
    <xf numFmtId="0" fontId="121" fillId="29" borderId="131" xfId="0" applyFont="1" applyFill="1" applyBorder="1" applyAlignment="1">
      <alignment horizontal="center" vertical="center"/>
    </xf>
    <xf numFmtId="0" fontId="121" fillId="29" borderId="128" xfId="0" applyFont="1" applyFill="1" applyBorder="1" applyAlignment="1">
      <alignment horizontal="center" vertical="center"/>
    </xf>
    <xf numFmtId="0" fontId="213" fillId="19" borderId="63" xfId="0" applyFont="1" applyFill="1" applyBorder="1" applyAlignment="1">
      <alignment horizontal="center" vertical="center" wrapText="1"/>
    </xf>
    <xf numFmtId="0" fontId="213" fillId="19" borderId="0" xfId="0" applyFont="1" applyFill="1" applyAlignment="1">
      <alignment horizontal="center" vertical="center" wrapText="1"/>
    </xf>
    <xf numFmtId="0" fontId="213" fillId="19" borderId="57" xfId="0" applyFont="1" applyFill="1" applyBorder="1" applyAlignment="1">
      <alignment horizontal="center" vertical="center" wrapText="1"/>
    </xf>
    <xf numFmtId="0" fontId="100" fillId="0" borderId="1" xfId="5" applyFont="1" applyBorder="1" applyAlignment="1">
      <alignment horizontal="center" vertical="center"/>
    </xf>
    <xf numFmtId="0" fontId="215" fillId="0" borderId="4" xfId="0" applyFont="1" applyBorder="1" applyAlignment="1">
      <alignment horizontal="center" vertical="center" wrapText="1"/>
    </xf>
    <xf numFmtId="0" fontId="215" fillId="0" borderId="2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37" fillId="0" borderId="28" xfId="0" applyFont="1" applyBorder="1" applyAlignment="1">
      <alignment horizontal="center" vertical="center" wrapText="1"/>
    </xf>
    <xf numFmtId="0" fontId="37" fillId="0" borderId="153" xfId="0" applyFont="1" applyBorder="1" applyAlignment="1">
      <alignment horizontal="center" vertical="center" wrapText="1"/>
    </xf>
    <xf numFmtId="0" fontId="37" fillId="0" borderId="154" xfId="0" applyFont="1" applyBorder="1" applyAlignment="1">
      <alignment horizontal="center" vertical="center" wrapText="1"/>
    </xf>
    <xf numFmtId="0" fontId="37" fillId="0" borderId="108" xfId="0" applyFont="1" applyBorder="1" applyAlignment="1">
      <alignment horizontal="center" vertical="center" wrapText="1"/>
    </xf>
    <xf numFmtId="0" fontId="37" fillId="0" borderId="63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0" fontId="66" fillId="0" borderId="62" xfId="0" applyFont="1" applyBorder="1" applyAlignment="1">
      <alignment horizontal="center" vertical="center" wrapText="1"/>
    </xf>
    <xf numFmtId="0" fontId="184" fillId="0" borderId="30" xfId="0" applyFont="1" applyBorder="1" applyAlignment="1">
      <alignment horizontal="center" vertical="center" wrapText="1"/>
    </xf>
    <xf numFmtId="0" fontId="184" fillId="0" borderId="57" xfId="0" applyFont="1" applyBorder="1" applyAlignment="1">
      <alignment horizontal="center" vertical="center" wrapText="1"/>
    </xf>
    <xf numFmtId="0" fontId="184" fillId="0" borderId="62" xfId="0" applyFont="1" applyBorder="1" applyAlignment="1">
      <alignment horizontal="center" vertical="center" wrapText="1"/>
    </xf>
    <xf numFmtId="0" fontId="184" fillId="0" borderId="61" xfId="0" applyFont="1" applyBorder="1" applyAlignment="1">
      <alignment horizontal="center" vertical="center" wrapText="1"/>
    </xf>
    <xf numFmtId="0" fontId="14" fillId="0" borderId="108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63" xfId="0" applyFont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216" fillId="0" borderId="0" xfId="0" applyFont="1" applyAlignment="1">
      <alignment horizontal="center" vertical="center"/>
    </xf>
    <xf numFmtId="0" fontId="37" fillId="25" borderId="1" xfId="0" applyFont="1" applyFill="1" applyBorder="1" applyAlignment="1">
      <alignment horizontal="center" vertical="center" wrapText="1"/>
    </xf>
    <xf numFmtId="0" fontId="37" fillId="0" borderId="29" xfId="0" applyFont="1" applyBorder="1" applyAlignment="1">
      <alignment horizontal="center" vertical="center" wrapText="1"/>
    </xf>
    <xf numFmtId="0" fontId="37" fillId="0" borderId="26" xfId="0" applyFont="1" applyBorder="1" applyAlignment="1">
      <alignment horizontal="center" vertical="center" wrapText="1"/>
    </xf>
    <xf numFmtId="0" fontId="211" fillId="0" borderId="0" xfId="0" applyFont="1" applyAlignment="1">
      <alignment horizontal="center" vertical="center" wrapText="1"/>
    </xf>
    <xf numFmtId="0" fontId="160" fillId="0" borderId="68" xfId="0" applyFont="1" applyBorder="1" applyAlignment="1">
      <alignment horizontal="center" vertical="center" wrapText="1"/>
    </xf>
    <xf numFmtId="0" fontId="39" fillId="0" borderId="68" xfId="0" applyFont="1" applyBorder="1" applyAlignment="1">
      <alignment horizontal="justify" vertical="center" wrapText="1"/>
    </xf>
    <xf numFmtId="0" fontId="208" fillId="0" borderId="226" xfId="0" applyFont="1" applyBorder="1" applyAlignment="1">
      <alignment horizontal="center" vertical="center"/>
    </xf>
    <xf numFmtId="0" fontId="160" fillId="0" borderId="0" xfId="0" applyFont="1" applyAlignment="1">
      <alignment horizontal="justify" vertical="center" wrapText="1"/>
    </xf>
    <xf numFmtId="31" fontId="14" fillId="0" borderId="0" xfId="0" applyNumberFormat="1" applyFont="1" applyAlignment="1">
      <alignment horizontal="right" vertical="center" wrapText="1"/>
    </xf>
    <xf numFmtId="0" fontId="14" fillId="0" borderId="0" xfId="0" applyFont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0" fontId="241" fillId="0" borderId="0" xfId="0" applyFont="1" applyAlignment="1">
      <alignment horizontal="right" vertical="center" wrapText="1"/>
    </xf>
    <xf numFmtId="0" fontId="238" fillId="0" borderId="75" xfId="0" applyFont="1" applyBorder="1" applyAlignment="1">
      <alignment horizontal="center" vertical="center" wrapText="1"/>
    </xf>
    <xf numFmtId="0" fontId="14" fillId="0" borderId="224" xfId="0" applyFont="1" applyBorder="1" applyAlignment="1">
      <alignment horizontal="center" vertical="center" wrapText="1"/>
    </xf>
    <xf numFmtId="0" fontId="14" fillId="0" borderId="186" xfId="0" applyFont="1" applyBorder="1" applyAlignment="1">
      <alignment horizontal="center" vertical="center" wrapText="1"/>
    </xf>
    <xf numFmtId="0" fontId="14" fillId="0" borderId="225" xfId="0" applyFont="1" applyBorder="1" applyAlignment="1">
      <alignment horizontal="justify" vertical="center" wrapText="1"/>
    </xf>
    <xf numFmtId="0" fontId="14" fillId="0" borderId="173" xfId="0" applyFont="1" applyBorder="1" applyAlignment="1">
      <alignment horizontal="justify" vertical="center" wrapText="1"/>
    </xf>
    <xf numFmtId="0" fontId="14" fillId="0" borderId="185" xfId="0" applyFont="1" applyBorder="1" applyAlignment="1">
      <alignment horizontal="justify" vertical="center" wrapText="1"/>
    </xf>
    <xf numFmtId="0" fontId="14" fillId="0" borderId="89" xfId="0" applyFont="1" applyBorder="1" applyAlignment="1">
      <alignment horizontal="justify" vertical="center" wrapText="1"/>
    </xf>
    <xf numFmtId="0" fontId="14" fillId="0" borderId="175" xfId="0" applyFont="1" applyBorder="1" applyAlignment="1">
      <alignment horizontal="justify" vertical="center" wrapText="1"/>
    </xf>
    <xf numFmtId="0" fontId="14" fillId="0" borderId="169" xfId="0" applyFont="1" applyBorder="1" applyAlignment="1">
      <alignment horizontal="justify" vertical="center" wrapText="1"/>
    </xf>
    <xf numFmtId="0" fontId="14" fillId="0" borderId="175" xfId="0" applyFont="1" applyBorder="1" applyAlignment="1">
      <alignment horizontal="center" vertical="center" wrapText="1"/>
    </xf>
    <xf numFmtId="0" fontId="14" fillId="0" borderId="75" xfId="0" applyFont="1" applyBorder="1" applyAlignment="1">
      <alignment horizontal="center" vertical="center" wrapText="1"/>
    </xf>
    <xf numFmtId="0" fontId="14" fillId="0" borderId="213" xfId="0" applyFont="1" applyBorder="1" applyAlignment="1">
      <alignment horizontal="center" vertical="center" wrapText="1"/>
    </xf>
    <xf numFmtId="0" fontId="14" fillId="0" borderId="214" xfId="0" applyFont="1" applyBorder="1" applyAlignment="1">
      <alignment horizontal="center" vertical="center" wrapText="1"/>
    </xf>
    <xf numFmtId="0" fontId="14" fillId="0" borderId="222" xfId="0" applyFont="1" applyBorder="1" applyAlignment="1">
      <alignment horizontal="center" vertical="center" wrapText="1"/>
    </xf>
    <xf numFmtId="0" fontId="14" fillId="0" borderId="223" xfId="0" applyFont="1" applyBorder="1" applyAlignment="1">
      <alignment horizontal="center" vertical="center" wrapText="1"/>
    </xf>
    <xf numFmtId="0" fontId="208" fillId="0" borderId="223" xfId="0" applyFont="1" applyBorder="1" applyAlignment="1">
      <alignment horizontal="center" vertical="center" wrapText="1"/>
    </xf>
    <xf numFmtId="0" fontId="208" fillId="0" borderId="222" xfId="0" applyFont="1" applyBorder="1" applyAlignment="1">
      <alignment horizontal="center" vertical="center" wrapText="1"/>
    </xf>
    <xf numFmtId="0" fontId="66" fillId="0" borderId="175" xfId="0" applyFont="1" applyBorder="1" applyAlignment="1">
      <alignment horizontal="center" vertical="center" wrapText="1"/>
    </xf>
    <xf numFmtId="0" fontId="66" fillId="0" borderId="75" xfId="0" applyFont="1" applyBorder="1" applyAlignment="1">
      <alignment horizontal="center" vertical="center" wrapText="1"/>
    </xf>
    <xf numFmtId="0" fontId="27" fillId="0" borderId="175" xfId="0" applyFont="1" applyBorder="1" applyAlignment="1">
      <alignment horizontal="center" vertical="center" wrapText="1"/>
    </xf>
    <xf numFmtId="0" fontId="66" fillId="0" borderId="169" xfId="0" applyFont="1" applyBorder="1" applyAlignment="1">
      <alignment horizontal="center" vertical="center" wrapText="1"/>
    </xf>
    <xf numFmtId="0" fontId="14" fillId="0" borderId="169" xfId="0" applyFont="1" applyBorder="1" applyAlignment="1">
      <alignment horizontal="center" vertical="center" wrapText="1"/>
    </xf>
    <xf numFmtId="0" fontId="14" fillId="0" borderId="166" xfId="0" applyFont="1" applyBorder="1" applyAlignment="1">
      <alignment horizontal="center" vertical="center" wrapText="1"/>
    </xf>
    <xf numFmtId="0" fontId="157" fillId="0" borderId="166" xfId="0" applyFont="1" applyBorder="1" applyAlignment="1">
      <alignment horizontal="center" vertical="center" wrapText="1"/>
    </xf>
    <xf numFmtId="0" fontId="157" fillId="0" borderId="62" xfId="0" applyFont="1" applyBorder="1" applyAlignment="1">
      <alignment horizontal="center" vertical="center" wrapText="1"/>
    </xf>
    <xf numFmtId="0" fontId="157" fillId="0" borderId="61" xfId="0" applyFont="1" applyBorder="1" applyAlignment="1">
      <alignment horizontal="center" vertical="center" wrapText="1"/>
    </xf>
    <xf numFmtId="0" fontId="14" fillId="0" borderId="166" xfId="0" applyFont="1" applyBorder="1" applyAlignment="1">
      <alignment horizontal="justify" vertical="center" wrapText="1"/>
    </xf>
    <xf numFmtId="0" fontId="14" fillId="0" borderId="164" xfId="0" applyFont="1" applyBorder="1" applyAlignment="1">
      <alignment horizontal="justify" vertical="center" wrapText="1"/>
    </xf>
    <xf numFmtId="0" fontId="236" fillId="19" borderId="219" xfId="0" applyFont="1" applyFill="1" applyBorder="1" applyAlignment="1">
      <alignment horizontal="center" vertical="center" wrapText="1"/>
    </xf>
    <xf numFmtId="0" fontId="236" fillId="19" borderId="75" xfId="0" applyFont="1" applyFill="1" applyBorder="1" applyAlignment="1">
      <alignment horizontal="center" vertical="center" wrapText="1"/>
    </xf>
    <xf numFmtId="0" fontId="236" fillId="19" borderId="220" xfId="0" applyFont="1" applyFill="1" applyBorder="1" applyAlignment="1">
      <alignment horizontal="center" vertical="center" wrapText="1"/>
    </xf>
    <xf numFmtId="0" fontId="14" fillId="0" borderId="221" xfId="0" applyFont="1" applyBorder="1" applyAlignment="1">
      <alignment horizontal="justify" vertical="center" wrapText="1"/>
    </xf>
    <xf numFmtId="0" fontId="37" fillId="0" borderId="166" xfId="0" applyFont="1" applyBorder="1" applyAlignment="1">
      <alignment horizontal="justify" vertical="center" wrapText="1"/>
    </xf>
    <xf numFmtId="0" fontId="37" fillId="0" borderId="164" xfId="0" applyFont="1" applyBorder="1" applyAlignment="1">
      <alignment horizontal="justify" vertical="center" wrapText="1"/>
    </xf>
    <xf numFmtId="0" fontId="208" fillId="0" borderId="166" xfId="0" applyFont="1" applyBorder="1" applyAlignment="1">
      <alignment horizontal="center" vertical="center" wrapText="1"/>
    </xf>
    <xf numFmtId="0" fontId="208" fillId="0" borderId="62" xfId="0" applyFont="1" applyBorder="1" applyAlignment="1">
      <alignment horizontal="center" vertical="center" wrapText="1"/>
    </xf>
    <xf numFmtId="0" fontId="112" fillId="25" borderId="30" xfId="0" applyFont="1" applyFill="1" applyBorder="1" applyAlignment="1">
      <alignment horizontal="center" vertical="center" wrapText="1"/>
    </xf>
    <xf numFmtId="0" fontId="112" fillId="25" borderId="62" xfId="0" applyFont="1" applyFill="1" applyBorder="1" applyAlignment="1">
      <alignment horizontal="center" vertical="center" wrapText="1"/>
    </xf>
    <xf numFmtId="0" fontId="112" fillId="25" borderId="61" xfId="0" applyFont="1" applyFill="1" applyBorder="1" applyAlignment="1">
      <alignment horizontal="center" vertical="center" wrapText="1"/>
    </xf>
    <xf numFmtId="0" fontId="157" fillId="0" borderId="30" xfId="0" applyFont="1" applyBorder="1" applyAlignment="1">
      <alignment horizontal="center" vertical="center" wrapText="1"/>
    </xf>
    <xf numFmtId="0" fontId="121" fillId="29" borderId="6" xfId="0" applyFont="1" applyFill="1" applyBorder="1" applyAlignment="1">
      <alignment horizontal="center" vertical="center" wrapText="1"/>
    </xf>
    <xf numFmtId="0" fontId="121" fillId="29" borderId="17" xfId="0" applyFont="1" applyFill="1" applyBorder="1" applyAlignment="1">
      <alignment horizontal="center" vertical="center" wrapText="1"/>
    </xf>
    <xf numFmtId="0" fontId="121" fillId="29" borderId="95" xfId="0" applyFont="1" applyFill="1" applyBorder="1" applyAlignment="1">
      <alignment horizontal="center" vertical="center" wrapText="1"/>
    </xf>
    <xf numFmtId="0" fontId="121" fillId="29" borderId="131" xfId="0" applyFont="1" applyFill="1" applyBorder="1" applyAlignment="1">
      <alignment horizontal="center"/>
    </xf>
    <xf numFmtId="0" fontId="121" fillId="29" borderId="128" xfId="0" applyFont="1" applyFill="1" applyBorder="1" applyAlignment="1">
      <alignment horizontal="center"/>
    </xf>
    <xf numFmtId="0" fontId="37" fillId="0" borderId="30" xfId="0" applyFont="1" applyBorder="1" applyAlignment="1">
      <alignment horizontal="center" vertical="center" wrapText="1"/>
    </xf>
    <xf numFmtId="0" fontId="37" fillId="0" borderId="62" xfId="0" applyFont="1" applyBorder="1" applyAlignment="1">
      <alignment horizontal="center" vertical="center" wrapText="1"/>
    </xf>
    <xf numFmtId="0" fontId="37" fillId="0" borderId="61" xfId="0" applyFont="1" applyBorder="1" applyAlignment="1">
      <alignment horizontal="center" vertical="center" wrapText="1"/>
    </xf>
    <xf numFmtId="0" fontId="157" fillId="0" borderId="225" xfId="0" applyFont="1" applyBorder="1" applyAlignment="1">
      <alignment horizontal="center" vertical="center" wrapText="1"/>
    </xf>
    <xf numFmtId="0" fontId="157" fillId="0" borderId="173" xfId="0" applyFont="1" applyBorder="1" applyAlignment="1">
      <alignment horizontal="center" vertical="center" wrapText="1"/>
    </xf>
    <xf numFmtId="0" fontId="157" fillId="0" borderId="259" xfId="0" applyFont="1" applyBorder="1" applyAlignment="1">
      <alignment horizontal="center" vertical="center" wrapText="1"/>
    </xf>
    <xf numFmtId="0" fontId="157" fillId="0" borderId="63" xfId="0" applyFont="1" applyBorder="1" applyAlignment="1">
      <alignment horizontal="center" vertical="center" wrapText="1"/>
    </xf>
    <xf numFmtId="0" fontId="157" fillId="0" borderId="57" xfId="0" applyFont="1" applyBorder="1" applyAlignment="1">
      <alignment horizontal="center" vertical="center" wrapText="1"/>
    </xf>
    <xf numFmtId="0" fontId="157" fillId="0" borderId="260" xfId="0" applyFont="1" applyBorder="1" applyAlignment="1">
      <alignment horizontal="center" vertical="center" wrapText="1"/>
    </xf>
    <xf numFmtId="0" fontId="160" fillId="25" borderId="149" xfId="0" applyFont="1" applyFill="1" applyBorder="1" applyAlignment="1">
      <alignment horizontal="center" vertical="center" wrapText="1"/>
    </xf>
    <xf numFmtId="0" fontId="160" fillId="25" borderId="26" xfId="0" applyFont="1" applyFill="1" applyBorder="1" applyAlignment="1">
      <alignment horizontal="center" vertical="center" wrapText="1"/>
    </xf>
    <xf numFmtId="0" fontId="228" fillId="0" borderId="126" xfId="0" applyFont="1" applyBorder="1" applyAlignment="1">
      <alignment horizontal="center" vertical="center" wrapText="1"/>
    </xf>
    <xf numFmtId="0" fontId="228" fillId="0" borderId="0" xfId="0" applyFont="1" applyAlignment="1">
      <alignment horizontal="center" vertical="center" wrapText="1"/>
    </xf>
    <xf numFmtId="0" fontId="228" fillId="0" borderId="251" xfId="0" applyFont="1" applyBorder="1" applyAlignment="1">
      <alignment horizontal="center" vertical="center" wrapText="1"/>
    </xf>
    <xf numFmtId="0" fontId="228" fillId="0" borderId="63" xfId="0" applyFont="1" applyBorder="1" applyAlignment="1">
      <alignment horizontal="center" vertical="center" wrapText="1"/>
    </xf>
    <xf numFmtId="0" fontId="228" fillId="0" borderId="57" xfId="0" applyFont="1" applyBorder="1" applyAlignment="1">
      <alignment horizontal="center" vertical="center" wrapText="1"/>
    </xf>
    <xf numFmtId="0" fontId="228" fillId="0" borderId="252" xfId="0" applyFont="1" applyBorder="1" applyAlignment="1">
      <alignment horizontal="center" vertical="center" wrapText="1"/>
    </xf>
    <xf numFmtId="0" fontId="157" fillId="0" borderId="253" xfId="0" applyFont="1" applyBorder="1" applyAlignment="1">
      <alignment horizontal="center" vertical="center" wrapText="1"/>
    </xf>
    <xf numFmtId="0" fontId="157" fillId="0" borderId="254" xfId="0" applyFont="1" applyBorder="1" applyAlignment="1">
      <alignment horizontal="center" vertical="center" wrapText="1"/>
    </xf>
    <xf numFmtId="0" fontId="157" fillId="0" borderId="255" xfId="0" applyFont="1" applyBorder="1" applyAlignment="1">
      <alignment horizontal="center" vertical="center" wrapText="1"/>
    </xf>
    <xf numFmtId="0" fontId="100" fillId="0" borderId="245" xfId="0" applyFont="1" applyBorder="1" applyAlignment="1">
      <alignment horizontal="left" vertical="center"/>
    </xf>
    <xf numFmtId="0" fontId="14" fillId="0" borderId="30" xfId="0" applyFont="1" applyBorder="1" applyAlignment="1">
      <alignment horizontal="justify" vertical="center" wrapText="1"/>
    </xf>
    <xf numFmtId="0" fontId="14" fillId="0" borderId="62" xfId="0" applyFont="1" applyBorder="1" applyAlignment="1">
      <alignment horizontal="justify" vertical="center" wrapText="1"/>
    </xf>
    <xf numFmtId="0" fontId="14" fillId="0" borderId="61" xfId="0" applyFont="1" applyBorder="1" applyAlignment="1">
      <alignment horizontal="justify" vertical="center" wrapText="1"/>
    </xf>
    <xf numFmtId="0" fontId="160" fillId="17" borderId="30" xfId="0" applyFont="1" applyFill="1" applyBorder="1" applyAlignment="1">
      <alignment horizontal="center" vertical="center" wrapText="1"/>
    </xf>
    <xf numFmtId="0" fontId="160" fillId="17" borderId="61" xfId="0" applyFont="1" applyFill="1" applyBorder="1" applyAlignment="1">
      <alignment horizontal="center" vertical="center" wrapText="1"/>
    </xf>
    <xf numFmtId="0" fontId="228" fillId="0" borderId="244" xfId="0" applyFont="1" applyBorder="1" applyAlignment="1">
      <alignment horizontal="center" vertical="center" wrapText="1"/>
    </xf>
    <xf numFmtId="0" fontId="228" fillId="0" borderId="245" xfId="0" applyFont="1" applyBorder="1" applyAlignment="1">
      <alignment horizontal="center" vertical="center" wrapText="1"/>
    </xf>
    <xf numFmtId="0" fontId="228" fillId="0" borderId="246" xfId="0" applyFont="1" applyBorder="1" applyAlignment="1">
      <alignment horizontal="center" vertical="center" wrapText="1"/>
    </xf>
    <xf numFmtId="0" fontId="157" fillId="0" borderId="31" xfId="0" applyFont="1" applyBorder="1" applyAlignment="1">
      <alignment horizontal="center" vertical="center" wrapText="1"/>
    </xf>
    <xf numFmtId="0" fontId="157" fillId="0" borderId="249" xfId="0" applyFont="1" applyBorder="1" applyAlignment="1">
      <alignment horizontal="center" vertical="center" wrapText="1"/>
    </xf>
    <xf numFmtId="0" fontId="160" fillId="25" borderId="223" xfId="0" applyFont="1" applyFill="1" applyBorder="1" applyAlignment="1">
      <alignment horizontal="center" vertical="center" wrapText="1"/>
    </xf>
    <xf numFmtId="0" fontId="160" fillId="25" borderId="222" xfId="0" applyFont="1" applyFill="1" applyBorder="1" applyAlignment="1">
      <alignment horizontal="center" vertical="center" wrapText="1"/>
    </xf>
    <xf numFmtId="0" fontId="228" fillId="0" borderId="223" xfId="0" applyFont="1" applyBorder="1" applyAlignment="1">
      <alignment horizontal="center" vertical="center" wrapText="1"/>
    </xf>
    <xf numFmtId="0" fontId="228" fillId="0" borderId="258" xfId="0" applyFont="1" applyBorder="1" applyAlignment="1">
      <alignment horizontal="center" vertical="center" wrapText="1"/>
    </xf>
    <xf numFmtId="0" fontId="157" fillId="0" borderId="241" xfId="0" applyFont="1" applyBorder="1" applyAlignment="1">
      <alignment horizontal="center" vertical="center" wrapText="1"/>
    </xf>
    <xf numFmtId="0" fontId="157" fillId="0" borderId="155" xfId="0" applyFont="1" applyBorder="1" applyAlignment="1">
      <alignment horizontal="center" vertical="center" wrapText="1"/>
    </xf>
    <xf numFmtId="0" fontId="157" fillId="0" borderId="243" xfId="0" applyFont="1" applyBorder="1" applyAlignment="1">
      <alignment horizontal="center" vertical="center" wrapText="1"/>
    </xf>
    <xf numFmtId="0" fontId="248" fillId="0" borderId="18" xfId="0" applyFont="1" applyBorder="1" applyAlignment="1">
      <alignment horizontal="center" vertical="center"/>
    </xf>
    <xf numFmtId="0" fontId="100" fillId="0" borderId="18" xfId="0" applyFont="1" applyBorder="1" applyAlignment="1">
      <alignment horizontal="center" vertical="center"/>
    </xf>
    <xf numFmtId="0" fontId="112" fillId="25" borderId="237" xfId="0" applyFont="1" applyFill="1" applyBorder="1" applyAlignment="1">
      <alignment horizontal="center" vertical="center" wrapText="1"/>
    </xf>
    <xf numFmtId="0" fontId="112" fillId="25" borderId="193" xfId="0" applyFont="1" applyFill="1" applyBorder="1" applyAlignment="1">
      <alignment horizontal="center" vertical="center" wrapText="1"/>
    </xf>
    <xf numFmtId="0" fontId="157" fillId="0" borderId="235" xfId="0" applyFont="1" applyBorder="1" applyAlignment="1">
      <alignment horizontal="center" vertical="center" wrapText="1"/>
    </xf>
    <xf numFmtId="0" fontId="157" fillId="0" borderId="193" xfId="0" applyFont="1" applyBorder="1" applyAlignment="1">
      <alignment horizontal="center" vertical="center" wrapText="1"/>
    </xf>
    <xf numFmtId="0" fontId="157" fillId="0" borderId="236" xfId="0" applyFont="1" applyBorder="1" applyAlignment="1">
      <alignment horizontal="center" vertical="center" wrapText="1"/>
    </xf>
    <xf numFmtId="0" fontId="119" fillId="0" borderId="218" xfId="0" applyFont="1" applyBorder="1" applyAlignment="1">
      <alignment horizontal="center" vertical="center" wrapText="1"/>
    </xf>
    <xf numFmtId="0" fontId="119" fillId="0" borderId="238" xfId="0" applyFont="1" applyBorder="1" applyAlignment="1">
      <alignment horizontal="center" vertical="center" wrapText="1"/>
    </xf>
    <xf numFmtId="0" fontId="246" fillId="0" borderId="1" xfId="0" applyFont="1" applyBorder="1" applyAlignment="1">
      <alignment horizontal="center" vertical="center" wrapText="1"/>
    </xf>
    <xf numFmtId="0" fontId="246" fillId="0" borderId="142" xfId="0" applyFont="1" applyBorder="1" applyAlignment="1">
      <alignment horizontal="center" vertical="center" wrapText="1"/>
    </xf>
    <xf numFmtId="0" fontId="112" fillId="25" borderId="241" xfId="0" applyFont="1" applyFill="1" applyBorder="1" applyAlignment="1">
      <alignment horizontal="center" vertical="center" wrapText="1"/>
    </xf>
    <xf numFmtId="0" fontId="112" fillId="25" borderId="242" xfId="0" applyFont="1" applyFill="1" applyBorder="1" applyAlignment="1">
      <alignment horizontal="center" vertical="center" wrapText="1"/>
    </xf>
    <xf numFmtId="0" fontId="247" fillId="0" borderId="241" xfId="0" applyFont="1" applyBorder="1" applyAlignment="1">
      <alignment horizontal="center" vertical="center" wrapText="1"/>
    </xf>
    <xf numFmtId="0" fontId="157" fillId="0" borderId="242" xfId="0" applyFont="1" applyBorder="1" applyAlignment="1">
      <alignment horizontal="center" vertical="center" wrapText="1"/>
    </xf>
    <xf numFmtId="0" fontId="100" fillId="0" borderId="0" xfId="0" applyFont="1" applyAlignment="1">
      <alignment horizontal="left" vertical="center"/>
    </xf>
    <xf numFmtId="0" fontId="157" fillId="0" borderId="244" xfId="0" applyFont="1" applyBorder="1" applyAlignment="1">
      <alignment horizontal="center" vertical="center" wrapText="1"/>
    </xf>
    <xf numFmtId="0" fontId="157" fillId="0" borderId="245" xfId="0" applyFont="1" applyBorder="1" applyAlignment="1">
      <alignment horizontal="center" vertical="center" wrapText="1"/>
    </xf>
    <xf numFmtId="0" fontId="157" fillId="0" borderId="257" xfId="0" applyFont="1" applyBorder="1" applyAlignment="1">
      <alignment horizontal="center" vertical="center" wrapText="1"/>
    </xf>
    <xf numFmtId="0" fontId="250" fillId="0" borderId="221" xfId="0" applyFont="1" applyBorder="1" applyAlignment="1">
      <alignment horizontal="center" vertical="center" wrapText="1"/>
    </xf>
    <xf numFmtId="0" fontId="64" fillId="25" borderId="223" xfId="0" applyFont="1" applyFill="1" applyBorder="1" applyAlignment="1">
      <alignment horizontal="center" vertical="center" wrapText="1"/>
    </xf>
    <xf numFmtId="0" fontId="64" fillId="25" borderId="222" xfId="0" applyFont="1" applyFill="1" applyBorder="1" applyAlignment="1">
      <alignment horizontal="center" vertical="center" wrapText="1"/>
    </xf>
    <xf numFmtId="0" fontId="64" fillId="25" borderId="30" xfId="0" applyFont="1" applyFill="1" applyBorder="1" applyAlignment="1">
      <alignment horizontal="center" vertical="center" wrapText="1"/>
    </xf>
    <xf numFmtId="0" fontId="64" fillId="25" borderId="61" xfId="0" applyFont="1" applyFill="1" applyBorder="1" applyAlignment="1">
      <alignment horizontal="center" vertical="center" wrapText="1"/>
    </xf>
    <xf numFmtId="0" fontId="63" fillId="0" borderId="228" xfId="0" applyFont="1" applyBorder="1" applyAlignment="1">
      <alignment horizontal="center" vertical="center" wrapText="1"/>
    </xf>
    <xf numFmtId="0" fontId="63" fillId="0" borderId="229" xfId="0" applyFont="1" applyBorder="1" applyAlignment="1">
      <alignment horizontal="center" vertical="center" wrapText="1"/>
    </xf>
    <xf numFmtId="0" fontId="63" fillId="0" borderId="61" xfId="0" applyFont="1" applyBorder="1" applyAlignment="1">
      <alignment horizontal="center" vertical="center" wrapText="1"/>
    </xf>
    <xf numFmtId="0" fontId="64" fillId="25" borderId="232" xfId="0" applyFont="1" applyFill="1" applyBorder="1" applyAlignment="1">
      <alignment horizontal="center" vertical="center" wrapText="1"/>
    </xf>
    <xf numFmtId="0" fontId="64" fillId="25" borderId="229" xfId="0" applyFont="1" applyFill="1" applyBorder="1" applyAlignment="1">
      <alignment horizontal="center" vertical="center" wrapText="1"/>
    </xf>
    <xf numFmtId="0" fontId="64" fillId="25" borderId="228" xfId="0" applyFont="1" applyFill="1" applyBorder="1" applyAlignment="1">
      <alignment horizontal="center" vertical="center" wrapText="1"/>
    </xf>
    <xf numFmtId="0" fontId="63" fillId="0" borderId="233" xfId="0" applyFont="1" applyBorder="1" applyAlignment="1">
      <alignment horizontal="center" vertical="center" wrapText="1"/>
    </xf>
    <xf numFmtId="0" fontId="63" fillId="0" borderId="222" xfId="0" applyFont="1" applyBorder="1" applyAlignment="1">
      <alignment horizontal="center" vertical="center" wrapText="1"/>
    </xf>
    <xf numFmtId="0" fontId="63" fillId="0" borderId="223" xfId="0" applyFont="1" applyBorder="1" applyAlignment="1">
      <alignment horizontal="center" vertical="center" wrapText="1"/>
    </xf>
    <xf numFmtId="0" fontId="145" fillId="0" borderId="89" xfId="0" applyFont="1" applyBorder="1" applyAlignment="1">
      <alignment horizontal="left" vertical="center"/>
    </xf>
    <xf numFmtId="0" fontId="37" fillId="0" borderId="173" xfId="0" applyFont="1" applyBorder="1" applyAlignment="1">
      <alignment horizontal="justify" vertical="center" wrapText="1"/>
    </xf>
    <xf numFmtId="0" fontId="112" fillId="0" borderId="0" xfId="0" applyFont="1" applyAlignment="1">
      <alignment horizontal="justify" vertical="center" wrapText="1"/>
    </xf>
    <xf numFmtId="0" fontId="37" fillId="0" borderId="0" xfId="0" applyFont="1" applyAlignment="1">
      <alignment horizontal="right" vertical="center" wrapText="1"/>
    </xf>
    <xf numFmtId="0" fontId="37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14" fillId="0" borderId="68" xfId="0" applyFont="1" applyBorder="1" applyAlignment="1">
      <alignment horizontal="right" vertical="center" wrapText="1"/>
    </xf>
    <xf numFmtId="0" fontId="37" fillId="0" borderId="68" xfId="0" applyFont="1" applyBorder="1" applyAlignment="1">
      <alignment horizontal="justify" vertical="center" wrapText="1"/>
    </xf>
    <xf numFmtId="0" fontId="130" fillId="0" borderId="181" xfId="0" applyFont="1" applyBorder="1" applyAlignment="1">
      <alignment horizontal="center" vertical="center" wrapText="1"/>
    </xf>
    <xf numFmtId="0" fontId="130" fillId="0" borderId="182" xfId="0" applyFont="1" applyBorder="1" applyAlignment="1">
      <alignment horizontal="center" vertical="center" wrapText="1"/>
    </xf>
    <xf numFmtId="0" fontId="130" fillId="0" borderId="55" xfId="0" applyFont="1" applyBorder="1" applyAlignment="1">
      <alignment horizontal="center" vertical="center" wrapText="1"/>
    </xf>
    <xf numFmtId="49" fontId="130" fillId="0" borderId="181" xfId="0" applyNumberFormat="1" applyFont="1" applyBorder="1" applyAlignment="1">
      <alignment horizontal="center" vertical="center" wrapText="1"/>
    </xf>
    <xf numFmtId="0" fontId="130" fillId="0" borderId="188" xfId="0" applyFont="1" applyBorder="1" applyAlignment="1">
      <alignment horizontal="center" vertical="center" wrapText="1"/>
    </xf>
    <xf numFmtId="0" fontId="130" fillId="0" borderId="190" xfId="0" applyFont="1" applyBorder="1" applyAlignment="1">
      <alignment horizontal="center" vertical="center" wrapText="1"/>
    </xf>
    <xf numFmtId="0" fontId="130" fillId="0" borderId="189" xfId="0" applyFont="1" applyBorder="1" applyAlignment="1">
      <alignment horizontal="center" vertical="center" wrapText="1"/>
    </xf>
    <xf numFmtId="0" fontId="36" fillId="0" borderId="175" xfId="0" applyFont="1" applyBorder="1" applyAlignment="1">
      <alignment horizontal="center" vertical="center" wrapText="1"/>
    </xf>
    <xf numFmtId="0" fontId="36" fillId="0" borderId="75" xfId="0" applyFont="1" applyBorder="1" applyAlignment="1">
      <alignment horizontal="center" vertical="center" wrapText="1"/>
    </xf>
    <xf numFmtId="0" fontId="14" fillId="0" borderId="75" xfId="0" applyFont="1" applyBorder="1" applyAlignment="1">
      <alignment horizontal="justify" vertical="center" wrapText="1"/>
    </xf>
    <xf numFmtId="0" fontId="37" fillId="0" borderId="176" xfId="0" applyFont="1" applyBorder="1" applyAlignment="1">
      <alignment horizontal="center" vertical="center" wrapText="1"/>
    </xf>
    <xf numFmtId="0" fontId="37" fillId="0" borderId="177" xfId="0" applyFont="1" applyBorder="1" applyAlignment="1">
      <alignment horizontal="center" vertical="center" wrapText="1"/>
    </xf>
    <xf numFmtId="0" fontId="37" fillId="0" borderId="178" xfId="0" applyFont="1" applyBorder="1" applyAlignment="1">
      <alignment horizontal="center" vertical="center" wrapText="1"/>
    </xf>
    <xf numFmtId="0" fontId="37" fillId="0" borderId="170" xfId="0" applyFont="1" applyBorder="1" applyAlignment="1">
      <alignment horizontal="center" vertical="center" wrapText="1"/>
    </xf>
    <xf numFmtId="0" fontId="37" fillId="0" borderId="179" xfId="0" applyFont="1" applyBorder="1" applyAlignment="1">
      <alignment horizontal="center" vertical="center" wrapText="1"/>
    </xf>
    <xf numFmtId="0" fontId="37" fillId="0" borderId="180" xfId="0" applyFont="1" applyBorder="1" applyAlignment="1">
      <alignment horizontal="center" vertical="center" wrapText="1"/>
    </xf>
    <xf numFmtId="0" fontId="37" fillId="0" borderId="173" xfId="0" applyFont="1" applyBorder="1" applyAlignment="1">
      <alignment horizontal="center" vertical="center" wrapText="1"/>
    </xf>
    <xf numFmtId="0" fontId="37" fillId="0" borderId="50" xfId="0" applyFont="1" applyBorder="1" applyAlignment="1">
      <alignment horizontal="center" vertical="center" wrapText="1"/>
    </xf>
    <xf numFmtId="0" fontId="128" fillId="0" borderId="179" xfId="0" applyFont="1" applyBorder="1" applyAlignment="1">
      <alignment horizontal="center" vertical="center" wrapText="1"/>
    </xf>
    <xf numFmtId="0" fontId="128" fillId="0" borderId="50" xfId="0" applyFont="1" applyBorder="1" applyAlignment="1">
      <alignment horizontal="center" vertical="center" wrapText="1"/>
    </xf>
    <xf numFmtId="0" fontId="128" fillId="0" borderId="180" xfId="0" applyFont="1" applyBorder="1" applyAlignment="1">
      <alignment horizontal="center" vertical="center" wrapText="1"/>
    </xf>
    <xf numFmtId="0" fontId="151" fillId="0" borderId="181" xfId="0" applyFont="1" applyBorder="1" applyAlignment="1">
      <alignment horizontal="center" vertical="center" wrapText="1"/>
    </xf>
    <xf numFmtId="0" fontId="105" fillId="29" borderId="36" xfId="0" applyFont="1" applyFill="1" applyBorder="1" applyAlignment="1">
      <alignment horizontal="center"/>
    </xf>
    <xf numFmtId="0" fontId="105" fillId="29" borderId="156" xfId="0" applyFont="1" applyFill="1" applyBorder="1" applyAlignment="1">
      <alignment horizontal="center"/>
    </xf>
    <xf numFmtId="0" fontId="77" fillId="0" borderId="184" xfId="0" applyFont="1" applyBorder="1" applyAlignment="1">
      <alignment horizontal="center" vertical="center"/>
    </xf>
    <xf numFmtId="0" fontId="100" fillId="0" borderId="184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 wrapText="1"/>
    </xf>
    <xf numFmtId="0" fontId="36" fillId="0" borderId="62" xfId="0" applyFont="1" applyBorder="1" applyAlignment="1">
      <alignment horizontal="center" vertical="center" wrapText="1"/>
    </xf>
    <xf numFmtId="0" fontId="36" fillId="0" borderId="164" xfId="0" applyFont="1" applyBorder="1" applyAlignment="1">
      <alignment horizontal="center" vertical="center" wrapText="1"/>
    </xf>
    <xf numFmtId="0" fontId="36" fillId="0" borderId="166" xfId="0" applyFont="1" applyBorder="1" applyAlignment="1">
      <alignment horizontal="center" vertical="center" wrapText="1"/>
    </xf>
    <xf numFmtId="0" fontId="36" fillId="0" borderId="30" xfId="0" applyFont="1" applyBorder="1" applyAlignment="1">
      <alignment horizontal="justify" vertical="center" wrapText="1"/>
    </xf>
    <xf numFmtId="0" fontId="36" fillId="0" borderId="62" xfId="0" applyFont="1" applyBorder="1" applyAlignment="1">
      <alignment horizontal="justify" vertical="center" wrapText="1"/>
    </xf>
    <xf numFmtId="0" fontId="36" fillId="0" borderId="61" xfId="0" applyFont="1" applyBorder="1" applyAlignment="1">
      <alignment horizontal="center" vertical="center" wrapText="1"/>
    </xf>
    <xf numFmtId="0" fontId="149" fillId="0" borderId="108" xfId="0" applyFont="1" applyBorder="1" applyAlignment="1">
      <alignment horizontal="center" vertical="center" wrapText="1"/>
    </xf>
    <xf numFmtId="0" fontId="36" fillId="0" borderId="31" xfId="0" applyFont="1" applyBorder="1" applyAlignment="1">
      <alignment horizontal="center" vertical="center" wrapText="1"/>
    </xf>
    <xf numFmtId="0" fontId="36" fillId="0" borderId="29" xfId="0" applyFont="1" applyBorder="1" applyAlignment="1">
      <alignment horizontal="center" vertical="center" wrapText="1"/>
    </xf>
    <xf numFmtId="0" fontId="36" fillId="0" borderId="185" xfId="0" applyFont="1" applyBorder="1" applyAlignment="1">
      <alignment horizontal="center" vertical="center" wrapText="1"/>
    </xf>
    <xf numFmtId="0" fontId="36" fillId="0" borderId="89" xfId="0" applyFont="1" applyBorder="1" applyAlignment="1">
      <alignment horizontal="center" vertical="center" wrapText="1"/>
    </xf>
    <xf numFmtId="0" fontId="36" fillId="0" borderId="186" xfId="0" applyFont="1" applyBorder="1" applyAlignment="1">
      <alignment horizontal="center" vertical="center" wrapText="1"/>
    </xf>
    <xf numFmtId="0" fontId="14" fillId="0" borderId="108" xfId="0" applyFont="1" applyBorder="1" applyAlignment="1">
      <alignment horizontal="justify" vertical="center" wrapText="1"/>
    </xf>
    <xf numFmtId="0" fontId="14" fillId="0" borderId="29" xfId="0" applyFont="1" applyBorder="1" applyAlignment="1">
      <alignment horizontal="justify" vertical="center" wrapText="1"/>
    </xf>
    <xf numFmtId="0" fontId="14" fillId="0" borderId="186" xfId="0" applyFont="1" applyBorder="1" applyAlignment="1">
      <alignment horizontal="justify" vertical="center" wrapText="1"/>
    </xf>
    <xf numFmtId="0" fontId="36" fillId="0" borderId="108" xfId="0" applyFont="1" applyBorder="1" applyAlignment="1">
      <alignment horizontal="center" vertical="center" wrapText="1"/>
    </xf>
    <xf numFmtId="0" fontId="14" fillId="0" borderId="170" xfId="0" applyFont="1" applyBorder="1" applyAlignment="1">
      <alignment horizontal="justify" vertical="center" wrapText="1"/>
    </xf>
    <xf numFmtId="0" fontId="14" fillId="0" borderId="161" xfId="0" applyFont="1" applyBorder="1" applyAlignment="1">
      <alignment horizontal="justify" vertical="center" wrapText="1"/>
    </xf>
    <xf numFmtId="0" fontId="14" fillId="0" borderId="162" xfId="0" applyFont="1" applyBorder="1" applyAlignment="1">
      <alignment horizontal="justify" vertical="center" wrapText="1"/>
    </xf>
    <xf numFmtId="0" fontId="36" fillId="0" borderId="169" xfId="0" applyFont="1" applyBorder="1" applyAlignment="1">
      <alignment horizontal="center" vertical="center" wrapText="1"/>
    </xf>
    <xf numFmtId="0" fontId="36" fillId="0" borderId="187" xfId="0" applyFont="1" applyBorder="1" applyAlignment="1">
      <alignment horizontal="center" vertical="center" wrapText="1"/>
    </xf>
    <xf numFmtId="0" fontId="105" fillId="29" borderId="6" xfId="0" applyFont="1" applyFill="1" applyBorder="1" applyAlignment="1">
      <alignment horizontal="center" vertical="center"/>
    </xf>
    <xf numFmtId="0" fontId="105" fillId="29" borderId="17" xfId="0" applyFont="1" applyFill="1" applyBorder="1" applyAlignment="1">
      <alignment horizontal="center" vertical="center"/>
    </xf>
    <xf numFmtId="0" fontId="105" fillId="29" borderId="95" xfId="0" applyFont="1" applyFill="1" applyBorder="1" applyAlignment="1">
      <alignment horizontal="center" vertical="center"/>
    </xf>
    <xf numFmtId="0" fontId="102" fillId="3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102" fillId="30" borderId="3" xfId="0" applyFont="1" applyFill="1" applyBorder="1" applyAlignment="1">
      <alignment horizontal="center" vertical="center"/>
    </xf>
    <xf numFmtId="0" fontId="102" fillId="30" borderId="39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1" fillId="3" borderId="19" xfId="0" applyFont="1" applyFill="1" applyBorder="1" applyAlignment="1">
      <alignment horizontal="center" vertical="center"/>
    </xf>
    <xf numFmtId="0" fontId="125" fillId="29" borderId="34" xfId="0" applyFont="1" applyFill="1" applyBorder="1" applyAlignment="1">
      <alignment horizontal="center"/>
    </xf>
    <xf numFmtId="0" fontId="125" fillId="29" borderId="36" xfId="0" applyFont="1" applyFill="1" applyBorder="1" applyAlignment="1">
      <alignment horizontal="center"/>
    </xf>
    <xf numFmtId="0" fontId="105" fillId="29" borderId="94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144" fillId="30" borderId="1" xfId="0" applyFont="1" applyFill="1" applyBorder="1" applyAlignment="1">
      <alignment horizontal="center" vertical="center"/>
    </xf>
    <xf numFmtId="176" fontId="3" fillId="2" borderId="39" xfId="0" applyNumberFormat="1" applyFont="1" applyFill="1" applyBorder="1" applyAlignment="1">
      <alignment horizontal="center" vertical="center"/>
    </xf>
    <xf numFmtId="0" fontId="103" fillId="30" borderId="1" xfId="0" applyFont="1" applyFill="1" applyBorder="1" applyAlignment="1">
      <alignment horizontal="center" vertical="center"/>
    </xf>
    <xf numFmtId="0" fontId="224" fillId="0" borderId="108" xfId="0" applyFont="1" applyBorder="1" applyAlignment="1">
      <alignment horizontal="left" vertical="center" wrapText="1"/>
    </xf>
    <xf numFmtId="0" fontId="157" fillId="0" borderId="31" xfId="0" applyFont="1" applyBorder="1" applyAlignment="1">
      <alignment horizontal="left" vertical="center" wrapText="1"/>
    </xf>
    <xf numFmtId="0" fontId="157" fillId="0" borderId="29" xfId="0" applyFont="1" applyBorder="1" applyAlignment="1">
      <alignment horizontal="left" vertical="center" wrapText="1"/>
    </xf>
    <xf numFmtId="0" fontId="157" fillId="0" borderId="63" xfId="0" applyFont="1" applyBorder="1" applyAlignment="1">
      <alignment horizontal="left" vertical="center" wrapText="1"/>
    </xf>
    <xf numFmtId="0" fontId="157" fillId="0" borderId="57" xfId="0" applyFont="1" applyBorder="1" applyAlignment="1">
      <alignment horizontal="left" vertical="center" wrapText="1"/>
    </xf>
    <xf numFmtId="0" fontId="157" fillId="0" borderId="26" xfId="0" applyFont="1" applyBorder="1" applyAlignment="1">
      <alignment horizontal="left" vertical="center" wrapText="1"/>
    </xf>
    <xf numFmtId="0" fontId="157" fillId="0" borderId="108" xfId="0" applyFont="1" applyBorder="1" applyAlignment="1">
      <alignment horizontal="left" vertical="center" wrapText="1"/>
    </xf>
    <xf numFmtId="0" fontId="134" fillId="0" borderId="217" xfId="0" applyFont="1" applyBorder="1" applyAlignment="1">
      <alignment horizontal="center" vertical="center"/>
    </xf>
    <xf numFmtId="0" fontId="108" fillId="0" borderId="184" xfId="0" applyFont="1" applyBorder="1" applyAlignment="1">
      <alignment horizontal="center" vertical="center"/>
    </xf>
    <xf numFmtId="0" fontId="213" fillId="19" borderId="30" xfId="0" applyFont="1" applyFill="1" applyBorder="1" applyAlignment="1">
      <alignment horizontal="center" vertical="center" wrapText="1"/>
    </xf>
    <xf numFmtId="0" fontId="213" fillId="19" borderId="62" xfId="0" applyFont="1" applyFill="1" applyBorder="1" applyAlignment="1">
      <alignment horizontal="center" vertical="center" wrapText="1"/>
    </xf>
    <xf numFmtId="0" fontId="213" fillId="19" borderId="61" xfId="0" applyFont="1" applyFill="1" applyBorder="1" applyAlignment="1">
      <alignment horizontal="center" vertical="center" wrapText="1"/>
    </xf>
    <xf numFmtId="0" fontId="154" fillId="0" borderId="191" xfId="0" applyFont="1" applyBorder="1" applyAlignment="1">
      <alignment horizontal="center" vertical="center" wrapText="1"/>
    </xf>
    <xf numFmtId="0" fontId="157" fillId="0" borderId="30" xfId="0" applyFont="1" applyBorder="1" applyAlignment="1">
      <alignment horizontal="left" vertical="center" wrapText="1"/>
    </xf>
    <xf numFmtId="0" fontId="157" fillId="0" borderId="62" xfId="0" applyFont="1" applyBorder="1" applyAlignment="1">
      <alignment horizontal="left" vertical="center" wrapText="1"/>
    </xf>
    <xf numFmtId="0" fontId="157" fillId="0" borderId="61" xfId="0" applyFont="1" applyBorder="1" applyAlignment="1">
      <alignment horizontal="left" vertical="center" wrapText="1"/>
    </xf>
    <xf numFmtId="0" fontId="213" fillId="19" borderId="26" xfId="0" applyFont="1" applyFill="1" applyBorder="1" applyAlignment="1">
      <alignment horizontal="center" vertical="center" wrapText="1"/>
    </xf>
    <xf numFmtId="0" fontId="134" fillId="0" borderId="1" xfId="0" applyFont="1" applyBorder="1" applyAlignment="1">
      <alignment horizontal="center" vertical="center"/>
    </xf>
    <xf numFmtId="0" fontId="108" fillId="0" borderId="1" xfId="0" applyFont="1" applyBorder="1" applyAlignment="1">
      <alignment horizontal="center" vertical="center"/>
    </xf>
    <xf numFmtId="0" fontId="108" fillId="16" borderId="84" xfId="0" applyFont="1" applyFill="1" applyBorder="1" applyAlignment="1">
      <alignment horizontal="center" vertical="center" wrapText="1"/>
    </xf>
    <xf numFmtId="0" fontId="108" fillId="16" borderId="85" xfId="0" applyFont="1" applyFill="1" applyBorder="1" applyAlignment="1">
      <alignment horizontal="center" vertical="center" wrapText="1"/>
    </xf>
    <xf numFmtId="0" fontId="109" fillId="17" borderId="86" xfId="0" applyFont="1" applyFill="1" applyBorder="1" applyAlignment="1">
      <alignment horizontal="center" vertical="center" wrapText="1"/>
    </xf>
    <xf numFmtId="0" fontId="109" fillId="17" borderId="87" xfId="0" applyFont="1" applyFill="1" applyBorder="1" applyAlignment="1">
      <alignment horizontal="center" vertical="center" wrapText="1"/>
    </xf>
    <xf numFmtId="0" fontId="109" fillId="17" borderId="84" xfId="0" applyFont="1" applyFill="1" applyBorder="1" applyAlignment="1">
      <alignment horizontal="center" vertical="center" wrapText="1"/>
    </xf>
    <xf numFmtId="0" fontId="109" fillId="17" borderId="88" xfId="0" applyFont="1" applyFill="1" applyBorder="1" applyAlignment="1">
      <alignment horizontal="center" vertical="center" wrapText="1"/>
    </xf>
    <xf numFmtId="0" fontId="109" fillId="17" borderId="89" xfId="0" applyFont="1" applyFill="1" applyBorder="1" applyAlignment="1">
      <alignment horizontal="center" vertical="center" wrapText="1"/>
    </xf>
    <xf numFmtId="0" fontId="109" fillId="17" borderId="85" xfId="0" applyFont="1" applyFill="1" applyBorder="1" applyAlignment="1">
      <alignment horizontal="center" vertical="center" wrapText="1"/>
    </xf>
    <xf numFmtId="0" fontId="109" fillId="17" borderId="86" xfId="0" applyFont="1" applyFill="1" applyBorder="1" applyAlignment="1">
      <alignment horizontal="justify" vertical="center" wrapText="1"/>
    </xf>
    <xf numFmtId="0" fontId="109" fillId="17" borderId="87" xfId="0" applyFont="1" applyFill="1" applyBorder="1" applyAlignment="1">
      <alignment horizontal="justify" vertical="center" wrapText="1"/>
    </xf>
    <xf numFmtId="0" fontId="109" fillId="17" borderId="84" xfId="0" applyFont="1" applyFill="1" applyBorder="1" applyAlignment="1">
      <alignment horizontal="justify" vertical="center" wrapText="1"/>
    </xf>
    <xf numFmtId="0" fontId="109" fillId="17" borderId="88" xfId="0" applyFont="1" applyFill="1" applyBorder="1" applyAlignment="1">
      <alignment horizontal="justify" vertical="center" wrapText="1"/>
    </xf>
    <xf numFmtId="0" fontId="109" fillId="17" borderId="89" xfId="0" applyFont="1" applyFill="1" applyBorder="1" applyAlignment="1">
      <alignment horizontal="justify" vertical="center" wrapText="1"/>
    </xf>
    <xf numFmtId="0" fontId="109" fillId="17" borderId="85" xfId="0" applyFont="1" applyFill="1" applyBorder="1" applyAlignment="1">
      <alignment horizontal="justify" vertical="center" wrapText="1"/>
    </xf>
    <xf numFmtId="0" fontId="109" fillId="17" borderId="81" xfId="0" applyFont="1" applyFill="1" applyBorder="1" applyAlignment="1">
      <alignment horizontal="center" vertical="center" wrapText="1"/>
    </xf>
    <xf numFmtId="0" fontId="109" fillId="17" borderId="82" xfId="0" applyFont="1" applyFill="1" applyBorder="1" applyAlignment="1">
      <alignment horizontal="center" vertical="center" wrapText="1"/>
    </xf>
    <xf numFmtId="0" fontId="109" fillId="17" borderId="90" xfId="0" applyFont="1" applyFill="1" applyBorder="1" applyAlignment="1">
      <alignment horizontal="center" vertical="center" wrapText="1"/>
    </xf>
    <xf numFmtId="0" fontId="109" fillId="17" borderId="91" xfId="0" applyFont="1" applyFill="1" applyBorder="1" applyAlignment="1">
      <alignment horizontal="center" vertical="center" wrapText="1"/>
    </xf>
    <xf numFmtId="0" fontId="109" fillId="0" borderId="71" xfId="0" applyFont="1" applyBorder="1" applyAlignment="1">
      <alignment horizontal="center" vertical="center" wrapText="1"/>
    </xf>
    <xf numFmtId="0" fontId="109" fillId="0" borderId="72" xfId="0" applyFont="1" applyBorder="1" applyAlignment="1">
      <alignment horizontal="center" vertical="center" wrapText="1"/>
    </xf>
    <xf numFmtId="0" fontId="109" fillId="0" borderId="89" xfId="0" applyFont="1" applyBorder="1" applyAlignment="1">
      <alignment horizontal="center" vertical="center" wrapText="1"/>
    </xf>
    <xf numFmtId="0" fontId="109" fillId="0" borderId="92" xfId="0" applyFont="1" applyBorder="1" applyAlignment="1">
      <alignment horizontal="center" vertical="center" wrapText="1"/>
    </xf>
    <xf numFmtId="0" fontId="109" fillId="0" borderId="74" xfId="0" applyFont="1" applyBorder="1" applyAlignment="1">
      <alignment horizontal="justify" vertical="center" wrapText="1"/>
    </xf>
    <xf numFmtId="0" fontId="109" fillId="0" borderId="71" xfId="0" applyFont="1" applyBorder="1" applyAlignment="1">
      <alignment horizontal="justify" vertical="center" wrapText="1"/>
    </xf>
    <xf numFmtId="0" fontId="109" fillId="0" borderId="93" xfId="0" applyFont="1" applyBorder="1" applyAlignment="1">
      <alignment horizontal="justify" vertical="center" wrapText="1"/>
    </xf>
    <xf numFmtId="0" fontId="109" fillId="0" borderId="89" xfId="0" applyFont="1" applyBorder="1" applyAlignment="1">
      <alignment horizontal="justify" vertical="center" wrapText="1"/>
    </xf>
    <xf numFmtId="0" fontId="108" fillId="0" borderId="75" xfId="0" applyFont="1" applyBorder="1" applyAlignment="1">
      <alignment horizontal="justify" vertical="center" wrapText="1"/>
    </xf>
    <xf numFmtId="0" fontId="108" fillId="16" borderId="77" xfId="0" applyFont="1" applyFill="1" applyBorder="1" applyAlignment="1">
      <alignment horizontal="center" vertical="center" wrapText="1"/>
    </xf>
    <xf numFmtId="0" fontId="108" fillId="16" borderId="78" xfId="0" applyFont="1" applyFill="1" applyBorder="1" applyAlignment="1">
      <alignment horizontal="center" vertical="center" wrapText="1"/>
    </xf>
    <xf numFmtId="0" fontId="109" fillId="17" borderId="79" xfId="0" applyFont="1" applyFill="1" applyBorder="1" applyAlignment="1">
      <alignment horizontal="center" vertical="center" wrapText="1"/>
    </xf>
    <xf numFmtId="0" fontId="109" fillId="17" borderId="80" xfId="0" applyFont="1" applyFill="1" applyBorder="1" applyAlignment="1">
      <alignment horizontal="center" vertical="center" wrapText="1"/>
    </xf>
    <xf numFmtId="0" fontId="109" fillId="17" borderId="76" xfId="0" applyFont="1" applyFill="1" applyBorder="1" applyAlignment="1">
      <alignment horizontal="center" vertical="center" wrapText="1"/>
    </xf>
    <xf numFmtId="0" fontId="109" fillId="17" borderId="83" xfId="0" applyFont="1" applyFill="1" applyBorder="1" applyAlignment="1">
      <alignment horizontal="center" vertical="center" wrapText="1"/>
    </xf>
    <xf numFmtId="0" fontId="109" fillId="17" borderId="81" xfId="0" applyFont="1" applyFill="1" applyBorder="1" applyAlignment="1">
      <alignment horizontal="justify" vertical="center" wrapText="1"/>
    </xf>
    <xf numFmtId="0" fontId="109" fillId="17" borderId="82" xfId="0" applyFont="1" applyFill="1" applyBorder="1" applyAlignment="1">
      <alignment horizontal="justify" vertical="center" wrapText="1"/>
    </xf>
    <xf numFmtId="0" fontId="109" fillId="17" borderId="83" xfId="0" applyFont="1" applyFill="1" applyBorder="1" applyAlignment="1">
      <alignment horizontal="justify" vertical="center" wrapText="1"/>
    </xf>
    <xf numFmtId="0" fontId="109" fillId="0" borderId="31" xfId="0" applyFont="1" applyBorder="1" applyAlignment="1">
      <alignment horizontal="justify" vertical="center" wrapText="1"/>
    </xf>
    <xf numFmtId="0" fontId="108" fillId="0" borderId="0" xfId="0" applyFont="1" applyAlignment="1">
      <alignment horizontal="justify" vertical="center" wrapText="1"/>
    </xf>
    <xf numFmtId="0" fontId="109" fillId="0" borderId="0" xfId="0" applyFont="1" applyAlignment="1">
      <alignment horizontal="right" vertical="center" wrapText="1"/>
    </xf>
    <xf numFmtId="0" fontId="109" fillId="0" borderId="0" xfId="0" applyFont="1" applyAlignment="1">
      <alignment vertical="center" wrapText="1"/>
    </xf>
    <xf numFmtId="0" fontId="108" fillId="0" borderId="0" xfId="0" applyFont="1" applyAlignment="1">
      <alignment horizontal="center" vertical="center" wrapText="1"/>
    </xf>
    <xf numFmtId="0" fontId="109" fillId="0" borderId="0" xfId="0" applyFont="1" applyAlignment="1">
      <alignment horizontal="center" vertical="center" wrapText="1"/>
    </xf>
    <xf numFmtId="0" fontId="108" fillId="0" borderId="68" xfId="0" applyFont="1" applyBorder="1" applyAlignment="1">
      <alignment horizontal="right" vertical="center" wrapText="1"/>
    </xf>
    <xf numFmtId="0" fontId="109" fillId="0" borderId="68" xfId="0" applyFont="1" applyBorder="1" applyAlignment="1">
      <alignment horizontal="justify" vertical="center" wrapText="1"/>
    </xf>
    <xf numFmtId="0" fontId="109" fillId="0" borderId="69" xfId="0" applyFont="1" applyBorder="1" applyAlignment="1">
      <alignment horizontal="center" vertical="center" wrapText="1"/>
    </xf>
    <xf numFmtId="0" fontId="109" fillId="0" borderId="55" xfId="0" applyFont="1" applyBorder="1" applyAlignment="1">
      <alignment horizontal="center" vertical="center" wrapText="1"/>
    </xf>
    <xf numFmtId="0" fontId="109" fillId="0" borderId="47" xfId="0" applyFont="1" applyBorder="1" applyAlignment="1">
      <alignment horizontal="center" vertical="center" wrapText="1"/>
    </xf>
    <xf numFmtId="178" fontId="109" fillId="0" borderId="54" xfId="0" applyNumberFormat="1" applyFont="1" applyBorder="1" applyAlignment="1">
      <alignment horizontal="center" vertical="center" wrapText="1"/>
    </xf>
    <xf numFmtId="0" fontId="109" fillId="0" borderId="54" xfId="0" applyFont="1" applyBorder="1" applyAlignment="1">
      <alignment horizontal="center" vertical="center" wrapText="1"/>
    </xf>
    <xf numFmtId="0" fontId="109" fillId="0" borderId="60" xfId="0" applyFont="1" applyBorder="1" applyAlignment="1">
      <alignment horizontal="right" vertical="center" wrapText="1"/>
    </xf>
    <xf numFmtId="0" fontId="109" fillId="0" borderId="62" xfId="0" applyFont="1" applyBorder="1" applyAlignment="1">
      <alignment horizontal="right" vertical="center" wrapText="1"/>
    </xf>
    <xf numFmtId="0" fontId="108" fillId="15" borderId="62" xfId="0" applyFont="1" applyFill="1" applyBorder="1" applyAlignment="1">
      <alignment horizontal="center" vertical="center" wrapText="1"/>
    </xf>
    <xf numFmtId="0" fontId="108" fillId="15" borderId="66" xfId="0" applyFont="1" applyFill="1" applyBorder="1" applyAlignment="1">
      <alignment horizontal="center" vertical="center" wrapText="1"/>
    </xf>
    <xf numFmtId="0" fontId="109" fillId="15" borderId="67" xfId="0" applyFont="1" applyFill="1" applyBorder="1" applyAlignment="1">
      <alignment horizontal="right" vertical="center" wrapText="1"/>
    </xf>
    <xf numFmtId="0" fontId="109" fillId="15" borderId="62" xfId="0" applyFont="1" applyFill="1" applyBorder="1" applyAlignment="1">
      <alignment horizontal="right" vertical="center" wrapText="1"/>
    </xf>
    <xf numFmtId="0" fontId="138" fillId="15" borderId="62" xfId="0" applyFont="1" applyFill="1" applyBorder="1" applyAlignment="1">
      <alignment horizontal="center" vertical="center" wrapText="1"/>
    </xf>
    <xf numFmtId="0" fontId="109" fillId="15" borderId="62" xfId="0" applyFont="1" applyFill="1" applyBorder="1" applyAlignment="1">
      <alignment horizontal="center" vertical="center" wrapText="1"/>
    </xf>
    <xf numFmtId="0" fontId="108" fillId="0" borderId="53" xfId="0" applyFont="1" applyBorder="1" applyAlignment="1">
      <alignment horizontal="center" vertical="center" wrapText="1"/>
    </xf>
    <xf numFmtId="0" fontId="108" fillId="0" borderId="50" xfId="0" applyFont="1" applyBorder="1" applyAlignment="1">
      <alignment horizontal="center" vertical="center" wrapText="1"/>
    </xf>
    <xf numFmtId="0" fontId="108" fillId="0" borderId="51" xfId="0" applyFont="1" applyBorder="1" applyAlignment="1">
      <alignment horizontal="center" vertical="center" wrapText="1"/>
    </xf>
    <xf numFmtId="0" fontId="121" fillId="29" borderId="94" xfId="0" applyFont="1" applyFill="1" applyBorder="1" applyAlignment="1">
      <alignment horizontal="center" vertical="center"/>
    </xf>
    <xf numFmtId="0" fontId="121" fillId="29" borderId="17" xfId="0" applyFont="1" applyFill="1" applyBorder="1" applyAlignment="1">
      <alignment horizontal="center" vertical="center"/>
    </xf>
    <xf numFmtId="0" fontId="121" fillId="29" borderId="95" xfId="0" applyFont="1" applyFill="1" applyBorder="1" applyAlignment="1">
      <alignment horizontal="center" vertical="center"/>
    </xf>
    <xf numFmtId="0" fontId="108" fillId="0" borderId="133" xfId="0" applyFont="1" applyBorder="1" applyAlignment="1">
      <alignment horizontal="center" vertical="center" wrapText="1"/>
    </xf>
    <xf numFmtId="0" fontId="109" fillId="15" borderId="41" xfId="0" applyFont="1" applyFill="1" applyBorder="1" applyAlignment="1">
      <alignment horizontal="center" vertical="center" wrapText="1"/>
    </xf>
    <xf numFmtId="0" fontId="109" fillId="15" borderId="70" xfId="0" applyFont="1" applyFill="1" applyBorder="1" applyAlignment="1">
      <alignment horizontal="center" vertical="center" wrapText="1"/>
    </xf>
    <xf numFmtId="0" fontId="109" fillId="15" borderId="42" xfId="0" applyFont="1" applyFill="1" applyBorder="1" applyAlignment="1">
      <alignment horizontal="justify" vertical="center" wrapText="1"/>
    </xf>
    <xf numFmtId="0" fontId="109" fillId="15" borderId="41" xfId="0" applyFont="1" applyFill="1" applyBorder="1" applyAlignment="1">
      <alignment horizontal="justify" vertical="center" wrapText="1"/>
    </xf>
    <xf numFmtId="0" fontId="108" fillId="15" borderId="41" xfId="0" applyFont="1" applyFill="1" applyBorder="1" applyAlignment="1">
      <alignment vertical="center" wrapText="1"/>
    </xf>
    <xf numFmtId="0" fontId="109" fillId="0" borderId="43" xfId="0" applyFont="1" applyBorder="1" applyAlignment="1">
      <alignment horizontal="justify" vertical="center" wrapText="1"/>
    </xf>
    <xf numFmtId="0" fontId="108" fillId="0" borderId="45" xfId="0" applyFont="1" applyBorder="1" applyAlignment="1">
      <alignment horizontal="justify" vertical="center" wrapText="1"/>
    </xf>
    <xf numFmtId="0" fontId="108" fillId="0" borderId="44" xfId="0" applyFont="1" applyBorder="1" applyAlignment="1">
      <alignment horizontal="justify" vertical="center" wrapText="1"/>
    </xf>
    <xf numFmtId="0" fontId="109" fillId="0" borderId="46" xfId="0" applyFont="1" applyBorder="1" applyAlignment="1">
      <alignment horizontal="center" vertical="center" wrapText="1"/>
    </xf>
    <xf numFmtId="0" fontId="109" fillId="0" borderId="45" xfId="0" applyFont="1" applyBorder="1" applyAlignment="1">
      <alignment horizontal="center" vertical="center" wrapText="1"/>
    </xf>
    <xf numFmtId="0" fontId="109" fillId="0" borderId="44" xfId="0" applyFont="1" applyBorder="1" applyAlignment="1">
      <alignment horizontal="center" vertical="center" wrapText="1"/>
    </xf>
    <xf numFmtId="0" fontId="108" fillId="0" borderId="46" xfId="0" applyFont="1" applyBorder="1" applyAlignment="1">
      <alignment horizontal="justify" vertical="center" wrapText="1"/>
    </xf>
    <xf numFmtId="0" fontId="108" fillId="0" borderId="48" xfId="0" applyFont="1" applyBorder="1" applyAlignment="1">
      <alignment horizontal="justify" vertical="center" wrapText="1"/>
    </xf>
    <xf numFmtId="0" fontId="108" fillId="0" borderId="49" xfId="0" applyFont="1" applyBorder="1" applyAlignment="1">
      <alignment horizontal="justify" vertical="center" wrapText="1"/>
    </xf>
    <xf numFmtId="0" fontId="109" fillId="0" borderId="52" xfId="0" applyFont="1" applyBorder="1" applyAlignment="1">
      <alignment horizontal="center" vertical="center" wrapText="1"/>
    </xf>
    <xf numFmtId="0" fontId="109" fillId="0" borderId="48" xfId="0" applyFont="1" applyBorder="1" applyAlignment="1">
      <alignment horizontal="center" vertical="center" wrapText="1"/>
    </xf>
    <xf numFmtId="0" fontId="109" fillId="0" borderId="49" xfId="0" applyFont="1" applyBorder="1" applyAlignment="1">
      <alignment horizontal="center" vertical="center" wrapText="1"/>
    </xf>
    <xf numFmtId="0" fontId="109" fillId="0" borderId="53" xfId="0" applyFont="1" applyBorder="1" applyAlignment="1">
      <alignment horizontal="center" vertical="center" wrapText="1"/>
    </xf>
    <xf numFmtId="0" fontId="109" fillId="0" borderId="50" xfId="0" applyFont="1" applyBorder="1" applyAlignment="1">
      <alignment horizontal="center" vertical="center" wrapText="1"/>
    </xf>
    <xf numFmtId="0" fontId="109" fillId="0" borderId="51" xfId="0" applyFont="1" applyBorder="1" applyAlignment="1">
      <alignment horizontal="center" vertical="center" wrapText="1"/>
    </xf>
    <xf numFmtId="0" fontId="108" fillId="0" borderId="52" xfId="0" applyFont="1" applyBorder="1" applyAlignment="1">
      <alignment horizontal="justify" vertical="center" wrapText="1"/>
    </xf>
    <xf numFmtId="0" fontId="108" fillId="0" borderId="50" xfId="0" applyFont="1" applyBorder="1" applyAlignment="1">
      <alignment horizontal="justify" vertical="center" wrapText="1"/>
    </xf>
    <xf numFmtId="0" fontId="108" fillId="0" borderId="51" xfId="0" applyFont="1" applyBorder="1" applyAlignment="1">
      <alignment horizontal="justify" vertical="center" wrapText="1"/>
    </xf>
    <xf numFmtId="0" fontId="108" fillId="0" borderId="53" xfId="0" applyFont="1" applyBorder="1" applyAlignment="1">
      <alignment horizontal="justify" vertical="center" wrapText="1"/>
    </xf>
    <xf numFmtId="0" fontId="108" fillId="0" borderId="55" xfId="0" applyFont="1" applyBorder="1" applyAlignment="1">
      <alignment horizontal="justify" vertical="center" wrapText="1"/>
    </xf>
    <xf numFmtId="0" fontId="108" fillId="0" borderId="47" xfId="0" applyFont="1" applyBorder="1" applyAlignment="1">
      <alignment horizontal="justify" vertical="center" wrapText="1"/>
    </xf>
    <xf numFmtId="0" fontId="108" fillId="0" borderId="57" xfId="0" applyFont="1" applyBorder="1" applyAlignment="1">
      <alignment horizontal="justify" vertical="center" wrapText="1"/>
    </xf>
    <xf numFmtId="0" fontId="108" fillId="0" borderId="58" xfId="0" applyFont="1" applyBorder="1" applyAlignment="1">
      <alignment horizontal="justify" vertical="center" wrapText="1"/>
    </xf>
    <xf numFmtId="0" fontId="108" fillId="0" borderId="54" xfId="0" applyFont="1" applyBorder="1" applyAlignment="1">
      <alignment horizontal="justify" vertical="center" wrapText="1"/>
    </xf>
    <xf numFmtId="0" fontId="22" fillId="3" borderId="7" xfId="0" applyFont="1" applyFill="1" applyBorder="1" applyAlignment="1">
      <alignment horizontal="center" vertical="center"/>
    </xf>
    <xf numFmtId="0" fontId="22" fillId="3" borderId="33" xfId="0" applyFont="1" applyFill="1" applyBorder="1" applyAlignment="1">
      <alignment horizontal="center" vertical="center"/>
    </xf>
    <xf numFmtId="0" fontId="125" fillId="29" borderId="131" xfId="0" applyFont="1" applyFill="1" applyBorder="1" applyAlignment="1">
      <alignment horizontal="center" vertical="center"/>
    </xf>
    <xf numFmtId="0" fontId="125" fillId="29" borderId="128" xfId="0" applyFont="1" applyFill="1" applyBorder="1" applyAlignment="1">
      <alignment horizontal="center" vertical="center"/>
    </xf>
    <xf numFmtId="0" fontId="108" fillId="0" borderId="59" xfId="0" applyFont="1" applyBorder="1" applyAlignment="1">
      <alignment horizontal="justify" vertical="center" wrapText="1"/>
    </xf>
    <xf numFmtId="0" fontId="108" fillId="0" borderId="56" xfId="0" applyFont="1" applyBorder="1" applyAlignment="1">
      <alignment horizontal="justify" vertical="center" wrapText="1"/>
    </xf>
    <xf numFmtId="0" fontId="109" fillId="0" borderId="59" xfId="0" applyFont="1" applyBorder="1" applyAlignment="1">
      <alignment horizontal="center" vertical="center" wrapText="1"/>
    </xf>
    <xf numFmtId="0" fontId="109" fillId="0" borderId="60" xfId="0" applyFont="1" applyBorder="1" applyAlignment="1">
      <alignment horizontal="center" vertical="center" wrapText="1"/>
    </xf>
    <xf numFmtId="0" fontId="109" fillId="0" borderId="56" xfId="0" applyFont="1" applyBorder="1" applyAlignment="1">
      <alignment horizontal="center" vertical="center" wrapText="1"/>
    </xf>
    <xf numFmtId="0" fontId="108" fillId="0" borderId="60" xfId="0" applyFont="1" applyBorder="1" applyAlignment="1">
      <alignment horizontal="justify" vertical="center" wrapText="1"/>
    </xf>
    <xf numFmtId="0" fontId="109" fillId="0" borderId="59" xfId="0" applyFont="1" applyBorder="1" applyAlignment="1">
      <alignment horizontal="justify" vertical="center" wrapText="1"/>
    </xf>
    <xf numFmtId="0" fontId="109" fillId="0" borderId="60" xfId="0" applyFont="1" applyBorder="1" applyAlignment="1">
      <alignment horizontal="justify" vertical="center" wrapText="1"/>
    </xf>
    <xf numFmtId="0" fontId="110" fillId="0" borderId="31" xfId="0" applyFont="1" applyBorder="1" applyAlignment="1">
      <alignment horizontal="center" vertical="center" wrapText="1"/>
    </xf>
    <xf numFmtId="0" fontId="108" fillId="0" borderId="62" xfId="0" applyFont="1" applyBorder="1" applyAlignment="1">
      <alignment horizontal="justify" vertical="center" wrapText="1"/>
    </xf>
    <xf numFmtId="0" fontId="108" fillId="0" borderId="61" xfId="0" applyFont="1" applyBorder="1" applyAlignment="1">
      <alignment horizontal="justify" vertical="center" wrapText="1"/>
    </xf>
    <xf numFmtId="0" fontId="111" fillId="0" borderId="63" xfId="0" applyFont="1" applyBorder="1" applyAlignment="1">
      <alignment horizontal="center" vertical="center" wrapText="1"/>
    </xf>
    <xf numFmtId="0" fontId="111" fillId="0" borderId="57" xfId="0" applyFont="1" applyBorder="1" applyAlignment="1">
      <alignment horizontal="center" vertical="center" wrapText="1"/>
    </xf>
    <xf numFmtId="0" fontId="108" fillId="0" borderId="31" xfId="0" applyFont="1" applyBorder="1" applyAlignment="1">
      <alignment horizontal="center" vertical="center" wrapText="1"/>
    </xf>
    <xf numFmtId="0" fontId="108" fillId="0" borderId="64" xfId="0" applyFont="1" applyBorder="1" applyAlignment="1">
      <alignment horizontal="center" vertical="center" wrapText="1"/>
    </xf>
    <xf numFmtId="0" fontId="108" fillId="0" borderId="65" xfId="0" applyFont="1" applyBorder="1" applyAlignment="1">
      <alignment horizontal="center" vertical="center" wrapText="1"/>
    </xf>
    <xf numFmtId="0" fontId="125" fillId="29" borderId="36" xfId="0" applyFont="1" applyFill="1" applyBorder="1" applyAlignment="1">
      <alignment horizontal="center" vertical="center"/>
    </xf>
    <xf numFmtId="0" fontId="125" fillId="29" borderId="156" xfId="0" applyFont="1" applyFill="1" applyBorder="1" applyAlignment="1">
      <alignment horizontal="center" vertical="center"/>
    </xf>
    <xf numFmtId="0" fontId="37" fillId="0" borderId="69" xfId="0" applyFont="1" applyBorder="1" applyAlignment="1">
      <alignment horizontal="center" vertical="center" wrapText="1"/>
    </xf>
    <xf numFmtId="0" fontId="191" fillId="0" borderId="71" xfId="0" applyFont="1" applyBorder="1" applyAlignment="1">
      <alignment horizontal="center" vertical="center" wrapText="1"/>
    </xf>
    <xf numFmtId="0" fontId="191" fillId="0" borderId="72" xfId="0" applyFont="1" applyBorder="1" applyAlignment="1">
      <alignment horizontal="center" vertical="center" wrapText="1"/>
    </xf>
    <xf numFmtId="0" fontId="191" fillId="0" borderId="0" xfId="0" applyFont="1" applyAlignment="1">
      <alignment horizontal="center" vertical="center" wrapText="1"/>
    </xf>
    <xf numFmtId="0" fontId="191" fillId="0" borderId="206" xfId="0" applyFont="1" applyBorder="1" applyAlignment="1">
      <alignment horizontal="center" vertical="center" wrapText="1"/>
    </xf>
    <xf numFmtId="0" fontId="191" fillId="0" borderId="73" xfId="0" applyFont="1" applyBorder="1" applyAlignment="1">
      <alignment horizontal="center" vertical="center" wrapText="1"/>
    </xf>
    <xf numFmtId="0" fontId="191" fillId="0" borderId="207" xfId="0" applyFont="1" applyBorder="1" applyAlignment="1">
      <alignment horizontal="center" vertical="center" wrapText="1"/>
    </xf>
    <xf numFmtId="0" fontId="191" fillId="0" borderId="74" xfId="0" applyFont="1" applyBorder="1" applyAlignment="1">
      <alignment horizontal="justify" vertical="center" wrapText="1"/>
    </xf>
    <xf numFmtId="0" fontId="191" fillId="0" borderId="71" xfId="0" applyFont="1" applyBorder="1" applyAlignment="1">
      <alignment horizontal="justify" vertical="center" wrapText="1"/>
    </xf>
    <xf numFmtId="0" fontId="191" fillId="0" borderId="208" xfId="0" applyFont="1" applyBorder="1" applyAlignment="1">
      <alignment horizontal="justify" vertical="center" wrapText="1"/>
    </xf>
    <xf numFmtId="0" fontId="191" fillId="0" borderId="0" xfId="0" applyFont="1" applyAlignment="1">
      <alignment horizontal="justify" vertical="center" wrapText="1"/>
    </xf>
    <xf numFmtId="0" fontId="191" fillId="0" borderId="209" xfId="0" applyFont="1" applyBorder="1" applyAlignment="1">
      <alignment horizontal="justify" vertical="center" wrapText="1"/>
    </xf>
    <xf numFmtId="0" fontId="191" fillId="0" borderId="73" xfId="0" applyFont="1" applyBorder="1" applyAlignment="1">
      <alignment horizontal="justify" vertical="center" wrapText="1"/>
    </xf>
    <xf numFmtId="176" fontId="182" fillId="0" borderId="0" xfId="0" applyNumberFormat="1" applyFont="1" applyAlignment="1">
      <alignment horizontal="right" vertical="center" wrapText="1"/>
    </xf>
    <xf numFmtId="0" fontId="182" fillId="0" borderId="0" xfId="0" applyFont="1" applyAlignment="1">
      <alignment horizontal="right" vertical="center" wrapText="1"/>
    </xf>
    <xf numFmtId="0" fontId="182" fillId="0" borderId="0" xfId="0" applyFont="1" applyAlignment="1">
      <alignment horizontal="center" vertical="center" wrapText="1"/>
    </xf>
    <xf numFmtId="0" fontId="58" fillId="0" borderId="0" xfId="0" applyFont="1" applyAlignment="1">
      <alignment horizontal="justify" vertical="center" wrapText="1"/>
    </xf>
    <xf numFmtId="0" fontId="189" fillId="0" borderId="0" xfId="0" applyFont="1" applyAlignment="1">
      <alignment horizontal="center" vertical="center" wrapText="1"/>
    </xf>
    <xf numFmtId="0" fontId="190" fillId="0" borderId="68" xfId="0" applyFont="1" applyBorder="1" applyAlignment="1">
      <alignment horizontal="right" vertical="center" wrapText="1"/>
    </xf>
    <xf numFmtId="0" fontId="182" fillId="0" borderId="68" xfId="0" applyFont="1" applyBorder="1" applyAlignment="1">
      <alignment horizontal="justify" vertical="center" wrapText="1"/>
    </xf>
    <xf numFmtId="49" fontId="187" fillId="0" borderId="181" xfId="0" applyNumberFormat="1" applyFont="1" applyBorder="1" applyAlignment="1">
      <alignment horizontal="center" vertical="center" wrapText="1"/>
    </xf>
    <xf numFmtId="0" fontId="187" fillId="0" borderId="55" xfId="0" applyFont="1" applyBorder="1" applyAlignment="1">
      <alignment horizontal="center" vertical="center" wrapText="1"/>
    </xf>
    <xf numFmtId="0" fontId="187" fillId="0" borderId="182" xfId="0" applyFont="1" applyBorder="1" applyAlignment="1">
      <alignment horizontal="center" vertical="center" wrapText="1"/>
    </xf>
    <xf numFmtId="0" fontId="187" fillId="0" borderId="181" xfId="0" applyFont="1" applyBorder="1" applyAlignment="1">
      <alignment horizontal="center" vertical="center" wrapText="1"/>
    </xf>
    <xf numFmtId="0" fontId="182" fillId="0" borderId="187" xfId="0" applyFont="1" applyBorder="1" applyAlignment="1">
      <alignment horizontal="center" vertical="center" wrapText="1"/>
    </xf>
    <xf numFmtId="0" fontId="182" fillId="0" borderId="202" xfId="0" applyFont="1" applyBorder="1" applyAlignment="1">
      <alignment horizontal="center" vertical="center" wrapText="1"/>
    </xf>
    <xf numFmtId="0" fontId="58" fillId="0" borderId="187" xfId="0" applyFont="1" applyBorder="1" applyAlignment="1">
      <alignment horizontal="center" vertical="center" wrapText="1"/>
    </xf>
    <xf numFmtId="0" fontId="58" fillId="0" borderId="75" xfId="0" applyFont="1" applyBorder="1" applyAlignment="1">
      <alignment horizontal="center" vertical="center" wrapText="1"/>
    </xf>
    <xf numFmtId="0" fontId="58" fillId="0" borderId="202" xfId="0" applyFont="1" applyBorder="1" applyAlignment="1">
      <alignment horizontal="center" vertical="center" wrapText="1"/>
    </xf>
    <xf numFmtId="0" fontId="182" fillId="0" borderId="75" xfId="0" applyFont="1" applyBorder="1" applyAlignment="1">
      <alignment horizontal="center" vertical="center" wrapText="1"/>
    </xf>
    <xf numFmtId="0" fontId="182" fillId="0" borderId="75" xfId="0" applyFont="1" applyBorder="1" applyAlignment="1">
      <alignment horizontal="justify" vertical="center" wrapText="1"/>
    </xf>
    <xf numFmtId="0" fontId="185" fillId="0" borderId="178" xfId="0" applyFont="1" applyBorder="1" applyAlignment="1">
      <alignment horizontal="center" vertical="center" wrapText="1"/>
    </xf>
    <xf numFmtId="0" fontId="185" fillId="0" borderId="173" xfId="0" applyFont="1" applyBorder="1" applyAlignment="1">
      <alignment horizontal="center" vertical="center" wrapText="1"/>
    </xf>
    <xf numFmtId="0" fontId="185" fillId="0" borderId="170" xfId="0" applyFont="1" applyBorder="1" applyAlignment="1">
      <alignment horizontal="center" vertical="center" wrapText="1"/>
    </xf>
    <xf numFmtId="0" fontId="185" fillId="0" borderId="179" xfId="0" applyFont="1" applyBorder="1" applyAlignment="1">
      <alignment horizontal="center" vertical="center" wrapText="1"/>
    </xf>
    <xf numFmtId="0" fontId="185" fillId="0" borderId="50" xfId="0" applyFont="1" applyBorder="1" applyAlignment="1">
      <alignment horizontal="center" vertical="center" wrapText="1"/>
    </xf>
    <xf numFmtId="0" fontId="185" fillId="0" borderId="180" xfId="0" applyFont="1" applyBorder="1" applyAlignment="1">
      <alignment horizontal="center" vertical="center" wrapText="1"/>
    </xf>
    <xf numFmtId="0" fontId="185" fillId="0" borderId="176" xfId="0" applyFont="1" applyBorder="1" applyAlignment="1">
      <alignment horizontal="center" vertical="center" wrapText="1"/>
    </xf>
    <xf numFmtId="0" fontId="185" fillId="0" borderId="177" xfId="0" applyFont="1" applyBorder="1" applyAlignment="1">
      <alignment horizontal="center" vertical="center" wrapText="1"/>
    </xf>
    <xf numFmtId="0" fontId="185" fillId="0" borderId="204" xfId="0" applyFont="1" applyBorder="1" applyAlignment="1">
      <alignment horizontal="center" vertical="center" wrapText="1"/>
    </xf>
    <xf numFmtId="0" fontId="185" fillId="0" borderId="205" xfId="0" applyFont="1" applyBorder="1" applyAlignment="1">
      <alignment horizontal="center" vertical="center" wrapText="1"/>
    </xf>
    <xf numFmtId="0" fontId="185" fillId="0" borderId="181" xfId="0" applyFont="1" applyBorder="1" applyAlignment="1">
      <alignment horizontal="center" vertical="center" wrapText="1"/>
    </xf>
    <xf numFmtId="0" fontId="185" fillId="0" borderId="55" xfId="0" applyFont="1" applyBorder="1" applyAlignment="1">
      <alignment horizontal="center" vertical="center" wrapText="1"/>
    </xf>
    <xf numFmtId="0" fontId="185" fillId="0" borderId="182" xfId="0" applyFont="1" applyBorder="1" applyAlignment="1">
      <alignment horizontal="center" vertical="center" wrapText="1"/>
    </xf>
    <xf numFmtId="0" fontId="184" fillId="0" borderId="75" xfId="0" applyFont="1" applyBorder="1" applyAlignment="1">
      <alignment horizontal="center" vertical="center" wrapText="1"/>
    </xf>
    <xf numFmtId="0" fontId="182" fillId="0" borderId="175" xfId="0" applyFont="1" applyBorder="1" applyAlignment="1">
      <alignment horizontal="center" vertical="center" wrapText="1"/>
    </xf>
    <xf numFmtId="0" fontId="182" fillId="0" borderId="169" xfId="0" applyFont="1" applyBorder="1" applyAlignment="1">
      <alignment horizontal="center" vertical="center" wrapText="1"/>
    </xf>
    <xf numFmtId="0" fontId="58" fillId="0" borderId="175" xfId="0" applyFont="1" applyBorder="1" applyAlignment="1">
      <alignment horizontal="center" vertical="center" wrapText="1"/>
    </xf>
    <xf numFmtId="0" fontId="182" fillId="0" borderId="89" xfId="0" applyFont="1" applyBorder="1" applyAlignment="1">
      <alignment horizontal="justify" vertical="center" wrapText="1"/>
    </xf>
    <xf numFmtId="0" fontId="182" fillId="0" borderId="170" xfId="0" applyFont="1" applyBorder="1" applyAlignment="1">
      <alignment horizontal="center" vertical="center" wrapText="1"/>
    </xf>
    <xf numFmtId="0" fontId="182" fillId="0" borderId="161" xfId="0" applyFont="1" applyBorder="1" applyAlignment="1">
      <alignment horizontal="center" vertical="center" wrapText="1"/>
    </xf>
    <xf numFmtId="0" fontId="182" fillId="0" borderId="162" xfId="0" applyFont="1" applyBorder="1" applyAlignment="1">
      <alignment horizontal="center" vertical="center" wrapText="1"/>
    </xf>
    <xf numFmtId="0" fontId="58" fillId="0" borderId="169" xfId="0" applyFont="1" applyBorder="1" applyAlignment="1">
      <alignment horizontal="center" vertical="center" wrapText="1"/>
    </xf>
    <xf numFmtId="0" fontId="182" fillId="0" borderId="201" xfId="0" applyFont="1" applyBorder="1" applyAlignment="1">
      <alignment horizontal="justify" vertical="center" wrapText="1"/>
    </xf>
    <xf numFmtId="0" fontId="182" fillId="0" borderId="31" xfId="0" applyFont="1" applyBorder="1" applyAlignment="1">
      <alignment horizontal="justify" vertical="center" wrapText="1"/>
    </xf>
    <xf numFmtId="0" fontId="182" fillId="0" borderId="160" xfId="0" applyFont="1" applyBorder="1" applyAlignment="1">
      <alignment horizontal="justify" vertical="center" wrapText="1"/>
    </xf>
    <xf numFmtId="0" fontId="182" fillId="0" borderId="210" xfId="0" applyFont="1" applyBorder="1" applyAlignment="1">
      <alignment horizontal="justify" vertical="center" wrapText="1"/>
    </xf>
    <xf numFmtId="0" fontId="182" fillId="0" borderId="162" xfId="0" applyFont="1" applyBorder="1" applyAlignment="1">
      <alignment horizontal="justify" vertical="center" wrapText="1"/>
    </xf>
    <xf numFmtId="0" fontId="183" fillId="0" borderId="201" xfId="0" applyFont="1" applyBorder="1" applyAlignment="1">
      <alignment horizontal="center" vertical="center" wrapText="1"/>
    </xf>
    <xf numFmtId="0" fontId="183" fillId="0" borderId="31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210" xfId="0" applyFont="1" applyBorder="1" applyAlignment="1">
      <alignment horizontal="center" vertical="center" wrapText="1"/>
    </xf>
    <xf numFmtId="0" fontId="183" fillId="0" borderId="89" xfId="0" applyFont="1" applyBorder="1" applyAlignment="1">
      <alignment horizontal="center" vertical="center" wrapText="1"/>
    </xf>
    <xf numFmtId="0" fontId="183" fillId="0" borderId="162" xfId="0" applyFont="1" applyBorder="1" applyAlignment="1">
      <alignment horizontal="center" vertical="center" wrapText="1"/>
    </xf>
    <xf numFmtId="0" fontId="182" fillId="0" borderId="173" xfId="0" applyFont="1" applyBorder="1" applyAlignment="1">
      <alignment horizontal="justify" vertical="center" wrapText="1"/>
    </xf>
    <xf numFmtId="0" fontId="182" fillId="0" borderId="166" xfId="0" applyFont="1" applyBorder="1" applyAlignment="1">
      <alignment horizontal="justify" vertical="center" wrapText="1"/>
    </xf>
    <xf numFmtId="0" fontId="182" fillId="0" borderId="62" xfId="0" applyFont="1" applyBorder="1" applyAlignment="1">
      <alignment horizontal="justify" vertical="center" wrapText="1"/>
    </xf>
    <xf numFmtId="0" fontId="182" fillId="0" borderId="164" xfId="0" applyFont="1" applyBorder="1" applyAlignment="1">
      <alignment horizontal="justify" vertical="center" wrapText="1"/>
    </xf>
    <xf numFmtId="0" fontId="183" fillId="0" borderId="166" xfId="0" applyFont="1" applyBorder="1" applyAlignment="1">
      <alignment horizontal="center" vertical="center" wrapText="1"/>
    </xf>
    <xf numFmtId="0" fontId="183" fillId="0" borderId="62" xfId="0" applyFont="1" applyBorder="1" applyAlignment="1">
      <alignment horizontal="center" vertical="center" wrapText="1"/>
    </xf>
    <xf numFmtId="0" fontId="183" fillId="0" borderId="164" xfId="0" applyFont="1" applyBorder="1" applyAlignment="1">
      <alignment horizontal="center" vertical="center" wrapText="1"/>
    </xf>
    <xf numFmtId="0" fontId="182" fillId="0" borderId="195" xfId="0" applyFont="1" applyBorder="1" applyAlignment="1">
      <alignment horizontal="justify" vertical="center" wrapText="1"/>
    </xf>
    <xf numFmtId="0" fontId="182" fillId="0" borderId="45" xfId="0" applyFont="1" applyBorder="1" applyAlignment="1">
      <alignment horizontal="justify" vertical="center" wrapText="1"/>
    </xf>
    <xf numFmtId="0" fontId="182" fillId="0" borderId="196" xfId="0" applyFont="1" applyBorder="1" applyAlignment="1">
      <alignment horizontal="justify" vertical="center" wrapText="1"/>
    </xf>
    <xf numFmtId="0" fontId="183" fillId="0" borderId="195" xfId="0" applyFont="1" applyBorder="1" applyAlignment="1">
      <alignment horizontal="center" vertical="center" wrapText="1"/>
    </xf>
    <xf numFmtId="0" fontId="183" fillId="0" borderId="45" xfId="0" applyFont="1" applyBorder="1" applyAlignment="1">
      <alignment horizontal="center" vertical="center" wrapText="1"/>
    </xf>
    <xf numFmtId="0" fontId="183" fillId="0" borderId="196" xfId="0" applyFont="1" applyBorder="1" applyAlignment="1">
      <alignment horizontal="center" vertical="center" wrapText="1"/>
    </xf>
    <xf numFmtId="0" fontId="182" fillId="0" borderId="198" xfId="0" applyFont="1" applyBorder="1" applyAlignment="1">
      <alignment horizontal="justify" vertical="center" wrapText="1"/>
    </xf>
    <xf numFmtId="0" fontId="182" fillId="0" borderId="60" xfId="0" applyFont="1" applyBorder="1" applyAlignment="1">
      <alignment horizontal="justify" vertical="center" wrapText="1"/>
    </xf>
    <xf numFmtId="0" fontId="182" fillId="0" borderId="199" xfId="0" applyFont="1" applyBorder="1" applyAlignment="1">
      <alignment horizontal="justify" vertical="center" wrapText="1"/>
    </xf>
    <xf numFmtId="0" fontId="183" fillId="0" borderId="198" xfId="0" applyFont="1" applyBorder="1" applyAlignment="1">
      <alignment horizontal="center" vertical="center" wrapText="1"/>
    </xf>
    <xf numFmtId="0" fontId="183" fillId="0" borderId="60" xfId="0" applyFont="1" applyBorder="1" applyAlignment="1">
      <alignment horizontal="center" vertical="center" wrapText="1"/>
    </xf>
    <xf numFmtId="0" fontId="177" fillId="29" borderId="6" xfId="0" applyFont="1" applyFill="1" applyBorder="1" applyAlignment="1">
      <alignment horizontal="center" vertical="center"/>
    </xf>
    <xf numFmtId="0" fontId="177" fillId="29" borderId="17" xfId="0" applyFont="1" applyFill="1" applyBorder="1" applyAlignment="1">
      <alignment horizontal="center" vertical="center"/>
    </xf>
    <xf numFmtId="0" fontId="177" fillId="29" borderId="95" xfId="0" applyFont="1" applyFill="1" applyBorder="1" applyAlignment="1">
      <alignment horizontal="center" vertical="center"/>
    </xf>
    <xf numFmtId="0" fontId="180" fillId="29" borderId="1" xfId="0" applyFont="1" applyFill="1" applyBorder="1" applyAlignment="1">
      <alignment horizontal="center" vertical="center"/>
    </xf>
    <xf numFmtId="0" fontId="180" fillId="29" borderId="39" xfId="0" applyFont="1" applyFill="1" applyBorder="1" applyAlignment="1">
      <alignment horizontal="center" vertical="center"/>
    </xf>
    <xf numFmtId="0" fontId="98" fillId="30" borderId="4" xfId="0" applyFont="1" applyFill="1" applyBorder="1" applyAlignment="1">
      <alignment horizontal="center" vertical="center"/>
    </xf>
    <xf numFmtId="0" fontId="98" fillId="30" borderId="2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98" fillId="30" borderId="39" xfId="0" applyFont="1" applyFill="1" applyBorder="1" applyAlignment="1">
      <alignment horizontal="center" vertical="center"/>
    </xf>
    <xf numFmtId="0" fontId="98" fillId="30" borderId="3" xfId="0" applyFont="1" applyFill="1" applyBorder="1" applyAlignment="1">
      <alignment horizontal="center" vertical="center"/>
    </xf>
    <xf numFmtId="0" fontId="188" fillId="0" borderId="0" xfId="0" applyFont="1" applyAlignment="1">
      <alignment horizontal="justify" vertical="center" wrapText="1"/>
    </xf>
    <xf numFmtId="0" fontId="179" fillId="30" borderId="1" xfId="0" applyFont="1" applyFill="1" applyBorder="1" applyAlignment="1">
      <alignment horizontal="center" vertical="center"/>
    </xf>
    <xf numFmtId="0" fontId="98" fillId="30" borderId="1" xfId="0" applyFont="1" applyFill="1" applyBorder="1" applyAlignment="1">
      <alignment horizontal="center" vertical="center"/>
    </xf>
    <xf numFmtId="0" fontId="76" fillId="30" borderId="1" xfId="0" applyFont="1" applyFill="1" applyBorder="1" applyAlignment="1">
      <alignment horizontal="center" vertical="center"/>
    </xf>
    <xf numFmtId="0" fontId="29" fillId="2" borderId="4" xfId="0" applyFont="1" applyFill="1" applyBorder="1" applyAlignment="1">
      <alignment horizontal="center" vertical="center"/>
    </xf>
    <xf numFmtId="0" fontId="42" fillId="3" borderId="19" xfId="0" applyFont="1" applyFill="1" applyBorder="1" applyAlignment="1">
      <alignment horizontal="center" vertical="center"/>
    </xf>
    <xf numFmtId="0" fontId="42" fillId="3" borderId="18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0" fontId="125" fillId="29" borderId="143" xfId="0" applyFont="1" applyFill="1" applyBorder="1" applyAlignment="1">
      <alignment horizontal="center"/>
    </xf>
    <xf numFmtId="0" fontId="203" fillId="29" borderId="36" xfId="0" applyFont="1" applyFill="1" applyBorder="1" applyAlignment="1">
      <alignment horizontal="center"/>
    </xf>
    <xf numFmtId="0" fontId="203" fillId="29" borderId="143" xfId="0" applyFont="1" applyFill="1" applyBorder="1" applyAlignment="1">
      <alignment horizontal="center"/>
    </xf>
    <xf numFmtId="0" fontId="105" fillId="29" borderId="131" xfId="0" applyFont="1" applyFill="1" applyBorder="1" applyAlignment="1">
      <alignment horizontal="center"/>
    </xf>
    <xf numFmtId="0" fontId="105" fillId="29" borderId="128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40" xfId="0" applyFont="1" applyBorder="1" applyAlignment="1">
      <alignment horizontal="center"/>
    </xf>
    <xf numFmtId="0" fontId="14" fillId="0" borderId="155" xfId="0" applyFont="1" applyBorder="1" applyAlignment="1">
      <alignment horizontal="center"/>
    </xf>
    <xf numFmtId="0" fontId="37" fillId="0" borderId="183" xfId="0" applyFont="1" applyBorder="1" applyAlignment="1">
      <alignment horizontal="center" vertical="center" wrapText="1"/>
    </xf>
    <xf numFmtId="0" fontId="77" fillId="0" borderId="184" xfId="0" applyFont="1" applyBorder="1" applyAlignment="1">
      <alignment horizontal="center"/>
    </xf>
    <xf numFmtId="0" fontId="14" fillId="0" borderId="184" xfId="0" applyFont="1" applyBorder="1" applyAlignment="1">
      <alignment horizontal="center"/>
    </xf>
    <xf numFmtId="0" fontId="180" fillId="29" borderId="6" xfId="0" applyFont="1" applyFill="1" applyBorder="1" applyAlignment="1">
      <alignment horizontal="center" vertical="center"/>
    </xf>
    <xf numFmtId="0" fontId="180" fillId="29" borderId="17" xfId="0" applyFont="1" applyFill="1" applyBorder="1" applyAlignment="1">
      <alignment horizontal="center" vertical="center"/>
    </xf>
    <xf numFmtId="0" fontId="180" fillId="29" borderId="95" xfId="0" applyFont="1" applyFill="1" applyBorder="1" applyAlignment="1">
      <alignment horizontal="center" vertical="center"/>
    </xf>
    <xf numFmtId="0" fontId="58" fillId="0" borderId="188" xfId="0" applyFont="1" applyBorder="1" applyAlignment="1">
      <alignment horizontal="center" vertical="center" wrapText="1"/>
    </xf>
    <xf numFmtId="0" fontId="58" fillId="0" borderId="190" xfId="0" applyFont="1" applyBorder="1" applyAlignment="1">
      <alignment horizontal="center" vertical="center" wrapText="1"/>
    </xf>
    <xf numFmtId="0" fontId="58" fillId="0" borderId="189" xfId="0" applyFont="1" applyBorder="1" applyAlignment="1">
      <alignment horizontal="center" vertical="center" wrapText="1"/>
    </xf>
    <xf numFmtId="0" fontId="37" fillId="0" borderId="188" xfId="0" applyFont="1" applyBorder="1" applyAlignment="1">
      <alignment horizontal="center" vertical="center" wrapText="1"/>
    </xf>
    <xf numFmtId="0" fontId="37" fillId="0" borderId="190" xfId="0" applyFont="1" applyBorder="1" applyAlignment="1">
      <alignment horizontal="center" vertical="center" wrapText="1"/>
    </xf>
    <xf numFmtId="0" fontId="58" fillId="0" borderId="181" xfId="0" applyFont="1" applyBorder="1" applyAlignment="1">
      <alignment horizontal="center" vertical="center" wrapText="1"/>
    </xf>
    <xf numFmtId="0" fontId="58" fillId="0" borderId="55" xfId="0" applyFont="1" applyBorder="1" applyAlignment="1">
      <alignment horizontal="center" vertical="center" wrapText="1"/>
    </xf>
    <xf numFmtId="0" fontId="58" fillId="0" borderId="182" xfId="0" applyFont="1" applyBorder="1" applyAlignment="1">
      <alignment horizontal="center" vertical="center" wrapText="1"/>
    </xf>
    <xf numFmtId="0" fontId="37" fillId="0" borderId="181" xfId="0" applyFont="1" applyBorder="1" applyAlignment="1">
      <alignment horizontal="center" vertical="center" wrapText="1"/>
    </xf>
    <xf numFmtId="0" fontId="37" fillId="0" borderId="55" xfId="0" applyFont="1" applyBorder="1" applyAlignment="1">
      <alignment horizontal="center" vertical="center" wrapText="1"/>
    </xf>
    <xf numFmtId="0" fontId="182" fillId="0" borderId="178" xfId="0" applyFont="1" applyBorder="1" applyAlignment="1">
      <alignment horizontal="center" vertical="center" wrapText="1"/>
    </xf>
    <xf numFmtId="0" fontId="182" fillId="0" borderId="173" xfId="0" applyFont="1" applyBorder="1" applyAlignment="1">
      <alignment horizontal="center" vertical="center" wrapText="1"/>
    </xf>
    <xf numFmtId="0" fontId="182" fillId="0" borderId="211" xfId="0" applyFont="1" applyBorder="1" applyAlignment="1">
      <alignment horizontal="center" vertical="center" wrapText="1"/>
    </xf>
    <xf numFmtId="0" fontId="0" fillId="0" borderId="210" xfId="0" applyBorder="1" applyAlignment="1">
      <alignment vertical="center" wrapText="1"/>
    </xf>
    <xf numFmtId="0" fontId="0" fillId="0" borderId="89" xfId="0" applyBorder="1" applyAlignment="1">
      <alignment vertical="center" wrapText="1"/>
    </xf>
    <xf numFmtId="0" fontId="0" fillId="0" borderId="162" xfId="0" applyBorder="1" applyAlignment="1">
      <alignment vertical="center" wrapText="1"/>
    </xf>
    <xf numFmtId="0" fontId="182" fillId="0" borderId="204" xfId="0" applyFont="1" applyBorder="1" applyAlignment="1">
      <alignment horizontal="center" vertical="center" wrapText="1"/>
    </xf>
    <xf numFmtId="0" fontId="182" fillId="0" borderId="205" xfId="0" applyFont="1" applyBorder="1" applyAlignment="1">
      <alignment horizontal="center" vertical="center" wrapText="1"/>
    </xf>
    <xf numFmtId="0" fontId="182" fillId="0" borderId="212" xfId="0" applyFont="1" applyBorder="1" applyAlignment="1">
      <alignment horizontal="center" vertical="center" wrapText="1"/>
    </xf>
    <xf numFmtId="0" fontId="58" fillId="0" borderId="178" xfId="0" applyFont="1" applyBorder="1" applyAlignment="1">
      <alignment horizontal="center" vertical="center" wrapText="1"/>
    </xf>
    <xf numFmtId="0" fontId="58" fillId="0" borderId="173" xfId="0" applyFont="1" applyBorder="1" applyAlignment="1">
      <alignment horizontal="center" vertical="center" wrapText="1"/>
    </xf>
    <xf numFmtId="0" fontId="58" fillId="0" borderId="170" xfId="0" applyFont="1" applyBorder="1" applyAlignment="1">
      <alignment horizontal="center" vertical="center" wrapText="1"/>
    </xf>
    <xf numFmtId="0" fontId="58" fillId="0" borderId="211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161" xfId="0" applyFont="1" applyBorder="1" applyAlignment="1">
      <alignment horizontal="center" vertical="center" wrapText="1"/>
    </xf>
    <xf numFmtId="0" fontId="58" fillId="0" borderId="210" xfId="0" applyFont="1" applyBorder="1" applyAlignment="1">
      <alignment horizontal="center" vertical="center" wrapText="1"/>
    </xf>
    <xf numFmtId="0" fontId="58" fillId="0" borderId="89" xfId="0" applyFont="1" applyBorder="1" applyAlignment="1">
      <alignment horizontal="center" vertical="center" wrapText="1"/>
    </xf>
    <xf numFmtId="0" fontId="58" fillId="0" borderId="162" xfId="0" applyFont="1" applyBorder="1" applyAlignment="1">
      <alignment horizontal="center" vertical="center" wrapText="1"/>
    </xf>
    <xf numFmtId="0" fontId="193" fillId="0" borderId="68" xfId="0" applyFont="1" applyBorder="1" applyAlignment="1">
      <alignment horizontal="center" vertical="center" wrapText="1"/>
    </xf>
    <xf numFmtId="0" fontId="179" fillId="30" borderId="40" xfId="0" applyFont="1" applyFill="1" applyBorder="1" applyAlignment="1">
      <alignment horizontal="left" vertical="center"/>
    </xf>
    <xf numFmtId="0" fontId="98" fillId="30" borderId="158" xfId="0" applyFont="1" applyFill="1" applyBorder="1" applyAlignment="1">
      <alignment horizontal="left" vertical="center"/>
    </xf>
    <xf numFmtId="0" fontId="3" fillId="2" borderId="155" xfId="0" applyFont="1" applyFill="1" applyBorder="1" applyAlignment="1">
      <alignment horizontal="center" vertical="center"/>
    </xf>
    <xf numFmtId="0" fontId="179" fillId="30" borderId="3" xfId="0" applyFont="1" applyFill="1" applyBorder="1" applyAlignment="1">
      <alignment horizontal="left" vertical="center"/>
    </xf>
    <xf numFmtId="0" fontId="98" fillId="30" borderId="3" xfId="0" applyFont="1" applyFill="1" applyBorder="1" applyAlignment="1">
      <alignment horizontal="left" vertical="center"/>
    </xf>
    <xf numFmtId="0" fontId="194" fillId="30" borderId="4" xfId="0" applyFont="1" applyFill="1" applyBorder="1" applyAlignment="1">
      <alignment horizontal="left" vertical="center"/>
    </xf>
    <xf numFmtId="0" fontId="98" fillId="30" borderId="21" xfId="0" applyFont="1" applyFill="1" applyBorder="1" applyAlignment="1">
      <alignment horizontal="left" vertical="center"/>
    </xf>
    <xf numFmtId="0" fontId="125" fillId="29" borderId="156" xfId="0" applyFont="1" applyFill="1" applyBorder="1" applyAlignment="1">
      <alignment horizontal="center"/>
    </xf>
    <xf numFmtId="0" fontId="179" fillId="30" borderId="4" xfId="0" applyFont="1" applyFill="1" applyBorder="1" applyAlignment="1">
      <alignment horizontal="left" vertical="center"/>
    </xf>
    <xf numFmtId="0" fontId="179" fillId="30" borderId="21" xfId="0" applyFont="1" applyFill="1" applyBorder="1" applyAlignment="1">
      <alignment horizontal="left" vertical="center"/>
    </xf>
    <xf numFmtId="0" fontId="98" fillId="30" borderId="1" xfId="0" applyFont="1" applyFill="1" applyBorder="1" applyAlignment="1">
      <alignment horizontal="left" vertical="center"/>
    </xf>
    <xf numFmtId="0" fontId="179" fillId="30" borderId="1" xfId="0" applyFont="1" applyFill="1" applyBorder="1" applyAlignment="1">
      <alignment horizontal="left" vertical="center"/>
    </xf>
    <xf numFmtId="0" fontId="58" fillId="0" borderId="175" xfId="0" applyFont="1" applyBorder="1" applyAlignment="1">
      <alignment horizontal="right" vertical="center" wrapText="1"/>
    </xf>
    <xf numFmtId="0" fontId="58" fillId="0" borderId="75" xfId="0" applyFont="1" applyBorder="1" applyAlignment="1">
      <alignment horizontal="right" vertical="center" wrapText="1"/>
    </xf>
    <xf numFmtId="0" fontId="58" fillId="0" borderId="169" xfId="0" applyFont="1" applyBorder="1" applyAlignment="1">
      <alignment horizontal="right" vertical="center" wrapText="1"/>
    </xf>
    <xf numFmtId="0" fontId="179" fillId="30" borderId="39" xfId="0" applyFont="1" applyFill="1" applyBorder="1" applyAlignment="1">
      <alignment horizontal="left" vertical="center"/>
    </xf>
    <xf numFmtId="0" fontId="98" fillId="30" borderId="39" xfId="0" applyFont="1" applyFill="1" applyBorder="1" applyAlignment="1">
      <alignment horizontal="left" vertical="center"/>
    </xf>
    <xf numFmtId="0" fontId="179" fillId="30" borderId="6" xfId="0" applyFont="1" applyFill="1" applyBorder="1" applyAlignment="1">
      <alignment horizontal="left" vertical="center"/>
    </xf>
    <xf numFmtId="0" fontId="98" fillId="30" borderId="6" xfId="0" applyFont="1" applyFill="1" applyBorder="1" applyAlignment="1">
      <alignment horizontal="left" vertical="center"/>
    </xf>
    <xf numFmtId="0" fontId="58" fillId="0" borderId="195" xfId="0" applyFont="1" applyBorder="1" applyAlignment="1">
      <alignment horizontal="center" vertical="center" wrapText="1"/>
    </xf>
    <xf numFmtId="0" fontId="58" fillId="0" borderId="45" xfId="0" applyFont="1" applyBorder="1" applyAlignment="1">
      <alignment horizontal="center" vertical="center" wrapText="1"/>
    </xf>
    <xf numFmtId="0" fontId="58" fillId="0" borderId="196" xfId="0" applyFont="1" applyBorder="1" applyAlignment="1">
      <alignment horizontal="center" vertical="center" wrapText="1"/>
    </xf>
    <xf numFmtId="0" fontId="182" fillId="0" borderId="195" xfId="0" applyFont="1" applyBorder="1" applyAlignment="1">
      <alignment horizontal="center" vertical="center" wrapText="1"/>
    </xf>
    <xf numFmtId="0" fontId="182" fillId="0" borderId="45" xfId="0" applyFont="1" applyBorder="1" applyAlignment="1">
      <alignment horizontal="center" vertical="center" wrapText="1"/>
    </xf>
    <xf numFmtId="0" fontId="182" fillId="0" borderId="196" xfId="0" applyFont="1" applyBorder="1" applyAlignment="1">
      <alignment horizontal="center" vertical="center" wrapText="1"/>
    </xf>
    <xf numFmtId="0" fontId="58" fillId="0" borderId="198" xfId="0" applyFont="1" applyBorder="1" applyAlignment="1">
      <alignment horizontal="center" vertical="center" wrapText="1"/>
    </xf>
    <xf numFmtId="0" fontId="58" fillId="0" borderId="60" xfId="0" applyFont="1" applyBorder="1" applyAlignment="1">
      <alignment horizontal="center" vertical="center" wrapText="1"/>
    </xf>
    <xf numFmtId="0" fontId="58" fillId="0" borderId="199" xfId="0" applyFont="1" applyBorder="1" applyAlignment="1">
      <alignment horizontal="center" vertical="center" wrapText="1"/>
    </xf>
    <xf numFmtId="0" fontId="182" fillId="0" borderId="198" xfId="0" applyFont="1" applyBorder="1" applyAlignment="1">
      <alignment horizontal="center" vertical="center" wrapText="1"/>
    </xf>
    <xf numFmtId="0" fontId="182" fillId="0" borderId="60" xfId="0" applyFont="1" applyBorder="1" applyAlignment="1">
      <alignment horizontal="center" vertical="center" wrapText="1"/>
    </xf>
    <xf numFmtId="0" fontId="182" fillId="0" borderId="199" xfId="0" applyFont="1" applyBorder="1" applyAlignment="1">
      <alignment horizontal="center" vertical="center" wrapText="1"/>
    </xf>
    <xf numFmtId="0" fontId="182" fillId="0" borderId="213" xfId="0" applyFont="1" applyBorder="1" applyAlignment="1">
      <alignment horizontal="justify" vertical="center" wrapText="1"/>
    </xf>
    <xf numFmtId="0" fontId="182" fillId="0" borderId="214" xfId="0" applyFont="1" applyBorder="1" applyAlignment="1">
      <alignment horizontal="justify" vertical="center" wrapText="1"/>
    </xf>
    <xf numFmtId="0" fontId="182" fillId="0" borderId="200" xfId="0" applyFont="1" applyBorder="1" applyAlignment="1">
      <alignment horizontal="justify" vertical="center" wrapText="1"/>
    </xf>
    <xf numFmtId="0" fontId="192" fillId="0" borderId="213" xfId="0" applyFont="1" applyBorder="1" applyAlignment="1">
      <alignment horizontal="center" vertical="center" wrapText="1"/>
    </xf>
    <xf numFmtId="0" fontId="192" fillId="0" borderId="214" xfId="0" applyFont="1" applyBorder="1" applyAlignment="1">
      <alignment horizontal="center" vertical="center" wrapText="1"/>
    </xf>
    <xf numFmtId="0" fontId="192" fillId="0" borderId="200" xfId="0" applyFont="1" applyBorder="1" applyAlignment="1">
      <alignment horizontal="center" vertical="center" wrapText="1"/>
    </xf>
    <xf numFmtId="0" fontId="182" fillId="0" borderId="213" xfId="0" applyFont="1" applyBorder="1" applyAlignment="1">
      <alignment horizontal="center" vertical="center" wrapText="1"/>
    </xf>
    <xf numFmtId="0" fontId="182" fillId="0" borderId="214" xfId="0" applyFont="1" applyBorder="1" applyAlignment="1">
      <alignment horizontal="center" vertical="center" wrapText="1"/>
    </xf>
    <xf numFmtId="0" fontId="182" fillId="0" borderId="200" xfId="0" applyFont="1" applyBorder="1" applyAlignment="1">
      <alignment horizontal="center" vertical="center" wrapText="1"/>
    </xf>
    <xf numFmtId="0" fontId="37" fillId="0" borderId="75" xfId="0" applyFont="1" applyBorder="1" applyAlignment="1">
      <alignment vertical="center" wrapText="1"/>
    </xf>
    <xf numFmtId="0" fontId="280" fillId="0" borderId="62" xfId="0" applyFont="1" applyBorder="1" applyAlignment="1">
      <alignment horizontal="center" vertical="center" wrapText="1"/>
    </xf>
    <xf numFmtId="0" fontId="279" fillId="0" borderId="30" xfId="0" applyFont="1" applyBorder="1" applyAlignment="1">
      <alignment horizontal="center" vertical="center" wrapText="1"/>
    </xf>
    <xf numFmtId="0" fontId="279" fillId="0" borderId="62" xfId="0" applyFont="1" applyBorder="1" applyAlignment="1">
      <alignment horizontal="center" vertical="center" wrapText="1"/>
    </xf>
    <xf numFmtId="0" fontId="279" fillId="0" borderId="61" xfId="0" applyFont="1" applyBorder="1" applyAlignment="1">
      <alignment horizontal="center" vertical="center" wrapText="1"/>
    </xf>
    <xf numFmtId="0" fontId="277" fillId="0" borderId="31" xfId="0" applyFont="1" applyBorder="1" applyAlignment="1">
      <alignment horizontal="center" vertical="center" wrapText="1"/>
    </xf>
    <xf numFmtId="0" fontId="281" fillId="0" borderId="0" xfId="0" applyFont="1" applyAlignment="1">
      <alignment horizontal="center" vertical="center" wrapText="1"/>
    </xf>
    <xf numFmtId="0" fontId="277" fillId="0" borderId="30" xfId="0" applyFont="1" applyBorder="1" applyAlignment="1">
      <alignment horizontal="center" vertical="center" wrapText="1"/>
    </xf>
    <xf numFmtId="0" fontId="277" fillId="0" borderId="62" xfId="0" applyFont="1" applyBorder="1" applyAlignment="1">
      <alignment horizontal="center" vertical="center" wrapText="1"/>
    </xf>
    <xf numFmtId="0" fontId="277" fillId="0" borderId="61" xfId="0" applyFont="1" applyBorder="1" applyAlignment="1">
      <alignment horizontal="center" vertical="center" wrapText="1"/>
    </xf>
    <xf numFmtId="0" fontId="100" fillId="0" borderId="57" xfId="0" applyFont="1" applyBorder="1" applyAlignment="1">
      <alignment horizontal="center" vertical="center"/>
    </xf>
    <xf numFmtId="0" fontId="236" fillId="19" borderId="30" xfId="0" applyFont="1" applyFill="1" applyBorder="1" applyAlignment="1">
      <alignment horizontal="center" vertical="center" wrapText="1"/>
    </xf>
    <xf numFmtId="0" fontId="236" fillId="19" borderId="62" xfId="0" applyFont="1" applyFill="1" applyBorder="1" applyAlignment="1">
      <alignment horizontal="center" vertical="center" wrapText="1"/>
    </xf>
    <xf numFmtId="0" fontId="236" fillId="19" borderId="61" xfId="0" applyFont="1" applyFill="1" applyBorder="1" applyAlignment="1">
      <alignment horizontal="center" vertical="center" wrapText="1"/>
    </xf>
    <xf numFmtId="0" fontId="279" fillId="0" borderId="108" xfId="0" applyFont="1" applyBorder="1" applyAlignment="1">
      <alignment horizontal="center" vertical="center" wrapText="1"/>
    </xf>
    <xf numFmtId="0" fontId="279" fillId="0" borderId="31" xfId="0" applyFont="1" applyBorder="1" applyAlignment="1">
      <alignment horizontal="center" vertical="center" wrapText="1"/>
    </xf>
    <xf numFmtId="0" fontId="279" fillId="0" borderId="29" xfId="0" applyFont="1" applyBorder="1" applyAlignment="1">
      <alignment horizontal="center" vertical="center" wrapText="1"/>
    </xf>
    <xf numFmtId="0" fontId="279" fillId="0" borderId="63" xfId="0" applyFont="1" applyBorder="1" applyAlignment="1">
      <alignment horizontal="center" vertical="center" wrapText="1"/>
    </xf>
    <xf numFmtId="0" fontId="279" fillId="0" borderId="57" xfId="0" applyFont="1" applyBorder="1" applyAlignment="1">
      <alignment horizontal="center" vertical="center" wrapText="1"/>
    </xf>
    <xf numFmtId="0" fontId="279" fillId="0" borderId="26" xfId="0" applyFont="1" applyBorder="1" applyAlignment="1">
      <alignment horizontal="center" vertical="center" wrapText="1"/>
    </xf>
    <xf numFmtId="49" fontId="32" fillId="0" borderId="307" xfId="0" applyNumberFormat="1" applyFont="1" applyBorder="1" applyAlignment="1">
      <alignment horizontal="center" vertical="center"/>
    </xf>
    <xf numFmtId="0" fontId="179" fillId="14" borderId="37" xfId="0" applyFont="1" applyFill="1" applyBorder="1" applyAlignment="1">
      <alignment vertical="center"/>
    </xf>
    <xf numFmtId="0" fontId="172" fillId="14" borderId="3" xfId="0" applyFont="1" applyFill="1" applyBorder="1" applyAlignment="1">
      <alignment vertical="center"/>
    </xf>
    <xf numFmtId="0" fontId="283" fillId="2" borderId="37" xfId="0" applyFont="1" applyFill="1" applyBorder="1" applyAlignment="1">
      <alignment horizontal="left" vertical="center"/>
    </xf>
    <xf numFmtId="0" fontId="180" fillId="29" borderId="17" xfId="5" applyFont="1" applyFill="1" applyBorder="1" applyAlignment="1">
      <alignment vertical="center" wrapText="1"/>
    </xf>
    <xf numFmtId="0" fontId="180" fillId="29" borderId="95" xfId="5" applyFont="1" applyFill="1" applyBorder="1" applyAlignment="1">
      <alignment vertical="center" wrapText="1"/>
    </xf>
    <xf numFmtId="0" fontId="146" fillId="2" borderId="3" xfId="0" applyFont="1" applyFill="1" applyBorder="1" applyAlignment="1">
      <alignment horizontal="left" vertical="center"/>
    </xf>
    <xf numFmtId="0" fontId="179" fillId="14" borderId="3" xfId="0" applyFont="1" applyFill="1" applyBorder="1" applyAlignment="1">
      <alignment vertical="center"/>
    </xf>
    <xf numFmtId="0" fontId="194" fillId="14" borderId="3" xfId="0" applyFont="1" applyFill="1" applyBorder="1" applyAlignment="1">
      <alignment vertical="center"/>
    </xf>
    <xf numFmtId="0" fontId="179" fillId="14" borderId="1" xfId="0" applyFont="1" applyFill="1" applyBorder="1" applyAlignment="1">
      <alignment vertical="center"/>
    </xf>
    <xf numFmtId="0" fontId="145" fillId="14" borderId="1" xfId="0" applyFont="1" applyFill="1" applyBorder="1" applyAlignment="1">
      <alignment vertical="center"/>
    </xf>
    <xf numFmtId="0" fontId="285" fillId="2" borderId="3" xfId="0" applyFont="1" applyFill="1" applyBorder="1" applyAlignment="1">
      <alignment horizontal="left" vertical="center"/>
    </xf>
    <xf numFmtId="0" fontId="146" fillId="2" borderId="1" xfId="0" applyFont="1" applyFill="1" applyBorder="1" applyAlignment="1">
      <alignment horizontal="left" vertical="center"/>
    </xf>
    <xf numFmtId="0" fontId="4" fillId="2" borderId="40" xfId="0" applyFont="1" applyFill="1" applyBorder="1" applyAlignment="1">
      <alignment horizontal="center" vertical="center"/>
    </xf>
    <xf numFmtId="0" fontId="4" fillId="2" borderId="155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4" fillId="2" borderId="135" xfId="0" applyFont="1" applyFill="1" applyBorder="1" applyAlignment="1">
      <alignment horizontal="center" vertical="center"/>
    </xf>
    <xf numFmtId="0" fontId="4" fillId="2" borderId="157" xfId="0" applyFont="1" applyFill="1" applyBorder="1" applyAlignment="1">
      <alignment horizontal="center" vertical="center"/>
    </xf>
    <xf numFmtId="0" fontId="98" fillId="14" borderId="6" xfId="5" applyFont="1" applyFill="1" applyBorder="1" applyAlignment="1">
      <alignment horizontal="left" vertical="center"/>
    </xf>
    <xf numFmtId="0" fontId="98" fillId="14" borderId="95" xfId="5" applyFont="1" applyFill="1" applyBorder="1" applyAlignment="1">
      <alignment horizontal="left" vertical="center"/>
    </xf>
    <xf numFmtId="0" fontId="5" fillId="0" borderId="4" xfId="5" applyFont="1" applyBorder="1" applyAlignment="1">
      <alignment horizontal="left"/>
    </xf>
    <xf numFmtId="0" fontId="4" fillId="2" borderId="7" xfId="0" applyFont="1" applyFill="1" applyBorder="1" applyAlignment="1">
      <alignment horizontal="center" vertical="center"/>
    </xf>
    <xf numFmtId="0" fontId="4" fillId="2" borderId="33" xfId="0" applyFont="1" applyFill="1" applyBorder="1" applyAlignment="1">
      <alignment horizontal="center" vertical="center"/>
    </xf>
    <xf numFmtId="0" fontId="233" fillId="13" borderId="36" xfId="0" applyFont="1" applyFill="1" applyBorder="1" applyAlignment="1">
      <alignment horizontal="center" vertical="center"/>
    </xf>
    <xf numFmtId="0" fontId="233" fillId="13" borderId="156" xfId="0" applyFont="1" applyFill="1" applyBorder="1" applyAlignment="1">
      <alignment horizontal="center" vertical="center"/>
    </xf>
    <xf numFmtId="0" fontId="124" fillId="29" borderId="17" xfId="5" applyFont="1" applyFill="1" applyBorder="1" applyAlignment="1">
      <alignment horizontal="center" vertical="center" wrapText="1"/>
    </xf>
    <xf numFmtId="0" fontId="124" fillId="29" borderId="95" xfId="5" applyFont="1" applyFill="1" applyBorder="1" applyAlignment="1">
      <alignment horizontal="center" vertical="center" wrapText="1"/>
    </xf>
    <xf numFmtId="0" fontId="14" fillId="0" borderId="0" xfId="5" applyBorder="1" applyAlignment="1">
      <alignment vertical="center"/>
    </xf>
    <xf numFmtId="0" fontId="287" fillId="0" borderId="1" xfId="0" applyFont="1" applyBorder="1" applyAlignment="1">
      <alignment horizontal="justify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justify" vertical="center" wrapText="1"/>
    </xf>
    <xf numFmtId="0" fontId="19" fillId="0" borderId="153" xfId="0" applyFont="1" applyBorder="1" applyAlignment="1">
      <alignment horizontal="center" vertical="center" wrapText="1"/>
    </xf>
    <xf numFmtId="0" fontId="19" fillId="0" borderId="154" xfId="0" applyFont="1" applyBorder="1" applyAlignment="1">
      <alignment horizontal="center" vertical="center" wrapText="1"/>
    </xf>
    <xf numFmtId="179" fontId="19" fillId="0" borderId="63" xfId="0" applyNumberFormat="1" applyFont="1" applyBorder="1" applyAlignment="1">
      <alignment horizontal="right" vertical="center" wrapText="1"/>
    </xf>
    <xf numFmtId="179" fontId="19" fillId="0" borderId="26" xfId="0" applyNumberFormat="1" applyFont="1" applyBorder="1" applyAlignment="1">
      <alignment horizontal="right" vertical="center" wrapText="1"/>
    </xf>
    <xf numFmtId="0" fontId="19" fillId="0" borderId="26" xfId="0" applyFont="1" applyBorder="1" applyAlignment="1">
      <alignment horizontal="right" vertical="center" wrapText="1"/>
    </xf>
    <xf numFmtId="0" fontId="19" fillId="0" borderId="153" xfId="0" applyFont="1" applyBorder="1" applyAlignment="1">
      <alignment horizontal="center" vertical="center" wrapText="1"/>
    </xf>
    <xf numFmtId="0" fontId="19" fillId="0" borderId="28" xfId="0" applyFont="1" applyBorder="1" applyAlignment="1">
      <alignment horizontal="center" vertical="center" wrapText="1"/>
    </xf>
    <xf numFmtId="0" fontId="19" fillId="0" borderId="27" xfId="0" applyFont="1" applyBorder="1" applyAlignment="1">
      <alignment horizontal="center" vertical="center" wrapText="1"/>
    </xf>
    <xf numFmtId="0" fontId="19" fillId="0" borderId="154" xfId="0" applyFont="1" applyBorder="1" applyAlignment="1">
      <alignment horizontal="center" vertical="center" wrapText="1"/>
    </xf>
    <xf numFmtId="0" fontId="289" fillId="0" borderId="154" xfId="0" applyFont="1" applyBorder="1" applyAlignment="1">
      <alignment horizontal="center" vertical="center" wrapText="1"/>
    </xf>
    <xf numFmtId="0" fontId="19" fillId="0" borderId="154" xfId="0" applyFont="1" applyBorder="1" applyAlignment="1">
      <alignment vertical="center" wrapText="1"/>
    </xf>
    <xf numFmtId="0" fontId="277" fillId="0" borderId="27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 wrapText="1"/>
    </xf>
    <xf numFmtId="0" fontId="36" fillId="0" borderId="5" xfId="0" applyFont="1" applyBorder="1" applyAlignment="1">
      <alignment horizontal="center" vertical="center" wrapText="1"/>
    </xf>
    <xf numFmtId="0" fontId="36" fillId="0" borderId="21" xfId="0" applyFont="1" applyBorder="1" applyAlignment="1">
      <alignment horizontal="center" vertical="center" wrapText="1"/>
    </xf>
    <xf numFmtId="0" fontId="19" fillId="6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9" fillId="0" borderId="0" xfId="0" applyFont="1" applyAlignment="1">
      <alignment vertical="center"/>
    </xf>
    <xf numFmtId="0" fontId="172" fillId="14" borderId="1" xfId="0" applyFont="1" applyFill="1" applyBorder="1" applyAlignment="1">
      <alignment vertical="center"/>
    </xf>
    <xf numFmtId="0" fontId="30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291" fillId="0" borderId="35" xfId="0" applyFont="1" applyBorder="1" applyAlignment="1">
      <alignment horizontal="center" vertical="center"/>
    </xf>
    <xf numFmtId="0" fontId="291" fillId="0" borderId="0" xfId="0" applyFon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293" fillId="0" borderId="0" xfId="5" applyFont="1" applyAlignment="1">
      <alignment horizontal="center" vertical="center"/>
    </xf>
    <xf numFmtId="0" fontId="295" fillId="0" borderId="0" xfId="5" applyFont="1" applyAlignment="1">
      <alignment horizontal="center" vertical="center"/>
    </xf>
    <xf numFmtId="0" fontId="286" fillId="29" borderId="6" xfId="5" applyFont="1" applyFill="1" applyBorder="1" applyAlignment="1">
      <alignment vertical="center" wrapText="1"/>
    </xf>
    <xf numFmtId="0" fontId="173" fillId="14" borderId="1" xfId="0" applyFont="1" applyFill="1" applyBorder="1" applyAlignment="1">
      <alignment vertical="center"/>
    </xf>
  </cellXfs>
  <cellStyles count="6">
    <cellStyle name="나쁨" xfId="2" builtinId="27"/>
    <cellStyle name="좋음" xfId="4" builtinId="26"/>
    <cellStyle name="표준" xfId="0" builtinId="0"/>
    <cellStyle name="표준 2" xfId="3" xr:uid="{751D343F-DA69-4A4F-AFB8-E24B97E8BF2A}"/>
    <cellStyle name="표준 3" xfId="5" xr:uid="{8AC8FC0C-E48F-4CD0-AEE7-C5C3B7885351}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39" fmlaLink="목차!$B$1" fmlaRange="$D$7:$D$38" noThreeD="1" sel="5" val="4"/>
</file>

<file path=xl/ctrlProps/ctrlProp46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7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8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9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0.xml><?xml version="1.0" encoding="utf-8"?>
<formControlPr xmlns="http://schemas.microsoft.com/office/spreadsheetml/2009/9/main" objectType="Drop" dropStyle="combo" dx="39" fmlaLink="#REF!" fmlaRange="#REF!" noThreeD="1" sel="0" val="0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9525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9</xdr:row>
          <xdr:rowOff>228600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14</xdr:row>
          <xdr:rowOff>228600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9525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209550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26</xdr:row>
          <xdr:rowOff>123825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27</xdr:row>
          <xdr:rowOff>219075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28</xdr:row>
          <xdr:rowOff>228600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29</xdr:row>
          <xdr:rowOff>219075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30</xdr:row>
          <xdr:rowOff>219075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35</xdr:row>
          <xdr:rowOff>123825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35</xdr:row>
          <xdr:rowOff>228600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37</xdr:row>
          <xdr:rowOff>219075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40</xdr:row>
          <xdr:rowOff>219075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41</xdr:row>
          <xdr:rowOff>219075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42</xdr:row>
          <xdr:rowOff>219075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43</xdr:row>
          <xdr:rowOff>219075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44</xdr:row>
          <xdr:rowOff>219075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46</xdr:row>
          <xdr:rowOff>219075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47</xdr:row>
          <xdr:rowOff>219075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48</xdr:row>
          <xdr:rowOff>219075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36</xdr:row>
          <xdr:rowOff>247650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45</xdr:row>
          <xdr:rowOff>219075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39</xdr:row>
          <xdr:rowOff>247650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9525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31</xdr:row>
          <xdr:rowOff>219075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32</xdr:row>
          <xdr:rowOff>219075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2838450</xdr:colOff>
          <xdr:row>33</xdr:row>
          <xdr:rowOff>123825</xdr:rowOff>
        </xdr:from>
        <xdr:to>
          <xdr:col>3</xdr:col>
          <xdr:colOff>4914900</xdr:colOff>
          <xdr:row>37</xdr:row>
          <xdr:rowOff>161925</xdr:rowOff>
        </xdr:to>
        <xdr:sp macro="" textlink="">
          <xdr:nvSpPr>
            <xdr:cNvPr id="82945" name="Drop Dow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1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1019175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1</xdr:row>
          <xdr:rowOff>66675</xdr:rowOff>
        </xdr:from>
        <xdr:to>
          <xdr:col>20</xdr:col>
          <xdr:colOff>161925</xdr:colOff>
          <xdr:row>2</xdr:row>
          <xdr:rowOff>533400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619125</xdr:colOff>
      <xdr:row>1</xdr:row>
      <xdr:rowOff>19050</xdr:rowOff>
    </xdr:from>
    <xdr:to>
      <xdr:col>53</xdr:col>
      <xdr:colOff>102718</xdr:colOff>
      <xdr:row>42</xdr:row>
      <xdr:rowOff>65307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1977F524-593D-8D11-2F97-3E8EB36EB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4200" y="314325"/>
          <a:ext cx="16457143" cy="109428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38100</xdr:rowOff>
    </xdr:from>
    <xdr:to>
      <xdr:col>12</xdr:col>
      <xdr:colOff>170612</xdr:colOff>
      <xdr:row>58</xdr:row>
      <xdr:rowOff>122594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40B5F69-7F0D-F914-BEC9-2EA25D006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0125" y="333375"/>
          <a:ext cx="6704762" cy="98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123825</xdr:colOff>
      <xdr:row>1</xdr:row>
      <xdr:rowOff>9525</xdr:rowOff>
    </xdr:from>
    <xdr:to>
      <xdr:col>23</xdr:col>
      <xdr:colOff>27723</xdr:colOff>
      <xdr:row>56</xdr:row>
      <xdr:rowOff>75014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53994756-A0D6-4766-5E0A-34B4EB812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58100" y="304800"/>
          <a:ext cx="6819048" cy="9485714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1</xdr:row>
      <xdr:rowOff>66675</xdr:rowOff>
    </xdr:from>
    <xdr:to>
      <xdr:col>33</xdr:col>
      <xdr:colOff>361125</xdr:colOff>
      <xdr:row>56</xdr:row>
      <xdr:rowOff>151212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151DBDD3-F4B4-B79F-D467-9D8FE6681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97050" y="361950"/>
          <a:ext cx="6600000" cy="950476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495300</xdr:colOff>
      <xdr:row>24</xdr:row>
      <xdr:rowOff>123825</xdr:rowOff>
    </xdr:from>
    <xdr:to>
      <xdr:col>15</xdr:col>
      <xdr:colOff>561975</xdr:colOff>
      <xdr:row>28</xdr:row>
      <xdr:rowOff>114300</xdr:rowOff>
    </xdr:to>
    <xdr:pic>
      <xdr:nvPicPr>
        <xdr:cNvPr id="2" name="_x992509424">
          <a:extLst>
            <a:ext uri="{FF2B5EF4-FFF2-40B4-BE49-F238E27FC236}">
              <a16:creationId xmlns:a16="http://schemas.microsoft.com/office/drawing/2014/main" id="{C1E899BB-E980-3BF1-57F9-5D4118A0CC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11325" y="5934075"/>
          <a:ext cx="714375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2</xdr:row>
          <xdr:rowOff>9525</xdr:rowOff>
        </xdr:from>
        <xdr:to>
          <xdr:col>24</xdr:col>
          <xdr:colOff>133350</xdr:colOff>
          <xdr:row>5</xdr:row>
          <xdr:rowOff>123825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552450</xdr:colOff>
          <xdr:row>1</xdr:row>
          <xdr:rowOff>38100</xdr:rowOff>
        </xdr:from>
        <xdr:to>
          <xdr:col>35</xdr:col>
          <xdr:colOff>295275</xdr:colOff>
          <xdr:row>4</xdr:row>
          <xdr:rowOff>123825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48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mailto:asd@asd.net" TargetMode="External"/><Relationship Id="rId1" Type="http://schemas.openxmlformats.org/officeDocument/2006/relationships/hyperlink" Target="mailto:asd@asd.net" TargetMode="External"/><Relationship Id="rId5" Type="http://schemas.openxmlformats.org/officeDocument/2006/relationships/ctrlProp" Target="../ctrlProps/ctrlProp49.xml"/><Relationship Id="rId4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topLeftCell="A33" workbookViewId="0">
      <selection activeCell="F45" sqref="F45:K45"/>
    </sheetView>
  </sheetViews>
  <sheetFormatPr defaultColWidth="9.140625" defaultRowHeight="20.25"/>
  <cols>
    <col min="1" max="2" width="9.140625" style="90"/>
    <col min="3" max="3" width="25" style="90" customWidth="1"/>
    <col min="4" max="4" width="18.42578125" style="90" bestFit="1" customWidth="1"/>
    <col min="5" max="5" width="7.42578125" style="90" bestFit="1" customWidth="1"/>
    <col min="6" max="6" width="18.42578125" style="90" bestFit="1" customWidth="1"/>
    <col min="7" max="7" width="14.5703125" style="90" customWidth="1"/>
    <col min="8" max="8" width="9.140625" style="90"/>
    <col min="9" max="9" width="12.5703125" style="90" customWidth="1"/>
    <col min="10" max="10" width="10.28515625" style="90" customWidth="1"/>
    <col min="11" max="11" width="14.28515625" style="90" bestFit="1" customWidth="1"/>
    <col min="12" max="13" width="17.28515625" style="90" customWidth="1"/>
    <col min="14" max="14" width="14.5703125" style="90" customWidth="1"/>
    <col min="15" max="15" width="13.7109375" style="90" customWidth="1"/>
    <col min="16" max="16" width="9" style="90" customWidth="1"/>
    <col min="17" max="22" width="9.140625" style="90"/>
    <col min="23" max="23" width="14.7109375" style="91" bestFit="1" customWidth="1"/>
    <col min="24" max="24" width="24.85546875" style="92" bestFit="1" customWidth="1"/>
    <col min="25" max="25" width="103.140625" style="90" bestFit="1" customWidth="1"/>
    <col min="26" max="28" width="9.140625" style="90"/>
    <col min="29" max="30" width="9.140625" style="93"/>
    <col min="31" max="31" width="18.85546875" style="93" bestFit="1" customWidth="1"/>
    <col min="32" max="32" width="35.140625" style="93" bestFit="1" customWidth="1"/>
    <col min="33" max="35" width="9.140625" style="93"/>
    <col min="36" max="36" width="23.42578125" style="93" bestFit="1" customWidth="1"/>
    <col min="37" max="38" width="9.140625" style="93"/>
    <col min="39" max="39" width="17.28515625" style="93" bestFit="1" customWidth="1"/>
    <col min="40" max="40" width="35.140625" style="93" bestFit="1" customWidth="1"/>
    <col min="41" max="41" width="9.140625" style="93"/>
    <col min="42" max="42" width="7.7109375" style="93" bestFit="1" customWidth="1"/>
    <col min="43" max="54" width="9.140625" style="93"/>
    <col min="55" max="55" width="15.85546875" style="93" bestFit="1" customWidth="1"/>
    <col min="56" max="56" width="9.140625" style="93"/>
    <col min="57" max="57" width="11.140625" style="93" bestFit="1" customWidth="1"/>
    <col min="58" max="58" width="18" style="93" bestFit="1" customWidth="1"/>
    <col min="59" max="59" width="82.140625" style="93" customWidth="1"/>
    <col min="60" max="72" width="9.140625" style="93"/>
    <col min="73" max="73" width="13.5703125" style="93" bestFit="1" customWidth="1"/>
    <col min="74" max="74" width="58.7109375" style="93" bestFit="1" customWidth="1"/>
    <col min="75" max="75" width="14.5703125" style="93" bestFit="1" customWidth="1"/>
    <col min="76" max="76" width="15.5703125" style="93" bestFit="1" customWidth="1"/>
    <col min="77" max="78" width="12.7109375" style="93" bestFit="1" customWidth="1"/>
    <col min="79" max="79" width="4" style="93" bestFit="1" customWidth="1"/>
    <col min="80" max="80" width="9.140625" style="93"/>
    <col min="81" max="16384" width="9.140625" style="90"/>
  </cols>
  <sheetData>
    <row r="2" spans="3:80">
      <c r="C2" s="106"/>
      <c r="D2" s="107"/>
      <c r="E2" s="108"/>
      <c r="AE2" s="109" t="s">
        <v>219</v>
      </c>
      <c r="AF2" s="713"/>
      <c r="AG2" s="705"/>
      <c r="AH2" s="713" t="s">
        <v>339</v>
      </c>
      <c r="AI2" s="705"/>
      <c r="AJ2" s="713"/>
      <c r="AL2" s="726"/>
      <c r="AM2" s="96" t="s">
        <v>125</v>
      </c>
      <c r="AN2" s="97" t="e">
        <f>#REF!</f>
        <v>#REF!</v>
      </c>
      <c r="AP2" s="98"/>
      <c r="AQ2" s="99"/>
      <c r="AR2" s="99"/>
      <c r="AS2" s="100"/>
      <c r="AT2" s="101"/>
      <c r="AU2" s="102"/>
      <c r="AV2" s="102"/>
      <c r="AW2" s="102"/>
      <c r="AX2" s="102"/>
      <c r="AY2" s="102"/>
      <c r="AZ2" s="102"/>
      <c r="BA2" s="102"/>
      <c r="BB2" s="102"/>
      <c r="BC2" s="103"/>
      <c r="BE2" s="726"/>
      <c r="BF2" s="104" t="s">
        <v>113</v>
      </c>
      <c r="BG2" s="105">
        <f>AT7</f>
        <v>0</v>
      </c>
      <c r="BI2" s="110"/>
      <c r="BJ2" s="735" t="s">
        <v>474</v>
      </c>
      <c r="BK2" s="736"/>
      <c r="BL2" s="736"/>
      <c r="BM2" s="736"/>
      <c r="BN2" s="736"/>
      <c r="BO2" s="736"/>
      <c r="BP2" s="736"/>
      <c r="BQ2" s="736"/>
      <c r="BR2" s="737"/>
      <c r="BT2" s="726"/>
      <c r="BU2" s="104" t="s">
        <v>340</v>
      </c>
      <c r="BV2" s="105" t="e">
        <f>"2024. " &amp; TEXT(MONTH(BY5), "00") &amp; ". " &amp; TEXT(DAY(BY5), "00") &amp; " ~ 2024. " &amp; TEXT(MONTH(BZ5), "00") &amp; ". " &amp; TEXT(DAY(BZ5), "00")</f>
        <v>#REF!</v>
      </c>
      <c r="BW2" s="111"/>
      <c r="BX2" s="112" t="e">
        <f>LEFT(#REF!, FIND("~",#REF!) - 2)</f>
        <v>#REF!</v>
      </c>
      <c r="BY2" s="105" t="e">
        <f>LEFT(BX2, 4)</f>
        <v>#REF!</v>
      </c>
      <c r="BZ2" s="113" t="e">
        <f>MID(BX2, 7, 2)</f>
        <v>#REF!</v>
      </c>
      <c r="CA2" s="113" t="e">
        <f>RIGHT(BX2, 2)</f>
        <v>#REF!</v>
      </c>
      <c r="CB2" s="193" t="s">
        <v>470</v>
      </c>
    </row>
    <row r="3" spans="3:80" ht="21" thickBot="1">
      <c r="P3" s="90" t="s">
        <v>341</v>
      </c>
      <c r="AE3" s="114" t="s">
        <v>342</v>
      </c>
      <c r="AF3" s="714"/>
      <c r="AG3" s="707"/>
      <c r="AH3" s="714" t="s">
        <v>343</v>
      </c>
      <c r="AI3" s="707"/>
      <c r="AJ3" s="714"/>
      <c r="AL3" s="726"/>
      <c r="AM3" s="96" t="s">
        <v>126</v>
      </c>
      <c r="AN3" s="97">
        <f>AF5</f>
        <v>0</v>
      </c>
      <c r="AP3" s="98"/>
      <c r="AQ3" s="99"/>
      <c r="AR3" s="99"/>
      <c r="AS3" s="100"/>
      <c r="AT3" s="101"/>
      <c r="AU3" s="102"/>
      <c r="AV3" s="102"/>
      <c r="AW3" s="102"/>
      <c r="AX3" s="102"/>
      <c r="AY3" s="102"/>
      <c r="AZ3" s="102"/>
      <c r="BA3" s="102"/>
      <c r="BB3" s="102"/>
      <c r="BC3" s="103"/>
      <c r="BE3" s="726"/>
      <c r="BF3" s="104" t="s">
        <v>344</v>
      </c>
      <c r="BG3" s="105">
        <f>AT15</f>
        <v>0</v>
      </c>
      <c r="BI3" s="110"/>
      <c r="BJ3" s="735"/>
      <c r="BK3" s="736"/>
      <c r="BL3" s="736"/>
      <c r="BM3" s="736"/>
      <c r="BN3" s="736"/>
      <c r="BO3" s="736"/>
      <c r="BP3" s="736"/>
      <c r="BQ3" s="736"/>
      <c r="BR3" s="737"/>
      <c r="BT3" s="726"/>
      <c r="BU3" s="104" t="s">
        <v>345</v>
      </c>
      <c r="BV3" s="105" t="e">
        <f>"2024. " &amp; TEXT(MONTH(BY6), "00") &amp; ". " &amp; TEXT(DAY(BY6), "00") &amp; " ~ 2024. " &amp; TEXT(MONTH(BZ6), "00") &amp; ". " &amp; TEXT(DAY(BZ6), "00")</f>
        <v>#REF!</v>
      </c>
      <c r="BW3" s="111"/>
      <c r="BX3" s="115" t="e">
        <f>RIGHT(#REF!, LEN(#REF!) - FIND("~",#REF!) - 1)</f>
        <v>#REF!</v>
      </c>
      <c r="BY3" s="105" t="e">
        <f>LEFT(BX3, 4)</f>
        <v>#REF!</v>
      </c>
      <c r="BZ3" s="113" t="e">
        <f>MID(BX3, 7, 2)</f>
        <v>#REF!</v>
      </c>
      <c r="CA3" s="113" t="e">
        <f>RIGHT(BX3, 2)</f>
        <v>#REF!</v>
      </c>
    </row>
    <row r="4" spans="3:80" ht="18">
      <c r="N4" s="715" t="s">
        <v>346</v>
      </c>
      <c r="O4" s="716"/>
      <c r="P4" s="716"/>
      <c r="Q4" s="716"/>
      <c r="R4" s="716"/>
      <c r="S4" s="716"/>
      <c r="T4" s="716"/>
      <c r="U4" s="717"/>
      <c r="W4" s="721" t="s">
        <v>334</v>
      </c>
      <c r="X4" s="116" t="s">
        <v>124</v>
      </c>
      <c r="Y4" s="117" t="e">
        <f>#REF!</f>
        <v>#REF!</v>
      </c>
      <c r="AE4" s="94" t="s">
        <v>347</v>
      </c>
      <c r="AF4" s="665"/>
      <c r="AG4" s="666"/>
      <c r="AH4" s="724"/>
      <c r="AI4" s="725"/>
      <c r="AJ4" s="118"/>
      <c r="AL4" s="726"/>
      <c r="AM4" s="96" t="s">
        <v>348</v>
      </c>
      <c r="AN4" s="97">
        <f>AF6</f>
        <v>0</v>
      </c>
      <c r="AP4" s="98"/>
      <c r="AQ4" s="99"/>
      <c r="AR4" s="99"/>
      <c r="AS4" s="100"/>
      <c r="AT4" s="101"/>
      <c r="AU4" s="102"/>
      <c r="AV4" s="102"/>
      <c r="AW4" s="102"/>
      <c r="AX4" s="102"/>
      <c r="AY4" s="102"/>
      <c r="AZ4" s="102"/>
      <c r="BA4" s="102"/>
      <c r="BB4" s="102"/>
      <c r="BC4" s="103"/>
      <c r="BE4" s="726"/>
      <c r="BF4" s="104" t="s">
        <v>349</v>
      </c>
      <c r="BG4" s="105">
        <f>AT6</f>
        <v>0</v>
      </c>
      <c r="BI4" s="119"/>
      <c r="BJ4" s="728"/>
      <c r="BK4" s="729"/>
      <c r="BL4" s="729"/>
      <c r="BM4" s="729"/>
      <c r="BN4" s="729"/>
      <c r="BO4" s="729"/>
      <c r="BP4" s="729"/>
      <c r="BQ4" s="729"/>
      <c r="BR4" s="730"/>
      <c r="BT4" s="726"/>
      <c r="BU4" s="104" t="s">
        <v>350</v>
      </c>
      <c r="BV4" s="105" t="str">
        <f>BJ2</f>
        <v>2024. 11. 18 ~ 2025. 01. 10</v>
      </c>
      <c r="BX4" s="120" t="s">
        <v>351</v>
      </c>
      <c r="BY4" s="121" t="s">
        <v>352</v>
      </c>
      <c r="BZ4" s="121" t="s">
        <v>353</v>
      </c>
    </row>
    <row r="5" spans="3:80" ht="18">
      <c r="C5" s="122"/>
      <c r="D5" s="123"/>
      <c r="E5" s="123"/>
      <c r="N5" s="718"/>
      <c r="O5" s="719"/>
      <c r="P5" s="719"/>
      <c r="Q5" s="719"/>
      <c r="R5" s="719"/>
      <c r="S5" s="719"/>
      <c r="T5" s="719"/>
      <c r="U5" s="720"/>
      <c r="W5" s="722"/>
      <c r="X5" s="124" t="s">
        <v>125</v>
      </c>
      <c r="Y5" s="125" t="e">
        <f>AN2</f>
        <v>#REF!</v>
      </c>
      <c r="AE5" s="94" t="s">
        <v>354</v>
      </c>
      <c r="AF5" s="665"/>
      <c r="AG5" s="683"/>
      <c r="AH5" s="683"/>
      <c r="AI5" s="683"/>
      <c r="AJ5" s="683"/>
      <c r="AL5" s="726"/>
      <c r="AM5" s="96" t="s">
        <v>355</v>
      </c>
      <c r="AN5" s="97">
        <f>AF2</f>
        <v>0</v>
      </c>
      <c r="AP5" s="126"/>
      <c r="AQ5" s="127"/>
      <c r="AR5" s="98"/>
      <c r="AS5" s="100"/>
      <c r="AT5" s="101"/>
      <c r="AU5" s="102"/>
      <c r="AV5" s="102"/>
      <c r="AW5" s="102"/>
      <c r="AX5" s="102"/>
      <c r="AY5" s="102"/>
      <c r="AZ5" s="102"/>
      <c r="BA5" s="102"/>
      <c r="BB5" s="102"/>
      <c r="BC5" s="103"/>
      <c r="BE5" s="726"/>
      <c r="BF5" s="104" t="s">
        <v>356</v>
      </c>
      <c r="BG5" s="105">
        <f>AT14</f>
        <v>0</v>
      </c>
      <c r="BI5" s="128"/>
      <c r="BJ5" s="129"/>
      <c r="BK5" s="129"/>
      <c r="BL5" s="129"/>
      <c r="BM5" s="129"/>
      <c r="BN5" s="129"/>
      <c r="BO5" s="129"/>
      <c r="BP5" s="129"/>
      <c r="BQ5" s="129"/>
      <c r="BR5" s="130"/>
      <c r="BT5" s="726"/>
      <c r="BU5" s="104" t="s">
        <v>357</v>
      </c>
      <c r="BV5" s="105">
        <f>BJ3</f>
        <v>0</v>
      </c>
      <c r="BX5" s="104" t="s">
        <v>340</v>
      </c>
      <c r="BY5" s="131" t="e">
        <f>DATE(BY2, BZ2, CA2)</f>
        <v>#REF!</v>
      </c>
      <c r="BZ5" s="131" t="e">
        <f>BY5+ 25</f>
        <v>#REF!</v>
      </c>
    </row>
    <row r="6" spans="3:80" ht="18.75" thickBot="1">
      <c r="C6" s="132" t="s">
        <v>358</v>
      </c>
      <c r="D6" s="133" t="s">
        <v>359</v>
      </c>
      <c r="E6" s="134" t="s">
        <v>360</v>
      </c>
      <c r="F6" s="711" t="s">
        <v>361</v>
      </c>
      <c r="G6" s="711"/>
      <c r="H6" s="711"/>
      <c r="I6" s="711"/>
      <c r="J6" s="711"/>
      <c r="K6" s="711"/>
      <c r="L6" s="711" t="s">
        <v>362</v>
      </c>
      <c r="M6" s="711"/>
      <c r="N6" s="135" t="s">
        <v>363</v>
      </c>
      <c r="O6" s="712" t="s">
        <v>364</v>
      </c>
      <c r="P6" s="712"/>
      <c r="Q6" s="712"/>
      <c r="R6" s="712"/>
      <c r="S6" s="712"/>
      <c r="T6" s="712"/>
      <c r="U6" s="712"/>
      <c r="W6" s="722"/>
      <c r="X6" s="124" t="s">
        <v>126</v>
      </c>
      <c r="Y6" s="125">
        <f>AN3</f>
        <v>0</v>
      </c>
      <c r="AE6" s="705" t="s">
        <v>365</v>
      </c>
      <c r="AF6" s="713"/>
      <c r="AG6" s="705"/>
      <c r="AH6" s="713" t="s">
        <v>366</v>
      </c>
      <c r="AI6" s="705"/>
      <c r="AJ6" s="708"/>
      <c r="AL6" s="727"/>
      <c r="AM6" s="96" t="s">
        <v>367</v>
      </c>
      <c r="AN6" s="97">
        <f>AJ6</f>
        <v>0</v>
      </c>
      <c r="AP6" s="136"/>
      <c r="AQ6" s="137"/>
      <c r="AR6" s="98"/>
      <c r="AS6" s="100"/>
      <c r="AT6" s="101"/>
      <c r="AU6" s="102"/>
      <c r="AV6" s="102"/>
      <c r="AW6" s="102"/>
      <c r="AX6" s="102"/>
      <c r="AY6" s="102"/>
      <c r="AZ6" s="102"/>
      <c r="BA6" s="102"/>
      <c r="BB6" s="102"/>
      <c r="BC6" s="103"/>
      <c r="BE6" s="727"/>
      <c r="BF6" s="104" t="s">
        <v>338</v>
      </c>
      <c r="BG6" s="105">
        <f>AT13</f>
        <v>0</v>
      </c>
      <c r="BI6" s="138"/>
      <c r="BJ6" s="139"/>
      <c r="BK6" s="140"/>
      <c r="BL6" s="140"/>
      <c r="BM6" s="140"/>
      <c r="BN6" s="140"/>
      <c r="BO6" s="140"/>
      <c r="BP6" s="140"/>
      <c r="BQ6" s="140"/>
      <c r="BR6" s="141"/>
      <c r="BT6" s="727"/>
      <c r="BU6" s="104" t="s">
        <v>368</v>
      </c>
      <c r="BV6" s="105">
        <f>BJ10</f>
        <v>0</v>
      </c>
      <c r="BX6" s="104" t="s">
        <v>345</v>
      </c>
      <c r="BY6" s="131" t="e">
        <f>BZ5+3</f>
        <v>#REF!</v>
      </c>
      <c r="BZ6" s="131" t="e">
        <f>BY6+25</f>
        <v>#REF!</v>
      </c>
    </row>
    <row r="7" spans="3:80" ht="18.75" thickTop="1">
      <c r="C7" s="692" t="s">
        <v>369</v>
      </c>
      <c r="D7" s="695" t="s">
        <v>370</v>
      </c>
      <c r="E7" s="142">
        <v>1</v>
      </c>
      <c r="F7" s="696" t="s">
        <v>371</v>
      </c>
      <c r="G7" s="697" t="s">
        <v>372</v>
      </c>
      <c r="H7" s="697" t="s">
        <v>372</v>
      </c>
      <c r="I7" s="697" t="s">
        <v>372</v>
      </c>
      <c r="J7" s="697" t="s">
        <v>372</v>
      </c>
      <c r="K7" s="698" t="s">
        <v>372</v>
      </c>
      <c r="L7" s="699" t="s">
        <v>373</v>
      </c>
      <c r="M7" s="700"/>
      <c r="N7" s="143" t="b">
        <v>0</v>
      </c>
      <c r="O7" s="701"/>
      <c r="P7" s="702"/>
      <c r="Q7" s="702"/>
      <c r="R7" s="702"/>
      <c r="S7" s="702"/>
      <c r="T7" s="702"/>
      <c r="U7" s="702"/>
      <c r="W7" s="722"/>
      <c r="X7" s="124" t="s">
        <v>348</v>
      </c>
      <c r="Y7" s="125">
        <f>AN4</f>
        <v>0</v>
      </c>
      <c r="AE7" s="707"/>
      <c r="AF7" s="714"/>
      <c r="AG7" s="707"/>
      <c r="AH7" s="703" t="s">
        <v>374</v>
      </c>
      <c r="AI7" s="704"/>
      <c r="AJ7" s="667"/>
      <c r="AL7" s="731" t="s">
        <v>375</v>
      </c>
      <c r="AM7" s="96" t="s">
        <v>376</v>
      </c>
      <c r="AN7" s="97">
        <f>AF21</f>
        <v>0</v>
      </c>
      <c r="AP7" s="98"/>
      <c r="AQ7" s="99"/>
      <c r="AR7" s="99"/>
      <c r="AS7" s="100"/>
      <c r="AT7" s="101"/>
      <c r="AU7" s="102"/>
      <c r="AV7" s="102"/>
      <c r="AW7" s="102"/>
      <c r="AX7" s="102"/>
      <c r="AY7" s="102"/>
      <c r="AZ7" s="102"/>
      <c r="BA7" s="102"/>
      <c r="BB7" s="102"/>
      <c r="BC7" s="103"/>
      <c r="BI7" s="138"/>
      <c r="BJ7" s="139"/>
      <c r="BK7" s="140"/>
      <c r="BL7" s="140"/>
      <c r="BM7" s="140"/>
      <c r="BN7" s="140"/>
      <c r="BO7" s="140"/>
      <c r="BP7" s="140"/>
      <c r="BQ7" s="140"/>
      <c r="BR7" s="141"/>
    </row>
    <row r="8" spans="3:80" ht="18">
      <c r="C8" s="693"/>
      <c r="D8" s="618"/>
      <c r="E8" s="142">
        <v>2</v>
      </c>
      <c r="F8" s="614" t="s">
        <v>377</v>
      </c>
      <c r="G8" s="614" t="s">
        <v>378</v>
      </c>
      <c r="H8" s="614" t="s">
        <v>378</v>
      </c>
      <c r="I8" s="614" t="s">
        <v>378</v>
      </c>
      <c r="J8" s="614" t="s">
        <v>378</v>
      </c>
      <c r="K8" s="614" t="s">
        <v>378</v>
      </c>
      <c r="L8" s="657"/>
      <c r="M8" s="658"/>
      <c r="N8" s="143" t="b">
        <v>0</v>
      </c>
      <c r="O8" s="616"/>
      <c r="P8" s="617"/>
      <c r="Q8" s="617"/>
      <c r="R8" s="617"/>
      <c r="S8" s="617"/>
      <c r="T8" s="617"/>
      <c r="U8" s="617"/>
      <c r="W8" s="722"/>
      <c r="X8" s="124" t="s">
        <v>355</v>
      </c>
      <c r="Y8" s="125">
        <f>AN5</f>
        <v>0</v>
      </c>
      <c r="AE8" s="705" t="s">
        <v>6</v>
      </c>
      <c r="AF8" s="708" t="s">
        <v>379</v>
      </c>
      <c r="AG8" s="709"/>
      <c r="AH8" s="709"/>
      <c r="AI8" s="709"/>
      <c r="AJ8" s="709"/>
      <c r="AL8" s="731"/>
      <c r="AM8" s="96" t="s">
        <v>380</v>
      </c>
      <c r="AN8" s="97">
        <f>AJ21</f>
        <v>0</v>
      </c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4"/>
      <c r="BA8" s="144"/>
      <c r="BB8" s="144"/>
      <c r="BC8" s="144"/>
      <c r="BI8" s="138"/>
      <c r="BJ8" s="732"/>
      <c r="BK8" s="733"/>
      <c r="BL8" s="733"/>
      <c r="BM8" s="733"/>
      <c r="BN8" s="733"/>
      <c r="BO8" s="733"/>
      <c r="BP8" s="733"/>
      <c r="BQ8" s="733"/>
      <c r="BR8" s="734"/>
    </row>
    <row r="9" spans="3:80" s="89" customFormat="1" ht="18.75" thickBot="1">
      <c r="C9" s="693"/>
      <c r="D9" s="618"/>
      <c r="E9" s="142">
        <v>3</v>
      </c>
      <c r="F9" s="614" t="s">
        <v>381</v>
      </c>
      <c r="G9" s="614" t="s">
        <v>382</v>
      </c>
      <c r="H9" s="614" t="s">
        <v>382</v>
      </c>
      <c r="I9" s="614" t="s">
        <v>382</v>
      </c>
      <c r="J9" s="614" t="s">
        <v>382</v>
      </c>
      <c r="K9" s="614" t="s">
        <v>382</v>
      </c>
      <c r="L9" s="657"/>
      <c r="M9" s="658"/>
      <c r="N9" s="143" t="b">
        <v>0</v>
      </c>
      <c r="O9" s="616"/>
      <c r="P9" s="616"/>
      <c r="Q9" s="616"/>
      <c r="R9" s="616"/>
      <c r="S9" s="616"/>
      <c r="T9" s="616"/>
      <c r="U9" s="616"/>
      <c r="W9" s="723"/>
      <c r="X9" s="145" t="s">
        <v>367</v>
      </c>
      <c r="Y9" s="146">
        <f>AN6</f>
        <v>0</v>
      </c>
      <c r="AC9" s="93"/>
      <c r="AD9" s="93"/>
      <c r="AE9" s="706"/>
      <c r="AF9" s="684" t="s">
        <v>383</v>
      </c>
      <c r="AG9" s="685"/>
      <c r="AH9" s="685"/>
      <c r="AI9" s="685"/>
      <c r="AJ9" s="685"/>
      <c r="AK9" s="93"/>
      <c r="AL9" s="731"/>
      <c r="AM9" s="96" t="s">
        <v>384</v>
      </c>
      <c r="AN9" s="97">
        <f>AF22</f>
        <v>0</v>
      </c>
      <c r="AO9" s="93"/>
      <c r="AP9" s="98"/>
      <c r="AQ9" s="99"/>
      <c r="AR9" s="99"/>
      <c r="AS9" s="100"/>
      <c r="AT9" s="101"/>
      <c r="AU9" s="102"/>
      <c r="AV9" s="102"/>
      <c r="AW9" s="103"/>
      <c r="AX9" s="98"/>
      <c r="AY9" s="99"/>
      <c r="AZ9" s="99"/>
      <c r="BA9" s="100"/>
      <c r="BB9" s="101"/>
      <c r="BC9" s="103"/>
      <c r="BD9" s="93"/>
      <c r="BE9" s="93"/>
      <c r="BF9" s="93"/>
      <c r="BG9" s="93"/>
      <c r="BH9" s="93"/>
      <c r="BI9" s="148"/>
      <c r="BJ9" s="738"/>
      <c r="BK9" s="739"/>
      <c r="BL9" s="739"/>
      <c r="BM9" s="739"/>
      <c r="BN9" s="739"/>
      <c r="BO9" s="739"/>
      <c r="BP9" s="739"/>
      <c r="BQ9" s="739"/>
      <c r="BR9" s="740"/>
      <c r="BS9" s="93"/>
      <c r="BT9" s="93"/>
      <c r="BU9" s="93"/>
      <c r="BV9" s="93"/>
      <c r="BW9" s="93"/>
      <c r="BX9" s="93"/>
      <c r="BY9" s="93"/>
      <c r="BZ9" s="93"/>
      <c r="CA9" s="93"/>
      <c r="CB9" s="93"/>
    </row>
    <row r="10" spans="3:80" ht="21" thickBot="1">
      <c r="C10" s="693"/>
      <c r="D10" s="618"/>
      <c r="E10" s="142">
        <v>4</v>
      </c>
      <c r="F10" s="614" t="s">
        <v>385</v>
      </c>
      <c r="G10" s="614"/>
      <c r="H10" s="614"/>
      <c r="I10" s="614"/>
      <c r="J10" s="614"/>
      <c r="K10" s="614"/>
      <c r="L10" s="657"/>
      <c r="M10" s="658"/>
      <c r="N10" s="143" t="b">
        <v>0</v>
      </c>
      <c r="O10" s="645" t="s">
        <v>386</v>
      </c>
      <c r="P10" s="617"/>
      <c r="Q10" s="617"/>
      <c r="R10" s="617"/>
      <c r="S10" s="617"/>
      <c r="T10" s="617"/>
      <c r="U10" s="617"/>
      <c r="W10" s="149"/>
      <c r="X10" s="150"/>
      <c r="Y10" s="151"/>
      <c r="AE10" s="706"/>
      <c r="AF10" s="684" t="s">
        <v>387</v>
      </c>
      <c r="AG10" s="685"/>
      <c r="AH10" s="685"/>
      <c r="AI10" s="685"/>
      <c r="AJ10" s="685"/>
      <c r="AL10" s="731"/>
      <c r="AM10" s="96" t="s">
        <v>388</v>
      </c>
      <c r="AN10" s="97">
        <f>AJ22</f>
        <v>0</v>
      </c>
      <c r="AP10" s="98"/>
      <c r="AQ10" s="99"/>
      <c r="AR10" s="99"/>
      <c r="AS10" s="100"/>
      <c r="AT10" s="101"/>
      <c r="AU10" s="102"/>
      <c r="AV10" s="102"/>
      <c r="AW10" s="103"/>
      <c r="AX10" s="98"/>
      <c r="AY10" s="99"/>
      <c r="AZ10" s="99"/>
      <c r="BA10" s="100"/>
      <c r="BB10" s="101"/>
      <c r="BC10" s="103"/>
      <c r="BI10" s="119"/>
      <c r="BJ10" s="686"/>
      <c r="BK10" s="687"/>
      <c r="BL10" s="687"/>
      <c r="BM10" s="687"/>
      <c r="BN10" s="687"/>
      <c r="BO10" s="687"/>
      <c r="BP10" s="687"/>
      <c r="BQ10" s="687"/>
      <c r="BR10" s="688"/>
    </row>
    <row r="11" spans="3:80" ht="18">
      <c r="C11" s="693"/>
      <c r="D11" s="618"/>
      <c r="E11" s="653">
        <v>5</v>
      </c>
      <c r="F11" s="710" t="s">
        <v>389</v>
      </c>
      <c r="G11" s="710"/>
      <c r="H11" s="710"/>
      <c r="I11" s="710"/>
      <c r="J11" s="710"/>
      <c r="K11" s="710"/>
      <c r="L11" s="657"/>
      <c r="M11" s="658"/>
      <c r="N11" s="653" t="b">
        <v>0</v>
      </c>
      <c r="O11" s="645" t="s">
        <v>390</v>
      </c>
      <c r="P11" s="617"/>
      <c r="Q11" s="617"/>
      <c r="R11" s="617"/>
      <c r="S11" s="617"/>
      <c r="T11" s="617"/>
      <c r="U11" s="617"/>
      <c r="W11" s="649" t="s">
        <v>375</v>
      </c>
      <c r="X11" s="116" t="s">
        <v>376</v>
      </c>
      <c r="Y11" s="117">
        <f>AN7</f>
        <v>0</v>
      </c>
      <c r="AE11" s="706"/>
      <c r="AF11" s="684" t="s">
        <v>391</v>
      </c>
      <c r="AG11" s="685"/>
      <c r="AH11" s="685"/>
      <c r="AI11" s="685"/>
      <c r="AJ11" s="685"/>
      <c r="AP11" s="152"/>
      <c r="AQ11" s="152"/>
      <c r="AR11" s="152"/>
      <c r="AS11" s="152"/>
      <c r="AT11" s="152"/>
      <c r="AU11" s="152"/>
      <c r="AV11" s="152"/>
      <c r="AW11" s="152"/>
      <c r="AX11" s="152"/>
      <c r="AY11" s="152"/>
      <c r="AZ11" s="152"/>
      <c r="BA11" s="152"/>
      <c r="BB11" s="152"/>
      <c r="BC11" s="152"/>
      <c r="BI11" s="153"/>
      <c r="BJ11" s="689"/>
      <c r="BK11" s="690"/>
      <c r="BL11" s="690"/>
      <c r="BM11" s="690"/>
      <c r="BN11" s="690"/>
      <c r="BO11" s="690"/>
      <c r="BP11" s="690"/>
      <c r="BQ11" s="690"/>
      <c r="BR11" s="691"/>
    </row>
    <row r="12" spans="3:80" ht="18">
      <c r="C12" s="693"/>
      <c r="D12" s="618"/>
      <c r="E12" s="654"/>
      <c r="F12" s="710"/>
      <c r="G12" s="710"/>
      <c r="H12" s="710"/>
      <c r="I12" s="710"/>
      <c r="J12" s="710"/>
      <c r="K12" s="710"/>
      <c r="L12" s="657"/>
      <c r="M12" s="658"/>
      <c r="N12" s="654"/>
      <c r="O12" s="645" t="s">
        <v>392</v>
      </c>
      <c r="P12" s="617"/>
      <c r="Q12" s="617"/>
      <c r="R12" s="617"/>
      <c r="S12" s="617"/>
      <c r="T12" s="617"/>
      <c r="U12" s="617"/>
      <c r="W12" s="650"/>
      <c r="X12" s="124" t="s">
        <v>380</v>
      </c>
      <c r="Y12" s="125">
        <f>AN8</f>
        <v>0</v>
      </c>
      <c r="AE12" s="706"/>
      <c r="AF12" s="684" t="s">
        <v>393</v>
      </c>
      <c r="AG12" s="685"/>
      <c r="AH12" s="685"/>
      <c r="AI12" s="685"/>
      <c r="AJ12" s="685"/>
      <c r="AP12" s="98"/>
      <c r="AQ12" s="99"/>
      <c r="AR12" s="99"/>
      <c r="AS12" s="100"/>
      <c r="AT12" s="101"/>
      <c r="AU12" s="102"/>
      <c r="AV12" s="102"/>
      <c r="AW12" s="102"/>
      <c r="AX12" s="102"/>
      <c r="AY12" s="102"/>
      <c r="AZ12" s="102"/>
      <c r="BA12" s="102"/>
      <c r="BB12" s="102"/>
      <c r="BC12" s="103"/>
    </row>
    <row r="13" spans="3:80" ht="18">
      <c r="C13" s="693"/>
      <c r="D13" s="618"/>
      <c r="E13" s="654"/>
      <c r="F13" s="710"/>
      <c r="G13" s="710"/>
      <c r="H13" s="710"/>
      <c r="I13" s="710"/>
      <c r="J13" s="710"/>
      <c r="K13" s="710"/>
      <c r="L13" s="657"/>
      <c r="M13" s="658"/>
      <c r="N13" s="654"/>
      <c r="O13" s="645" t="s">
        <v>394</v>
      </c>
      <c r="P13" s="617"/>
      <c r="Q13" s="617"/>
      <c r="R13" s="617"/>
      <c r="S13" s="617"/>
      <c r="T13" s="617"/>
      <c r="U13" s="617"/>
      <c r="W13" s="650"/>
      <c r="X13" s="124" t="s">
        <v>384</v>
      </c>
      <c r="Y13" s="125">
        <f>AN9</f>
        <v>0</v>
      </c>
      <c r="AE13" s="706"/>
      <c r="AF13" s="684" t="s">
        <v>395</v>
      </c>
      <c r="AG13" s="685"/>
      <c r="AH13" s="685"/>
      <c r="AI13" s="685"/>
      <c r="AJ13" s="685"/>
      <c r="AP13" s="98"/>
      <c r="AQ13" s="99"/>
      <c r="AR13" s="99"/>
      <c r="AS13" s="100"/>
      <c r="AT13" s="101"/>
      <c r="AU13" s="102"/>
      <c r="AV13" s="102"/>
      <c r="AW13" s="102"/>
      <c r="AX13" s="102"/>
      <c r="AY13" s="102"/>
      <c r="AZ13" s="102"/>
      <c r="BA13" s="102"/>
      <c r="BB13" s="102"/>
      <c r="BC13" s="103"/>
    </row>
    <row r="14" spans="3:80" ht="18.75" thickBot="1">
      <c r="C14" s="693"/>
      <c r="D14" s="618"/>
      <c r="E14" s="655"/>
      <c r="F14" s="710"/>
      <c r="G14" s="710"/>
      <c r="H14" s="710"/>
      <c r="I14" s="710"/>
      <c r="J14" s="710"/>
      <c r="K14" s="710"/>
      <c r="L14" s="622"/>
      <c r="M14" s="623"/>
      <c r="N14" s="655"/>
      <c r="O14" s="645" t="s">
        <v>396</v>
      </c>
      <c r="P14" s="617"/>
      <c r="Q14" s="617"/>
      <c r="R14" s="617"/>
      <c r="S14" s="617"/>
      <c r="T14" s="617"/>
      <c r="U14" s="617"/>
      <c r="W14" s="651"/>
      <c r="X14" s="145" t="s">
        <v>388</v>
      </c>
      <c r="Y14" s="146">
        <f>AN10</f>
        <v>0</v>
      </c>
      <c r="AE14" s="707"/>
      <c r="AF14" s="667" t="s">
        <v>397</v>
      </c>
      <c r="AG14" s="668"/>
      <c r="AH14" s="668"/>
      <c r="AI14" s="668"/>
      <c r="AJ14" s="668"/>
      <c r="AP14" s="98"/>
      <c r="AQ14" s="99"/>
      <c r="AR14" s="99"/>
      <c r="AS14" s="100"/>
      <c r="AT14" s="101"/>
      <c r="AU14" s="102"/>
      <c r="AV14" s="102"/>
      <c r="AW14" s="102"/>
      <c r="AX14" s="102"/>
      <c r="AY14" s="102"/>
      <c r="AZ14" s="102"/>
      <c r="BA14" s="102"/>
      <c r="BB14" s="102"/>
      <c r="BC14" s="103"/>
    </row>
    <row r="15" spans="3:80" ht="21" thickBot="1">
      <c r="C15" s="693"/>
      <c r="D15" s="618"/>
      <c r="E15" s="142">
        <v>6</v>
      </c>
      <c r="F15" s="614" t="s">
        <v>398</v>
      </c>
      <c r="G15" s="614"/>
      <c r="H15" s="614"/>
      <c r="I15" s="614"/>
      <c r="J15" s="614"/>
      <c r="K15" s="614"/>
      <c r="L15" s="669" t="s">
        <v>399</v>
      </c>
      <c r="M15" s="670"/>
      <c r="N15" s="143" t="b">
        <v>0</v>
      </c>
      <c r="O15" s="645"/>
      <c r="P15" s="617"/>
      <c r="Q15" s="617"/>
      <c r="R15" s="617"/>
      <c r="S15" s="617"/>
      <c r="T15" s="617"/>
      <c r="U15" s="617"/>
      <c r="W15" s="149"/>
      <c r="X15" s="150"/>
      <c r="Y15" s="151"/>
      <c r="AE15" s="109" t="s">
        <v>400</v>
      </c>
      <c r="AF15" s="675" t="s">
        <v>401</v>
      </c>
      <c r="AG15" s="676"/>
      <c r="AH15" s="676"/>
      <c r="AI15" s="676"/>
      <c r="AJ15" s="676"/>
      <c r="AP15" s="98"/>
      <c r="AQ15" s="99"/>
      <c r="AR15" s="99"/>
      <c r="AS15" s="100"/>
      <c r="AT15" s="101"/>
      <c r="AU15" s="102"/>
      <c r="AV15" s="102"/>
      <c r="AW15" s="102"/>
      <c r="AX15" s="102"/>
      <c r="AY15" s="102"/>
      <c r="AZ15" s="102"/>
      <c r="BA15" s="102"/>
      <c r="BB15" s="102"/>
      <c r="BC15" s="103"/>
    </row>
    <row r="16" spans="3:80" ht="18">
      <c r="C16" s="693"/>
      <c r="D16" s="618"/>
      <c r="E16" s="142">
        <v>7</v>
      </c>
      <c r="F16" s="614" t="s">
        <v>402</v>
      </c>
      <c r="G16" s="614"/>
      <c r="H16" s="614"/>
      <c r="I16" s="614"/>
      <c r="J16" s="614"/>
      <c r="K16" s="614"/>
      <c r="L16" s="671"/>
      <c r="M16" s="672"/>
      <c r="N16" s="143" t="b">
        <v>0</v>
      </c>
      <c r="O16" s="645"/>
      <c r="P16" s="617"/>
      <c r="Q16" s="617"/>
      <c r="R16" s="617"/>
      <c r="S16" s="617"/>
      <c r="T16" s="617"/>
      <c r="U16" s="617"/>
      <c r="W16" s="649" t="s">
        <v>335</v>
      </c>
      <c r="X16" s="116" t="s">
        <v>336</v>
      </c>
      <c r="Y16" s="117" t="e">
        <f>#REF!</f>
        <v>#REF!</v>
      </c>
      <c r="AE16" s="114" t="s">
        <v>403</v>
      </c>
      <c r="AF16" s="677"/>
      <c r="AG16" s="678"/>
      <c r="AH16" s="678"/>
      <c r="AI16" s="678"/>
      <c r="AJ16" s="678"/>
      <c r="AP16" s="144"/>
      <c r="AQ16" s="144"/>
      <c r="AR16" s="144"/>
      <c r="AS16" s="144"/>
      <c r="AT16" s="144"/>
      <c r="AU16" s="144"/>
      <c r="AV16" s="144"/>
      <c r="AW16" s="144"/>
      <c r="AX16" s="144"/>
      <c r="AY16" s="144"/>
      <c r="AZ16" s="144"/>
      <c r="BA16" s="144"/>
      <c r="BB16" s="144"/>
      <c r="BC16" s="144"/>
    </row>
    <row r="17" spans="3:55" ht="18">
      <c r="C17" s="693"/>
      <c r="D17" s="618"/>
      <c r="E17" s="142">
        <v>8</v>
      </c>
      <c r="F17" s="614" t="s">
        <v>404</v>
      </c>
      <c r="G17" s="614"/>
      <c r="H17" s="614"/>
      <c r="I17" s="614"/>
      <c r="J17" s="614"/>
      <c r="K17" s="614"/>
      <c r="L17" s="671"/>
      <c r="M17" s="672"/>
      <c r="N17" s="143" t="b">
        <v>0</v>
      </c>
      <c r="O17" s="645"/>
      <c r="P17" s="617"/>
      <c r="Q17" s="617"/>
      <c r="R17" s="617"/>
      <c r="S17" s="617"/>
      <c r="T17" s="617"/>
      <c r="U17" s="617"/>
      <c r="W17" s="650"/>
      <c r="X17" s="124" t="s">
        <v>113</v>
      </c>
      <c r="Y17" s="125">
        <f>BG2</f>
        <v>0</v>
      </c>
      <c r="AE17" s="109" t="s">
        <v>405</v>
      </c>
      <c r="AF17" s="154" t="s">
        <v>406</v>
      </c>
      <c r="AG17" s="665" t="s">
        <v>407</v>
      </c>
      <c r="AH17" s="666"/>
      <c r="AI17" s="665" t="s">
        <v>408</v>
      </c>
      <c r="AJ17" s="683"/>
      <c r="AP17" s="155"/>
      <c r="AQ17" s="156"/>
      <c r="AR17" s="157"/>
      <c r="AS17" s="156"/>
      <c r="AT17" s="157"/>
      <c r="AU17" s="156"/>
      <c r="AV17" s="157"/>
      <c r="AW17" s="156"/>
      <c r="AX17" s="158"/>
      <c r="AY17" s="158"/>
      <c r="AZ17" s="157"/>
      <c r="BA17" s="156"/>
      <c r="BB17" s="157"/>
      <c r="BC17" s="155"/>
    </row>
    <row r="18" spans="3:55" ht="18">
      <c r="C18" s="693"/>
      <c r="D18" s="618"/>
      <c r="E18" s="142">
        <v>9</v>
      </c>
      <c r="F18" s="614" t="s">
        <v>409</v>
      </c>
      <c r="G18" s="614"/>
      <c r="H18" s="614"/>
      <c r="I18" s="614"/>
      <c r="J18" s="614"/>
      <c r="K18" s="614"/>
      <c r="L18" s="671"/>
      <c r="M18" s="672"/>
      <c r="N18" s="143" t="b">
        <v>0</v>
      </c>
      <c r="O18" s="645"/>
      <c r="P18" s="617"/>
      <c r="Q18" s="617"/>
      <c r="R18" s="617"/>
      <c r="S18" s="617"/>
      <c r="T18" s="617"/>
      <c r="U18" s="617"/>
      <c r="W18" s="650"/>
      <c r="X18" s="124" t="s">
        <v>410</v>
      </c>
      <c r="Y18" s="125">
        <f>BG3</f>
        <v>0</v>
      </c>
      <c r="AE18" s="147" t="s">
        <v>411</v>
      </c>
      <c r="AF18" s="159"/>
      <c r="AG18" s="679"/>
      <c r="AH18" s="680"/>
      <c r="AI18" s="679"/>
      <c r="AJ18" s="681"/>
      <c r="AP18" s="160"/>
      <c r="AQ18" s="161"/>
      <c r="AR18" s="162"/>
      <c r="AS18" s="101"/>
      <c r="AT18" s="103"/>
      <c r="AU18" s="101"/>
      <c r="AV18" s="103"/>
      <c r="AW18" s="101"/>
      <c r="AX18" s="102"/>
      <c r="AY18" s="102"/>
      <c r="AZ18" s="103"/>
      <c r="BA18" s="101"/>
      <c r="BB18" s="103"/>
      <c r="BC18" s="163"/>
    </row>
    <row r="19" spans="3:55" ht="18">
      <c r="C19" s="693"/>
      <c r="D19" s="618"/>
      <c r="E19" s="142">
        <v>10</v>
      </c>
      <c r="F19" s="614" t="s">
        <v>412</v>
      </c>
      <c r="G19" s="614"/>
      <c r="H19" s="614"/>
      <c r="I19" s="614"/>
      <c r="J19" s="614"/>
      <c r="K19" s="614"/>
      <c r="L19" s="671"/>
      <c r="M19" s="672"/>
      <c r="N19" s="143" t="b">
        <v>0</v>
      </c>
      <c r="O19" s="645" t="s">
        <v>413</v>
      </c>
      <c r="P19" s="617"/>
      <c r="Q19" s="617"/>
      <c r="R19" s="617"/>
      <c r="S19" s="617"/>
      <c r="T19" s="617"/>
      <c r="U19" s="617"/>
      <c r="W19" s="650"/>
      <c r="X19" s="124" t="s">
        <v>349</v>
      </c>
      <c r="Y19" s="125">
        <f>BG4</f>
        <v>0</v>
      </c>
      <c r="AE19" s="164"/>
      <c r="AF19" s="159"/>
      <c r="AG19" s="679"/>
      <c r="AH19" s="680"/>
      <c r="AI19" s="679"/>
      <c r="AJ19" s="681"/>
      <c r="AP19" s="165"/>
      <c r="AQ19" s="166"/>
      <c r="AR19" s="167"/>
      <c r="AS19" s="168"/>
      <c r="AT19" s="169"/>
      <c r="AU19" s="170"/>
      <c r="AV19" s="171"/>
      <c r="AW19" s="168"/>
      <c r="AX19" s="169"/>
      <c r="AY19" s="168"/>
      <c r="AZ19" s="169"/>
      <c r="BA19" s="168"/>
      <c r="BB19" s="169"/>
      <c r="BC19" s="172"/>
    </row>
    <row r="20" spans="3:55" ht="18">
      <c r="C20" s="693"/>
      <c r="D20" s="618"/>
      <c r="E20" s="142">
        <v>11</v>
      </c>
      <c r="F20" s="614" t="s">
        <v>414</v>
      </c>
      <c r="G20" s="614"/>
      <c r="H20" s="614"/>
      <c r="I20" s="614"/>
      <c r="J20" s="614"/>
      <c r="K20" s="614"/>
      <c r="L20" s="673"/>
      <c r="M20" s="674"/>
      <c r="N20" s="143" t="b">
        <v>0</v>
      </c>
      <c r="O20" s="645"/>
      <c r="P20" s="617"/>
      <c r="Q20" s="617"/>
      <c r="R20" s="617"/>
      <c r="S20" s="617"/>
      <c r="T20" s="617"/>
      <c r="U20" s="617"/>
      <c r="W20" s="650"/>
      <c r="X20" s="124" t="s">
        <v>356</v>
      </c>
      <c r="Y20" s="125">
        <f>BG5</f>
        <v>0</v>
      </c>
      <c r="AE20" s="682" t="s">
        <v>415</v>
      </c>
      <c r="AF20" s="682"/>
      <c r="AG20" s="682"/>
      <c r="AH20" s="682"/>
      <c r="AI20" s="682"/>
      <c r="AJ20" s="682"/>
      <c r="AP20" s="173"/>
      <c r="AQ20" s="174"/>
      <c r="AR20" s="175"/>
      <c r="AS20" s="176"/>
      <c r="AT20" s="177"/>
      <c r="AU20" s="178"/>
      <c r="AV20" s="179"/>
      <c r="AW20" s="176"/>
      <c r="AX20" s="177"/>
      <c r="AY20" s="176"/>
      <c r="AZ20" s="177"/>
      <c r="BA20" s="176"/>
      <c r="BB20" s="177"/>
      <c r="BC20" s="180"/>
    </row>
    <row r="21" spans="3:55" ht="18.75" thickBot="1">
      <c r="C21" s="693"/>
      <c r="D21" s="618"/>
      <c r="E21" s="194">
        <v>12</v>
      </c>
      <c r="F21" s="659" t="s">
        <v>471</v>
      </c>
      <c r="G21" s="659"/>
      <c r="H21" s="659"/>
      <c r="I21" s="659"/>
      <c r="J21" s="659"/>
      <c r="K21" s="659"/>
      <c r="L21" s="660" t="s">
        <v>472</v>
      </c>
      <c r="M21" s="661"/>
      <c r="N21" s="195" t="b">
        <v>0</v>
      </c>
      <c r="O21" s="664"/>
      <c r="P21" s="664"/>
      <c r="Q21" s="664"/>
      <c r="R21" s="664"/>
      <c r="S21" s="664"/>
      <c r="T21" s="664"/>
      <c r="U21" s="664"/>
      <c r="W21" s="651"/>
      <c r="X21" s="145" t="s">
        <v>338</v>
      </c>
      <c r="Y21" s="146">
        <f>BG6</f>
        <v>0</v>
      </c>
      <c r="AE21" s="94" t="s">
        <v>416</v>
      </c>
      <c r="AF21" s="665"/>
      <c r="AG21" s="666"/>
      <c r="AH21" s="665" t="s">
        <v>417</v>
      </c>
      <c r="AI21" s="666"/>
      <c r="AJ21" s="95"/>
      <c r="AP21" s="173"/>
      <c r="AQ21" s="166"/>
      <c r="AR21" s="167"/>
      <c r="AS21" s="168"/>
      <c r="AT21" s="169"/>
      <c r="AU21" s="168"/>
      <c r="AV21" s="169"/>
      <c r="AW21" s="168"/>
      <c r="AX21" s="181"/>
      <c r="AY21" s="181"/>
      <c r="AZ21" s="169"/>
      <c r="BA21" s="168"/>
      <c r="BB21" s="169"/>
      <c r="BC21" s="172"/>
    </row>
    <row r="22" spans="3:55" ht="21" thickBot="1">
      <c r="C22" s="693"/>
      <c r="D22" s="618"/>
      <c r="E22" s="194">
        <v>13</v>
      </c>
      <c r="F22" s="659" t="s">
        <v>473</v>
      </c>
      <c r="G22" s="659"/>
      <c r="H22" s="659"/>
      <c r="I22" s="659"/>
      <c r="J22" s="659"/>
      <c r="K22" s="659"/>
      <c r="L22" s="662"/>
      <c r="M22" s="663"/>
      <c r="N22" s="195" t="b">
        <v>0</v>
      </c>
      <c r="O22" s="664"/>
      <c r="P22" s="664"/>
      <c r="Q22" s="664"/>
      <c r="R22" s="664"/>
      <c r="S22" s="664"/>
      <c r="T22" s="664"/>
      <c r="U22" s="664"/>
      <c r="W22" s="149"/>
      <c r="X22" s="150"/>
      <c r="Y22" s="151"/>
      <c r="AE22" s="94" t="s">
        <v>418</v>
      </c>
      <c r="AF22" s="665"/>
      <c r="AG22" s="666"/>
      <c r="AH22" s="665" t="s">
        <v>419</v>
      </c>
      <c r="AI22" s="666"/>
      <c r="AJ22" s="182"/>
      <c r="AP22" s="173"/>
      <c r="AQ22" s="174"/>
      <c r="AR22" s="175"/>
      <c r="AS22" s="176"/>
      <c r="AT22" s="177"/>
      <c r="AU22" s="176"/>
      <c r="AV22" s="177"/>
      <c r="AW22" s="176"/>
      <c r="AX22" s="183"/>
      <c r="AY22" s="183"/>
      <c r="AZ22" s="177"/>
      <c r="BA22" s="176"/>
      <c r="BB22" s="177"/>
      <c r="BC22" s="180"/>
    </row>
    <row r="23" spans="3:55" ht="18">
      <c r="C23" s="693"/>
      <c r="D23" s="618"/>
      <c r="E23" s="142">
        <v>14</v>
      </c>
      <c r="F23" s="614" t="s">
        <v>420</v>
      </c>
      <c r="G23" s="614"/>
      <c r="H23" s="614"/>
      <c r="I23" s="614"/>
      <c r="J23" s="614"/>
      <c r="K23" s="614"/>
      <c r="L23" s="647" t="s">
        <v>421</v>
      </c>
      <c r="M23" s="648"/>
      <c r="N23" s="143" t="b">
        <v>0</v>
      </c>
      <c r="O23" s="645"/>
      <c r="P23" s="617"/>
      <c r="Q23" s="617"/>
      <c r="R23" s="617"/>
      <c r="S23" s="617"/>
      <c r="T23" s="617"/>
      <c r="U23" s="617"/>
      <c r="W23" s="649" t="s">
        <v>337</v>
      </c>
      <c r="X23" s="116" t="s">
        <v>338</v>
      </c>
      <c r="Y23" s="117" t="e">
        <f>#REF!</f>
        <v>#REF!</v>
      </c>
      <c r="AP23" s="184"/>
      <c r="AQ23" s="161"/>
      <c r="AR23" s="162"/>
      <c r="AS23" s="101"/>
      <c r="AT23" s="103"/>
      <c r="AU23" s="101"/>
      <c r="AV23" s="103"/>
      <c r="AW23" s="101"/>
      <c r="AX23" s="102"/>
      <c r="AY23" s="102"/>
      <c r="AZ23" s="103"/>
      <c r="BA23" s="101"/>
      <c r="BB23" s="103"/>
      <c r="BC23" s="185"/>
    </row>
    <row r="24" spans="3:55" ht="18">
      <c r="C24" s="693"/>
      <c r="D24" s="618" t="s">
        <v>422</v>
      </c>
      <c r="E24" s="142">
        <v>15</v>
      </c>
      <c r="F24" s="614" t="s">
        <v>423</v>
      </c>
      <c r="G24" s="614"/>
      <c r="H24" s="614"/>
      <c r="I24" s="614"/>
      <c r="J24" s="614"/>
      <c r="K24" s="614"/>
      <c r="L24" s="620" t="s">
        <v>424</v>
      </c>
      <c r="M24" s="621"/>
      <c r="N24" s="143" t="b">
        <v>0</v>
      </c>
      <c r="O24" s="616"/>
      <c r="P24" s="617"/>
      <c r="Q24" s="617"/>
      <c r="R24" s="617"/>
      <c r="S24" s="617"/>
      <c r="T24" s="617"/>
      <c r="U24" s="617"/>
      <c r="W24" s="650"/>
      <c r="X24" s="124" t="s">
        <v>340</v>
      </c>
      <c r="Y24" s="125" t="e">
        <f>BV2</f>
        <v>#REF!</v>
      </c>
      <c r="AP24" s="160"/>
      <c r="AQ24" s="161"/>
      <c r="AR24" s="162"/>
      <c r="AS24" s="101"/>
      <c r="AT24" s="103"/>
      <c r="AU24" s="101"/>
      <c r="AV24" s="103"/>
      <c r="AW24" s="101"/>
      <c r="AX24" s="102"/>
      <c r="AY24" s="102"/>
      <c r="AZ24" s="103"/>
      <c r="BA24" s="101"/>
      <c r="BB24" s="103"/>
      <c r="BC24" s="163"/>
    </row>
    <row r="25" spans="3:55" ht="18">
      <c r="C25" s="693"/>
      <c r="D25" s="618"/>
      <c r="E25" s="142">
        <v>16</v>
      </c>
      <c r="F25" s="614" t="s">
        <v>425</v>
      </c>
      <c r="G25" s="614"/>
      <c r="H25" s="614"/>
      <c r="I25" s="614"/>
      <c r="J25" s="614"/>
      <c r="K25" s="614"/>
      <c r="L25" s="622"/>
      <c r="M25" s="623"/>
      <c r="N25" s="143" t="b">
        <v>0</v>
      </c>
      <c r="O25" s="616"/>
      <c r="P25" s="617"/>
      <c r="Q25" s="617"/>
      <c r="R25" s="617"/>
      <c r="S25" s="617"/>
      <c r="T25" s="617"/>
      <c r="U25" s="617"/>
      <c r="W25" s="650"/>
      <c r="X25" s="124" t="s">
        <v>345</v>
      </c>
      <c r="Y25" s="125" t="e">
        <f>BV3</f>
        <v>#REF!</v>
      </c>
      <c r="AP25" s="165"/>
      <c r="AQ25" s="166"/>
      <c r="AR25" s="167"/>
      <c r="AS25" s="168"/>
      <c r="AT25" s="169"/>
      <c r="AU25" s="168"/>
      <c r="AV25" s="169"/>
      <c r="AW25" s="168"/>
      <c r="AX25" s="181"/>
      <c r="AY25" s="181"/>
      <c r="AZ25" s="169"/>
      <c r="BA25" s="168"/>
      <c r="BB25" s="169"/>
      <c r="BC25" s="186"/>
    </row>
    <row r="26" spans="3:55" ht="18">
      <c r="C26" s="693"/>
      <c r="D26" s="618" t="s">
        <v>426</v>
      </c>
      <c r="E26" s="653">
        <v>17</v>
      </c>
      <c r="F26" s="656" t="s">
        <v>427</v>
      </c>
      <c r="G26" s="656"/>
      <c r="H26" s="656"/>
      <c r="I26" s="656"/>
      <c r="J26" s="656"/>
      <c r="K26" s="656"/>
      <c r="L26" s="620" t="s">
        <v>428</v>
      </c>
      <c r="M26" s="621"/>
      <c r="N26" s="143" t="b">
        <v>0</v>
      </c>
      <c r="O26" s="645" t="s">
        <v>429</v>
      </c>
      <c r="P26" s="646"/>
      <c r="Q26" s="646"/>
      <c r="R26" s="646"/>
      <c r="S26" s="646"/>
      <c r="T26" s="646"/>
      <c r="U26" s="646"/>
      <c r="W26" s="650"/>
      <c r="X26" s="124" t="s">
        <v>350</v>
      </c>
      <c r="Y26" s="125" t="str">
        <f>BV4</f>
        <v>2024. 11. 18 ~ 2025. 01. 10</v>
      </c>
      <c r="AP26" s="173"/>
      <c r="AQ26" s="174"/>
      <c r="AR26" s="175"/>
      <c r="AS26" s="176"/>
      <c r="AT26" s="177"/>
      <c r="AU26" s="176"/>
      <c r="AV26" s="177"/>
      <c r="AW26" s="176"/>
      <c r="AX26" s="183"/>
      <c r="AY26" s="183"/>
      <c r="AZ26" s="177"/>
      <c r="BA26" s="176"/>
      <c r="BB26" s="177"/>
      <c r="BC26" s="187"/>
    </row>
    <row r="27" spans="3:55" ht="18">
      <c r="C27" s="693"/>
      <c r="D27" s="652"/>
      <c r="E27" s="654"/>
      <c r="F27" s="656"/>
      <c r="G27" s="656"/>
      <c r="H27" s="656"/>
      <c r="I27" s="656"/>
      <c r="J27" s="656"/>
      <c r="K27" s="656"/>
      <c r="L27" s="657"/>
      <c r="M27" s="658"/>
      <c r="N27" s="143" t="b">
        <v>0</v>
      </c>
      <c r="O27" s="645" t="s">
        <v>430</v>
      </c>
      <c r="P27" s="646"/>
      <c r="Q27" s="646"/>
      <c r="R27" s="646"/>
      <c r="S27" s="646"/>
      <c r="T27" s="646"/>
      <c r="U27" s="646"/>
      <c r="W27" s="650"/>
      <c r="X27" s="124" t="s">
        <v>357</v>
      </c>
      <c r="Y27" s="125">
        <f>BV5</f>
        <v>0</v>
      </c>
      <c r="AP27" s="173"/>
      <c r="AQ27" s="166"/>
      <c r="AR27" s="167"/>
      <c r="AS27" s="168"/>
      <c r="AT27" s="169"/>
      <c r="AU27" s="168"/>
      <c r="AV27" s="169"/>
      <c r="AW27" s="168"/>
      <c r="AX27" s="181"/>
      <c r="AY27" s="181"/>
      <c r="AZ27" s="169"/>
      <c r="BA27" s="168"/>
      <c r="BB27" s="169"/>
      <c r="BC27" s="172"/>
    </row>
    <row r="28" spans="3:55" ht="18.75" thickBot="1">
      <c r="C28" s="693"/>
      <c r="D28" s="652"/>
      <c r="E28" s="655"/>
      <c r="F28" s="656"/>
      <c r="G28" s="656"/>
      <c r="H28" s="656"/>
      <c r="I28" s="656"/>
      <c r="J28" s="656"/>
      <c r="K28" s="656"/>
      <c r="L28" s="657"/>
      <c r="M28" s="658"/>
      <c r="N28" s="143" t="b">
        <v>0</v>
      </c>
      <c r="O28" s="645" t="s">
        <v>431</v>
      </c>
      <c r="P28" s="646"/>
      <c r="Q28" s="646"/>
      <c r="R28" s="646"/>
      <c r="S28" s="646"/>
      <c r="T28" s="646"/>
      <c r="U28" s="646"/>
      <c r="W28" s="651"/>
      <c r="X28" s="145" t="s">
        <v>368</v>
      </c>
      <c r="Y28" s="146">
        <f>BV6</f>
        <v>0</v>
      </c>
      <c r="AP28" s="173"/>
      <c r="AQ28" s="174"/>
      <c r="AR28" s="175"/>
      <c r="AS28" s="176"/>
      <c r="AT28" s="177"/>
      <c r="AU28" s="176"/>
      <c r="AV28" s="177"/>
      <c r="AW28" s="176"/>
      <c r="AX28" s="183"/>
      <c r="AY28" s="183"/>
      <c r="AZ28" s="177"/>
      <c r="BA28" s="176"/>
      <c r="BB28" s="177"/>
      <c r="BC28" s="180"/>
    </row>
    <row r="29" spans="3:55">
      <c r="C29" s="693"/>
      <c r="D29" s="652"/>
      <c r="E29" s="142">
        <v>18</v>
      </c>
      <c r="F29" s="614" t="s">
        <v>432</v>
      </c>
      <c r="G29" s="614"/>
      <c r="H29" s="614"/>
      <c r="I29" s="614"/>
      <c r="J29" s="614"/>
      <c r="K29" s="614"/>
      <c r="L29" s="657"/>
      <c r="M29" s="658"/>
      <c r="N29" s="143" t="b">
        <v>0</v>
      </c>
      <c r="O29" s="616"/>
      <c r="P29" s="617"/>
      <c r="Q29" s="617"/>
      <c r="R29" s="617"/>
      <c r="S29" s="617"/>
      <c r="T29" s="617"/>
      <c r="U29" s="617"/>
      <c r="AP29" s="184"/>
      <c r="AQ29" s="161"/>
      <c r="AR29" s="162"/>
      <c r="AS29" s="101"/>
      <c r="AT29" s="103"/>
      <c r="AU29" s="101"/>
      <c r="AV29" s="103"/>
      <c r="AW29" s="101"/>
      <c r="AX29" s="102"/>
      <c r="AY29" s="102"/>
      <c r="AZ29" s="103"/>
      <c r="BA29" s="101"/>
      <c r="BB29" s="103"/>
      <c r="BC29" s="163"/>
    </row>
    <row r="30" spans="3:55">
      <c r="C30" s="693"/>
      <c r="D30" s="652"/>
      <c r="E30" s="142">
        <v>19</v>
      </c>
      <c r="F30" s="614" t="s">
        <v>433</v>
      </c>
      <c r="G30" s="614"/>
      <c r="H30" s="614"/>
      <c r="I30" s="614"/>
      <c r="J30" s="614"/>
      <c r="K30" s="614"/>
      <c r="L30" s="657"/>
      <c r="M30" s="658"/>
      <c r="N30" s="143" t="b">
        <v>0</v>
      </c>
      <c r="O30" s="616"/>
      <c r="P30" s="617"/>
      <c r="Q30" s="617"/>
      <c r="R30" s="617"/>
      <c r="S30" s="617"/>
      <c r="T30" s="617"/>
      <c r="U30" s="617"/>
    </row>
    <row r="31" spans="3:55">
      <c r="C31" s="693"/>
      <c r="D31" s="652"/>
      <c r="E31" s="142">
        <v>20</v>
      </c>
      <c r="F31" s="614" t="s">
        <v>434</v>
      </c>
      <c r="G31" s="614"/>
      <c r="H31" s="614"/>
      <c r="I31" s="614"/>
      <c r="J31" s="614"/>
      <c r="K31" s="614"/>
      <c r="L31" s="657"/>
      <c r="M31" s="658"/>
      <c r="N31" s="143" t="b">
        <v>0</v>
      </c>
      <c r="O31" s="616"/>
      <c r="P31" s="617"/>
      <c r="Q31" s="617"/>
      <c r="R31" s="617"/>
      <c r="S31" s="617"/>
      <c r="T31" s="617"/>
      <c r="U31" s="617"/>
    </row>
    <row r="32" spans="3:55" ht="30.75" customHeight="1">
      <c r="C32" s="693"/>
      <c r="D32" s="652"/>
      <c r="E32" s="142">
        <v>21</v>
      </c>
      <c r="F32" s="614" t="s">
        <v>435</v>
      </c>
      <c r="G32" s="614"/>
      <c r="H32" s="614"/>
      <c r="I32" s="614"/>
      <c r="J32" s="614"/>
      <c r="K32" s="614"/>
      <c r="L32" s="622"/>
      <c r="M32" s="623"/>
      <c r="N32" s="143" t="b">
        <v>0</v>
      </c>
      <c r="O32" s="616" t="s">
        <v>436</v>
      </c>
      <c r="P32" s="617"/>
      <c r="Q32" s="617"/>
      <c r="R32" s="617"/>
      <c r="S32" s="617"/>
      <c r="T32" s="617"/>
      <c r="U32" s="617"/>
    </row>
    <row r="33" spans="3:21">
      <c r="C33" s="693"/>
      <c r="D33" s="618" t="s">
        <v>437</v>
      </c>
      <c r="E33" s="188">
        <v>22</v>
      </c>
      <c r="F33" s="636" t="s">
        <v>438</v>
      </c>
      <c r="G33" s="636"/>
      <c r="H33" s="636"/>
      <c r="I33" s="636"/>
      <c r="J33" s="636"/>
      <c r="K33" s="636"/>
      <c r="L33" s="637" t="s">
        <v>439</v>
      </c>
      <c r="M33" s="637"/>
      <c r="N33" s="189" t="b">
        <v>0</v>
      </c>
      <c r="O33" s="638" t="s">
        <v>440</v>
      </c>
      <c r="P33" s="638"/>
      <c r="Q33" s="638"/>
      <c r="R33" s="638"/>
      <c r="S33" s="638"/>
      <c r="T33" s="638"/>
      <c r="U33" s="638"/>
    </row>
    <row r="34" spans="3:21">
      <c r="C34" s="693"/>
      <c r="D34" s="618"/>
      <c r="E34" s="142">
        <v>23</v>
      </c>
      <c r="F34" s="614" t="s">
        <v>441</v>
      </c>
      <c r="G34" s="614"/>
      <c r="H34" s="614"/>
      <c r="I34" s="614"/>
      <c r="J34" s="614"/>
      <c r="K34" s="614"/>
      <c r="L34" s="620" t="s">
        <v>442</v>
      </c>
      <c r="M34" s="621"/>
      <c r="N34" s="143" t="b">
        <v>0</v>
      </c>
      <c r="O34" s="645" t="s">
        <v>443</v>
      </c>
      <c r="P34" s="646"/>
      <c r="Q34" s="646"/>
      <c r="R34" s="646"/>
      <c r="S34" s="646"/>
      <c r="T34" s="646"/>
      <c r="U34" s="646"/>
    </row>
    <row r="35" spans="3:21">
      <c r="C35" s="693"/>
      <c r="D35" s="618"/>
      <c r="E35" s="142">
        <v>24</v>
      </c>
      <c r="F35" s="614" t="s">
        <v>444</v>
      </c>
      <c r="G35" s="614"/>
      <c r="H35" s="614"/>
      <c r="I35" s="614"/>
      <c r="J35" s="614"/>
      <c r="K35" s="614"/>
      <c r="L35" s="622"/>
      <c r="M35" s="623"/>
      <c r="N35" s="143" t="b">
        <v>0</v>
      </c>
      <c r="O35" s="616"/>
      <c r="P35" s="617"/>
      <c r="Q35" s="617"/>
      <c r="R35" s="617"/>
      <c r="S35" s="617"/>
      <c r="T35" s="617"/>
      <c r="U35" s="617"/>
    </row>
    <row r="36" spans="3:21">
      <c r="C36" s="693"/>
      <c r="D36" s="618"/>
      <c r="E36" s="142">
        <v>25</v>
      </c>
      <c r="F36" s="614" t="s">
        <v>445</v>
      </c>
      <c r="G36" s="614"/>
      <c r="H36" s="614"/>
      <c r="I36" s="614"/>
      <c r="J36" s="614"/>
      <c r="K36" s="614"/>
      <c r="L36" s="615" t="s">
        <v>446</v>
      </c>
      <c r="M36" s="615"/>
      <c r="N36" s="143" t="b">
        <v>0</v>
      </c>
      <c r="O36" s="616"/>
      <c r="P36" s="617"/>
      <c r="Q36" s="617"/>
      <c r="R36" s="617"/>
      <c r="S36" s="617"/>
      <c r="T36" s="617"/>
      <c r="U36" s="617"/>
    </row>
    <row r="37" spans="3:21">
      <c r="C37" s="693"/>
      <c r="D37" s="618"/>
      <c r="E37" s="142">
        <v>26</v>
      </c>
      <c r="F37" s="629" t="s">
        <v>447</v>
      </c>
      <c r="G37" s="630"/>
      <c r="H37" s="630"/>
      <c r="I37" s="630"/>
      <c r="J37" s="630"/>
      <c r="K37" s="631"/>
      <c r="L37" s="632" t="s">
        <v>448</v>
      </c>
      <c r="M37" s="633"/>
      <c r="N37" s="143" t="b">
        <v>0</v>
      </c>
      <c r="O37" s="616"/>
      <c r="P37" s="617"/>
      <c r="Q37" s="617"/>
      <c r="R37" s="617"/>
      <c r="S37" s="617"/>
      <c r="T37" s="617"/>
      <c r="U37" s="617"/>
    </row>
    <row r="38" spans="3:21">
      <c r="C38" s="693"/>
      <c r="D38" s="618"/>
      <c r="E38" s="142">
        <v>27</v>
      </c>
      <c r="F38" s="614" t="s">
        <v>449</v>
      </c>
      <c r="G38" s="614"/>
      <c r="H38" s="614"/>
      <c r="I38" s="614"/>
      <c r="J38" s="614"/>
      <c r="K38" s="614"/>
      <c r="L38" s="634"/>
      <c r="M38" s="635"/>
      <c r="N38" s="143" t="b">
        <v>0</v>
      </c>
      <c r="O38" s="616" t="s">
        <v>450</v>
      </c>
      <c r="P38" s="617"/>
      <c r="Q38" s="617"/>
      <c r="R38" s="617"/>
      <c r="S38" s="617"/>
      <c r="T38" s="617"/>
      <c r="U38" s="617"/>
    </row>
    <row r="39" spans="3:21">
      <c r="C39" s="693"/>
      <c r="D39" s="618" t="s">
        <v>451</v>
      </c>
      <c r="E39" s="188">
        <v>28</v>
      </c>
      <c r="F39" s="636" t="s">
        <v>452</v>
      </c>
      <c r="G39" s="636"/>
      <c r="H39" s="636"/>
      <c r="I39" s="636"/>
      <c r="J39" s="636"/>
      <c r="K39" s="636"/>
      <c r="L39" s="637" t="s">
        <v>453</v>
      </c>
      <c r="M39" s="637"/>
      <c r="N39" s="189" t="b">
        <v>0</v>
      </c>
      <c r="O39" s="638"/>
      <c r="P39" s="638"/>
      <c r="Q39" s="638"/>
      <c r="R39" s="638"/>
      <c r="S39" s="638"/>
      <c r="T39" s="638"/>
      <c r="U39" s="638"/>
    </row>
    <row r="40" spans="3:21">
      <c r="C40" s="693"/>
      <c r="D40" s="618"/>
      <c r="E40" s="142">
        <v>29</v>
      </c>
      <c r="F40" s="614" t="s">
        <v>454</v>
      </c>
      <c r="G40" s="614"/>
      <c r="H40" s="614"/>
      <c r="I40" s="614"/>
      <c r="J40" s="614"/>
      <c r="K40" s="614"/>
      <c r="L40" s="615" t="s">
        <v>455</v>
      </c>
      <c r="M40" s="615"/>
      <c r="N40" s="143" t="b">
        <v>0</v>
      </c>
      <c r="O40" s="616"/>
      <c r="P40" s="617"/>
      <c r="Q40" s="617"/>
      <c r="R40" s="617"/>
      <c r="S40" s="617"/>
      <c r="T40" s="617"/>
      <c r="U40" s="617"/>
    </row>
    <row r="41" spans="3:21">
      <c r="C41" s="693"/>
      <c r="D41" s="618"/>
      <c r="E41" s="190">
        <v>30</v>
      </c>
      <c r="F41" s="612" t="s">
        <v>456</v>
      </c>
      <c r="G41" s="612"/>
      <c r="H41" s="612"/>
      <c r="I41" s="612"/>
      <c r="J41" s="612"/>
      <c r="K41" s="612"/>
      <c r="L41" s="639" t="s">
        <v>457</v>
      </c>
      <c r="M41" s="640"/>
      <c r="N41" s="191" t="b">
        <v>0</v>
      </c>
      <c r="O41" s="613" t="s">
        <v>458</v>
      </c>
      <c r="P41" s="613"/>
      <c r="Q41" s="613"/>
      <c r="R41" s="613"/>
      <c r="S41" s="613"/>
      <c r="T41" s="613"/>
      <c r="U41" s="613"/>
    </row>
    <row r="42" spans="3:21">
      <c r="C42" s="693"/>
      <c r="D42" s="618"/>
      <c r="E42" s="190">
        <v>31</v>
      </c>
      <c r="F42" s="612" t="s">
        <v>459</v>
      </c>
      <c r="G42" s="612"/>
      <c r="H42" s="612"/>
      <c r="I42" s="612"/>
      <c r="J42" s="612"/>
      <c r="K42" s="612"/>
      <c r="L42" s="641"/>
      <c r="M42" s="642"/>
      <c r="N42" s="191" t="b">
        <v>0</v>
      </c>
      <c r="O42" s="613"/>
      <c r="P42" s="613"/>
      <c r="Q42" s="613"/>
      <c r="R42" s="613"/>
      <c r="S42" s="613"/>
      <c r="T42" s="613"/>
      <c r="U42" s="613"/>
    </row>
    <row r="43" spans="3:21">
      <c r="C43" s="693"/>
      <c r="D43" s="618"/>
      <c r="E43" s="190">
        <v>32</v>
      </c>
      <c r="F43" s="612" t="s">
        <v>460</v>
      </c>
      <c r="G43" s="612"/>
      <c r="H43" s="612"/>
      <c r="I43" s="612"/>
      <c r="J43" s="612"/>
      <c r="K43" s="612"/>
      <c r="L43" s="641"/>
      <c r="M43" s="642"/>
      <c r="N43" s="191" t="b">
        <v>0</v>
      </c>
      <c r="O43" s="613"/>
      <c r="P43" s="613"/>
      <c r="Q43" s="613"/>
      <c r="R43" s="613"/>
      <c r="S43" s="613"/>
      <c r="T43" s="613"/>
      <c r="U43" s="613"/>
    </row>
    <row r="44" spans="3:21">
      <c r="C44" s="693"/>
      <c r="D44" s="618"/>
      <c r="E44" s="190">
        <v>33</v>
      </c>
      <c r="F44" s="612" t="s">
        <v>461</v>
      </c>
      <c r="G44" s="612"/>
      <c r="H44" s="612"/>
      <c r="I44" s="612"/>
      <c r="J44" s="612"/>
      <c r="K44" s="612"/>
      <c r="L44" s="641"/>
      <c r="M44" s="642"/>
      <c r="N44" s="191" t="b">
        <v>0</v>
      </c>
      <c r="O44" s="613"/>
      <c r="P44" s="613"/>
      <c r="Q44" s="613"/>
      <c r="R44" s="613"/>
      <c r="S44" s="613"/>
      <c r="T44" s="613"/>
      <c r="U44" s="613"/>
    </row>
    <row r="45" spans="3:21">
      <c r="C45" s="693"/>
      <c r="D45" s="618"/>
      <c r="E45" s="190">
        <v>34</v>
      </c>
      <c r="F45" s="612" t="s">
        <v>462</v>
      </c>
      <c r="G45" s="612"/>
      <c r="H45" s="612"/>
      <c r="I45" s="612"/>
      <c r="J45" s="612"/>
      <c r="K45" s="612"/>
      <c r="L45" s="643"/>
      <c r="M45" s="644"/>
      <c r="N45" s="191" t="b">
        <v>0</v>
      </c>
      <c r="O45" s="613"/>
      <c r="P45" s="613"/>
      <c r="Q45" s="613"/>
      <c r="R45" s="613"/>
      <c r="S45" s="613"/>
      <c r="T45" s="613"/>
      <c r="U45" s="613"/>
    </row>
    <row r="46" spans="3:21">
      <c r="C46" s="693"/>
      <c r="D46" s="618"/>
      <c r="E46" s="142">
        <v>35</v>
      </c>
      <c r="F46" s="614" t="s">
        <v>463</v>
      </c>
      <c r="G46" s="614"/>
      <c r="H46" s="614"/>
      <c r="I46" s="614"/>
      <c r="J46" s="614"/>
      <c r="K46" s="614"/>
      <c r="L46" s="615" t="s">
        <v>464</v>
      </c>
      <c r="M46" s="615"/>
      <c r="N46" s="143" t="b">
        <v>0</v>
      </c>
      <c r="O46" s="616"/>
      <c r="P46" s="617"/>
      <c r="Q46" s="617"/>
      <c r="R46" s="617"/>
      <c r="S46" s="617"/>
      <c r="T46" s="617"/>
      <c r="U46" s="617"/>
    </row>
    <row r="47" spans="3:21">
      <c r="C47" s="693"/>
      <c r="D47" s="618"/>
      <c r="E47" s="142">
        <v>36</v>
      </c>
      <c r="F47" s="614" t="s">
        <v>465</v>
      </c>
      <c r="G47" s="614"/>
      <c r="H47" s="614"/>
      <c r="I47" s="614"/>
      <c r="J47" s="614"/>
      <c r="K47" s="614"/>
      <c r="L47" s="615" t="s">
        <v>446</v>
      </c>
      <c r="M47" s="615"/>
      <c r="N47" s="143" t="b">
        <v>0</v>
      </c>
      <c r="O47" s="616"/>
      <c r="P47" s="617"/>
      <c r="Q47" s="617"/>
      <c r="R47" s="617"/>
      <c r="S47" s="617"/>
      <c r="T47" s="617"/>
      <c r="U47" s="617"/>
    </row>
    <row r="48" spans="3:21">
      <c r="C48" s="693"/>
      <c r="D48" s="618" t="s">
        <v>466</v>
      </c>
      <c r="E48" s="142">
        <v>37</v>
      </c>
      <c r="F48" s="614" t="s">
        <v>467</v>
      </c>
      <c r="G48" s="614"/>
      <c r="H48" s="614"/>
      <c r="I48" s="614"/>
      <c r="J48" s="614"/>
      <c r="K48" s="614"/>
      <c r="L48" s="620" t="s">
        <v>468</v>
      </c>
      <c r="M48" s="621"/>
      <c r="N48" s="143" t="b">
        <v>0</v>
      </c>
      <c r="O48" s="616"/>
      <c r="P48" s="617"/>
      <c r="Q48" s="617"/>
      <c r="R48" s="617"/>
      <c r="S48" s="617"/>
      <c r="T48" s="617"/>
      <c r="U48" s="617"/>
    </row>
    <row r="49" spans="3:21">
      <c r="C49" s="694"/>
      <c r="D49" s="619"/>
      <c r="E49" s="142">
        <v>38</v>
      </c>
      <c r="F49" s="624" t="s">
        <v>469</v>
      </c>
      <c r="G49" s="625"/>
      <c r="H49" s="625"/>
      <c r="I49" s="625"/>
      <c r="J49" s="625"/>
      <c r="K49" s="626"/>
      <c r="L49" s="622"/>
      <c r="M49" s="623"/>
      <c r="N49" s="192" t="b">
        <v>0</v>
      </c>
      <c r="O49" s="627"/>
      <c r="P49" s="628"/>
      <c r="Q49" s="628"/>
      <c r="R49" s="628"/>
      <c r="S49" s="628"/>
      <c r="T49" s="628"/>
      <c r="U49" s="628"/>
    </row>
    <row r="50" spans="3:21" ht="16.5" customHeight="1"/>
    <row r="51" spans="3:21" ht="17.25" customHeight="1"/>
    <row r="52" spans="3:21" ht="16.5" customHeight="1"/>
  </sheetData>
  <mergeCells count="157"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</mergeCells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C2697-3E5E-416A-A634-1F260958646E}">
  <sheetPr codeName="Sheet23"/>
  <dimension ref="A1:AA89"/>
  <sheetViews>
    <sheetView topLeftCell="E1" workbookViewId="0">
      <selection activeCell="AB15" sqref="AB15"/>
    </sheetView>
  </sheetViews>
  <sheetFormatPr defaultColWidth="9" defaultRowHeight="12.75"/>
  <cols>
    <col min="1" max="2" width="9" style="275"/>
    <col min="3" max="3" width="10" style="319" customWidth="1"/>
    <col min="4" max="4" width="77.85546875" style="275" bestFit="1" customWidth="1"/>
    <col min="5" max="5" width="17.28515625" style="275" bestFit="1" customWidth="1"/>
    <col min="6" max="6" width="9" style="275"/>
    <col min="7" max="7" width="46.85546875" style="275" customWidth="1"/>
    <col min="8" max="8" width="9" style="276"/>
    <col min="9" max="9" width="7.28515625" style="275" bestFit="1" customWidth="1"/>
    <col min="10" max="11" width="9" style="275"/>
    <col min="12" max="12" width="5.42578125" style="275" bestFit="1" customWidth="1"/>
    <col min="13" max="13" width="21.42578125" style="275" bestFit="1" customWidth="1"/>
    <col min="14" max="14" width="8.140625" style="275" bestFit="1" customWidth="1"/>
    <col min="15" max="15" width="18.42578125" style="275" customWidth="1"/>
    <col min="16" max="16" width="7.28515625" style="275" bestFit="1" customWidth="1"/>
    <col min="17" max="17" width="9" style="275" customWidth="1"/>
    <col min="18" max="18" width="9" style="275"/>
    <col min="19" max="19" width="9" style="275" customWidth="1"/>
    <col min="20" max="20" width="9" style="275"/>
    <col min="21" max="21" width="8.85546875" style="275" bestFit="1" customWidth="1"/>
    <col min="22" max="23" width="9" style="275"/>
    <col min="24" max="24" width="3.85546875" style="275" customWidth="1"/>
    <col min="25" max="27" width="8.85546875" style="275" bestFit="1" customWidth="1"/>
    <col min="28" max="16384" width="9" style="275"/>
  </cols>
  <sheetData>
    <row r="1" spans="1:27" ht="15" thickBot="1">
      <c r="A1" s="298" t="s">
        <v>898</v>
      </c>
      <c r="B1" s="301">
        <v>5</v>
      </c>
      <c r="C1" s="447"/>
      <c r="D1" s="300" t="s">
        <v>552</v>
      </c>
      <c r="E1" s="299"/>
    </row>
    <row r="2" spans="1:27" ht="13.5" thickTop="1">
      <c r="A2" s="298"/>
      <c r="B2" s="298"/>
      <c r="C2" s="446"/>
    </row>
    <row r="3" spans="1:27">
      <c r="A3" s="298"/>
      <c r="B3" s="762" t="s">
        <v>1326</v>
      </c>
      <c r="C3" s="763"/>
      <c r="D3" s="763"/>
      <c r="E3" s="763"/>
      <c r="F3" s="763"/>
      <c r="G3" s="763"/>
      <c r="I3" s="741" t="s">
        <v>554</v>
      </c>
      <c r="J3" s="741"/>
      <c r="K3" s="741"/>
      <c r="L3" s="741"/>
      <c r="M3" s="741"/>
      <c r="N3" s="741"/>
      <c r="O3" s="741"/>
      <c r="P3" s="741"/>
      <c r="Q3" s="741"/>
      <c r="S3" s="741" t="s">
        <v>924</v>
      </c>
      <c r="T3" s="741"/>
      <c r="U3" s="741"/>
      <c r="V3" s="741"/>
      <c r="W3" s="741"/>
      <c r="X3" s="741"/>
      <c r="Y3" s="741"/>
      <c r="Z3" s="741"/>
      <c r="AA3" s="741"/>
    </row>
    <row r="4" spans="1:27" ht="13.5" thickBot="1">
      <c r="A4" s="298"/>
      <c r="B4" s="764"/>
      <c r="C4" s="764"/>
      <c r="D4" s="764"/>
      <c r="E4" s="764"/>
      <c r="F4" s="764"/>
      <c r="G4" s="764"/>
      <c r="I4" s="742"/>
      <c r="J4" s="742"/>
      <c r="K4" s="742"/>
      <c r="L4" s="742"/>
      <c r="M4" s="742"/>
      <c r="N4" s="742"/>
      <c r="O4" s="742"/>
      <c r="P4" s="742"/>
      <c r="Q4" s="742"/>
      <c r="S4" s="742"/>
      <c r="T4" s="742"/>
      <c r="U4" s="742"/>
      <c r="V4" s="742"/>
      <c r="W4" s="742"/>
      <c r="X4" s="742"/>
      <c r="Y4" s="742"/>
      <c r="Z4" s="742"/>
      <c r="AA4" s="742"/>
    </row>
    <row r="5" spans="1:27" ht="26.25" thickTop="1">
      <c r="A5" s="297"/>
      <c r="B5" s="573" t="s">
        <v>696</v>
      </c>
      <c r="C5" s="578" t="s">
        <v>923</v>
      </c>
      <c r="D5" s="572" t="s">
        <v>1318</v>
      </c>
      <c r="E5" s="573" t="s">
        <v>782</v>
      </c>
      <c r="F5" s="575" t="s">
        <v>781</v>
      </c>
      <c r="G5" s="574" t="s">
        <v>897</v>
      </c>
      <c r="I5" s="308" t="s">
        <v>550</v>
      </c>
      <c r="J5" s="308"/>
      <c r="K5" s="308"/>
      <c r="L5" s="308"/>
      <c r="M5" s="308"/>
      <c r="N5" s="308"/>
      <c r="O5" s="308"/>
      <c r="P5" s="308"/>
      <c r="Q5" s="308"/>
      <c r="T5" s="279"/>
      <c r="U5" s="279"/>
      <c r="V5" s="279"/>
      <c r="W5" s="279"/>
      <c r="X5" s="279"/>
      <c r="Z5" s="279"/>
      <c r="AA5" s="279"/>
    </row>
    <row r="6" spans="1:27" ht="25.5">
      <c r="B6" s="580">
        <v>0</v>
      </c>
      <c r="C6" s="580"/>
      <c r="D6" s="581" t="s">
        <v>1319</v>
      </c>
      <c r="E6" s="580"/>
      <c r="F6" s="580"/>
      <c r="G6" s="580"/>
      <c r="I6" s="309" t="s">
        <v>551</v>
      </c>
      <c r="J6" s="309"/>
      <c r="K6" s="309"/>
      <c r="L6" s="309"/>
      <c r="M6" s="309"/>
      <c r="N6" s="309"/>
      <c r="O6" s="309"/>
      <c r="P6" s="309"/>
      <c r="Q6" s="309"/>
      <c r="S6" s="1748" t="s">
        <v>1483</v>
      </c>
      <c r="T6" s="1749"/>
      <c r="U6" s="1749"/>
      <c r="V6" s="1749"/>
      <c r="W6" s="1749"/>
      <c r="X6" s="279"/>
      <c r="Y6" s="1748" t="s">
        <v>1484</v>
      </c>
      <c r="Z6" s="1749"/>
      <c r="AA6" s="1749"/>
    </row>
    <row r="7" spans="1:27" ht="18">
      <c r="B7" s="579">
        <v>1</v>
      </c>
      <c r="C7" s="576" t="s">
        <v>922</v>
      </c>
      <c r="D7" s="282" t="s">
        <v>921</v>
      </c>
      <c r="E7" s="281" t="s">
        <v>920</v>
      </c>
      <c r="F7" s="425" t="s">
        <v>919</v>
      </c>
      <c r="G7" s="280"/>
      <c r="I7" s="309" t="s">
        <v>549</v>
      </c>
      <c r="J7" s="309"/>
      <c r="K7" s="309"/>
      <c r="L7" s="309"/>
      <c r="M7" s="309"/>
      <c r="N7" s="309"/>
      <c r="O7" s="309"/>
      <c r="P7" s="309"/>
      <c r="Q7" s="309"/>
      <c r="S7" s="445"/>
      <c r="T7" s="445"/>
      <c r="U7" s="445"/>
      <c r="V7" s="445"/>
      <c r="W7" s="445"/>
      <c r="X7" s="276"/>
      <c r="Y7" s="444"/>
      <c r="Z7" s="444"/>
      <c r="AA7" s="444"/>
    </row>
    <row r="8" spans="1:27" ht="27" thickBot="1">
      <c r="B8" s="283">
        <v>2</v>
      </c>
      <c r="C8" s="576"/>
      <c r="D8" s="282" t="s">
        <v>553</v>
      </c>
      <c r="E8" s="281" t="s">
        <v>919</v>
      </c>
      <c r="F8" s="425" t="s">
        <v>919</v>
      </c>
      <c r="G8" s="280"/>
      <c r="I8" s="306" t="s">
        <v>573</v>
      </c>
      <c r="J8" s="307"/>
      <c r="K8" s="307"/>
      <c r="L8" s="307"/>
      <c r="M8" s="307"/>
      <c r="N8" s="307"/>
      <c r="O8" s="307"/>
      <c r="P8" s="307"/>
      <c r="Q8" s="307"/>
      <c r="S8" s="747" t="s">
        <v>912</v>
      </c>
      <c r="T8" s="747"/>
      <c r="U8" s="747"/>
      <c r="V8" s="747"/>
      <c r="W8" s="747"/>
      <c r="Y8" s="751" t="s">
        <v>565</v>
      </c>
      <c r="Z8" s="751"/>
      <c r="AA8" s="751"/>
    </row>
    <row r="9" spans="1:27" ht="21.75" thickTop="1" thickBot="1">
      <c r="B9" s="283">
        <v>3</v>
      </c>
      <c r="C9" s="576"/>
      <c r="D9" s="585" t="s">
        <v>100</v>
      </c>
      <c r="E9" s="281" t="s">
        <v>919</v>
      </c>
      <c r="F9" s="425" t="s">
        <v>919</v>
      </c>
      <c r="G9" s="280"/>
      <c r="I9" s="754" t="s">
        <v>333</v>
      </c>
      <c r="J9" s="754"/>
      <c r="K9" s="754"/>
      <c r="L9" s="754"/>
      <c r="M9" s="754"/>
      <c r="N9" s="754"/>
      <c r="O9" s="754"/>
      <c r="P9" s="754"/>
      <c r="Q9" s="754"/>
      <c r="S9" s="311" t="s">
        <v>567</v>
      </c>
      <c r="T9" s="312"/>
      <c r="U9" s="386" t="s">
        <v>568</v>
      </c>
      <c r="V9" s="748" t="s">
        <v>569</v>
      </c>
      <c r="W9" s="748"/>
      <c r="Y9" s="318" t="s">
        <v>566</v>
      </c>
      <c r="Z9" s="443" t="s">
        <v>566</v>
      </c>
      <c r="AA9" s="318" t="s">
        <v>566</v>
      </c>
    </row>
    <row r="10" spans="1:27" ht="21" thickTop="1">
      <c r="B10" s="283">
        <v>4</v>
      </c>
      <c r="C10" s="577"/>
      <c r="D10" s="586" t="s">
        <v>1327</v>
      </c>
      <c r="E10" s="281" t="s">
        <v>919</v>
      </c>
      <c r="F10" s="425" t="s">
        <v>919</v>
      </c>
      <c r="G10" s="280"/>
      <c r="I10" s="276"/>
      <c r="J10" s="276"/>
      <c r="K10" s="276"/>
      <c r="L10" s="276"/>
      <c r="M10" s="276"/>
      <c r="N10" s="276"/>
      <c r="O10" s="276"/>
      <c r="P10" s="276"/>
      <c r="Q10" s="276"/>
      <c r="S10" s="743" t="s">
        <v>571</v>
      </c>
      <c r="T10" s="744"/>
      <c r="U10" s="442" t="s">
        <v>566</v>
      </c>
      <c r="V10" s="749" t="s">
        <v>570</v>
      </c>
      <c r="W10" s="749"/>
      <c r="Y10" s="317" t="s">
        <v>570</v>
      </c>
      <c r="Z10" s="441" t="s">
        <v>570</v>
      </c>
      <c r="AA10" s="317" t="s">
        <v>570</v>
      </c>
    </row>
    <row r="11" spans="1:27" ht="27" thickBot="1">
      <c r="B11" s="283">
        <v>5</v>
      </c>
      <c r="C11" s="765" t="s">
        <v>918</v>
      </c>
      <c r="D11" s="284" t="s">
        <v>1328</v>
      </c>
      <c r="E11" s="281" t="s">
        <v>375</v>
      </c>
      <c r="F11" s="425" t="s">
        <v>765</v>
      </c>
      <c r="G11" s="280"/>
      <c r="I11" s="756" t="s">
        <v>780</v>
      </c>
      <c r="J11" s="756"/>
      <c r="K11" s="756"/>
      <c r="L11" s="756"/>
      <c r="M11" s="756"/>
      <c r="N11" s="756"/>
      <c r="O11" s="756"/>
      <c r="P11" s="756"/>
      <c r="Q11" s="756"/>
      <c r="S11" s="745"/>
      <c r="T11" s="746"/>
      <c r="U11" s="440" t="s">
        <v>566</v>
      </c>
      <c r="V11" s="750" t="s">
        <v>570</v>
      </c>
      <c r="W11" s="750"/>
      <c r="Y11" s="316" t="s">
        <v>570</v>
      </c>
      <c r="Z11" s="439" t="s">
        <v>570</v>
      </c>
      <c r="AA11" s="316" t="s">
        <v>570</v>
      </c>
    </row>
    <row r="12" spans="1:27" ht="21.75" thickTop="1" thickBot="1">
      <c r="B12" s="283">
        <v>6</v>
      </c>
      <c r="C12" s="766"/>
      <c r="D12" s="284" t="s">
        <v>1329</v>
      </c>
      <c r="E12" s="281" t="s">
        <v>375</v>
      </c>
      <c r="F12" s="425" t="s">
        <v>765</v>
      </c>
      <c r="G12" s="280"/>
      <c r="I12" s="295" t="s">
        <v>779</v>
      </c>
      <c r="J12" s="304" t="s">
        <v>778</v>
      </c>
      <c r="K12" s="305"/>
      <c r="L12" s="296" t="s">
        <v>777</v>
      </c>
      <c r="M12" s="296" t="s">
        <v>776</v>
      </c>
      <c r="N12" s="296" t="s">
        <v>775</v>
      </c>
      <c r="O12" s="296" t="s">
        <v>774</v>
      </c>
      <c r="P12" s="437" t="s">
        <v>521</v>
      </c>
      <c r="Q12" s="295"/>
      <c r="S12" s="436"/>
      <c r="T12" s="436"/>
      <c r="U12" s="436"/>
      <c r="V12" s="436"/>
      <c r="W12" s="436"/>
    </row>
    <row r="13" spans="1:27" ht="54.75" thickTop="1">
      <c r="B13" s="283">
        <v>7</v>
      </c>
      <c r="C13" s="283" t="s">
        <v>917</v>
      </c>
      <c r="D13" s="438" t="s">
        <v>1324</v>
      </c>
      <c r="E13" s="584" t="s">
        <v>1323</v>
      </c>
      <c r="F13" s="425" t="s">
        <v>765</v>
      </c>
      <c r="G13" s="435" t="s">
        <v>916</v>
      </c>
      <c r="I13" s="294" t="s">
        <v>773</v>
      </c>
      <c r="J13" s="302" t="s">
        <v>515</v>
      </c>
      <c r="K13" s="303"/>
      <c r="L13" s="293">
        <v>20</v>
      </c>
      <c r="M13" s="293" t="s">
        <v>520</v>
      </c>
      <c r="N13" s="293" t="s">
        <v>517</v>
      </c>
      <c r="O13" s="293" t="s">
        <v>555</v>
      </c>
      <c r="P13" s="292" t="s">
        <v>556</v>
      </c>
      <c r="Q13" s="292"/>
      <c r="S13" s="1749" t="s">
        <v>1485</v>
      </c>
      <c r="T13" s="1749"/>
      <c r="U13" s="1749"/>
      <c r="V13" s="1749"/>
      <c r="W13" s="1749"/>
    </row>
    <row r="14" spans="1:27" ht="40.5">
      <c r="B14" s="283">
        <v>8</v>
      </c>
      <c r="C14" s="283" t="s">
        <v>915</v>
      </c>
      <c r="D14" s="284" t="s">
        <v>1325</v>
      </c>
      <c r="E14" s="584" t="s">
        <v>1323</v>
      </c>
      <c r="F14" s="425" t="s">
        <v>765</v>
      </c>
      <c r="G14" s="435" t="s">
        <v>914</v>
      </c>
      <c r="I14" s="290" t="s">
        <v>772</v>
      </c>
      <c r="J14" s="302" t="s">
        <v>515</v>
      </c>
      <c r="K14" s="303"/>
      <c r="L14" s="289">
        <v>14</v>
      </c>
      <c r="M14" s="289" t="s">
        <v>557</v>
      </c>
      <c r="N14" s="289" t="s">
        <v>516</v>
      </c>
      <c r="O14" s="289" t="s">
        <v>558</v>
      </c>
      <c r="P14" s="288" t="s">
        <v>556</v>
      </c>
      <c r="Q14" s="288"/>
      <c r="S14" s="434"/>
      <c r="T14" s="434"/>
      <c r="U14" s="434"/>
      <c r="V14" s="434"/>
      <c r="W14" s="434"/>
    </row>
    <row r="15" spans="1:27" ht="26.25">
      <c r="B15" s="283">
        <v>9</v>
      </c>
      <c r="C15" s="767" t="s">
        <v>913</v>
      </c>
      <c r="D15" s="284" t="s">
        <v>1056</v>
      </c>
      <c r="E15" s="281" t="s">
        <v>375</v>
      </c>
      <c r="F15" s="432" t="s">
        <v>766</v>
      </c>
      <c r="G15" s="280"/>
      <c r="I15" s="290" t="s">
        <v>771</v>
      </c>
      <c r="J15" s="302" t="s">
        <v>515</v>
      </c>
      <c r="K15" s="303"/>
      <c r="L15" s="289">
        <v>12</v>
      </c>
      <c r="M15" s="289" t="s">
        <v>559</v>
      </c>
      <c r="N15" s="289" t="s">
        <v>518</v>
      </c>
      <c r="O15" s="289" t="s">
        <v>560</v>
      </c>
      <c r="P15" s="288" t="s">
        <v>556</v>
      </c>
      <c r="Q15" s="288"/>
      <c r="S15" s="761" t="s">
        <v>912</v>
      </c>
      <c r="T15" s="761"/>
      <c r="U15" s="761"/>
      <c r="V15" s="761"/>
      <c r="W15" s="761"/>
    </row>
    <row r="16" spans="1:27" ht="41.25" thickBot="1">
      <c r="B16" s="283">
        <v>10</v>
      </c>
      <c r="C16" s="768"/>
      <c r="D16" s="284" t="s">
        <v>1055</v>
      </c>
      <c r="E16" s="281" t="s">
        <v>375</v>
      </c>
      <c r="F16" s="432" t="s">
        <v>766</v>
      </c>
      <c r="G16" s="433" t="s">
        <v>989</v>
      </c>
      <c r="I16" s="290" t="s">
        <v>770</v>
      </c>
      <c r="J16" s="302" t="s">
        <v>515</v>
      </c>
      <c r="K16" s="303"/>
      <c r="L16" s="289">
        <v>14</v>
      </c>
      <c r="M16" s="289" t="s">
        <v>557</v>
      </c>
      <c r="N16" s="289" t="s">
        <v>516</v>
      </c>
      <c r="O16" s="289" t="s">
        <v>561</v>
      </c>
      <c r="P16" s="288" t="s">
        <v>556</v>
      </c>
      <c r="Q16" s="288"/>
      <c r="S16" s="311" t="s">
        <v>567</v>
      </c>
      <c r="T16" s="312"/>
      <c r="U16" s="313" t="s">
        <v>568</v>
      </c>
      <c r="V16" s="759" t="s">
        <v>569</v>
      </c>
      <c r="W16" s="748"/>
    </row>
    <row r="17" spans="2:23" ht="21" thickTop="1">
      <c r="B17" s="283">
        <v>11</v>
      </c>
      <c r="C17" s="768"/>
      <c r="D17" s="284" t="s">
        <v>1330</v>
      </c>
      <c r="E17" s="281" t="s">
        <v>375</v>
      </c>
      <c r="F17" s="432" t="s">
        <v>766</v>
      </c>
      <c r="G17" s="280"/>
      <c r="I17" s="290" t="s">
        <v>769</v>
      </c>
      <c r="J17" s="302" t="s">
        <v>515</v>
      </c>
      <c r="K17" s="303"/>
      <c r="L17" s="289">
        <v>12</v>
      </c>
      <c r="M17" s="289" t="s">
        <v>559</v>
      </c>
      <c r="N17" s="289" t="s">
        <v>519</v>
      </c>
      <c r="O17" s="289" t="s">
        <v>555</v>
      </c>
      <c r="P17" s="288" t="s">
        <v>562</v>
      </c>
      <c r="Q17" s="288"/>
      <c r="S17" s="743" t="s">
        <v>571</v>
      </c>
      <c r="T17" s="744"/>
      <c r="U17" s="314" t="s">
        <v>566</v>
      </c>
      <c r="V17" s="749" t="s">
        <v>570</v>
      </c>
      <c r="W17" s="749"/>
    </row>
    <row r="18" spans="2:23" ht="20.25">
      <c r="B18" s="283">
        <v>12</v>
      </c>
      <c r="C18" s="766"/>
      <c r="D18" s="284" t="s">
        <v>1190</v>
      </c>
      <c r="E18" s="281" t="s">
        <v>375</v>
      </c>
      <c r="F18" s="425" t="s">
        <v>765</v>
      </c>
      <c r="G18" s="280"/>
      <c r="I18" s="290" t="s">
        <v>768</v>
      </c>
      <c r="J18" s="302" t="s">
        <v>515</v>
      </c>
      <c r="K18" s="303"/>
      <c r="L18" s="289">
        <v>14</v>
      </c>
      <c r="M18" s="289" t="s">
        <v>557</v>
      </c>
      <c r="N18" s="289" t="s">
        <v>516</v>
      </c>
      <c r="O18" s="289" t="s">
        <v>561</v>
      </c>
      <c r="P18" s="288" t="s">
        <v>556</v>
      </c>
      <c r="Q18" s="288"/>
      <c r="S18" s="757"/>
      <c r="T18" s="758"/>
      <c r="U18" s="310" t="s">
        <v>566</v>
      </c>
      <c r="V18" s="760" t="s">
        <v>570</v>
      </c>
      <c r="W18" s="760"/>
    </row>
    <row r="19" spans="2:23" ht="20.25">
      <c r="B19" s="283">
        <v>13</v>
      </c>
      <c r="C19" s="765" t="s">
        <v>911</v>
      </c>
      <c r="D19" s="284" t="s">
        <v>1331</v>
      </c>
      <c r="E19" s="285" t="s">
        <v>695</v>
      </c>
      <c r="F19" s="432" t="s">
        <v>766</v>
      </c>
      <c r="G19" s="280"/>
      <c r="I19" s="290" t="s">
        <v>767</v>
      </c>
      <c r="J19" s="302" t="s">
        <v>515</v>
      </c>
      <c r="K19" s="303"/>
      <c r="L19" s="289">
        <v>20</v>
      </c>
      <c r="M19" s="289" t="s">
        <v>557</v>
      </c>
      <c r="N19" s="289" t="s">
        <v>516</v>
      </c>
      <c r="O19" s="289" t="s">
        <v>563</v>
      </c>
      <c r="P19" s="288" t="s">
        <v>556</v>
      </c>
      <c r="Q19" s="288"/>
      <c r="S19" s="757"/>
      <c r="T19" s="758"/>
      <c r="U19" s="310" t="s">
        <v>566</v>
      </c>
      <c r="V19" s="772" t="s">
        <v>570</v>
      </c>
      <c r="W19" s="772"/>
    </row>
    <row r="20" spans="2:23" ht="21" thickBot="1">
      <c r="B20" s="283">
        <v>14</v>
      </c>
      <c r="C20" s="766"/>
      <c r="D20" s="284" t="s">
        <v>1057</v>
      </c>
      <c r="E20" s="281" t="s">
        <v>375</v>
      </c>
      <c r="F20" s="425" t="s">
        <v>765</v>
      </c>
      <c r="G20" s="280"/>
      <c r="I20" s="287"/>
      <c r="J20" s="302"/>
      <c r="K20" s="303"/>
      <c r="L20" s="286"/>
      <c r="M20" s="286"/>
      <c r="N20" s="286"/>
      <c r="O20" s="286"/>
      <c r="P20" s="286"/>
      <c r="Q20" s="286"/>
      <c r="S20" s="773" t="s">
        <v>908</v>
      </c>
      <c r="T20" s="773"/>
      <c r="U20" s="773"/>
      <c r="V20" s="773"/>
      <c r="W20" s="773"/>
    </row>
    <row r="21" spans="2:23" ht="19.5" thickTop="1" thickBot="1">
      <c r="B21" s="283">
        <v>15</v>
      </c>
      <c r="C21" s="769" t="s">
        <v>910</v>
      </c>
      <c r="D21" s="431" t="s">
        <v>909</v>
      </c>
      <c r="E21" s="285" t="s">
        <v>695</v>
      </c>
      <c r="F21" s="425" t="s">
        <v>765</v>
      </c>
      <c r="G21" s="280"/>
      <c r="I21" s="755" t="s">
        <v>333</v>
      </c>
      <c r="J21" s="755"/>
      <c r="K21" s="755"/>
      <c r="L21" s="755"/>
      <c r="M21" s="755"/>
      <c r="N21" s="755"/>
      <c r="O21" s="755"/>
      <c r="P21" s="755"/>
      <c r="Q21" s="755"/>
      <c r="S21" s="743" t="s">
        <v>571</v>
      </c>
      <c r="T21" s="744"/>
      <c r="U21" s="314" t="s">
        <v>566</v>
      </c>
      <c r="V21" s="749" t="s">
        <v>570</v>
      </c>
      <c r="W21" s="749"/>
    </row>
    <row r="22" spans="2:23" ht="35.25" thickTop="1">
      <c r="B22" s="283">
        <v>16</v>
      </c>
      <c r="C22" s="770"/>
      <c r="D22" s="431" t="s">
        <v>1054</v>
      </c>
      <c r="E22" s="281" t="s">
        <v>375</v>
      </c>
      <c r="F22" s="432" t="s">
        <v>766</v>
      </c>
      <c r="G22" s="492" t="s">
        <v>1035</v>
      </c>
      <c r="I22" s="276"/>
      <c r="J22" s="276"/>
      <c r="K22" s="276"/>
      <c r="L22" s="276"/>
      <c r="M22" s="276"/>
      <c r="N22" s="276"/>
      <c r="O22" s="276"/>
      <c r="P22" s="276"/>
      <c r="Q22" s="276"/>
      <c r="S22" s="757"/>
      <c r="T22" s="758"/>
      <c r="U22" s="310" t="s">
        <v>566</v>
      </c>
      <c r="V22" s="760" t="s">
        <v>570</v>
      </c>
      <c r="W22" s="760"/>
    </row>
    <row r="23" spans="2:23" ht="21" thickBot="1">
      <c r="B23" s="283">
        <v>17</v>
      </c>
      <c r="C23" s="770"/>
      <c r="D23" s="431" t="s">
        <v>907</v>
      </c>
      <c r="E23" s="285" t="s">
        <v>695</v>
      </c>
      <c r="F23" s="432" t="s">
        <v>766</v>
      </c>
      <c r="G23" s="280"/>
      <c r="I23" s="276"/>
      <c r="J23" s="276"/>
      <c r="K23" s="276"/>
      <c r="L23" s="276"/>
      <c r="M23" s="276"/>
      <c r="N23" s="276"/>
      <c r="O23" s="276"/>
      <c r="P23" s="276"/>
      <c r="Q23" s="276"/>
      <c r="S23" s="745"/>
      <c r="T23" s="746"/>
      <c r="U23" s="315" t="s">
        <v>566</v>
      </c>
      <c r="V23" s="750" t="s">
        <v>570</v>
      </c>
      <c r="W23" s="750"/>
    </row>
    <row r="24" spans="2:23" ht="20.25">
      <c r="B24" s="283">
        <v>18</v>
      </c>
      <c r="C24" s="770"/>
      <c r="D24" s="431" t="s">
        <v>1053</v>
      </c>
      <c r="E24" s="281" t="s">
        <v>919</v>
      </c>
      <c r="F24" s="425" t="s">
        <v>765</v>
      </c>
      <c r="G24" s="280"/>
      <c r="W24" s="428"/>
    </row>
    <row r="25" spans="2:23" ht="18">
      <c r="B25" s="283">
        <v>19</v>
      </c>
      <c r="C25" s="770"/>
      <c r="D25" s="431" t="s">
        <v>906</v>
      </c>
      <c r="E25" s="285" t="s">
        <v>695</v>
      </c>
      <c r="F25" s="432" t="s">
        <v>766</v>
      </c>
      <c r="G25" s="280"/>
      <c r="W25" s="428"/>
    </row>
    <row r="26" spans="2:23" ht="20.25">
      <c r="B26" s="283">
        <v>20</v>
      </c>
      <c r="C26" s="770"/>
      <c r="D26" s="431" t="s">
        <v>1332</v>
      </c>
      <c r="E26" s="285" t="s">
        <v>695</v>
      </c>
      <c r="F26" s="432" t="s">
        <v>766</v>
      </c>
      <c r="G26" s="280"/>
      <c r="I26" s="774" t="s">
        <v>784</v>
      </c>
      <c r="J26" s="774"/>
      <c r="K26" s="774"/>
      <c r="L26" s="774"/>
      <c r="M26" s="774"/>
      <c r="N26" s="774"/>
      <c r="O26" s="774"/>
      <c r="P26" s="774"/>
      <c r="Q26" s="774"/>
      <c r="W26" s="428"/>
    </row>
    <row r="27" spans="2:23" ht="21" thickBot="1">
      <c r="B27" s="283">
        <v>21</v>
      </c>
      <c r="C27" s="770"/>
      <c r="D27" s="431" t="s">
        <v>1333</v>
      </c>
      <c r="E27" s="285" t="s">
        <v>695</v>
      </c>
      <c r="F27" s="432" t="s">
        <v>766</v>
      </c>
      <c r="G27" s="280"/>
      <c r="I27" s="742"/>
      <c r="J27" s="742"/>
      <c r="K27" s="742"/>
      <c r="L27" s="742"/>
      <c r="M27" s="742"/>
      <c r="N27" s="742"/>
      <c r="O27" s="742"/>
      <c r="P27" s="742"/>
      <c r="Q27" s="742"/>
      <c r="W27" s="428"/>
    </row>
    <row r="28" spans="2:23" ht="21" thickTop="1">
      <c r="B28" s="283">
        <v>22</v>
      </c>
      <c r="C28" s="770"/>
      <c r="D28" s="431" t="s">
        <v>1334</v>
      </c>
      <c r="E28" s="285" t="s">
        <v>695</v>
      </c>
      <c r="F28" s="432" t="s">
        <v>766</v>
      </c>
      <c r="G28" s="280"/>
      <c r="I28" s="430" t="s">
        <v>540</v>
      </c>
      <c r="J28" s="430"/>
      <c r="K28" s="430"/>
      <c r="L28" s="430"/>
      <c r="M28" s="430"/>
      <c r="N28" s="430"/>
      <c r="O28" s="430"/>
      <c r="P28" s="430"/>
      <c r="Q28" s="430"/>
      <c r="W28" s="428"/>
    </row>
    <row r="29" spans="2:23" ht="18">
      <c r="B29" s="283">
        <v>23</v>
      </c>
      <c r="C29" s="770"/>
      <c r="D29" s="431" t="s">
        <v>905</v>
      </c>
      <c r="E29" s="426" t="s">
        <v>900</v>
      </c>
      <c r="F29" s="425" t="s">
        <v>765</v>
      </c>
      <c r="G29" s="280"/>
      <c r="I29" s="275" t="s">
        <v>541</v>
      </c>
      <c r="W29" s="428"/>
    </row>
    <row r="30" spans="2:23" ht="24">
      <c r="B30" s="283">
        <v>24</v>
      </c>
      <c r="C30" s="429" t="s">
        <v>904</v>
      </c>
      <c r="D30" s="284" t="s">
        <v>1335</v>
      </c>
      <c r="E30" s="281" t="s">
        <v>375</v>
      </c>
      <c r="F30" s="432" t="s">
        <v>766</v>
      </c>
      <c r="G30" s="280"/>
      <c r="I30" s="275" t="s">
        <v>542</v>
      </c>
    </row>
    <row r="31" spans="2:23" ht="20.25">
      <c r="B31" s="283">
        <v>25</v>
      </c>
      <c r="C31" s="427" t="s">
        <v>903</v>
      </c>
      <c r="D31" s="284" t="s">
        <v>1321</v>
      </c>
      <c r="E31" s="426" t="s">
        <v>900</v>
      </c>
      <c r="F31" s="432" t="s">
        <v>766</v>
      </c>
      <c r="G31" s="280"/>
      <c r="I31" s="275" t="s">
        <v>543</v>
      </c>
    </row>
    <row r="32" spans="2:23" ht="18">
      <c r="B32" s="283">
        <v>26</v>
      </c>
      <c r="C32" s="427" t="s">
        <v>902</v>
      </c>
      <c r="D32" s="284" t="s">
        <v>901</v>
      </c>
      <c r="E32" s="426" t="s">
        <v>900</v>
      </c>
      <c r="F32" s="425" t="s">
        <v>765</v>
      </c>
      <c r="G32" s="280"/>
      <c r="I32" s="275" t="s">
        <v>572</v>
      </c>
    </row>
    <row r="33" spans="2:17" ht="13.5">
      <c r="B33" s="771" t="s">
        <v>764</v>
      </c>
      <c r="C33" s="771"/>
      <c r="D33" s="771"/>
      <c r="E33" s="771"/>
      <c r="F33" s="771"/>
      <c r="G33" s="771"/>
      <c r="I33" s="423" t="s">
        <v>544</v>
      </c>
      <c r="J33" s="423"/>
      <c r="K33" s="423"/>
      <c r="L33" s="423"/>
      <c r="M33" s="423"/>
      <c r="N33" s="423"/>
      <c r="O33" s="423"/>
      <c r="P33" s="423"/>
      <c r="Q33" s="423"/>
    </row>
    <row r="35" spans="2:17" ht="15.75">
      <c r="I35" s="424" t="s">
        <v>545</v>
      </c>
      <c r="J35" s="424"/>
      <c r="K35" s="424"/>
      <c r="L35" s="424"/>
      <c r="M35" s="424"/>
      <c r="N35" s="424"/>
      <c r="O35" s="424"/>
      <c r="P35" s="424"/>
      <c r="Q35" s="424"/>
    </row>
    <row r="36" spans="2:17">
      <c r="I36" s="275" t="s">
        <v>546</v>
      </c>
    </row>
    <row r="37" spans="2:17" ht="13.5">
      <c r="I37" s="275" t="s">
        <v>574</v>
      </c>
    </row>
    <row r="38" spans="2:17" ht="17.25" customHeight="1">
      <c r="I38" s="275" t="s">
        <v>547</v>
      </c>
    </row>
    <row r="39" spans="2:17" ht="16.5" customHeight="1">
      <c r="I39" s="423" t="s">
        <v>548</v>
      </c>
      <c r="J39" s="423"/>
      <c r="K39" s="423"/>
      <c r="L39" s="423"/>
      <c r="M39" s="423"/>
      <c r="N39" s="423"/>
      <c r="O39" s="423"/>
      <c r="P39" s="423"/>
      <c r="Q39" s="423"/>
    </row>
    <row r="40" spans="2:17" ht="16.5" customHeight="1">
      <c r="C40" s="422"/>
      <c r="D40" s="276"/>
      <c r="E40" s="276"/>
    </row>
    <row r="41" spans="2:17">
      <c r="C41" s="422"/>
      <c r="D41" s="276"/>
      <c r="E41" s="276"/>
    </row>
    <row r="42" spans="2:17">
      <c r="C42" s="422"/>
      <c r="D42" s="276"/>
      <c r="E42" s="276"/>
    </row>
    <row r="43" spans="2:17" ht="12.75" customHeight="1">
      <c r="C43" s="422"/>
      <c r="D43" s="276"/>
      <c r="E43" s="276"/>
    </row>
    <row r="44" spans="2:17">
      <c r="I44" s="752" t="s">
        <v>783</v>
      </c>
      <c r="J44" s="752"/>
      <c r="K44" s="752"/>
      <c r="L44" s="752"/>
    </row>
    <row r="45" spans="2:17" ht="13.5" thickBot="1">
      <c r="I45" s="753"/>
      <c r="J45" s="753"/>
      <c r="K45" s="753"/>
      <c r="L45" s="753"/>
    </row>
    <row r="46" spans="2:17" ht="13.5" thickTop="1"/>
    <row r="47" spans="2:17">
      <c r="I47" s="275">
        <v>1</v>
      </c>
      <c r="J47" s="275" t="s">
        <v>575</v>
      </c>
    </row>
    <row r="48" spans="2:17" ht="16.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6.5" customHeight="1"/>
    <row r="71" spans="18:18">
      <c r="R71" s="276"/>
    </row>
    <row r="72" spans="18:18">
      <c r="R72" s="276"/>
    </row>
    <row r="73" spans="18:18" ht="12.75" customHeight="1">
      <c r="R73" s="276"/>
    </row>
    <row r="74" spans="18:18" ht="13.5" customHeight="1">
      <c r="R74" s="276"/>
    </row>
    <row r="75" spans="18:18">
      <c r="R75" s="276"/>
    </row>
    <row r="76" spans="18:18">
      <c r="R76" s="276"/>
    </row>
    <row r="77" spans="18:18">
      <c r="R77" s="276"/>
    </row>
    <row r="78" spans="18:18">
      <c r="R78" s="276"/>
    </row>
    <row r="79" spans="18:18">
      <c r="R79" s="276"/>
    </row>
    <row r="80" spans="18:18">
      <c r="R80" s="276"/>
    </row>
    <row r="81" spans="18:18">
      <c r="R81" s="276"/>
    </row>
    <row r="82" spans="18:18">
      <c r="R82" s="276"/>
    </row>
    <row r="83" spans="18:18">
      <c r="R83" s="276"/>
    </row>
    <row r="84" spans="18:18">
      <c r="R84" s="276"/>
    </row>
    <row r="85" spans="18:18">
      <c r="R85" s="276"/>
    </row>
    <row r="86" spans="18:18">
      <c r="R86" s="276"/>
    </row>
    <row r="87" spans="18:18">
      <c r="R87" s="276"/>
    </row>
    <row r="88" spans="18:18">
      <c r="R88" s="276"/>
    </row>
    <row r="89" spans="18:18">
      <c r="R89" s="276"/>
    </row>
  </sheetData>
  <mergeCells count="33">
    <mergeCell ref="B33:G33"/>
    <mergeCell ref="V19:W19"/>
    <mergeCell ref="S21:T23"/>
    <mergeCell ref="S20:W20"/>
    <mergeCell ref="I26:Q27"/>
    <mergeCell ref="V21:W21"/>
    <mergeCell ref="V22:W22"/>
    <mergeCell ref="V23:W23"/>
    <mergeCell ref="B3:G4"/>
    <mergeCell ref="C11:C12"/>
    <mergeCell ref="C15:C18"/>
    <mergeCell ref="C19:C20"/>
    <mergeCell ref="C21:C29"/>
    <mergeCell ref="V16:W16"/>
    <mergeCell ref="V17:W17"/>
    <mergeCell ref="V18:W18"/>
    <mergeCell ref="S15:W15"/>
    <mergeCell ref="S13:W13"/>
    <mergeCell ref="I44:L45"/>
    <mergeCell ref="I9:Q9"/>
    <mergeCell ref="I21:Q21"/>
    <mergeCell ref="I11:Q11"/>
    <mergeCell ref="S17:T19"/>
    <mergeCell ref="I3:Q4"/>
    <mergeCell ref="S3:AA4"/>
    <mergeCell ref="S10:T11"/>
    <mergeCell ref="S8:W8"/>
    <mergeCell ref="V9:W9"/>
    <mergeCell ref="V10:W10"/>
    <mergeCell ref="V11:W11"/>
    <mergeCell ref="Y8:AA8"/>
    <mergeCell ref="S6:W6"/>
    <mergeCell ref="Y6:AA6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Drop Down 1">
              <controlPr defaultSize="0" autoLine="0" autoPict="0" macro="[0]!목차드롭다운">
                <anchor moveWithCells="1">
                  <from>
                    <xdr:col>3</xdr:col>
                    <xdr:colOff>2838450</xdr:colOff>
                    <xdr:row>33</xdr:row>
                    <xdr:rowOff>123825</xdr:rowOff>
                  </from>
                  <to>
                    <xdr:col>3</xdr:col>
                    <xdr:colOff>4914900</xdr:colOff>
                    <xdr:row>37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>
      <selection activeCell="D15" sqref="D15"/>
    </sheetView>
  </sheetViews>
  <sheetFormatPr defaultRowHeight="12.75"/>
  <cols>
    <col min="1" max="1" width="14" customWidth="1"/>
  </cols>
  <sheetData>
    <row r="1" spans="1:38" ht="24">
      <c r="A1" s="1" t="s">
        <v>31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</row>
    <row r="3" spans="1:38" ht="16.5">
      <c r="A3" s="2">
        <v>1</v>
      </c>
    </row>
    <row r="4" spans="1:38" ht="16.5">
      <c r="A4" s="2">
        <v>2</v>
      </c>
    </row>
    <row r="5" spans="1:38" ht="16.5">
      <c r="A5" s="2">
        <v>3</v>
      </c>
    </row>
    <row r="6" spans="1:38" ht="16.5">
      <c r="A6" s="2">
        <v>4</v>
      </c>
    </row>
    <row r="7" spans="1:38" ht="16.5">
      <c r="A7" s="2">
        <v>5</v>
      </c>
    </row>
    <row r="8" spans="1:38" ht="16.5">
      <c r="A8" s="2">
        <v>6</v>
      </c>
    </row>
    <row r="9" spans="1:38" ht="16.5">
      <c r="A9" s="2">
        <v>7</v>
      </c>
    </row>
    <row r="10" spans="1:38" ht="16.5">
      <c r="A10" s="2">
        <v>8</v>
      </c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>
    <tabColor theme="5" tint="0.79998168889431442"/>
  </sheetPr>
  <dimension ref="A1:AL63"/>
  <sheetViews>
    <sheetView workbookViewId="0">
      <selection activeCell="D15" sqref="D15"/>
    </sheetView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11.85546875" bestFit="1" customWidth="1"/>
    <col min="5" max="5" width="29.5703125" bestFit="1" customWidth="1"/>
    <col min="6" max="6" width="12" customWidth="1"/>
    <col min="7" max="7" width="12.140625" bestFit="1" customWidth="1"/>
    <col min="8" max="8" width="12.140625" customWidth="1"/>
    <col min="9" max="9" width="16.42578125" customWidth="1"/>
    <col min="10" max="11" width="18.85546875" customWidth="1"/>
    <col min="12" max="12" width="20.7109375" customWidth="1"/>
    <col min="13" max="13" width="17" customWidth="1"/>
    <col min="14" max="14" width="37.7109375" customWidth="1"/>
    <col min="15" max="15" width="20.7109375" customWidth="1"/>
    <col min="16" max="16" width="21.42578125" bestFit="1" customWidth="1"/>
    <col min="17" max="17" width="35.7109375" bestFit="1" customWidth="1"/>
    <col min="18" max="18" width="34.42578125" customWidth="1"/>
    <col min="19" max="19" width="33.28515625" bestFit="1" customWidth="1"/>
    <col min="20" max="20" width="22.7109375" bestFit="1" customWidth="1"/>
    <col min="21" max="21" width="14" bestFit="1" customWidth="1"/>
    <col min="22" max="22" width="22.5703125" bestFit="1" customWidth="1"/>
    <col min="23" max="23" width="8.140625" bestFit="1" customWidth="1"/>
    <col min="24" max="25" width="9.5703125" bestFit="1" customWidth="1"/>
    <col min="26" max="26" width="8.140625" bestFit="1" customWidth="1"/>
    <col min="27" max="27" width="5.5703125" customWidth="1"/>
    <col min="28" max="28" width="3.28515625" customWidth="1"/>
    <col min="29" max="29" width="16.28515625" bestFit="1" customWidth="1"/>
    <col min="30" max="30" width="30.28515625" customWidth="1"/>
    <col min="31" max="31" width="5.5703125" customWidth="1"/>
    <col min="32" max="32" width="14" bestFit="1" customWidth="1"/>
    <col min="33" max="33" width="9.5703125" bestFit="1" customWidth="1"/>
    <col min="34" max="34" width="8.140625" bestFit="1" customWidth="1"/>
    <col min="35" max="38" width="7" bestFit="1" customWidth="1"/>
  </cols>
  <sheetData>
    <row r="1" spans="1:38" ht="24">
      <c r="A1" s="1" t="s">
        <v>31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  <c r="B2" s="493" t="s">
        <v>79</v>
      </c>
      <c r="C2" s="493" t="s">
        <v>350</v>
      </c>
      <c r="D2" s="494" t="s">
        <v>80</v>
      </c>
      <c r="E2" s="494" t="s">
        <v>81</v>
      </c>
      <c r="F2" s="494" t="s">
        <v>82</v>
      </c>
      <c r="G2" s="494" t="s">
        <v>83</v>
      </c>
      <c r="H2" s="494" t="s">
        <v>84</v>
      </c>
      <c r="I2" s="494" t="s">
        <v>85</v>
      </c>
      <c r="J2" s="494" t="s">
        <v>86</v>
      </c>
      <c r="K2" s="494" t="s">
        <v>109</v>
      </c>
      <c r="L2" s="494" t="s">
        <v>87</v>
      </c>
      <c r="M2" s="494" t="s">
        <v>108</v>
      </c>
      <c r="N2" s="494" t="s">
        <v>88</v>
      </c>
      <c r="O2" s="494" t="s">
        <v>89</v>
      </c>
      <c r="P2" s="495" t="s">
        <v>90</v>
      </c>
      <c r="Q2" s="495" t="s">
        <v>91</v>
      </c>
      <c r="R2" s="495" t="s">
        <v>92</v>
      </c>
      <c r="S2" s="496" t="s">
        <v>93</v>
      </c>
      <c r="T2" s="497" t="s">
        <v>94</v>
      </c>
      <c r="U2" s="498" t="s">
        <v>95</v>
      </c>
      <c r="V2" s="498" t="s">
        <v>96</v>
      </c>
      <c r="W2" s="499" t="s">
        <v>97</v>
      </c>
      <c r="X2" s="497" t="s">
        <v>98</v>
      </c>
    </row>
    <row r="3" spans="1:38" ht="16.5">
      <c r="A3" s="2">
        <v>1</v>
      </c>
      <c r="B3" s="43" t="s">
        <v>214</v>
      </c>
      <c r="C3" s="43" t="s">
        <v>1445</v>
      </c>
      <c r="D3" s="44"/>
      <c r="E3" s="45">
        <v>1</v>
      </c>
      <c r="F3" s="46" t="s">
        <v>213</v>
      </c>
      <c r="G3" s="46" t="s">
        <v>130</v>
      </c>
      <c r="H3" s="46" t="s">
        <v>198</v>
      </c>
      <c r="I3" s="46" t="s">
        <v>192</v>
      </c>
      <c r="J3" s="46" t="s">
        <v>131</v>
      </c>
      <c r="K3" s="46" t="s">
        <v>132</v>
      </c>
      <c r="L3" s="47">
        <v>3</v>
      </c>
      <c r="M3" s="47" t="s">
        <v>133</v>
      </c>
      <c r="N3" s="47" t="s">
        <v>189</v>
      </c>
      <c r="O3" s="48"/>
      <c r="P3" s="59" t="s">
        <v>191</v>
      </c>
      <c r="Q3" s="60" t="s">
        <v>134</v>
      </c>
      <c r="R3" s="61" t="s">
        <v>135</v>
      </c>
      <c r="S3" s="49" t="str">
        <f t="shared" ref="S3:S17" si="0">Q3&amp; "/" &amp;R3</f>
        <v>신한은행/605-2241-148731</v>
      </c>
      <c r="T3" s="49" t="str">
        <f>IF(OR(MID(H3, 8, 1) = "3", MOD(MID(H3, 8, 1), 2) = 1), "남", "여")</f>
        <v>남</v>
      </c>
      <c r="U3" s="49" t="str">
        <f>LEFT(H3, 6)</f>
        <v>900699</v>
      </c>
      <c r="V3" s="49" t="str">
        <f>IF(VALUE(MID(H3, 8, 1)) &lt;= 2, "19" &amp; LEFT(H3, 2), "20" &amp; LEFT(H3, 2))</f>
        <v>1990</v>
      </c>
      <c r="W3" s="49">
        <f ca="1">YEAR(TODAY()) - VALUE(IF(VALUE(MID(H3, 8, 1)) &lt;= 2, "19" &amp; LEFT(H3, 2), "20" &amp; LEFT(H3, 2)))</f>
        <v>34</v>
      </c>
      <c r="X3" s="49" t="str">
        <f>IF(OR(ISNUMBER(SEARCH("서울", P3)), ISNUMBER(SEARCH("인천", P3)), ISNUMBER(SEARCH("경기", P3))), "수도권",
   IF(OR(ISNUMBER(SEARCH("부산", P3)), ISNUMBER(SEARCH("대구", P3)), ISNUMBER(SEARCH("울산", P3)), ISNUMBER(SEARCH("경북", P3)), ISNUMBER(SEARCH("경남", P3)), ISNUMBER(SEARCH("양산", P3)), ISNUMBER(SEARCH("김해", P3)), ISNUMBER(SEARCH("창원", P3)), ISNUMBER(SEARCH("경상북도", P3)), ISNUMBER(SEARCH("경상남도", P3))), "경상권",
   IF(OR(ISNUMBER(SEARCH("광주", P3)), ISNUMBER(SEARCH("전북", P3)), ISNUMBER(SEARCH("전남", P3)), ISNUMBER(SEARCH("전라북도", P3)), ISNUMBER(SEARCH("전라남도", P3))), "호남권",
   IF(OR(ISNUMBER(SEARCH("대전", P3)), ISNUMBER(SEARCH("충북", P3)), ISNUMBER(SEARCH("세종", P3)), ISNUMBER(SEARCH("충남", P3)), ISNUMBER(SEARCH("충청북도", P3)), ISNUMBER(SEARCH("충청남도", P3))), "충청권",
   IF(ISNUMBER(SEARCH("강원", P3)), "강원권",
   IF(ISNUMBER(SEARCH("제주", P3)), "제주"))))))</f>
        <v>경상권</v>
      </c>
    </row>
    <row r="4" spans="1:38" ht="16.5">
      <c r="A4" s="2">
        <v>2</v>
      </c>
      <c r="B4" s="43" t="s">
        <v>214</v>
      </c>
      <c r="C4" s="43" t="s">
        <v>1445</v>
      </c>
      <c r="D4" s="51"/>
      <c r="E4" s="45">
        <v>2</v>
      </c>
      <c r="F4" s="46" t="s">
        <v>213</v>
      </c>
      <c r="G4" s="50" t="s">
        <v>136</v>
      </c>
      <c r="H4" s="50" t="s">
        <v>199</v>
      </c>
      <c r="I4" s="46" t="s">
        <v>192</v>
      </c>
      <c r="J4" s="50" t="s">
        <v>137</v>
      </c>
      <c r="K4" s="50" t="s">
        <v>132</v>
      </c>
      <c r="L4" s="47">
        <v>3</v>
      </c>
      <c r="M4" s="47" t="s">
        <v>133</v>
      </c>
      <c r="N4" s="47" t="s">
        <v>188</v>
      </c>
      <c r="O4" s="48"/>
      <c r="P4" s="59" t="s">
        <v>138</v>
      </c>
      <c r="Q4" s="60" t="s">
        <v>99</v>
      </c>
      <c r="R4" s="61" t="s">
        <v>139</v>
      </c>
      <c r="S4" s="49" t="str">
        <f t="shared" si="0"/>
        <v>국민은행/296-6536-108357</v>
      </c>
      <c r="T4" s="49" t="str">
        <f t="shared" ref="T4:T17" si="1">IF(OR(MID(H4, 8, 1) = "3", MOD(MID(H4, 8, 1), 2) = 1), "남", "여")</f>
        <v>여</v>
      </c>
      <c r="U4" s="49" t="str">
        <f t="shared" ref="U4:U17" si="2">LEFT(H4, 6)</f>
        <v>950499</v>
      </c>
      <c r="V4" s="49" t="str">
        <f t="shared" ref="V4:V17" si="3">IF(VALUE(MID(H4, 8, 1)) &lt;= 2, "19" &amp; LEFT(H4, 2), "20" &amp; LEFT(H4, 2))</f>
        <v>1995</v>
      </c>
      <c r="W4" s="49">
        <f t="shared" ref="W4:W17" ca="1" si="4">YEAR(TODAY()) - VALUE(IF(VALUE(MID(H4, 8, 1)) &lt;= 2, "19" &amp; LEFT(H4, 2), "20" &amp; LEFT(H4, 2)))</f>
        <v>29</v>
      </c>
      <c r="X4" s="49" t="str">
        <f t="shared" ref="X4:X17" si="5">IF(OR(ISNUMBER(SEARCH("서울", P4)), ISNUMBER(SEARCH("인천", P4)), ISNUMBER(SEARCH("경기", P4))), "수도권",
   IF(OR(ISNUMBER(SEARCH("부산", P4)), ISNUMBER(SEARCH("대구", P4)), ISNUMBER(SEARCH("울산", P4)), ISNUMBER(SEARCH("경북", P4)), ISNUMBER(SEARCH("경남", P4)), ISNUMBER(SEARCH("양산", P4)), ISNUMBER(SEARCH("김해", P4)), ISNUMBER(SEARCH("창원", P4)), ISNUMBER(SEARCH("경상북도", P4)), ISNUMBER(SEARCH("경상남도", P4))), "경상권",
   IF(OR(ISNUMBER(SEARCH("광주", P4)), ISNUMBER(SEARCH("전북", P4)), ISNUMBER(SEARCH("전남", P4)), ISNUMBER(SEARCH("전라북도", P4)), ISNUMBER(SEARCH("전라남도", P4))), "호남권",
   IF(OR(ISNUMBER(SEARCH("대전", P4)), ISNUMBER(SEARCH("충북", P4)), ISNUMBER(SEARCH("세종", P4)), ISNUMBER(SEARCH("충남", P4)), ISNUMBER(SEARCH("충청북도", P4)), ISNUMBER(SEARCH("충청남도", P4))), "충청권",
   IF(ISNUMBER(SEARCH("강원", P4)), "강원권",
   IF(ISNUMBER(SEARCH("제주", P4)), "제주"))))))</f>
        <v>경상권</v>
      </c>
    </row>
    <row r="5" spans="1:38" ht="16.5">
      <c r="A5" s="2">
        <v>3</v>
      </c>
      <c r="B5" s="43" t="s">
        <v>214</v>
      </c>
      <c r="C5" s="43" t="s">
        <v>1445</v>
      </c>
      <c r="D5" s="51"/>
      <c r="E5" s="45">
        <v>3</v>
      </c>
      <c r="F5" s="46" t="s">
        <v>213</v>
      </c>
      <c r="G5" s="50" t="s">
        <v>140</v>
      </c>
      <c r="H5" s="50" t="s">
        <v>200</v>
      </c>
      <c r="I5" s="46" t="s">
        <v>192</v>
      </c>
      <c r="J5" s="50" t="s">
        <v>141</v>
      </c>
      <c r="K5" s="50" t="s">
        <v>129</v>
      </c>
      <c r="L5" s="47">
        <v>2</v>
      </c>
      <c r="M5" s="47" t="s">
        <v>142</v>
      </c>
      <c r="N5" s="47" t="s">
        <v>143</v>
      </c>
      <c r="O5" s="48" t="s">
        <v>144</v>
      </c>
      <c r="P5" s="59" t="s">
        <v>190</v>
      </c>
      <c r="Q5" s="60" t="s">
        <v>134</v>
      </c>
      <c r="R5" s="61" t="s">
        <v>145</v>
      </c>
      <c r="S5" s="49" t="str">
        <f t="shared" si="0"/>
        <v>신한은행/309-4311-417843</v>
      </c>
      <c r="T5" s="49" t="str">
        <f>IF(OR(MID(H5, 8, 1) = "3", MOD(MID(H5, 8, 1), 2) = 1), "남", "여")</f>
        <v>여</v>
      </c>
      <c r="U5" s="49" t="str">
        <f t="shared" si="2"/>
        <v>960399</v>
      </c>
      <c r="V5" s="49" t="str">
        <f t="shared" si="3"/>
        <v>1996</v>
      </c>
      <c r="W5" s="49">
        <f t="shared" ca="1" si="4"/>
        <v>28</v>
      </c>
      <c r="X5" s="49" t="str">
        <f t="shared" si="5"/>
        <v>경상권</v>
      </c>
    </row>
    <row r="6" spans="1:38" ht="16.5">
      <c r="A6" s="2">
        <v>4</v>
      </c>
      <c r="B6" s="43" t="s">
        <v>214</v>
      </c>
      <c r="C6" s="43" t="s">
        <v>1445</v>
      </c>
      <c r="D6" s="51"/>
      <c r="E6" s="45">
        <v>4</v>
      </c>
      <c r="F6" s="46" t="s">
        <v>213</v>
      </c>
      <c r="G6" s="50" t="s">
        <v>146</v>
      </c>
      <c r="H6" s="50" t="s">
        <v>201</v>
      </c>
      <c r="I6" s="46" t="s">
        <v>192</v>
      </c>
      <c r="J6" s="50" t="s">
        <v>147</v>
      </c>
      <c r="K6" s="50" t="s">
        <v>129</v>
      </c>
      <c r="L6" s="47">
        <v>2</v>
      </c>
      <c r="M6" s="47" t="s">
        <v>142</v>
      </c>
      <c r="N6" s="47" t="s">
        <v>1442</v>
      </c>
      <c r="O6" s="48" t="s">
        <v>148</v>
      </c>
      <c r="P6" s="59" t="s">
        <v>138</v>
      </c>
      <c r="Q6" s="60" t="s">
        <v>134</v>
      </c>
      <c r="R6" s="61" t="s">
        <v>149</v>
      </c>
      <c r="S6" s="49" t="str">
        <f t="shared" si="0"/>
        <v>신한은행/916-4781-629387</v>
      </c>
      <c r="T6" s="49" t="str">
        <f t="shared" si="1"/>
        <v>남</v>
      </c>
      <c r="U6" s="49" t="str">
        <f t="shared" si="2"/>
        <v>930699</v>
      </c>
      <c r="V6" s="49" t="str">
        <f t="shared" si="3"/>
        <v>1993</v>
      </c>
      <c r="W6" s="49">
        <f t="shared" ca="1" si="4"/>
        <v>31</v>
      </c>
      <c r="X6" s="49" t="str">
        <f t="shared" si="5"/>
        <v>경상권</v>
      </c>
    </row>
    <row r="7" spans="1:38" ht="16.5">
      <c r="A7" s="2">
        <v>5</v>
      </c>
      <c r="B7" s="43" t="s">
        <v>214</v>
      </c>
      <c r="C7" s="43" t="s">
        <v>1445</v>
      </c>
      <c r="D7" s="51"/>
      <c r="E7" s="45">
        <v>5</v>
      </c>
      <c r="F7" s="46" t="s">
        <v>213</v>
      </c>
      <c r="G7" s="50" t="s">
        <v>130</v>
      </c>
      <c r="H7" s="50" t="s">
        <v>212</v>
      </c>
      <c r="I7" s="46" t="s">
        <v>192</v>
      </c>
      <c r="J7" s="50" t="s">
        <v>131</v>
      </c>
      <c r="K7" s="50" t="s">
        <v>150</v>
      </c>
      <c r="L7" s="47">
        <v>4</v>
      </c>
      <c r="M7" s="47" t="s">
        <v>133</v>
      </c>
      <c r="N7" s="47" t="s">
        <v>151</v>
      </c>
      <c r="O7" s="48" t="s">
        <v>152</v>
      </c>
      <c r="P7" s="59" t="s">
        <v>191</v>
      </c>
      <c r="Q7" s="60" t="s">
        <v>153</v>
      </c>
      <c r="R7" s="61" t="s">
        <v>154</v>
      </c>
      <c r="S7" s="49" t="str">
        <f t="shared" si="0"/>
        <v>우리은행/165-6075-449479</v>
      </c>
      <c r="T7" s="49" t="str">
        <f t="shared" si="1"/>
        <v>남</v>
      </c>
      <c r="U7" s="49" t="str">
        <f t="shared" si="2"/>
        <v>020699</v>
      </c>
      <c r="V7" s="49" t="str">
        <f t="shared" si="3"/>
        <v>2002</v>
      </c>
      <c r="W7" s="49">
        <f t="shared" ca="1" si="4"/>
        <v>22</v>
      </c>
      <c r="X7" s="49" t="str">
        <f t="shared" si="5"/>
        <v>경상권</v>
      </c>
    </row>
    <row r="8" spans="1:38" ht="16.5">
      <c r="A8" s="2">
        <v>6</v>
      </c>
      <c r="B8" s="43" t="s">
        <v>214</v>
      </c>
      <c r="C8" s="43" t="s">
        <v>1445</v>
      </c>
      <c r="D8" s="51"/>
      <c r="E8" s="45">
        <v>6</v>
      </c>
      <c r="F8" s="46" t="s">
        <v>213</v>
      </c>
      <c r="G8" s="50" t="s">
        <v>155</v>
      </c>
      <c r="H8" s="50" t="s">
        <v>202</v>
      </c>
      <c r="I8" s="46" t="s">
        <v>192</v>
      </c>
      <c r="J8" s="50" t="s">
        <v>156</v>
      </c>
      <c r="K8" s="50" t="s">
        <v>1443</v>
      </c>
      <c r="L8" s="47">
        <v>1</v>
      </c>
      <c r="M8" s="47" t="s">
        <v>157</v>
      </c>
      <c r="N8" s="47" t="s">
        <v>143</v>
      </c>
      <c r="O8" s="48" t="s">
        <v>158</v>
      </c>
      <c r="P8" s="59" t="s">
        <v>138</v>
      </c>
      <c r="Q8" s="60" t="s">
        <v>159</v>
      </c>
      <c r="R8" s="61" t="s">
        <v>160</v>
      </c>
      <c r="S8" s="49" t="str">
        <f t="shared" si="0"/>
        <v>농협/894-4629-468857</v>
      </c>
      <c r="T8" s="49" t="str">
        <f t="shared" si="1"/>
        <v>남</v>
      </c>
      <c r="U8" s="49" t="str">
        <f t="shared" si="2"/>
        <v>930899</v>
      </c>
      <c r="V8" s="49" t="str">
        <f t="shared" si="3"/>
        <v>1993</v>
      </c>
      <c r="W8" s="49">
        <f t="shared" ca="1" si="4"/>
        <v>31</v>
      </c>
      <c r="X8" s="49" t="str">
        <f t="shared" si="5"/>
        <v>경상권</v>
      </c>
    </row>
    <row r="9" spans="1:38" ht="16.5">
      <c r="A9" s="2">
        <v>7</v>
      </c>
      <c r="B9" s="43" t="s">
        <v>214</v>
      </c>
      <c r="C9" s="43" t="s">
        <v>1445</v>
      </c>
      <c r="D9" s="51"/>
      <c r="E9" s="45">
        <v>7</v>
      </c>
      <c r="F9" s="46" t="s">
        <v>213</v>
      </c>
      <c r="G9" s="50" t="s">
        <v>161</v>
      </c>
      <c r="H9" s="50" t="s">
        <v>211</v>
      </c>
      <c r="I9" s="46" t="s">
        <v>192</v>
      </c>
      <c r="J9" s="50" t="s">
        <v>162</v>
      </c>
      <c r="K9" s="50" t="s">
        <v>163</v>
      </c>
      <c r="L9" s="47">
        <v>2</v>
      </c>
      <c r="M9" s="47" t="s">
        <v>157</v>
      </c>
      <c r="N9" s="47" t="s">
        <v>143</v>
      </c>
      <c r="O9" s="48" t="s">
        <v>164</v>
      </c>
      <c r="P9" s="59" t="s">
        <v>191</v>
      </c>
      <c r="Q9" s="60" t="s">
        <v>159</v>
      </c>
      <c r="R9" s="61" t="s">
        <v>165</v>
      </c>
      <c r="S9" s="49" t="str">
        <f t="shared" si="0"/>
        <v>농협/273-7528-862196</v>
      </c>
      <c r="T9" s="49" t="str">
        <f t="shared" si="1"/>
        <v>남</v>
      </c>
      <c r="U9" s="49" t="str">
        <f t="shared" si="2"/>
        <v>001199</v>
      </c>
      <c r="V9" s="49" t="str">
        <f t="shared" si="3"/>
        <v>2000</v>
      </c>
      <c r="W9" s="49">
        <f t="shared" ca="1" si="4"/>
        <v>24</v>
      </c>
      <c r="X9" s="49" t="str">
        <f t="shared" si="5"/>
        <v>경상권</v>
      </c>
    </row>
    <row r="10" spans="1:38" ht="16.5">
      <c r="A10" s="2">
        <v>8</v>
      </c>
      <c r="B10" s="43" t="s">
        <v>214</v>
      </c>
      <c r="C10" s="43" t="s">
        <v>1445</v>
      </c>
      <c r="D10" s="51"/>
      <c r="E10" s="45">
        <v>8</v>
      </c>
      <c r="F10" s="46" t="s">
        <v>213</v>
      </c>
      <c r="G10" s="50" t="s">
        <v>166</v>
      </c>
      <c r="H10" s="50" t="s">
        <v>203</v>
      </c>
      <c r="I10" s="46" t="s">
        <v>192</v>
      </c>
      <c r="J10" s="50" t="s">
        <v>167</v>
      </c>
      <c r="K10" s="50" t="s">
        <v>150</v>
      </c>
      <c r="L10" s="47">
        <v>4</v>
      </c>
      <c r="M10" s="47" t="s">
        <v>142</v>
      </c>
      <c r="N10" s="47" t="s">
        <v>151</v>
      </c>
      <c r="O10" s="48" t="s">
        <v>158</v>
      </c>
      <c r="P10" s="59" t="s">
        <v>190</v>
      </c>
      <c r="Q10" s="60" t="s">
        <v>153</v>
      </c>
      <c r="R10" s="61" t="s">
        <v>168</v>
      </c>
      <c r="S10" s="49" t="str">
        <f t="shared" si="0"/>
        <v>우리은행/295-1855-371274</v>
      </c>
      <c r="T10" s="49" t="str">
        <f t="shared" si="1"/>
        <v>남</v>
      </c>
      <c r="U10" s="49" t="str">
        <f t="shared" si="2"/>
        <v>920699</v>
      </c>
      <c r="V10" s="49" t="str">
        <f t="shared" si="3"/>
        <v>1992</v>
      </c>
      <c r="W10" s="49">
        <f t="shared" ca="1" si="4"/>
        <v>32</v>
      </c>
      <c r="X10" s="49" t="str">
        <f t="shared" si="5"/>
        <v>경상권</v>
      </c>
    </row>
    <row r="11" spans="1:38" ht="16.5">
      <c r="A11" s="2">
        <v>9</v>
      </c>
      <c r="B11" s="43" t="s">
        <v>214</v>
      </c>
      <c r="C11" s="43" t="s">
        <v>1445</v>
      </c>
      <c r="D11" s="51"/>
      <c r="E11" s="45">
        <v>9</v>
      </c>
      <c r="F11" s="46" t="s">
        <v>213</v>
      </c>
      <c r="G11" s="50" t="s">
        <v>155</v>
      </c>
      <c r="H11" s="50" t="s">
        <v>204</v>
      </c>
      <c r="I11" s="46" t="s">
        <v>192</v>
      </c>
      <c r="J11" s="50" t="s">
        <v>169</v>
      </c>
      <c r="K11" s="50" t="s">
        <v>163</v>
      </c>
      <c r="L11" s="47">
        <v>2</v>
      </c>
      <c r="M11" s="47" t="s">
        <v>142</v>
      </c>
      <c r="N11" s="47" t="s">
        <v>151</v>
      </c>
      <c r="O11" s="48" t="s">
        <v>158</v>
      </c>
      <c r="P11" s="59" t="s">
        <v>191</v>
      </c>
      <c r="Q11" s="60" t="s">
        <v>170</v>
      </c>
      <c r="R11" s="61" t="s">
        <v>171</v>
      </c>
      <c r="S11" s="49" t="str">
        <f t="shared" si="0"/>
        <v>하나은행/869-2828-526225</v>
      </c>
      <c r="T11" s="49" t="str">
        <f t="shared" si="1"/>
        <v>여</v>
      </c>
      <c r="U11" s="49" t="str">
        <f t="shared" si="2"/>
        <v>900699</v>
      </c>
      <c r="V11" s="49" t="str">
        <f t="shared" si="3"/>
        <v>1990</v>
      </c>
      <c r="W11" s="49">
        <f t="shared" ca="1" si="4"/>
        <v>34</v>
      </c>
      <c r="X11" s="49" t="str">
        <f t="shared" si="5"/>
        <v>경상권</v>
      </c>
    </row>
    <row r="12" spans="1:38" ht="15.75" customHeight="1">
      <c r="A12" s="2">
        <v>10</v>
      </c>
      <c r="B12" s="43" t="s">
        <v>214</v>
      </c>
      <c r="C12" s="43" t="s">
        <v>1445</v>
      </c>
      <c r="D12" s="51"/>
      <c r="E12" s="45">
        <v>10</v>
      </c>
      <c r="F12" s="46" t="s">
        <v>213</v>
      </c>
      <c r="G12" s="50" t="s">
        <v>172</v>
      </c>
      <c r="H12" s="50" t="s">
        <v>205</v>
      </c>
      <c r="I12" s="46" t="s">
        <v>192</v>
      </c>
      <c r="J12" s="50" t="s">
        <v>173</v>
      </c>
      <c r="K12" s="50" t="s">
        <v>150</v>
      </c>
      <c r="L12" s="47">
        <v>3</v>
      </c>
      <c r="M12" s="47" t="s">
        <v>142</v>
      </c>
      <c r="N12" s="47" t="s">
        <v>174</v>
      </c>
      <c r="O12" s="48" t="s">
        <v>144</v>
      </c>
      <c r="P12" s="59" t="s">
        <v>138</v>
      </c>
      <c r="Q12" s="60" t="s">
        <v>159</v>
      </c>
      <c r="R12" s="61" t="s">
        <v>175</v>
      </c>
      <c r="S12" s="49" t="str">
        <f t="shared" si="0"/>
        <v>농협/954-9797-760181</v>
      </c>
      <c r="T12" s="49" t="str">
        <f t="shared" si="1"/>
        <v>남</v>
      </c>
      <c r="U12" s="49" t="str">
        <f t="shared" si="2"/>
        <v>900799</v>
      </c>
      <c r="V12" s="49" t="str">
        <f t="shared" si="3"/>
        <v>1990</v>
      </c>
      <c r="W12" s="49">
        <f t="shared" ca="1" si="4"/>
        <v>34</v>
      </c>
      <c r="X12" s="49" t="str">
        <f t="shared" si="5"/>
        <v>경상권</v>
      </c>
    </row>
    <row r="13" spans="1:38" ht="16.5">
      <c r="A13" s="2">
        <v>11</v>
      </c>
      <c r="B13" s="43" t="s">
        <v>214</v>
      </c>
      <c r="C13" s="43" t="s">
        <v>1445</v>
      </c>
      <c r="D13" s="51"/>
      <c r="E13" s="45">
        <v>11</v>
      </c>
      <c r="F13" s="46" t="s">
        <v>213</v>
      </c>
      <c r="G13" s="50" t="s">
        <v>136</v>
      </c>
      <c r="H13" s="50" t="s">
        <v>206</v>
      </c>
      <c r="I13" s="46" t="s">
        <v>192</v>
      </c>
      <c r="J13" s="50" t="s">
        <v>137</v>
      </c>
      <c r="K13" s="50" t="s">
        <v>129</v>
      </c>
      <c r="L13" s="47">
        <v>2</v>
      </c>
      <c r="M13" s="47" t="s">
        <v>133</v>
      </c>
      <c r="N13" s="47" t="s">
        <v>176</v>
      </c>
      <c r="O13" s="48" t="s">
        <v>152</v>
      </c>
      <c r="P13" s="60" t="s">
        <v>197</v>
      </c>
      <c r="Q13" s="60" t="s">
        <v>134</v>
      </c>
      <c r="R13" s="61" t="s">
        <v>177</v>
      </c>
      <c r="S13" s="49" t="str">
        <f t="shared" si="0"/>
        <v>신한은행/129-2235-418768</v>
      </c>
      <c r="T13" s="49" t="str">
        <f t="shared" si="1"/>
        <v>남</v>
      </c>
      <c r="U13" s="49" t="str">
        <f t="shared" si="2"/>
        <v>910699</v>
      </c>
      <c r="V13" s="49" t="str">
        <f t="shared" si="3"/>
        <v>1991</v>
      </c>
      <c r="W13" s="49">
        <f t="shared" ca="1" si="4"/>
        <v>33</v>
      </c>
      <c r="X13" s="49" t="str">
        <f t="shared" si="5"/>
        <v>제주</v>
      </c>
    </row>
    <row r="14" spans="1:38" ht="16.5">
      <c r="A14" s="2">
        <v>12</v>
      </c>
      <c r="B14" s="43" t="s">
        <v>214</v>
      </c>
      <c r="C14" s="43" t="s">
        <v>1445</v>
      </c>
      <c r="D14" s="51"/>
      <c r="E14" s="45">
        <v>12</v>
      </c>
      <c r="F14" s="46" t="s">
        <v>213</v>
      </c>
      <c r="G14" s="50" t="s">
        <v>178</v>
      </c>
      <c r="H14" s="50" t="s">
        <v>210</v>
      </c>
      <c r="I14" s="46" t="s">
        <v>192</v>
      </c>
      <c r="J14" s="50" t="s">
        <v>179</v>
      </c>
      <c r="K14" s="50" t="s">
        <v>129</v>
      </c>
      <c r="L14" s="47">
        <v>1</v>
      </c>
      <c r="M14" s="47" t="s">
        <v>157</v>
      </c>
      <c r="N14" s="47" t="s">
        <v>143</v>
      </c>
      <c r="O14" s="48" t="s">
        <v>164</v>
      </c>
      <c r="P14" s="63" t="s">
        <v>196</v>
      </c>
      <c r="Q14" s="60" t="s">
        <v>153</v>
      </c>
      <c r="R14" s="61" t="s">
        <v>180</v>
      </c>
      <c r="S14" s="49" t="str">
        <f t="shared" si="0"/>
        <v>우리은행/404-5984-950896</v>
      </c>
      <c r="T14" s="49" t="str">
        <f t="shared" si="1"/>
        <v>여</v>
      </c>
      <c r="U14" s="49" t="str">
        <f t="shared" si="2"/>
        <v>000899</v>
      </c>
      <c r="V14" s="49" t="str">
        <f t="shared" si="3"/>
        <v>2000</v>
      </c>
      <c r="W14" s="49">
        <f ca="1">YEAR(TODAY()) - VALUE(IF(VALUE(MID(H14, 8, 1)) &lt;= 2, "19" &amp; LEFT(H14, 2), "20" &amp; LEFT(H14, 2)))</f>
        <v>24</v>
      </c>
      <c r="X14" s="49" t="str">
        <f t="shared" si="5"/>
        <v>충청권</v>
      </c>
    </row>
    <row r="15" spans="1:38" ht="16.5">
      <c r="A15" s="2">
        <v>13</v>
      </c>
      <c r="B15" s="43" t="s">
        <v>214</v>
      </c>
      <c r="C15" s="43" t="s">
        <v>1445</v>
      </c>
      <c r="D15" s="51"/>
      <c r="E15" s="45">
        <v>13</v>
      </c>
      <c r="F15" s="46" t="s">
        <v>213</v>
      </c>
      <c r="G15" s="50" t="s">
        <v>181</v>
      </c>
      <c r="H15" s="50" t="s">
        <v>207</v>
      </c>
      <c r="I15" s="46" t="s">
        <v>192</v>
      </c>
      <c r="J15" s="50" t="s">
        <v>182</v>
      </c>
      <c r="K15" s="50" t="s">
        <v>129</v>
      </c>
      <c r="L15" s="47">
        <v>2</v>
      </c>
      <c r="M15" s="47" t="s">
        <v>142</v>
      </c>
      <c r="N15" s="47" t="s">
        <v>143</v>
      </c>
      <c r="O15" s="48" t="s">
        <v>152</v>
      </c>
      <c r="P15" s="60" t="s">
        <v>195</v>
      </c>
      <c r="Q15" s="60" t="s">
        <v>159</v>
      </c>
      <c r="R15" s="61" t="s">
        <v>183</v>
      </c>
      <c r="S15" s="49" t="str">
        <f t="shared" si="0"/>
        <v>농협/756-6616-606584</v>
      </c>
      <c r="T15" s="49" t="str">
        <f t="shared" si="1"/>
        <v>여</v>
      </c>
      <c r="U15" s="49" t="str">
        <f t="shared" si="2"/>
        <v>921299</v>
      </c>
      <c r="V15" s="49" t="str">
        <f t="shared" si="3"/>
        <v>1992</v>
      </c>
      <c r="W15" s="49">
        <f t="shared" ca="1" si="4"/>
        <v>32</v>
      </c>
      <c r="X15" s="49" t="str">
        <f t="shared" si="5"/>
        <v>경상권</v>
      </c>
    </row>
    <row r="16" spans="1:38" ht="16.5">
      <c r="A16" s="2">
        <v>14</v>
      </c>
      <c r="B16" s="43" t="s">
        <v>214</v>
      </c>
      <c r="C16" s="43" t="s">
        <v>1445</v>
      </c>
      <c r="D16" s="264"/>
      <c r="E16" s="45">
        <v>14</v>
      </c>
      <c r="F16" s="46" t="s">
        <v>213</v>
      </c>
      <c r="G16" s="50" t="s">
        <v>161</v>
      </c>
      <c r="H16" s="50" t="s">
        <v>208</v>
      </c>
      <c r="I16" s="46" t="s">
        <v>192</v>
      </c>
      <c r="J16" s="50" t="s">
        <v>162</v>
      </c>
      <c r="K16" s="50" t="s">
        <v>163</v>
      </c>
      <c r="L16" s="47">
        <v>2</v>
      </c>
      <c r="M16" s="47" t="s">
        <v>142</v>
      </c>
      <c r="N16" s="47" t="s">
        <v>151</v>
      </c>
      <c r="O16" s="48" t="s">
        <v>148</v>
      </c>
      <c r="P16" s="59" t="s">
        <v>194</v>
      </c>
      <c r="Q16" s="60" t="s">
        <v>170</v>
      </c>
      <c r="R16" s="61" t="s">
        <v>184</v>
      </c>
      <c r="S16" s="49" t="str">
        <f t="shared" si="0"/>
        <v>하나은행/588-1300-685386</v>
      </c>
      <c r="T16" s="49" t="str">
        <f t="shared" si="1"/>
        <v>남</v>
      </c>
      <c r="U16" s="49" t="str">
        <f t="shared" si="2"/>
        <v>901199</v>
      </c>
      <c r="V16" s="49" t="str">
        <f t="shared" si="3"/>
        <v>1990</v>
      </c>
      <c r="W16" s="49">
        <f t="shared" ca="1" si="4"/>
        <v>34</v>
      </c>
      <c r="X16" s="49" t="str">
        <f t="shared" si="5"/>
        <v>호남권</v>
      </c>
    </row>
    <row r="17" spans="1:24" ht="16.5">
      <c r="A17" s="2">
        <v>15</v>
      </c>
      <c r="B17" s="50" t="s">
        <v>214</v>
      </c>
      <c r="C17" s="1690" t="s">
        <v>1445</v>
      </c>
      <c r="D17" s="51"/>
      <c r="E17" s="51">
        <v>15</v>
      </c>
      <c r="F17" s="50" t="s">
        <v>213</v>
      </c>
      <c r="G17" s="50" t="s">
        <v>185</v>
      </c>
      <c r="H17" s="50" t="s">
        <v>209</v>
      </c>
      <c r="I17" s="65" t="s">
        <v>192</v>
      </c>
      <c r="J17" s="50" t="s">
        <v>186</v>
      </c>
      <c r="K17" s="50" t="s">
        <v>150</v>
      </c>
      <c r="L17" s="64">
        <v>1</v>
      </c>
      <c r="M17" s="47" t="s">
        <v>157</v>
      </c>
      <c r="N17" s="47" t="s">
        <v>174</v>
      </c>
      <c r="O17" s="48" t="s">
        <v>164</v>
      </c>
      <c r="P17" s="59" t="s">
        <v>193</v>
      </c>
      <c r="Q17" s="60" t="s">
        <v>170</v>
      </c>
      <c r="R17" s="61" t="s">
        <v>187</v>
      </c>
      <c r="S17" s="49" t="str">
        <f t="shared" si="0"/>
        <v>하나은행/694-9043-121446</v>
      </c>
      <c r="T17" s="49" t="str">
        <f t="shared" si="1"/>
        <v>남</v>
      </c>
      <c r="U17" s="49" t="str">
        <f t="shared" si="2"/>
        <v>941099</v>
      </c>
      <c r="V17" s="49" t="str">
        <f t="shared" si="3"/>
        <v>1994</v>
      </c>
      <c r="W17" s="49">
        <f t="shared" ca="1" si="4"/>
        <v>30</v>
      </c>
      <c r="X17" s="49" t="str">
        <f t="shared" si="5"/>
        <v>수도권</v>
      </c>
    </row>
    <row r="18" spans="1:24" ht="16.5">
      <c r="A18" s="2">
        <v>16</v>
      </c>
    </row>
    <row r="19" spans="1:24" ht="16.5">
      <c r="A19" s="2">
        <v>17</v>
      </c>
    </row>
    <row r="20" spans="1:24" ht="16.5">
      <c r="A20" s="2">
        <v>18</v>
      </c>
    </row>
    <row r="21" spans="1:24" ht="16.5">
      <c r="A21" s="2">
        <v>19</v>
      </c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</row>
    <row r="22" spans="1:24" ht="16.5">
      <c r="A22" s="2">
        <v>20</v>
      </c>
      <c r="G22" s="62"/>
      <c r="J22" s="62"/>
      <c r="K22" s="62"/>
      <c r="M22" s="62"/>
      <c r="P22" s="62"/>
      <c r="Q22" s="62"/>
    </row>
    <row r="23" spans="1:24" ht="16.5">
      <c r="A23" s="2">
        <v>21</v>
      </c>
      <c r="G23" s="62"/>
      <c r="J23" s="62"/>
      <c r="K23" s="62"/>
      <c r="M23" s="62"/>
      <c r="P23" s="62"/>
      <c r="Q23" s="62"/>
    </row>
    <row r="24" spans="1:24" ht="16.5">
      <c r="A24" s="2">
        <v>22</v>
      </c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</row>
    <row r="25" spans="1:24" ht="16.5">
      <c r="A25" s="2">
        <v>23</v>
      </c>
      <c r="E25" s="62"/>
      <c r="G25" s="62"/>
      <c r="H25" s="62"/>
      <c r="I25" s="62"/>
      <c r="J25" s="62"/>
      <c r="K25" s="62"/>
      <c r="L25" s="57"/>
      <c r="M25" s="62"/>
      <c r="N25" s="62"/>
      <c r="O25" s="62"/>
      <c r="P25" s="62"/>
      <c r="Q25" s="62"/>
    </row>
    <row r="26" spans="1:24" ht="16.5">
      <c r="A26" s="2">
        <v>24</v>
      </c>
      <c r="E26" s="62"/>
      <c r="G26" s="62"/>
      <c r="H26" s="62"/>
      <c r="I26" s="62"/>
      <c r="J26" s="62"/>
      <c r="K26" s="62"/>
      <c r="L26" s="58"/>
      <c r="M26" s="62"/>
      <c r="N26" s="62"/>
      <c r="O26" s="62"/>
      <c r="P26" s="62"/>
      <c r="Q26" s="62"/>
    </row>
    <row r="27" spans="1:24" ht="16.5">
      <c r="A27" s="2">
        <v>25</v>
      </c>
      <c r="E27" s="62"/>
      <c r="G27" s="62"/>
      <c r="H27" s="62"/>
      <c r="I27" s="62"/>
      <c r="J27" s="62"/>
      <c r="K27" s="62"/>
      <c r="L27" s="62"/>
      <c r="M27" s="62"/>
      <c r="N27" s="57"/>
      <c r="O27" s="62"/>
      <c r="P27" s="62"/>
      <c r="Q27" s="62"/>
    </row>
    <row r="28" spans="1:24" ht="16.5">
      <c r="A28" s="2">
        <v>26</v>
      </c>
      <c r="E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</row>
    <row r="29" spans="1:24" ht="16.5">
      <c r="A29" s="2">
        <v>27</v>
      </c>
      <c r="E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</row>
    <row r="30" spans="1:24" ht="16.5">
      <c r="A30" s="2">
        <v>28</v>
      </c>
      <c r="E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</row>
    <row r="31" spans="1:24" ht="16.5">
      <c r="A31" s="2">
        <v>29</v>
      </c>
      <c r="E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</row>
    <row r="32" spans="1:24" ht="16.5">
      <c r="A32" s="2">
        <v>30</v>
      </c>
      <c r="E32" s="62"/>
      <c r="G32" s="62"/>
      <c r="H32" s="62"/>
      <c r="I32" s="62"/>
      <c r="J32" s="62"/>
      <c r="K32" s="62"/>
      <c r="L32" s="62"/>
      <c r="M32" s="62"/>
      <c r="N32" s="57"/>
      <c r="O32" s="62"/>
      <c r="P32" s="62"/>
      <c r="Q32" s="62"/>
    </row>
    <row r="33" spans="1:17" ht="16.5">
      <c r="A33" s="2">
        <v>31</v>
      </c>
      <c r="E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</row>
    <row r="34" spans="1:17" ht="16.5">
      <c r="A34" s="2">
        <v>32</v>
      </c>
      <c r="E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</row>
    <row r="35" spans="1:17" ht="16.5">
      <c r="A35" s="2">
        <v>33</v>
      </c>
      <c r="E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</row>
    <row r="36" spans="1:17" ht="16.5">
      <c r="A36" s="2">
        <v>34</v>
      </c>
      <c r="E36" s="62"/>
      <c r="G36" s="62"/>
      <c r="H36" s="62"/>
      <c r="I36" s="62"/>
      <c r="J36" s="62"/>
      <c r="K36" s="62"/>
      <c r="L36" s="62"/>
      <c r="M36" s="62"/>
      <c r="N36" s="57"/>
      <c r="O36" s="62"/>
      <c r="P36" s="62"/>
      <c r="Q36" s="62"/>
    </row>
    <row r="37" spans="1:17" ht="16.5">
      <c r="A37" s="2">
        <v>35</v>
      </c>
      <c r="E37" s="62"/>
      <c r="H37" s="62"/>
      <c r="I37" s="62"/>
      <c r="K37" s="62"/>
      <c r="L37" s="62"/>
      <c r="M37" s="62"/>
      <c r="N37" s="62"/>
      <c r="O37" s="62"/>
    </row>
    <row r="38" spans="1:17" ht="16.5">
      <c r="A38" s="2">
        <v>36</v>
      </c>
      <c r="E38" s="62"/>
      <c r="H38" s="62"/>
      <c r="I38" s="62"/>
      <c r="K38" s="62"/>
      <c r="L38" s="62"/>
      <c r="M38" s="62"/>
      <c r="N38" s="57"/>
      <c r="O38" s="62"/>
    </row>
    <row r="39" spans="1:17" ht="16.5">
      <c r="A39" s="2">
        <v>37</v>
      </c>
      <c r="E39" s="62"/>
      <c r="H39" s="62"/>
      <c r="I39" s="62"/>
      <c r="K39" s="62"/>
      <c r="L39" s="62"/>
      <c r="M39" s="62"/>
      <c r="N39" s="62"/>
      <c r="O39" s="62"/>
    </row>
    <row r="40" spans="1:17" ht="16.5">
      <c r="A40" s="2">
        <v>38</v>
      </c>
    </row>
    <row r="41" spans="1:17" ht="16.5">
      <c r="A41" s="2">
        <v>39</v>
      </c>
    </row>
    <row r="42" spans="1:17" ht="16.5">
      <c r="A42" s="2">
        <v>40</v>
      </c>
    </row>
    <row r="43" spans="1:17" ht="16.5">
      <c r="A43" s="2">
        <v>41</v>
      </c>
    </row>
    <row r="44" spans="1:17" ht="16.5">
      <c r="A44" s="2">
        <v>42</v>
      </c>
    </row>
    <row r="45" spans="1:17" ht="16.5">
      <c r="A45" s="2">
        <v>43</v>
      </c>
    </row>
    <row r="46" spans="1:17" ht="16.5">
      <c r="A46" s="2">
        <v>44</v>
      </c>
    </row>
    <row r="47" spans="1:17" ht="16.5">
      <c r="A47" s="2">
        <v>45</v>
      </c>
    </row>
    <row r="48" spans="1:17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1019175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7B59A-E344-47CD-9D6E-C745E50201F8}">
  <sheetPr codeName="Sheet3">
    <tabColor theme="5" tint="0.79998168889431442"/>
  </sheetPr>
  <dimension ref="A1:K90"/>
  <sheetViews>
    <sheetView showGridLines="0" tabSelected="1" topLeftCell="A32" zoomScale="85" zoomScaleNormal="85" workbookViewId="0">
      <selection activeCell="J38" sqref="J38"/>
    </sheetView>
  </sheetViews>
  <sheetFormatPr defaultColWidth="9.140625" defaultRowHeight="12.75"/>
  <cols>
    <col min="1" max="1" width="14" style="275" customWidth="1"/>
    <col min="2" max="2" width="26.5703125" style="275" customWidth="1"/>
    <col min="3" max="3" width="30.85546875" style="275" bestFit="1" customWidth="1"/>
    <col min="4" max="4" width="50.7109375" style="275" bestFit="1" customWidth="1"/>
    <col min="5" max="5" width="28.42578125" style="275" bestFit="1" customWidth="1"/>
    <col min="6" max="6" width="29.42578125" style="291" bestFit="1" customWidth="1"/>
    <col min="7" max="16384" width="9.140625" style="275"/>
  </cols>
  <sheetData>
    <row r="1" spans="1:9" ht="24">
      <c r="A1" s="390" t="s">
        <v>101</v>
      </c>
      <c r="B1" s="388">
        <v>1</v>
      </c>
      <c r="C1" s="388">
        <v>2</v>
      </c>
      <c r="D1" s="388">
        <v>3</v>
      </c>
      <c r="E1" s="388">
        <v>4</v>
      </c>
      <c r="F1" s="389">
        <v>5</v>
      </c>
      <c r="G1" s="388">
        <v>6</v>
      </c>
      <c r="H1" s="388">
        <v>7</v>
      </c>
      <c r="I1" s="388">
        <v>8</v>
      </c>
    </row>
    <row r="2" spans="1:9" ht="26.25">
      <c r="A2" s="387">
        <v>0</v>
      </c>
      <c r="B2" s="778" t="s">
        <v>564</v>
      </c>
      <c r="C2" s="779"/>
      <c r="D2" s="779"/>
      <c r="E2" s="779"/>
      <c r="F2" s="779"/>
    </row>
    <row r="3" spans="1:9" ht="18.75" thickBot="1">
      <c r="A3" s="324">
        <v>1</v>
      </c>
      <c r="B3" s="386" t="s">
        <v>704</v>
      </c>
      <c r="C3" s="386" t="s">
        <v>568</v>
      </c>
      <c r="D3" s="386" t="s">
        <v>569</v>
      </c>
      <c r="E3" s="386" t="s">
        <v>568</v>
      </c>
      <c r="F3" s="385" t="s">
        <v>569</v>
      </c>
    </row>
    <row r="4" spans="1:9" ht="17.25" customHeight="1" thickTop="1">
      <c r="A4" s="324">
        <v>2</v>
      </c>
      <c r="B4" s="781" t="s">
        <v>801</v>
      </c>
      <c r="C4" s="383" t="s">
        <v>480</v>
      </c>
      <c r="D4" s="384" t="s">
        <v>673</v>
      </c>
      <c r="E4" s="383" t="s">
        <v>110</v>
      </c>
      <c r="F4" s="382">
        <v>45455</v>
      </c>
    </row>
    <row r="5" spans="1:9" ht="16.5" customHeight="1">
      <c r="A5" s="324">
        <v>3</v>
      </c>
      <c r="B5" s="782"/>
      <c r="C5" s="331" t="s">
        <v>497</v>
      </c>
      <c r="D5" s="369" t="s">
        <v>2</v>
      </c>
      <c r="E5" s="368"/>
      <c r="F5" s="278"/>
    </row>
    <row r="6" spans="1:9" ht="16.5" customHeight="1">
      <c r="A6" s="324">
        <v>4</v>
      </c>
      <c r="B6" s="782"/>
      <c r="C6" s="381" t="s">
        <v>77</v>
      </c>
      <c r="D6" s="369" t="s">
        <v>800</v>
      </c>
      <c r="E6" s="331"/>
      <c r="F6" s="278"/>
    </row>
    <row r="7" spans="1:9" ht="16.5" customHeight="1">
      <c r="A7" s="324">
        <v>5</v>
      </c>
      <c r="B7" s="782"/>
      <c r="C7" s="331" t="s">
        <v>676</v>
      </c>
      <c r="D7" s="369" t="s">
        <v>215</v>
      </c>
      <c r="E7" s="368"/>
      <c r="F7" s="379"/>
      <c r="H7" s="276"/>
      <c r="I7" s="276"/>
    </row>
    <row r="8" spans="1:9" ht="16.5" customHeight="1">
      <c r="A8" s="324">
        <v>6</v>
      </c>
      <c r="B8" s="782"/>
      <c r="C8" s="368" t="s">
        <v>216</v>
      </c>
      <c r="D8" s="278">
        <v>222222222</v>
      </c>
      <c r="E8" s="380"/>
      <c r="F8" s="379"/>
      <c r="H8" s="276"/>
      <c r="I8" s="276"/>
    </row>
    <row r="9" spans="1:9" ht="15.75" customHeight="1">
      <c r="A9" s="324">
        <v>7</v>
      </c>
      <c r="B9" s="782"/>
      <c r="C9" s="331" t="s">
        <v>498</v>
      </c>
      <c r="D9" s="369" t="s">
        <v>3</v>
      </c>
      <c r="E9" s="360"/>
      <c r="F9" s="278"/>
      <c r="H9" s="276"/>
      <c r="I9" s="276"/>
    </row>
    <row r="10" spans="1:9" ht="16.5" customHeight="1">
      <c r="A10" s="324">
        <v>8</v>
      </c>
      <c r="B10" s="782"/>
      <c r="C10" s="331" t="s">
        <v>677</v>
      </c>
      <c r="D10" s="369" t="s">
        <v>678</v>
      </c>
      <c r="E10" s="360" t="s">
        <v>799</v>
      </c>
      <c r="F10" s="278" t="s">
        <v>678</v>
      </c>
      <c r="H10" s="276"/>
      <c r="I10" s="276"/>
    </row>
    <row r="11" spans="1:9" ht="17.25" customHeight="1">
      <c r="A11" s="324">
        <v>9</v>
      </c>
      <c r="B11" s="782"/>
      <c r="C11" s="368" t="s">
        <v>674</v>
      </c>
      <c r="D11" s="379" t="s">
        <v>675</v>
      </c>
      <c r="E11" s="368" t="s">
        <v>217</v>
      </c>
      <c r="F11" s="278"/>
      <c r="H11" s="276"/>
      <c r="I11" s="276"/>
    </row>
    <row r="12" spans="1:9" ht="17.25" customHeight="1">
      <c r="A12" s="324">
        <v>10</v>
      </c>
      <c r="B12" s="782"/>
      <c r="C12" s="380" t="s">
        <v>348</v>
      </c>
      <c r="D12" s="379" t="s">
        <v>698</v>
      </c>
      <c r="E12" s="368"/>
      <c r="F12" s="278"/>
      <c r="H12" s="276"/>
      <c r="I12" s="276"/>
    </row>
    <row r="13" spans="1:9" ht="18" customHeight="1">
      <c r="A13" s="324">
        <v>11</v>
      </c>
      <c r="B13" s="782"/>
      <c r="C13" s="331" t="s">
        <v>499</v>
      </c>
      <c r="D13" s="369" t="s">
        <v>7</v>
      </c>
      <c r="E13" s="380"/>
      <c r="F13" s="379"/>
      <c r="H13" s="276"/>
      <c r="I13" s="276"/>
    </row>
    <row r="14" spans="1:9" ht="16.5" customHeight="1">
      <c r="A14" s="324">
        <v>12</v>
      </c>
      <c r="B14" s="782"/>
      <c r="C14" s="381" t="s">
        <v>798</v>
      </c>
      <c r="D14" s="369" t="s">
        <v>8</v>
      </c>
      <c r="E14" s="368"/>
      <c r="F14" s="278"/>
      <c r="H14" s="276"/>
      <c r="I14" s="276"/>
    </row>
    <row r="15" spans="1:9" ht="16.5" customHeight="1">
      <c r="A15" s="324">
        <v>13</v>
      </c>
      <c r="B15" s="782"/>
      <c r="C15" s="380" t="s">
        <v>348</v>
      </c>
      <c r="D15" s="379" t="s">
        <v>698</v>
      </c>
      <c r="E15" s="368"/>
      <c r="F15" s="278"/>
    </row>
    <row r="16" spans="1:9" ht="16.5" customHeight="1">
      <c r="A16" s="324">
        <v>14</v>
      </c>
      <c r="B16" s="782"/>
      <c r="C16" s="784" t="s">
        <v>797</v>
      </c>
      <c r="D16" s="786" t="s">
        <v>8</v>
      </c>
      <c r="E16" s="760"/>
      <c r="F16" s="760"/>
    </row>
    <row r="17" spans="1:11" ht="16.5" customHeight="1">
      <c r="A17" s="324">
        <v>15</v>
      </c>
      <c r="B17" s="782"/>
      <c r="C17" s="785"/>
      <c r="D17" s="787"/>
      <c r="E17" s="788"/>
      <c r="F17" s="788"/>
    </row>
    <row r="18" spans="1:11" ht="16.5" customHeight="1">
      <c r="A18" s="324">
        <v>16</v>
      </c>
      <c r="B18" s="782"/>
      <c r="C18" s="368" t="s">
        <v>679</v>
      </c>
      <c r="D18" s="278" t="s">
        <v>680</v>
      </c>
      <c r="E18" s="368"/>
      <c r="F18" s="278"/>
    </row>
    <row r="19" spans="1:11" ht="17.25" customHeight="1">
      <c r="A19" s="324">
        <v>17</v>
      </c>
      <c r="B19" s="782"/>
      <c r="C19" s="368" t="s">
        <v>681</v>
      </c>
      <c r="D19" s="278" t="s">
        <v>478</v>
      </c>
      <c r="E19" s="368"/>
      <c r="F19" s="278"/>
    </row>
    <row r="20" spans="1:11" ht="17.25" customHeight="1">
      <c r="A20" s="324">
        <v>18</v>
      </c>
      <c r="B20" s="782"/>
      <c r="C20" s="368" t="s">
        <v>682</v>
      </c>
      <c r="D20" s="278" t="s">
        <v>683</v>
      </c>
      <c r="E20" s="368"/>
      <c r="F20" s="278"/>
    </row>
    <row r="21" spans="1:11" ht="16.899999999999999" customHeight="1">
      <c r="A21" s="324">
        <v>19</v>
      </c>
      <c r="B21" s="782"/>
      <c r="C21" s="368"/>
      <c r="D21" s="278"/>
      <c r="E21" s="368"/>
      <c r="F21" s="278"/>
    </row>
    <row r="22" spans="1:11" ht="17.25" customHeight="1" thickBot="1">
      <c r="A22" s="324">
        <v>20</v>
      </c>
      <c r="B22" s="783"/>
      <c r="C22" s="364"/>
      <c r="D22" s="277"/>
      <c r="E22" s="364"/>
      <c r="F22" s="277"/>
    </row>
    <row r="23" spans="1:11" ht="15">
      <c r="A23" s="324">
        <v>21</v>
      </c>
      <c r="B23" s="376"/>
      <c r="C23" s="375"/>
      <c r="D23" s="378"/>
      <c r="E23" s="377"/>
      <c r="F23" s="372"/>
    </row>
    <row r="24" spans="1:11" ht="15">
      <c r="A24" s="324">
        <v>22</v>
      </c>
      <c r="B24" s="376"/>
      <c r="C24" s="375"/>
      <c r="D24" s="374"/>
      <c r="E24" s="373"/>
      <c r="F24" s="372"/>
    </row>
    <row r="25" spans="1:11" ht="16.899999999999999" customHeight="1">
      <c r="A25" s="324">
        <v>23</v>
      </c>
      <c r="B25" s="780" t="s">
        <v>705</v>
      </c>
      <c r="C25" s="331" t="s">
        <v>500</v>
      </c>
      <c r="D25" s="369" t="s">
        <v>684</v>
      </c>
      <c r="E25" s="371"/>
      <c r="F25" s="370"/>
    </row>
    <row r="26" spans="1:11" ht="16.899999999999999" customHeight="1">
      <c r="A26" s="324">
        <v>24</v>
      </c>
      <c r="B26" s="776"/>
      <c r="C26" s="331" t="s">
        <v>685</v>
      </c>
      <c r="D26" s="369" t="s">
        <v>12</v>
      </c>
      <c r="E26" s="365"/>
      <c r="F26" s="278"/>
    </row>
    <row r="27" spans="1:11" ht="16.5" customHeight="1">
      <c r="A27" s="324">
        <v>25</v>
      </c>
      <c r="B27" s="776"/>
      <c r="C27" s="331" t="s">
        <v>686</v>
      </c>
      <c r="D27" s="343" t="s">
        <v>687</v>
      </c>
      <c r="E27" s="368" t="s">
        <v>218</v>
      </c>
      <c r="F27" s="278" t="s">
        <v>13</v>
      </c>
    </row>
    <row r="28" spans="1:11" ht="16.5" customHeight="1">
      <c r="A28" s="324">
        <v>26</v>
      </c>
      <c r="B28" s="776"/>
      <c r="C28" s="331" t="s">
        <v>501</v>
      </c>
      <c r="D28" s="343" t="s">
        <v>14</v>
      </c>
      <c r="E28" s="365"/>
      <c r="F28" s="278"/>
    </row>
    <row r="29" spans="1:11" ht="16.5" customHeight="1">
      <c r="A29" s="324">
        <v>27</v>
      </c>
      <c r="B29" s="776"/>
      <c r="C29" s="331" t="s">
        <v>688</v>
      </c>
      <c r="D29" s="343" t="s">
        <v>15</v>
      </c>
      <c r="E29" s="365"/>
      <c r="F29" s="278"/>
    </row>
    <row r="30" spans="1:11" ht="15.75" customHeight="1">
      <c r="A30" s="324">
        <v>28</v>
      </c>
      <c r="B30" s="776"/>
      <c r="C30" s="331" t="s">
        <v>502</v>
      </c>
      <c r="D30" s="343" t="s">
        <v>16</v>
      </c>
      <c r="E30" s="365"/>
      <c r="F30" s="278"/>
    </row>
    <row r="31" spans="1:11" ht="16.5" customHeight="1">
      <c r="A31" s="324">
        <v>29</v>
      </c>
      <c r="B31" s="776"/>
      <c r="C31" s="367" t="s">
        <v>503</v>
      </c>
      <c r="D31" s="366" t="s">
        <v>17</v>
      </c>
      <c r="E31" s="365"/>
      <c r="F31" s="278"/>
    </row>
    <row r="32" spans="1:11" ht="16.5" thickBot="1">
      <c r="A32" s="324">
        <v>30</v>
      </c>
      <c r="B32" s="777"/>
      <c r="C32" s="364" t="s">
        <v>504</v>
      </c>
      <c r="D32" s="363"/>
      <c r="E32" s="362"/>
      <c r="F32" s="277"/>
      <c r="I32" s="361"/>
      <c r="K32" s="361"/>
    </row>
    <row r="33" spans="1:11" ht="15">
      <c r="A33" s="324">
        <v>31</v>
      </c>
      <c r="C33" s="350"/>
      <c r="D33" s="352"/>
      <c r="E33" s="348"/>
      <c r="F33" s="351"/>
      <c r="I33" s="361"/>
      <c r="K33" s="361"/>
    </row>
    <row r="34" spans="1:11" ht="47.45" customHeight="1" thickBot="1">
      <c r="A34" s="324">
        <v>32</v>
      </c>
      <c r="B34" s="789" t="s">
        <v>1127</v>
      </c>
      <c r="C34" s="790"/>
      <c r="D34" s="790"/>
      <c r="E34" s="790"/>
      <c r="F34" s="790"/>
      <c r="I34" s="359"/>
    </row>
    <row r="35" spans="1:11" ht="19.149999999999999" customHeight="1">
      <c r="A35" s="324">
        <v>33</v>
      </c>
      <c r="B35" s="791" t="s">
        <v>706</v>
      </c>
      <c r="C35" s="518" t="s">
        <v>796</v>
      </c>
      <c r="D35" s="519" t="s">
        <v>689</v>
      </c>
      <c r="E35" s="368" t="s">
        <v>796</v>
      </c>
      <c r="F35" s="379" t="s">
        <v>690</v>
      </c>
      <c r="I35" s="359"/>
    </row>
    <row r="36" spans="1:11" ht="15" customHeight="1">
      <c r="A36" s="324">
        <v>34</v>
      </c>
      <c r="B36" s="776"/>
      <c r="C36" s="331" t="s">
        <v>691</v>
      </c>
      <c r="D36" s="343" t="s">
        <v>18</v>
      </c>
      <c r="E36" s="331" t="s">
        <v>691</v>
      </c>
      <c r="F36" s="335" t="s">
        <v>692</v>
      </c>
    </row>
    <row r="37" spans="1:11" ht="19.149999999999999" customHeight="1">
      <c r="A37" s="324">
        <v>35</v>
      </c>
      <c r="B37" s="776"/>
      <c r="C37" s="331" t="s">
        <v>505</v>
      </c>
      <c r="D37" s="343" t="s">
        <v>14</v>
      </c>
      <c r="E37" s="331" t="s">
        <v>505</v>
      </c>
      <c r="F37" s="358" t="s">
        <v>715</v>
      </c>
    </row>
    <row r="38" spans="1:11" ht="15" customHeight="1">
      <c r="A38" s="324">
        <v>36</v>
      </c>
      <c r="B38" s="776"/>
      <c r="C38" s="331" t="s">
        <v>506</v>
      </c>
      <c r="D38" s="343" t="s">
        <v>16</v>
      </c>
      <c r="E38" s="331" t="s">
        <v>506</v>
      </c>
      <c r="F38" s="335" t="s">
        <v>479</v>
      </c>
    </row>
    <row r="39" spans="1:11" ht="15" customHeight="1">
      <c r="A39" s="324">
        <v>37</v>
      </c>
      <c r="B39" s="776"/>
      <c r="C39" s="331" t="s">
        <v>507</v>
      </c>
      <c r="D39" s="357" t="s">
        <v>477</v>
      </c>
      <c r="E39" s="331" t="s">
        <v>507</v>
      </c>
      <c r="F39" s="356" t="s">
        <v>476</v>
      </c>
    </row>
    <row r="40" spans="1:11" ht="15" customHeight="1">
      <c r="A40" s="324">
        <v>38</v>
      </c>
      <c r="B40" s="776"/>
      <c r="C40" s="331" t="s">
        <v>508</v>
      </c>
      <c r="D40" s="357"/>
      <c r="E40" s="331" t="s">
        <v>508</v>
      </c>
      <c r="F40" s="356"/>
    </row>
    <row r="41" spans="1:11" ht="15" customHeight="1">
      <c r="A41" s="324">
        <v>39</v>
      </c>
      <c r="B41" s="776"/>
      <c r="C41" s="331" t="s">
        <v>1126</v>
      </c>
      <c r="D41" s="357"/>
      <c r="E41" s="360" t="s">
        <v>1125</v>
      </c>
      <c r="F41" s="356"/>
    </row>
    <row r="42" spans="1:11" ht="19.5" customHeight="1">
      <c r="A42" s="324">
        <v>40</v>
      </c>
      <c r="B42" s="776"/>
      <c r="C42" s="331" t="s">
        <v>795</v>
      </c>
      <c r="D42" s="357"/>
      <c r="E42" s="331" t="s">
        <v>795</v>
      </c>
      <c r="F42" s="356"/>
    </row>
    <row r="43" spans="1:11" ht="16.5" thickBot="1">
      <c r="A43" s="324">
        <v>41</v>
      </c>
      <c r="B43" s="777"/>
      <c r="C43" s="354" t="s">
        <v>794</v>
      </c>
      <c r="D43" s="355"/>
      <c r="E43" s="354" t="s">
        <v>794</v>
      </c>
      <c r="F43" s="353"/>
    </row>
    <row r="44" spans="1:11" ht="15">
      <c r="A44" s="324">
        <v>42</v>
      </c>
      <c r="C44" s="350"/>
      <c r="D44" s="352"/>
      <c r="E44" s="348"/>
      <c r="F44" s="351"/>
    </row>
    <row r="45" spans="1:11" ht="15.75" customHeight="1">
      <c r="A45" s="324">
        <v>43</v>
      </c>
      <c r="C45" s="350"/>
      <c r="D45" s="349"/>
      <c r="E45" s="348"/>
      <c r="F45" s="347"/>
    </row>
    <row r="46" spans="1:11" ht="15.75" customHeight="1">
      <c r="A46" s="324">
        <v>44</v>
      </c>
      <c r="B46" s="1750" t="s">
        <v>1457</v>
      </c>
      <c r="C46" s="1699" t="s">
        <v>114</v>
      </c>
      <c r="D46" s="1696" t="s">
        <v>1456</v>
      </c>
      <c r="E46" s="331"/>
      <c r="F46" s="379"/>
    </row>
    <row r="47" spans="1:11" ht="15.75" customHeight="1">
      <c r="A47" s="324">
        <v>45</v>
      </c>
      <c r="B47" s="1694"/>
      <c r="C47" s="1697" t="s">
        <v>1447</v>
      </c>
      <c r="D47" s="1696" t="s">
        <v>1449</v>
      </c>
      <c r="E47" s="1697"/>
      <c r="F47" s="203"/>
      <c r="G47" s="1718"/>
    </row>
    <row r="48" spans="1:11" ht="19.5" customHeight="1">
      <c r="A48" s="324">
        <v>46</v>
      </c>
      <c r="B48" s="1694"/>
      <c r="C48" s="1697" t="s">
        <v>1446</v>
      </c>
      <c r="D48" s="1696" t="s">
        <v>1455</v>
      </c>
      <c r="E48" s="331"/>
      <c r="F48" s="358"/>
    </row>
    <row r="49" spans="1:6" ht="15.75" customHeight="1">
      <c r="A49" s="324">
        <v>47</v>
      </c>
      <c r="B49" s="1694"/>
      <c r="C49" s="1698" t="s">
        <v>1448</v>
      </c>
      <c r="D49" s="269">
        <v>10</v>
      </c>
      <c r="E49" s="331"/>
      <c r="F49" s="335"/>
    </row>
    <row r="50" spans="1:6" ht="15.75" customHeight="1">
      <c r="A50" s="324">
        <v>48</v>
      </c>
      <c r="B50" s="1694"/>
      <c r="C50" s="321" t="s">
        <v>1452</v>
      </c>
      <c r="D50" s="1701" t="s">
        <v>1453</v>
      </c>
      <c r="E50" s="331"/>
      <c r="F50" s="356"/>
    </row>
    <row r="51" spans="1:6" ht="15.75" customHeight="1">
      <c r="A51" s="324">
        <v>49</v>
      </c>
      <c r="B51" s="1694"/>
      <c r="C51" s="211" t="s">
        <v>730</v>
      </c>
      <c r="D51" s="1702" t="s">
        <v>1444</v>
      </c>
      <c r="E51" s="331"/>
      <c r="F51" s="356"/>
    </row>
    <row r="52" spans="1:6" ht="15.75" customHeight="1">
      <c r="A52" s="324">
        <v>50</v>
      </c>
      <c r="B52" s="1694"/>
      <c r="C52" s="1751" t="s">
        <v>1489</v>
      </c>
      <c r="D52" s="6" t="s">
        <v>1488</v>
      </c>
      <c r="E52" s="381" t="s">
        <v>1450</v>
      </c>
      <c r="F52" s="1711">
        <v>40</v>
      </c>
    </row>
    <row r="53" spans="1:6" ht="16.5" customHeight="1">
      <c r="A53" s="324">
        <v>51</v>
      </c>
      <c r="B53" s="1694"/>
      <c r="C53" s="1751"/>
      <c r="D53" s="6"/>
      <c r="E53" s="331"/>
      <c r="F53" s="356"/>
    </row>
    <row r="54" spans="1:6" ht="16.5" customHeight="1">
      <c r="A54" s="324">
        <v>52</v>
      </c>
      <c r="B54" s="1694"/>
      <c r="C54" s="1700" t="s">
        <v>117</v>
      </c>
      <c r="D54" s="6" t="s">
        <v>1451</v>
      </c>
      <c r="E54" s="381"/>
      <c r="F54" s="1711"/>
    </row>
    <row r="55" spans="1:6" ht="16.5" customHeight="1">
      <c r="A55" s="324">
        <v>53</v>
      </c>
      <c r="B55" s="1694"/>
      <c r="C55" s="1709" t="s">
        <v>733</v>
      </c>
      <c r="D55" s="1705" t="s">
        <v>1454</v>
      </c>
      <c r="E55" s="1706"/>
      <c r="F55" s="1706"/>
    </row>
    <row r="56" spans="1:6" ht="16.5" customHeight="1" thickBot="1">
      <c r="A56" s="324">
        <v>54</v>
      </c>
      <c r="B56" s="1695"/>
      <c r="C56" s="1710"/>
      <c r="D56" s="1707"/>
      <c r="E56" s="1708"/>
      <c r="F56" s="1708"/>
    </row>
    <row r="57" spans="1:6" ht="16.5" customHeight="1">
      <c r="A57" s="324">
        <v>55</v>
      </c>
    </row>
    <row r="58" spans="1:6" ht="16.5" customHeight="1">
      <c r="A58" s="324">
        <v>56</v>
      </c>
    </row>
    <row r="59" spans="1:6" ht="16.5" customHeight="1">
      <c r="A59" s="324">
        <v>57</v>
      </c>
      <c r="B59" s="775" t="s">
        <v>789</v>
      </c>
      <c r="C59" s="211" t="s">
        <v>729</v>
      </c>
      <c r="D59" s="6" t="s">
        <v>728</v>
      </c>
      <c r="E59" s="345"/>
      <c r="F59" s="344"/>
    </row>
    <row r="60" spans="1:6" ht="16.5" customHeight="1">
      <c r="A60" s="324">
        <v>58</v>
      </c>
      <c r="B60" s="1716"/>
      <c r="C60" s="331" t="s">
        <v>793</v>
      </c>
      <c r="D60" s="346" t="s">
        <v>792</v>
      </c>
      <c r="E60" s="345" t="s">
        <v>791</v>
      </c>
      <c r="F60" s="344"/>
    </row>
    <row r="61" spans="1:6" ht="19.5" customHeight="1">
      <c r="A61" s="324">
        <v>59</v>
      </c>
      <c r="B61" s="1716"/>
      <c r="C61" s="331" t="s">
        <v>790</v>
      </c>
      <c r="D61" s="327"/>
      <c r="E61" s="328"/>
      <c r="F61" s="327"/>
    </row>
    <row r="62" spans="1:6" ht="19.5" customHeight="1">
      <c r="A62" s="324">
        <v>60</v>
      </c>
      <c r="B62" s="1716"/>
      <c r="C62" s="331" t="s">
        <v>509</v>
      </c>
      <c r="D62" s="343" t="s">
        <v>19</v>
      </c>
      <c r="E62" s="331"/>
      <c r="F62" s="344"/>
    </row>
    <row r="63" spans="1:6" ht="19.5" customHeight="1">
      <c r="A63" s="324">
        <v>61</v>
      </c>
      <c r="B63" s="1716"/>
      <c r="C63" s="331" t="s">
        <v>510</v>
      </c>
      <c r="D63" s="343" t="s">
        <v>20</v>
      </c>
      <c r="E63" s="331"/>
      <c r="F63" s="342"/>
    </row>
    <row r="64" spans="1:6" ht="16.5" customHeight="1">
      <c r="A64" s="324">
        <v>62</v>
      </c>
      <c r="B64" s="1716"/>
      <c r="C64" s="331" t="s">
        <v>511</v>
      </c>
      <c r="D64" s="341" t="s">
        <v>21</v>
      </c>
      <c r="E64" s="331"/>
      <c r="F64" s="330"/>
    </row>
    <row r="65" spans="1:6" ht="16.5" customHeight="1">
      <c r="A65" s="324">
        <v>63</v>
      </c>
      <c r="B65" s="1716"/>
      <c r="C65" s="340" t="s">
        <v>512</v>
      </c>
      <c r="D65" s="336" t="s">
        <v>56</v>
      </c>
      <c r="E65" s="331" t="s">
        <v>513</v>
      </c>
      <c r="F65" s="335" t="s">
        <v>127</v>
      </c>
    </row>
    <row r="66" spans="1:6" ht="15" customHeight="1">
      <c r="A66" s="324">
        <v>64</v>
      </c>
      <c r="B66" s="1716"/>
      <c r="C66" s="337"/>
      <c r="D66" s="336"/>
      <c r="E66" s="331" t="s">
        <v>514</v>
      </c>
      <c r="F66" s="335" t="s">
        <v>128</v>
      </c>
    </row>
    <row r="67" spans="1:6" ht="15" customHeight="1">
      <c r="A67" s="324">
        <v>65</v>
      </c>
      <c r="B67" s="1716"/>
      <c r="C67" s="339"/>
      <c r="D67" s="336"/>
      <c r="E67" s="331" t="s">
        <v>693</v>
      </c>
      <c r="F67" s="338" t="str">
        <f>LEFT(F65, FIND("~", F65) - 2)</f>
        <v>2024.11.18</v>
      </c>
    </row>
    <row r="68" spans="1:6" ht="15" customHeight="1">
      <c r="A68" s="324">
        <v>66</v>
      </c>
      <c r="B68" s="1716"/>
      <c r="C68" s="337"/>
      <c r="D68" s="336"/>
      <c r="E68" s="331" t="s">
        <v>694</v>
      </c>
      <c r="F68" s="335" t="str">
        <f>LEFT(F66, FIND("~", F66) - 2)</f>
        <v>2024.12.16</v>
      </c>
    </row>
    <row r="69" spans="1:6" ht="15" customHeight="1">
      <c r="A69" s="324">
        <v>67</v>
      </c>
      <c r="B69" s="1716"/>
      <c r="C69" s="333" t="s">
        <v>707</v>
      </c>
      <c r="D69" s="332" t="s">
        <v>700</v>
      </c>
      <c r="E69" s="331"/>
      <c r="F69" s="330"/>
    </row>
    <row r="70" spans="1:6" ht="15" customHeight="1">
      <c r="A70" s="324">
        <v>68</v>
      </c>
      <c r="B70" s="1716"/>
      <c r="C70" s="333" t="s">
        <v>708</v>
      </c>
      <c r="D70" s="332" t="s">
        <v>701</v>
      </c>
      <c r="E70" s="331"/>
      <c r="F70" s="330"/>
    </row>
    <row r="71" spans="1:6" ht="15" customHeight="1">
      <c r="A71" s="324">
        <v>69</v>
      </c>
      <c r="B71" s="1716"/>
      <c r="C71" s="333" t="s">
        <v>709</v>
      </c>
      <c r="D71" s="334" t="s">
        <v>24</v>
      </c>
      <c r="E71" s="331"/>
      <c r="F71" s="330"/>
    </row>
    <row r="72" spans="1:6" ht="15" customHeight="1">
      <c r="A72" s="324">
        <v>70</v>
      </c>
      <c r="B72" s="1716"/>
      <c r="C72" s="333" t="s">
        <v>710</v>
      </c>
      <c r="D72" s="332" t="s">
        <v>25</v>
      </c>
      <c r="E72" s="331"/>
      <c r="F72" s="330"/>
    </row>
    <row r="73" spans="1:6" ht="15" customHeight="1">
      <c r="A73" s="324">
        <v>71</v>
      </c>
      <c r="B73" s="1716"/>
      <c r="C73" s="333" t="s">
        <v>711</v>
      </c>
      <c r="D73" s="332" t="s">
        <v>702</v>
      </c>
      <c r="E73" s="331"/>
      <c r="F73" s="330"/>
    </row>
    <row r="74" spans="1:6" ht="15.4" customHeight="1">
      <c r="A74" s="324">
        <v>72</v>
      </c>
      <c r="B74" s="1716"/>
      <c r="C74" s="333" t="s">
        <v>712</v>
      </c>
      <c r="D74" s="332" t="s">
        <v>703</v>
      </c>
      <c r="E74" s="331"/>
      <c r="F74" s="330"/>
    </row>
    <row r="75" spans="1:6" ht="16.5">
      <c r="A75" s="324">
        <v>73</v>
      </c>
      <c r="B75" s="1716"/>
      <c r="C75" s="333" t="s">
        <v>713</v>
      </c>
      <c r="D75" s="334" t="s">
        <v>28</v>
      </c>
      <c r="E75" s="331"/>
      <c r="F75" s="330"/>
    </row>
    <row r="76" spans="1:6" ht="16.5">
      <c r="A76" s="324">
        <v>74</v>
      </c>
      <c r="B76" s="1716"/>
      <c r="C76" s="333" t="s">
        <v>714</v>
      </c>
      <c r="D76" s="332" t="s">
        <v>29</v>
      </c>
      <c r="E76" s="331"/>
      <c r="F76" s="330"/>
    </row>
    <row r="77" spans="1:6" ht="19.5">
      <c r="A77" s="324">
        <v>75</v>
      </c>
      <c r="B77" s="1716"/>
      <c r="C77" s="329"/>
      <c r="D77" s="327"/>
      <c r="E77" s="328"/>
      <c r="F77" s="327"/>
    </row>
    <row r="78" spans="1:6" ht="16.5" thickBot="1">
      <c r="A78" s="324">
        <v>76</v>
      </c>
      <c r="B78" s="1717"/>
      <c r="C78" s="326"/>
      <c r="D78" s="325"/>
      <c r="E78" s="326"/>
      <c r="F78" s="325"/>
    </row>
    <row r="79" spans="1:6" ht="14.25">
      <c r="A79" s="324">
        <v>77</v>
      </c>
    </row>
    <row r="80" spans="1:6" ht="14.25">
      <c r="A80" s="324">
        <v>78</v>
      </c>
    </row>
    <row r="81" spans="1:1" ht="14.25">
      <c r="A81" s="324">
        <v>79</v>
      </c>
    </row>
    <row r="82" spans="1:1" ht="14.25">
      <c r="A82" s="324">
        <v>80</v>
      </c>
    </row>
    <row r="83" spans="1:1" ht="14.25">
      <c r="A83" s="324">
        <v>81</v>
      </c>
    </row>
    <row r="84" spans="1:1" ht="14.25">
      <c r="A84" s="324">
        <v>82</v>
      </c>
    </row>
    <row r="85" spans="1:1" ht="14.25">
      <c r="A85" s="324">
        <v>83</v>
      </c>
    </row>
    <row r="86" spans="1:1" ht="14.25">
      <c r="A86" s="324">
        <v>84</v>
      </c>
    </row>
    <row r="87" spans="1:1" ht="14.25">
      <c r="A87" s="324">
        <v>85</v>
      </c>
    </row>
    <row r="88" spans="1:1" ht="14.25">
      <c r="A88" s="324">
        <v>86</v>
      </c>
    </row>
    <row r="89" spans="1:1" ht="14.25">
      <c r="A89" s="324">
        <v>87</v>
      </c>
    </row>
    <row r="90" spans="1:1" ht="14.25">
      <c r="A90" s="324">
        <v>88</v>
      </c>
    </row>
  </sheetData>
  <mergeCells count="10">
    <mergeCell ref="B59:B78"/>
    <mergeCell ref="B2:F2"/>
    <mergeCell ref="B25:B32"/>
    <mergeCell ref="B4:B22"/>
    <mergeCell ref="C16:C17"/>
    <mergeCell ref="D16:F17"/>
    <mergeCell ref="B34:F34"/>
    <mergeCell ref="B35:B43"/>
    <mergeCell ref="D55:F56"/>
    <mergeCell ref="C55:C56"/>
  </mergeCells>
  <phoneticPr fontId="9" type="noConversion"/>
  <dataValidations count="9">
    <dataValidation allowBlank="1" showInputMessage="1" showErrorMessage="1" promptTitle="연락처" prompt="직통번호만 가능합니다._x000a_예)_x000a_1866-9999 (X)_x000a_051-000-0000 (0)_x000a_" sqref="D6" xr:uid="{F8E76DFE-8543-4B53-BB53-68A689A6B0B8}"/>
    <dataValidation type="list" allowBlank="1" showInputMessage="1" showErrorMessage="1" sqref="D62" xr:uid="{01246E6C-BFF3-4A21-A670-B0F13BAD9A00}">
      <formula1>"광고마케팅,IT,행정,회계"</formula1>
    </dataValidation>
    <dataValidation type="list" allowBlank="1" showInputMessage="1" showErrorMessage="1" sqref="F59:F60" xr:uid="{FC445C84-B227-4960-9833-1CF98DAA52B2}">
      <formula1>"1,2,3,4,5,6"</formula1>
    </dataValidation>
    <dataValidation type="list" allowBlank="1" showInputMessage="1" showErrorMessage="1" sqref="D60" xr:uid="{27C588E9-5649-43EA-AD1E-28E68F59991C}">
      <formula1>"인턴형,프로젝트형"</formula1>
    </dataValidation>
    <dataValidation type="list" allowBlank="1" showErrorMessage="1" sqref="D13" xr:uid="{81E7F5DE-630E-44EA-8AA1-3B840AA01CEF}">
      <formula1>"중소기업,중견기업,대기업,기타(비영리 법인 등)"</formula1>
    </dataValidation>
    <dataValidation type="list" allowBlank="1" showErrorMessage="1" sqref="F11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26" xr:uid="{B1C39882-0A20-49F2-82BF-F7CFE28AFBA5}">
      <formula1>"없음,있음"</formula1>
    </dataValidation>
    <dataValidation type="list" allowBlank="1" showInputMessage="1" showErrorMessage="1" sqref="D55" xr:uid="{A30259F3-2C4D-4AC8-8ECB-32427C8A086F}">
      <formula1>"IT  분야 일경험 프로그램 수행을 위해 필수적인 기초 소양 배양, 데이터 수집/전처리 기술 함양과 서비스를 개발 및 운영 인력 양성,마케팅 분야의 일경험 프로그램 수행을 위해 필수적인 기초 소양 배양"</formula1>
    </dataValidation>
    <dataValidation type="list" allowBlank="1" showInputMessage="1" showErrorMessage="1" sqref="D51" xr:uid="{F4074F31-75D6-4A34-8A30-36C789FDDA30}">
      <formula1>"광고 마케팅,IT,행정"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EA76-6CA8-4990-8457-F14E8B983C7D}">
  <sheetPr codeName="Sheet27"/>
  <dimension ref="A1:AL63"/>
  <sheetViews>
    <sheetView workbookViewId="0">
      <selection activeCell="O16" sqref="O16:R16"/>
    </sheetView>
  </sheetViews>
  <sheetFormatPr defaultColWidth="9" defaultRowHeight="12.75"/>
  <cols>
    <col min="1" max="1" width="14" style="39" customWidth="1"/>
    <col min="2" max="2" width="24.85546875" style="39" customWidth="1"/>
    <col min="3" max="3" width="22.85546875" style="39" bestFit="1" customWidth="1"/>
    <col min="4" max="4" width="38.140625" style="39" bestFit="1" customWidth="1"/>
    <col min="5" max="6" width="9" style="39"/>
    <col min="7" max="7" width="12.5703125" style="39" bestFit="1" customWidth="1"/>
    <col min="8" max="9" width="7.140625" style="39" customWidth="1"/>
    <col min="10" max="12" width="6.42578125" style="39" customWidth="1"/>
    <col min="13" max="14" width="7.7109375" style="39" customWidth="1"/>
    <col min="15" max="19" width="6.42578125" style="39" customWidth="1"/>
    <col min="20" max="20" width="11.85546875" style="39" customWidth="1"/>
    <col min="21" max="27" width="9" style="39"/>
    <col min="28" max="29" width="9" style="39" customWidth="1"/>
    <col min="30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7" customHeight="1">
      <c r="A2" s="54">
        <v>0</v>
      </c>
      <c r="B2" s="823" t="s">
        <v>725</v>
      </c>
      <c r="C2" s="824"/>
      <c r="D2" s="824"/>
      <c r="E2" s="824"/>
      <c r="F2" s="824"/>
      <c r="G2" s="824"/>
    </row>
    <row r="3" spans="1:38" ht="27.4" customHeight="1" thickBot="1">
      <c r="A3" s="55">
        <v>1</v>
      </c>
      <c r="B3" s="261" t="s">
        <v>722</v>
      </c>
      <c r="C3" s="261" t="s">
        <v>726</v>
      </c>
      <c r="D3" s="1714" t="s">
        <v>991</v>
      </c>
      <c r="E3" s="1715"/>
      <c r="F3" s="1715"/>
      <c r="G3" s="1715"/>
      <c r="I3" s="819" t="s">
        <v>734</v>
      </c>
      <c r="J3" s="820"/>
      <c r="K3" s="820"/>
      <c r="L3" s="820"/>
      <c r="M3" s="820"/>
      <c r="N3" s="820"/>
      <c r="O3" s="820"/>
      <c r="P3" s="820"/>
      <c r="Q3" s="820"/>
      <c r="R3" s="820"/>
      <c r="S3" s="820"/>
      <c r="T3" s="820"/>
      <c r="U3" s="820"/>
      <c r="V3" s="821"/>
    </row>
    <row r="4" spans="1:38" ht="19.5" customHeight="1" thickTop="1">
      <c r="A4" s="55">
        <v>2</v>
      </c>
      <c r="B4" s="825"/>
      <c r="C4" s="210" t="s">
        <v>729</v>
      </c>
      <c r="D4" s="1712"/>
      <c r="E4" s="1713"/>
      <c r="F4" s="1713"/>
      <c r="G4" s="1713"/>
      <c r="I4" s="822"/>
      <c r="J4" s="822"/>
      <c r="K4" s="822"/>
      <c r="L4" s="822"/>
      <c r="M4" s="822"/>
      <c r="N4" s="822"/>
      <c r="O4" s="822"/>
      <c r="P4" s="822"/>
      <c r="Q4" s="822"/>
      <c r="R4" s="822"/>
      <c r="S4" s="822"/>
      <c r="T4" s="822"/>
      <c r="U4" s="822"/>
      <c r="V4" s="822"/>
    </row>
    <row r="5" spans="1:38" ht="19.149999999999999" customHeight="1">
      <c r="A5" s="55">
        <v>3</v>
      </c>
      <c r="B5" s="826"/>
      <c r="C5" s="321" t="s">
        <v>785</v>
      </c>
      <c r="D5" s="1712"/>
      <c r="E5" s="1713"/>
      <c r="F5" s="1713"/>
      <c r="G5" s="1713"/>
      <c r="I5" s="804" t="s">
        <v>735</v>
      </c>
      <c r="J5" s="805"/>
      <c r="K5" s="805"/>
      <c r="L5" s="806"/>
      <c r="M5" s="813" t="s">
        <v>736</v>
      </c>
      <c r="N5" s="814"/>
      <c r="O5" s="814"/>
      <c r="P5" s="814"/>
      <c r="Q5" s="814"/>
      <c r="R5" s="814" t="s">
        <v>737</v>
      </c>
      <c r="S5" s="814"/>
      <c r="T5" s="814"/>
      <c r="U5" s="814"/>
      <c r="V5" s="816"/>
    </row>
    <row r="6" spans="1:38" ht="19.149999999999999" customHeight="1">
      <c r="A6" s="55">
        <v>4</v>
      </c>
      <c r="B6" s="826"/>
      <c r="C6" s="322" t="s">
        <v>786</v>
      </c>
      <c r="D6" s="1712"/>
      <c r="E6" s="1713"/>
      <c r="F6" s="1713"/>
      <c r="G6" s="1713"/>
      <c r="I6" s="804" t="s">
        <v>738</v>
      </c>
      <c r="J6" s="805"/>
      <c r="K6" s="805"/>
      <c r="L6" s="806"/>
      <c r="M6" s="807" t="s">
        <v>1058</v>
      </c>
      <c r="N6" s="808"/>
      <c r="O6" s="808"/>
      <c r="P6" s="808"/>
      <c r="Q6" s="808"/>
      <c r="R6" s="808"/>
      <c r="S6" s="808"/>
      <c r="T6" s="808"/>
      <c r="U6" s="808"/>
      <c r="V6" s="809"/>
    </row>
    <row r="7" spans="1:38" ht="19.149999999999999" customHeight="1">
      <c r="A7" s="55">
        <v>5</v>
      </c>
      <c r="B7" s="826"/>
      <c r="C7" s="322" t="s">
        <v>787</v>
      </c>
      <c r="D7" s="1712"/>
      <c r="E7" s="1713"/>
      <c r="F7" s="1713"/>
      <c r="G7" s="1713"/>
      <c r="I7" s="804" t="s">
        <v>739</v>
      </c>
      <c r="J7" s="805"/>
      <c r="K7" s="805"/>
      <c r="L7" s="806"/>
      <c r="M7" s="807" t="s">
        <v>1059</v>
      </c>
      <c r="N7" s="808"/>
      <c r="O7" s="808"/>
      <c r="P7" s="808"/>
      <c r="Q7" s="808"/>
      <c r="R7" s="808"/>
      <c r="S7" s="808"/>
      <c r="T7" s="808"/>
      <c r="U7" s="808"/>
      <c r="V7" s="809"/>
    </row>
    <row r="8" spans="1:38" ht="19.5" customHeight="1">
      <c r="A8" s="267">
        <v>6</v>
      </c>
      <c r="B8" s="826"/>
      <c r="C8" s="322" t="s">
        <v>107</v>
      </c>
      <c r="D8" s="1712"/>
      <c r="E8" s="1713"/>
      <c r="F8" s="1713"/>
      <c r="G8" s="1713"/>
      <c r="I8" s="804" t="s">
        <v>740</v>
      </c>
      <c r="J8" s="805"/>
      <c r="K8" s="805"/>
      <c r="L8" s="806"/>
      <c r="M8" s="807" t="s">
        <v>740</v>
      </c>
      <c r="N8" s="808"/>
      <c r="O8" s="808"/>
      <c r="P8" s="808"/>
      <c r="Q8" s="808"/>
      <c r="R8" s="808"/>
      <c r="S8" s="808"/>
      <c r="T8" s="808"/>
      <c r="U8" s="808"/>
      <c r="V8" s="809"/>
    </row>
    <row r="9" spans="1:38" ht="19.149999999999999" customHeight="1">
      <c r="A9" s="55">
        <v>7</v>
      </c>
      <c r="B9" s="826"/>
      <c r="C9" s="211" t="s">
        <v>730</v>
      </c>
      <c r="D9" s="1712"/>
      <c r="E9" s="1713"/>
      <c r="F9" s="1713"/>
      <c r="G9" s="1713"/>
      <c r="I9" s="831" t="s">
        <v>741</v>
      </c>
      <c r="J9" s="832"/>
      <c r="K9" s="804" t="s">
        <v>743</v>
      </c>
      <c r="L9" s="806"/>
      <c r="M9" s="807" t="s">
        <v>743</v>
      </c>
      <c r="N9" s="808"/>
      <c r="O9" s="808"/>
      <c r="P9" s="808"/>
      <c r="Q9" s="808"/>
      <c r="R9" s="808"/>
      <c r="S9" s="808"/>
      <c r="T9" s="808"/>
      <c r="U9" s="808"/>
      <c r="V9" s="809"/>
    </row>
    <row r="10" spans="1:38" ht="19.149999999999999" customHeight="1">
      <c r="A10" s="267">
        <v>8</v>
      </c>
      <c r="B10" s="826"/>
      <c r="C10" s="211" t="s">
        <v>731</v>
      </c>
      <c r="D10" s="1712"/>
      <c r="E10" s="1713"/>
      <c r="F10" s="1713"/>
      <c r="G10" s="1713"/>
      <c r="I10" s="833" t="s">
        <v>742</v>
      </c>
      <c r="J10" s="834"/>
      <c r="K10" s="804" t="s">
        <v>744</v>
      </c>
      <c r="L10" s="806"/>
      <c r="M10" s="807" t="s">
        <v>1060</v>
      </c>
      <c r="N10" s="808"/>
      <c r="O10" s="808"/>
      <c r="P10" s="808"/>
      <c r="Q10" s="808"/>
      <c r="R10" s="808"/>
      <c r="S10" s="808"/>
      <c r="T10" s="808"/>
      <c r="U10" s="808"/>
      <c r="V10" s="809"/>
    </row>
    <row r="11" spans="1:38" ht="19.149999999999999" customHeight="1">
      <c r="A11" s="55">
        <v>9</v>
      </c>
      <c r="B11" s="826"/>
      <c r="C11" s="211" t="s">
        <v>732</v>
      </c>
      <c r="D11" s="1712"/>
      <c r="E11" s="1713"/>
      <c r="F11" s="1713"/>
      <c r="G11" s="1713"/>
      <c r="I11" s="804" t="s">
        <v>745</v>
      </c>
      <c r="J11" s="805"/>
      <c r="K11" s="805"/>
      <c r="L11" s="806"/>
      <c r="M11" s="807" t="s">
        <v>745</v>
      </c>
      <c r="N11" s="808"/>
      <c r="O11" s="808"/>
      <c r="P11" s="808"/>
      <c r="Q11" s="808"/>
      <c r="R11" s="808"/>
      <c r="S11" s="808"/>
      <c r="T11" s="808"/>
      <c r="U11" s="808"/>
      <c r="V11" s="809"/>
    </row>
    <row r="12" spans="1:38" ht="16.5" thickBot="1">
      <c r="A12" s="55">
        <v>10</v>
      </c>
      <c r="B12" s="827"/>
      <c r="C12" s="214" t="s">
        <v>733</v>
      </c>
      <c r="D12" s="1703"/>
      <c r="E12" s="1704"/>
      <c r="F12" s="1704"/>
      <c r="G12" s="1704"/>
      <c r="I12" s="800"/>
      <c r="J12" s="800"/>
      <c r="K12" s="800"/>
      <c r="L12" s="800"/>
      <c r="M12" s="800"/>
      <c r="N12" s="800"/>
      <c r="O12" s="800"/>
      <c r="P12" s="800"/>
      <c r="Q12" s="800"/>
      <c r="R12" s="800"/>
      <c r="S12" s="800"/>
      <c r="T12" s="800"/>
      <c r="U12" s="800"/>
      <c r="V12" s="800"/>
    </row>
    <row r="13" spans="1:38" ht="19.149999999999999" customHeight="1">
      <c r="A13" s="55">
        <v>11</v>
      </c>
      <c r="I13" s="804" t="s">
        <v>746</v>
      </c>
      <c r="J13" s="805"/>
      <c r="K13" s="805"/>
      <c r="L13" s="806"/>
      <c r="M13" s="828" t="s">
        <v>747</v>
      </c>
      <c r="N13" s="829"/>
      <c r="O13" s="829"/>
      <c r="P13" s="830"/>
      <c r="Q13" s="804" t="s">
        <v>748</v>
      </c>
      <c r="R13" s="805"/>
      <c r="S13" s="805"/>
      <c r="T13" s="806"/>
      <c r="U13" s="828" t="s">
        <v>749</v>
      </c>
      <c r="V13" s="830"/>
    </row>
    <row r="14" spans="1:38" ht="27.75" thickBot="1">
      <c r="A14" s="55">
        <v>12</v>
      </c>
      <c r="B14" s="817" t="s">
        <v>1079</v>
      </c>
      <c r="C14" s="818"/>
      <c r="D14" s="818"/>
      <c r="E14" s="818"/>
      <c r="F14" s="818"/>
      <c r="G14" s="818"/>
      <c r="I14" s="804" t="s">
        <v>221</v>
      </c>
      <c r="J14" s="805"/>
      <c r="K14" s="805"/>
      <c r="L14" s="806"/>
      <c r="M14" s="810" t="s">
        <v>750</v>
      </c>
      <c r="N14" s="811"/>
      <c r="O14" s="811"/>
      <c r="P14" s="812"/>
      <c r="Q14" s="804" t="s">
        <v>11</v>
      </c>
      <c r="R14" s="805"/>
      <c r="S14" s="805"/>
      <c r="T14" s="806"/>
      <c r="U14" s="810" t="s">
        <v>17</v>
      </c>
      <c r="V14" s="812"/>
    </row>
    <row r="15" spans="1:38" ht="15" thickTop="1">
      <c r="A15" s="55">
        <v>13</v>
      </c>
      <c r="B15" s="509" t="s">
        <v>1072</v>
      </c>
      <c r="C15" s="509" t="s">
        <v>1073</v>
      </c>
      <c r="D15" s="512" t="s">
        <v>1080</v>
      </c>
      <c r="E15" s="510" t="s">
        <v>1064</v>
      </c>
      <c r="F15" s="510" t="s">
        <v>1065</v>
      </c>
      <c r="G15" s="511" t="s">
        <v>1066</v>
      </c>
      <c r="I15" s="811"/>
      <c r="J15" s="811"/>
      <c r="K15" s="811"/>
      <c r="L15" s="811"/>
      <c r="M15" s="811"/>
      <c r="N15" s="811"/>
      <c r="O15" s="811"/>
      <c r="P15" s="811"/>
      <c r="Q15" s="811"/>
      <c r="R15" s="811"/>
      <c r="S15" s="811"/>
      <c r="T15" s="811"/>
      <c r="U15" s="811"/>
      <c r="V15" s="811"/>
    </row>
    <row r="16" spans="1:38" ht="17.25">
      <c r="A16" s="55">
        <v>14</v>
      </c>
      <c r="B16" s="39" t="s">
        <v>1067</v>
      </c>
      <c r="C16" s="506" t="s">
        <v>470</v>
      </c>
      <c r="D16" s="507" t="s">
        <v>1081</v>
      </c>
      <c r="E16" s="506" t="s">
        <v>1083</v>
      </c>
      <c r="F16" s="506" t="s">
        <v>1097</v>
      </c>
      <c r="G16" s="507" t="s">
        <v>1098</v>
      </c>
      <c r="I16" s="804" t="s">
        <v>751</v>
      </c>
      <c r="J16" s="805"/>
      <c r="K16" s="805"/>
      <c r="L16" s="806"/>
      <c r="M16" s="813" t="s">
        <v>752</v>
      </c>
      <c r="N16" s="814"/>
      <c r="O16" s="815" t="s">
        <v>753</v>
      </c>
      <c r="P16" s="815"/>
      <c r="Q16" s="815"/>
      <c r="R16" s="815"/>
      <c r="S16" s="814" t="s">
        <v>754</v>
      </c>
      <c r="T16" s="814"/>
      <c r="U16" s="814"/>
      <c r="V16" s="816"/>
    </row>
    <row r="17" spans="1:22" ht="19.149999999999999" customHeight="1">
      <c r="A17" s="55">
        <v>15</v>
      </c>
      <c r="B17" s="513" t="s">
        <v>1082</v>
      </c>
      <c r="C17" s="506" t="s">
        <v>1068</v>
      </c>
      <c r="D17" s="507" t="s">
        <v>1081</v>
      </c>
      <c r="E17" s="506" t="s">
        <v>1076</v>
      </c>
      <c r="F17" s="506" t="s">
        <v>1077</v>
      </c>
      <c r="G17" s="507" t="s">
        <v>1078</v>
      </c>
      <c r="I17" s="804" t="s">
        <v>723</v>
      </c>
      <c r="J17" s="805"/>
      <c r="K17" s="805"/>
      <c r="L17" s="806"/>
      <c r="M17" s="807" t="s">
        <v>723</v>
      </c>
      <c r="N17" s="808"/>
      <c r="O17" s="808"/>
      <c r="P17" s="808"/>
      <c r="Q17" s="808"/>
      <c r="R17" s="808"/>
      <c r="S17" s="808"/>
      <c r="T17" s="808"/>
      <c r="U17" s="808"/>
      <c r="V17" s="809"/>
    </row>
    <row r="18" spans="1:22" ht="19.149999999999999" customHeight="1">
      <c r="A18" s="55">
        <v>16</v>
      </c>
      <c r="B18" s="514"/>
      <c r="C18" s="506" t="s">
        <v>1069</v>
      </c>
      <c r="D18" s="507" t="s">
        <v>1081</v>
      </c>
      <c r="E18" s="506" t="s">
        <v>1084</v>
      </c>
      <c r="F18" s="506" t="s">
        <v>1099</v>
      </c>
      <c r="G18" s="507" t="s">
        <v>1112</v>
      </c>
      <c r="I18" s="804" t="s">
        <v>724</v>
      </c>
      <c r="J18" s="805"/>
      <c r="K18" s="805"/>
      <c r="L18" s="806"/>
      <c r="M18" s="807" t="s">
        <v>724</v>
      </c>
      <c r="N18" s="808"/>
      <c r="O18" s="808"/>
      <c r="P18" s="808"/>
      <c r="Q18" s="808"/>
      <c r="R18" s="808"/>
      <c r="S18" s="808"/>
      <c r="T18" s="808"/>
      <c r="U18" s="808"/>
      <c r="V18" s="809"/>
    </row>
    <row r="19" spans="1:22" ht="19.149999999999999" customHeight="1">
      <c r="A19" s="55">
        <v>17</v>
      </c>
      <c r="B19" s="514"/>
      <c r="C19" s="506" t="s">
        <v>1070</v>
      </c>
      <c r="D19" s="507" t="s">
        <v>1081</v>
      </c>
      <c r="E19" s="506" t="s">
        <v>1085</v>
      </c>
      <c r="F19" s="506" t="s">
        <v>1100</v>
      </c>
      <c r="G19" s="507" t="s">
        <v>1113</v>
      </c>
      <c r="I19" s="804" t="s">
        <v>755</v>
      </c>
      <c r="J19" s="805"/>
      <c r="K19" s="805"/>
      <c r="L19" s="806"/>
      <c r="M19" s="807" t="s">
        <v>755</v>
      </c>
      <c r="N19" s="808"/>
      <c r="O19" s="808"/>
      <c r="P19" s="808"/>
      <c r="Q19" s="808"/>
      <c r="R19" s="808"/>
      <c r="S19" s="808"/>
      <c r="T19" s="808"/>
      <c r="U19" s="808"/>
      <c r="V19" s="809"/>
    </row>
    <row r="20" spans="1:22" ht="16.899999999999999" customHeight="1">
      <c r="A20" s="55">
        <v>18</v>
      </c>
      <c r="B20" s="515"/>
      <c r="C20" s="506" t="s">
        <v>1071</v>
      </c>
      <c r="D20" s="507" t="s">
        <v>1081</v>
      </c>
      <c r="E20" s="506" t="s">
        <v>1086</v>
      </c>
      <c r="F20" s="506" t="s">
        <v>1101</v>
      </c>
      <c r="G20" s="507" t="s">
        <v>1114</v>
      </c>
      <c r="I20" s="800"/>
      <c r="J20" s="800"/>
      <c r="K20" s="800"/>
      <c r="L20" s="800"/>
      <c r="M20" s="800"/>
      <c r="N20" s="800"/>
      <c r="O20" s="800"/>
      <c r="P20" s="800"/>
      <c r="Q20" s="800"/>
      <c r="R20" s="800"/>
      <c r="S20" s="800"/>
      <c r="T20" s="800"/>
      <c r="U20" s="800"/>
      <c r="V20" s="800"/>
    </row>
    <row r="21" spans="1:22" ht="16.899999999999999" customHeight="1">
      <c r="A21" s="55">
        <v>19</v>
      </c>
      <c r="B21" s="42" t="s">
        <v>1074</v>
      </c>
      <c r="C21" s="506" t="s">
        <v>470</v>
      </c>
      <c r="D21" s="507" t="s">
        <v>1081</v>
      </c>
      <c r="E21" s="506" t="s">
        <v>1087</v>
      </c>
      <c r="F21" s="506" t="s">
        <v>1102</v>
      </c>
      <c r="G21" s="507" t="s">
        <v>1115</v>
      </c>
      <c r="I21" s="270" t="s">
        <v>756</v>
      </c>
      <c r="J21" s="801" t="s">
        <v>757</v>
      </c>
      <c r="K21" s="802"/>
      <c r="L21" s="801" t="s">
        <v>283</v>
      </c>
      <c r="M21" s="802"/>
      <c r="N21" s="801" t="s">
        <v>284</v>
      </c>
      <c r="O21" s="802"/>
      <c r="P21" s="801" t="s">
        <v>285</v>
      </c>
      <c r="Q21" s="803"/>
      <c r="R21" s="803"/>
      <c r="S21" s="802"/>
      <c r="T21" s="801" t="s">
        <v>286</v>
      </c>
      <c r="U21" s="802"/>
      <c r="V21" s="270" t="s">
        <v>287</v>
      </c>
    </row>
    <row r="22" spans="1:22" ht="16.899999999999999" customHeight="1">
      <c r="A22" s="55">
        <v>20</v>
      </c>
      <c r="B22" s="513" t="s">
        <v>1082</v>
      </c>
      <c r="C22" s="506" t="s">
        <v>1068</v>
      </c>
      <c r="D22" s="507" t="s">
        <v>1081</v>
      </c>
      <c r="E22" s="506" t="s">
        <v>1088</v>
      </c>
      <c r="F22" s="506" t="s">
        <v>1103</v>
      </c>
      <c r="G22" s="507" t="s">
        <v>1116</v>
      </c>
      <c r="I22" s="271" t="s">
        <v>758</v>
      </c>
      <c r="J22" s="792" t="s">
        <v>759</v>
      </c>
      <c r="K22" s="793"/>
      <c r="L22" s="797"/>
      <c r="M22" s="798"/>
      <c r="N22" s="797"/>
      <c r="O22" s="798"/>
      <c r="P22" s="797"/>
      <c r="Q22" s="799"/>
      <c r="R22" s="799"/>
      <c r="S22" s="798"/>
      <c r="T22" s="797"/>
      <c r="U22" s="798"/>
      <c r="V22" s="448"/>
    </row>
    <row r="23" spans="1:22" ht="16.899999999999999" customHeight="1">
      <c r="A23" s="55">
        <v>21</v>
      </c>
      <c r="B23" s="514"/>
      <c r="C23" s="506" t="s">
        <v>1069</v>
      </c>
      <c r="D23" s="507" t="s">
        <v>1081</v>
      </c>
      <c r="E23" s="506" t="s">
        <v>1089</v>
      </c>
      <c r="F23" s="506" t="s">
        <v>1104</v>
      </c>
      <c r="G23" s="507" t="s">
        <v>1117</v>
      </c>
      <c r="I23" s="272" t="s">
        <v>1061</v>
      </c>
      <c r="J23" s="792" t="s">
        <v>760</v>
      </c>
      <c r="K23" s="793"/>
      <c r="L23" s="794"/>
      <c r="M23" s="795"/>
      <c r="N23" s="794"/>
      <c r="O23" s="795"/>
      <c r="P23" s="794"/>
      <c r="Q23" s="796"/>
      <c r="R23" s="796"/>
      <c r="S23" s="795"/>
      <c r="T23" s="794"/>
      <c r="U23" s="795"/>
      <c r="V23" s="517"/>
    </row>
    <row r="24" spans="1:22" ht="16.899999999999999" customHeight="1">
      <c r="A24" s="55">
        <v>22</v>
      </c>
      <c r="B24" s="514"/>
      <c r="C24" s="506" t="s">
        <v>1070</v>
      </c>
      <c r="D24" s="507" t="s">
        <v>1081</v>
      </c>
      <c r="E24" s="506" t="s">
        <v>1090</v>
      </c>
      <c r="F24" s="506" t="s">
        <v>1105</v>
      </c>
      <c r="G24" s="507" t="s">
        <v>1118</v>
      </c>
      <c r="I24" s="273"/>
      <c r="J24" s="792" t="s">
        <v>742</v>
      </c>
      <c r="K24" s="793"/>
      <c r="L24" s="794"/>
      <c r="M24" s="795"/>
      <c r="N24" s="794"/>
      <c r="O24" s="795"/>
      <c r="P24" s="794"/>
      <c r="Q24" s="796"/>
      <c r="R24" s="796"/>
      <c r="S24" s="795"/>
      <c r="T24" s="794"/>
      <c r="U24" s="795"/>
      <c r="V24" s="517"/>
    </row>
    <row r="25" spans="1:22" ht="16.899999999999999" customHeight="1">
      <c r="A25" s="55">
        <v>23</v>
      </c>
      <c r="B25" s="515"/>
      <c r="C25" s="506" t="s">
        <v>1071</v>
      </c>
      <c r="D25" s="507" t="s">
        <v>1081</v>
      </c>
      <c r="E25" s="506" t="s">
        <v>1091</v>
      </c>
      <c r="F25" s="506" t="s">
        <v>1106</v>
      </c>
      <c r="G25" s="507" t="s">
        <v>1119</v>
      </c>
      <c r="I25" s="274"/>
      <c r="J25" s="792" t="s">
        <v>761</v>
      </c>
      <c r="K25" s="793"/>
      <c r="L25" s="794"/>
      <c r="M25" s="795"/>
      <c r="N25" s="794"/>
      <c r="O25" s="795"/>
      <c r="P25" s="794"/>
      <c r="Q25" s="796"/>
      <c r="R25" s="796"/>
      <c r="S25" s="795"/>
      <c r="T25" s="794"/>
      <c r="U25" s="795"/>
      <c r="V25" s="517"/>
    </row>
    <row r="26" spans="1:22" ht="16.899999999999999" customHeight="1">
      <c r="A26" s="55">
        <v>24</v>
      </c>
      <c r="B26" s="42" t="s">
        <v>1075</v>
      </c>
      <c r="C26" s="506" t="s">
        <v>470</v>
      </c>
      <c r="D26" s="507" t="s">
        <v>1081</v>
      </c>
      <c r="E26" s="506" t="s">
        <v>1092</v>
      </c>
      <c r="F26" s="506" t="s">
        <v>1107</v>
      </c>
      <c r="G26" s="507" t="s">
        <v>1120</v>
      </c>
      <c r="I26" s="271" t="s">
        <v>762</v>
      </c>
      <c r="J26" s="792" t="s">
        <v>759</v>
      </c>
      <c r="K26" s="793"/>
      <c r="L26" s="797"/>
      <c r="M26" s="798"/>
      <c r="N26" s="797"/>
      <c r="O26" s="798"/>
      <c r="P26" s="797"/>
      <c r="Q26" s="799"/>
      <c r="R26" s="799"/>
      <c r="S26" s="798"/>
      <c r="T26" s="797"/>
      <c r="U26" s="798"/>
      <c r="V26" s="448"/>
    </row>
    <row r="27" spans="1:22" ht="16.899999999999999" customHeight="1">
      <c r="A27" s="55">
        <v>25</v>
      </c>
      <c r="B27" s="513" t="s">
        <v>1082</v>
      </c>
      <c r="C27" s="506" t="s">
        <v>1068</v>
      </c>
      <c r="D27" s="507" t="s">
        <v>1081</v>
      </c>
      <c r="E27" s="506" t="s">
        <v>1093</v>
      </c>
      <c r="F27" s="506" t="s">
        <v>1108</v>
      </c>
      <c r="G27" s="507" t="s">
        <v>1121</v>
      </c>
      <c r="I27" s="272" t="s">
        <v>1062</v>
      </c>
      <c r="J27" s="792" t="s">
        <v>760</v>
      </c>
      <c r="K27" s="793"/>
      <c r="L27" s="794"/>
      <c r="M27" s="795"/>
      <c r="N27" s="794"/>
      <c r="O27" s="795"/>
      <c r="P27" s="794"/>
      <c r="Q27" s="796"/>
      <c r="R27" s="796"/>
      <c r="S27" s="795"/>
      <c r="T27" s="794"/>
      <c r="U27" s="795"/>
      <c r="V27" s="517"/>
    </row>
    <row r="28" spans="1:22" ht="16.899999999999999" customHeight="1">
      <c r="A28" s="55">
        <v>26</v>
      </c>
      <c r="B28" s="514"/>
      <c r="C28" s="506" t="s">
        <v>1069</v>
      </c>
      <c r="D28" s="507" t="s">
        <v>1081</v>
      </c>
      <c r="E28" s="506" t="s">
        <v>1094</v>
      </c>
      <c r="F28" s="506" t="s">
        <v>1109</v>
      </c>
      <c r="G28" s="507" t="s">
        <v>1122</v>
      </c>
      <c r="I28" s="273"/>
      <c r="J28" s="792" t="s">
        <v>742</v>
      </c>
      <c r="K28" s="793"/>
      <c r="L28" s="794"/>
      <c r="M28" s="795"/>
      <c r="N28" s="794"/>
      <c r="O28" s="795"/>
      <c r="P28" s="794"/>
      <c r="Q28" s="796"/>
      <c r="R28" s="796"/>
      <c r="S28" s="795"/>
      <c r="T28" s="794"/>
      <c r="U28" s="795"/>
      <c r="V28" s="517"/>
    </row>
    <row r="29" spans="1:22" ht="16.899999999999999" customHeight="1">
      <c r="A29" s="55">
        <v>27</v>
      </c>
      <c r="B29" s="514"/>
      <c r="C29" s="506" t="s">
        <v>1070</v>
      </c>
      <c r="D29" s="507" t="s">
        <v>1081</v>
      </c>
      <c r="E29" s="506" t="s">
        <v>1095</v>
      </c>
      <c r="F29" s="506" t="s">
        <v>1110</v>
      </c>
      <c r="G29" s="507" t="s">
        <v>1123</v>
      </c>
      <c r="I29" s="274"/>
      <c r="J29" s="792" t="s">
        <v>761</v>
      </c>
      <c r="K29" s="793"/>
      <c r="L29" s="794"/>
      <c r="M29" s="795"/>
      <c r="N29" s="794"/>
      <c r="O29" s="795"/>
      <c r="P29" s="794"/>
      <c r="Q29" s="796"/>
      <c r="R29" s="796"/>
      <c r="S29" s="795"/>
      <c r="T29" s="794"/>
      <c r="U29" s="795"/>
      <c r="V29" s="517"/>
    </row>
    <row r="30" spans="1:22" ht="16.899999999999999" customHeight="1">
      <c r="A30" s="55">
        <v>28</v>
      </c>
      <c r="B30" s="515"/>
      <c r="C30" s="506" t="s">
        <v>1071</v>
      </c>
      <c r="D30" s="507" t="s">
        <v>1081</v>
      </c>
      <c r="E30" s="506" t="s">
        <v>1096</v>
      </c>
      <c r="F30" s="506" t="s">
        <v>1111</v>
      </c>
      <c r="G30" s="507" t="s">
        <v>1124</v>
      </c>
      <c r="I30" s="271" t="s">
        <v>763</v>
      </c>
      <c r="J30" s="792" t="s">
        <v>759</v>
      </c>
      <c r="K30" s="793"/>
      <c r="L30" s="797"/>
      <c r="M30" s="798"/>
      <c r="N30" s="797"/>
      <c r="O30" s="798"/>
      <c r="P30" s="797"/>
      <c r="Q30" s="799"/>
      <c r="R30" s="799"/>
      <c r="S30" s="798"/>
      <c r="T30" s="797"/>
      <c r="U30" s="798"/>
      <c r="V30" s="448"/>
    </row>
    <row r="31" spans="1:22" ht="16.899999999999999" customHeight="1">
      <c r="A31" s="55">
        <v>29</v>
      </c>
      <c r="B31" s="505"/>
      <c r="C31" s="505"/>
      <c r="D31" s="505"/>
      <c r="E31" s="505"/>
      <c r="F31" s="505"/>
      <c r="I31" s="272" t="s">
        <v>1063</v>
      </c>
      <c r="J31" s="792" t="s">
        <v>760</v>
      </c>
      <c r="K31" s="793"/>
      <c r="L31" s="794"/>
      <c r="M31" s="795"/>
      <c r="N31" s="794"/>
      <c r="O31" s="795"/>
      <c r="P31" s="794"/>
      <c r="Q31" s="796"/>
      <c r="R31" s="796"/>
      <c r="S31" s="795"/>
      <c r="T31" s="794"/>
      <c r="U31" s="795"/>
      <c r="V31" s="517"/>
    </row>
    <row r="32" spans="1:22" ht="16.899999999999999" customHeight="1">
      <c r="A32" s="55">
        <v>30</v>
      </c>
      <c r="I32" s="273"/>
      <c r="J32" s="792" t="s">
        <v>742</v>
      </c>
      <c r="K32" s="793"/>
      <c r="L32" s="794"/>
      <c r="M32" s="795"/>
      <c r="N32" s="794"/>
      <c r="O32" s="795"/>
      <c r="P32" s="794"/>
      <c r="Q32" s="796"/>
      <c r="R32" s="796"/>
      <c r="S32" s="795"/>
      <c r="T32" s="794"/>
      <c r="U32" s="795"/>
      <c r="V32" s="517"/>
    </row>
    <row r="33" spans="1:22" ht="16.899999999999999" customHeight="1">
      <c r="A33" s="55">
        <v>31</v>
      </c>
      <c r="I33" s="274"/>
      <c r="J33" s="792" t="s">
        <v>761</v>
      </c>
      <c r="K33" s="793"/>
      <c r="L33" s="794"/>
      <c r="M33" s="795"/>
      <c r="N33" s="794"/>
      <c r="O33" s="795"/>
      <c r="P33" s="794"/>
      <c r="Q33" s="796"/>
      <c r="R33" s="796"/>
      <c r="S33" s="795"/>
      <c r="T33" s="794"/>
      <c r="U33" s="795"/>
      <c r="V33" s="517"/>
    </row>
    <row r="34" spans="1:22" ht="14.25">
      <c r="A34" s="55">
        <v>32</v>
      </c>
    </row>
    <row r="35" spans="1:22" ht="14.25">
      <c r="A35" s="55">
        <v>33</v>
      </c>
    </row>
    <row r="36" spans="1:22" ht="14.25">
      <c r="A36" s="55">
        <v>34</v>
      </c>
    </row>
    <row r="37" spans="1:22" ht="14.25">
      <c r="A37" s="55">
        <v>35</v>
      </c>
    </row>
    <row r="38" spans="1:22" ht="14.25">
      <c r="A38" s="55">
        <v>36</v>
      </c>
    </row>
    <row r="39" spans="1:22" ht="14.25">
      <c r="A39" s="55">
        <v>37</v>
      </c>
    </row>
    <row r="40" spans="1:22" ht="14.25">
      <c r="A40" s="55">
        <v>38</v>
      </c>
    </row>
    <row r="41" spans="1:22" ht="14.25">
      <c r="A41" s="55">
        <v>39</v>
      </c>
    </row>
    <row r="42" spans="1:22" ht="14.25">
      <c r="A42" s="55">
        <v>40</v>
      </c>
    </row>
    <row r="43" spans="1:22" ht="14.25">
      <c r="A43" s="55">
        <v>41</v>
      </c>
    </row>
    <row r="44" spans="1:22" ht="14.25">
      <c r="A44" s="55">
        <v>42</v>
      </c>
    </row>
    <row r="45" spans="1:22" ht="14.25">
      <c r="A45" s="55">
        <v>43</v>
      </c>
    </row>
    <row r="46" spans="1:22" ht="14.25">
      <c r="A46" s="55">
        <v>44</v>
      </c>
    </row>
    <row r="47" spans="1:22" ht="14.25">
      <c r="A47" s="55">
        <v>45</v>
      </c>
    </row>
    <row r="48" spans="1:22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118">
    <mergeCell ref="D12:G12"/>
    <mergeCell ref="D4:G4"/>
    <mergeCell ref="B2:G2"/>
    <mergeCell ref="D3:G3"/>
    <mergeCell ref="D5:G5"/>
    <mergeCell ref="D6:G6"/>
    <mergeCell ref="D7:G7"/>
    <mergeCell ref="D8:G8"/>
    <mergeCell ref="D9:G9"/>
    <mergeCell ref="D10:G10"/>
    <mergeCell ref="D11:G11"/>
    <mergeCell ref="B14:G14"/>
    <mergeCell ref="I3:V3"/>
    <mergeCell ref="I4:V4"/>
    <mergeCell ref="I5:L5"/>
    <mergeCell ref="M5:Q5"/>
    <mergeCell ref="R5:V5"/>
    <mergeCell ref="I6:L6"/>
    <mergeCell ref="M6:V6"/>
    <mergeCell ref="B4:B12"/>
    <mergeCell ref="I11:L11"/>
    <mergeCell ref="M11:V11"/>
    <mergeCell ref="I12:V12"/>
    <mergeCell ref="I13:L13"/>
    <mergeCell ref="M13:P13"/>
    <mergeCell ref="Q13:T13"/>
    <mergeCell ref="U13:V13"/>
    <mergeCell ref="I7:L7"/>
    <mergeCell ref="M7:V7"/>
    <mergeCell ref="I8:L8"/>
    <mergeCell ref="M8:V8"/>
    <mergeCell ref="I9:J9"/>
    <mergeCell ref="I10:J10"/>
    <mergeCell ref="K9:L9"/>
    <mergeCell ref="M9:V9"/>
    <mergeCell ref="K10:L10"/>
    <mergeCell ref="M10:V10"/>
    <mergeCell ref="I14:L14"/>
    <mergeCell ref="M14:P14"/>
    <mergeCell ref="Q14:T14"/>
    <mergeCell ref="U14:V14"/>
    <mergeCell ref="I15:V15"/>
    <mergeCell ref="I16:L16"/>
    <mergeCell ref="M16:N16"/>
    <mergeCell ref="O16:R16"/>
    <mergeCell ref="S16:V16"/>
    <mergeCell ref="I20:V20"/>
    <mergeCell ref="J21:K21"/>
    <mergeCell ref="L21:M21"/>
    <mergeCell ref="N21:O21"/>
    <mergeCell ref="P21:S21"/>
    <mergeCell ref="T21:U21"/>
    <mergeCell ref="I17:L17"/>
    <mergeCell ref="M17:V17"/>
    <mergeCell ref="I18:L18"/>
    <mergeCell ref="M18:V18"/>
    <mergeCell ref="I19:L19"/>
    <mergeCell ref="M19:V19"/>
    <mergeCell ref="J22:K22"/>
    <mergeCell ref="L22:M22"/>
    <mergeCell ref="N22:O22"/>
    <mergeCell ref="P22:S22"/>
    <mergeCell ref="T22:U22"/>
    <mergeCell ref="J23:K23"/>
    <mergeCell ref="L23:M23"/>
    <mergeCell ref="N23:O23"/>
    <mergeCell ref="P23:S23"/>
    <mergeCell ref="T23:U23"/>
    <mergeCell ref="J24:K24"/>
    <mergeCell ref="L24:M24"/>
    <mergeCell ref="N24:O24"/>
    <mergeCell ref="P24:S24"/>
    <mergeCell ref="T24:U24"/>
    <mergeCell ref="J25:K25"/>
    <mergeCell ref="L25:M25"/>
    <mergeCell ref="N25:O25"/>
    <mergeCell ref="P25:S25"/>
    <mergeCell ref="T25:U25"/>
    <mergeCell ref="J26:K26"/>
    <mergeCell ref="L26:M26"/>
    <mergeCell ref="N26:O26"/>
    <mergeCell ref="P26:S26"/>
    <mergeCell ref="T26:U26"/>
    <mergeCell ref="J27:K27"/>
    <mergeCell ref="L27:M27"/>
    <mergeCell ref="N27:O27"/>
    <mergeCell ref="P27:S27"/>
    <mergeCell ref="T27:U27"/>
    <mergeCell ref="J28:K28"/>
    <mergeCell ref="L28:M28"/>
    <mergeCell ref="N28:O28"/>
    <mergeCell ref="P28:S28"/>
    <mergeCell ref="T28:U28"/>
    <mergeCell ref="J29:K29"/>
    <mergeCell ref="L29:M29"/>
    <mergeCell ref="N29:O29"/>
    <mergeCell ref="P29:S29"/>
    <mergeCell ref="T29:U29"/>
    <mergeCell ref="J30:K30"/>
    <mergeCell ref="L30:M30"/>
    <mergeCell ref="N30:O30"/>
    <mergeCell ref="P30:S30"/>
    <mergeCell ref="T30:U30"/>
    <mergeCell ref="J31:K31"/>
    <mergeCell ref="L31:M31"/>
    <mergeCell ref="N31:O31"/>
    <mergeCell ref="P31:S31"/>
    <mergeCell ref="T31:U31"/>
    <mergeCell ref="J32:K32"/>
    <mergeCell ref="L32:M32"/>
    <mergeCell ref="N32:O32"/>
    <mergeCell ref="P32:S32"/>
    <mergeCell ref="T32:U32"/>
    <mergeCell ref="J33:K33"/>
    <mergeCell ref="L33:M33"/>
    <mergeCell ref="N33:O33"/>
    <mergeCell ref="P33:S33"/>
    <mergeCell ref="T33:U33"/>
  </mergeCells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>
      <selection activeCell="D15" sqref="D15"/>
    </sheetView>
  </sheetViews>
  <sheetFormatPr defaultRowHeight="12.75"/>
  <cols>
    <col min="1" max="1" width="14" customWidth="1"/>
    <col min="2" max="2" width="30" bestFit="1" customWidth="1"/>
    <col min="3" max="3" width="42" bestFit="1" customWidth="1"/>
  </cols>
  <sheetData>
    <row r="1" spans="1:38">
      <c r="A1" s="1" t="s">
        <v>228</v>
      </c>
      <c r="B1" s="4">
        <v>1</v>
      </c>
      <c r="C1" s="4">
        <v>2</v>
      </c>
      <c r="D1" s="20">
        <v>3</v>
      </c>
      <c r="E1" s="4">
        <v>4</v>
      </c>
      <c r="F1" s="20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917" t="s">
        <v>73</v>
      </c>
      <c r="C2" s="918"/>
      <c r="D2" s="24"/>
      <c r="E2" s="21"/>
      <c r="F2" s="25"/>
      <c r="G2" s="22"/>
    </row>
    <row r="3" spans="1:38" ht="22.5" customHeight="1">
      <c r="A3" s="3">
        <v>1</v>
      </c>
      <c r="B3" s="915" t="s">
        <v>45</v>
      </c>
      <c r="C3" s="916"/>
      <c r="D3" s="23"/>
      <c r="E3" s="919" t="s">
        <v>238</v>
      </c>
      <c r="F3" s="920"/>
      <c r="G3" s="920"/>
      <c r="H3" s="920"/>
      <c r="I3" s="920"/>
      <c r="J3" s="920"/>
      <c r="K3" s="920"/>
      <c r="L3" s="920"/>
      <c r="M3" s="920"/>
      <c r="N3" s="920"/>
      <c r="O3" s="921"/>
    </row>
    <row r="4" spans="1:38" ht="17.25" thickBot="1">
      <c r="A4" s="3">
        <v>2</v>
      </c>
      <c r="B4" s="26" t="s">
        <v>32</v>
      </c>
      <c r="C4" s="11" t="s">
        <v>58</v>
      </c>
      <c r="D4" s="13"/>
      <c r="E4" s="922" t="s">
        <v>239</v>
      </c>
      <c r="F4" s="923"/>
      <c r="G4" s="923"/>
      <c r="H4" s="923"/>
      <c r="I4" s="923"/>
      <c r="J4" s="923"/>
      <c r="K4" s="923"/>
      <c r="L4" s="923"/>
      <c r="M4" s="923"/>
      <c r="N4" s="923"/>
      <c r="O4" s="923"/>
    </row>
    <row r="5" spans="1:38" ht="17.25" thickTop="1">
      <c r="A5" s="3">
        <v>3</v>
      </c>
      <c r="B5" s="5" t="s">
        <v>33</v>
      </c>
      <c r="C5" s="8" t="s">
        <v>52</v>
      </c>
      <c r="D5" s="13"/>
      <c r="E5" s="68" t="s">
        <v>240</v>
      </c>
      <c r="F5" s="904" t="s">
        <v>240</v>
      </c>
      <c r="G5" s="905"/>
      <c r="H5" s="905"/>
      <c r="I5" s="906"/>
      <c r="J5" s="902" t="s">
        <v>219</v>
      </c>
      <c r="K5" s="924"/>
      <c r="L5" s="903"/>
      <c r="M5" s="925" t="s">
        <v>219</v>
      </c>
      <c r="N5" s="926"/>
      <c r="O5" s="927"/>
    </row>
    <row r="6" spans="1:38" ht="16.5">
      <c r="A6" s="3">
        <v>4</v>
      </c>
      <c r="B6" s="5" t="s">
        <v>34</v>
      </c>
      <c r="C6" s="7" t="s">
        <v>59</v>
      </c>
      <c r="D6" s="14"/>
      <c r="E6" s="69" t="s">
        <v>1</v>
      </c>
      <c r="F6" s="872" t="s">
        <v>1</v>
      </c>
      <c r="G6" s="873"/>
      <c r="H6" s="873"/>
      <c r="I6" s="928"/>
      <c r="J6" s="929" t="s">
        <v>241</v>
      </c>
      <c r="K6" s="930"/>
      <c r="L6" s="931"/>
      <c r="M6" s="932" t="s">
        <v>241</v>
      </c>
      <c r="N6" s="933"/>
      <c r="O6" s="934"/>
    </row>
    <row r="7" spans="1:38" ht="16.5">
      <c r="A7" s="3">
        <v>5</v>
      </c>
      <c r="B7" s="5" t="s">
        <v>35</v>
      </c>
      <c r="C7" s="8" t="s">
        <v>60</v>
      </c>
      <c r="D7" s="13"/>
      <c r="E7" s="879" t="s">
        <v>242</v>
      </c>
      <c r="F7" s="71" t="s">
        <v>243</v>
      </c>
      <c r="G7" s="935" t="s">
        <v>244</v>
      </c>
      <c r="H7" s="935"/>
      <c r="I7" s="935"/>
      <c r="J7" s="935"/>
      <c r="K7" s="935"/>
      <c r="L7" s="935"/>
      <c r="M7" s="935"/>
      <c r="N7" s="935"/>
      <c r="O7" s="936"/>
    </row>
    <row r="8" spans="1:38" ht="16.5">
      <c r="A8" s="3">
        <v>6</v>
      </c>
      <c r="B8" s="5" t="s">
        <v>36</v>
      </c>
      <c r="C8" s="8" t="s">
        <v>61</v>
      </c>
      <c r="D8" s="13"/>
      <c r="E8" s="881"/>
      <c r="F8" s="72" t="s">
        <v>245</v>
      </c>
      <c r="G8" s="937" t="s">
        <v>246</v>
      </c>
      <c r="H8" s="937"/>
      <c r="I8" s="937"/>
      <c r="J8" s="937"/>
      <c r="K8" s="937"/>
      <c r="L8" s="937"/>
      <c r="M8" s="937"/>
      <c r="N8" s="937"/>
      <c r="O8" s="938"/>
    </row>
    <row r="9" spans="1:38" ht="16.5">
      <c r="A9" s="3">
        <v>7</v>
      </c>
      <c r="B9" s="5" t="s">
        <v>37</v>
      </c>
      <c r="C9" s="8" t="s">
        <v>61</v>
      </c>
      <c r="D9" s="13"/>
      <c r="E9" s="69" t="s">
        <v>247</v>
      </c>
      <c r="F9" s="872" t="s">
        <v>247</v>
      </c>
      <c r="G9" s="873"/>
      <c r="H9" s="873"/>
      <c r="I9" s="873"/>
      <c r="J9" s="873"/>
      <c r="K9" s="873"/>
      <c r="L9" s="873"/>
      <c r="M9" s="873"/>
      <c r="N9" s="873"/>
      <c r="O9" s="874"/>
    </row>
    <row r="10" spans="1:38" ht="25.5">
      <c r="A10" s="3">
        <v>8</v>
      </c>
      <c r="B10" s="5" t="s">
        <v>38</v>
      </c>
      <c r="C10" s="34" t="s">
        <v>53</v>
      </c>
      <c r="D10" s="13"/>
      <c r="E10" s="70" t="s">
        <v>248</v>
      </c>
      <c r="F10" s="939" t="s">
        <v>250</v>
      </c>
      <c r="G10" s="940"/>
      <c r="H10" s="940"/>
      <c r="I10" s="940"/>
      <c r="J10" s="940"/>
      <c r="K10" s="940"/>
      <c r="L10" s="940"/>
      <c r="M10" s="940"/>
      <c r="N10" s="940"/>
      <c r="O10" s="941"/>
    </row>
    <row r="11" spans="1:38" ht="19.5" thickBot="1">
      <c r="A11" s="3">
        <v>9</v>
      </c>
      <c r="B11" s="5" t="s">
        <v>39</v>
      </c>
      <c r="C11" s="8" t="s">
        <v>62</v>
      </c>
      <c r="D11" s="15"/>
      <c r="E11" s="73" t="s">
        <v>249</v>
      </c>
      <c r="F11" s="942"/>
      <c r="G11" s="943"/>
      <c r="H11" s="943"/>
      <c r="I11" s="943"/>
      <c r="J11" s="943"/>
      <c r="K11" s="943"/>
      <c r="L11" s="943"/>
      <c r="M11" s="943"/>
      <c r="N11" s="943"/>
      <c r="O11" s="944"/>
    </row>
    <row r="12" spans="1:38" ht="20.25" thickTop="1" thickBot="1">
      <c r="A12" s="3">
        <v>10</v>
      </c>
      <c r="B12" s="12"/>
      <c r="C12" s="40"/>
      <c r="D12" s="41"/>
      <c r="E12" s="898"/>
      <c r="F12" s="899"/>
      <c r="G12" s="899"/>
      <c r="H12" s="899"/>
      <c r="I12" s="899"/>
      <c r="J12" s="899"/>
      <c r="K12" s="899"/>
      <c r="L12" s="899"/>
      <c r="M12" s="899"/>
      <c r="N12" s="899"/>
      <c r="O12" s="899"/>
    </row>
    <row r="13" spans="1:38" ht="26.25" thickTop="1">
      <c r="A13" s="3">
        <v>11</v>
      </c>
      <c r="B13" s="5" t="s">
        <v>40</v>
      </c>
      <c r="C13" s="27" t="s">
        <v>63</v>
      </c>
      <c r="D13" s="16"/>
      <c r="E13" s="900" t="s">
        <v>220</v>
      </c>
      <c r="F13" s="902" t="s">
        <v>251</v>
      </c>
      <c r="G13" s="903"/>
      <c r="H13" s="904" t="s">
        <v>252</v>
      </c>
      <c r="I13" s="905"/>
      <c r="J13" s="906"/>
      <c r="K13" s="74" t="s">
        <v>83</v>
      </c>
      <c r="L13" s="904" t="s">
        <v>253</v>
      </c>
      <c r="M13" s="906"/>
      <c r="N13" s="74" t="s">
        <v>254</v>
      </c>
      <c r="O13" s="75" t="s">
        <v>255</v>
      </c>
    </row>
    <row r="14" spans="1:38" ht="17.25" thickBot="1">
      <c r="A14" s="3">
        <v>12</v>
      </c>
      <c r="B14" s="5" t="s">
        <v>41</v>
      </c>
      <c r="C14" s="28" t="s">
        <v>64</v>
      </c>
      <c r="D14" s="18"/>
      <c r="E14" s="901"/>
      <c r="F14" s="907" t="s">
        <v>221</v>
      </c>
      <c r="G14" s="908"/>
      <c r="H14" s="909" t="s">
        <v>256</v>
      </c>
      <c r="I14" s="910"/>
      <c r="J14" s="911"/>
      <c r="K14" s="76" t="s">
        <v>11</v>
      </c>
      <c r="L14" s="912" t="s">
        <v>257</v>
      </c>
      <c r="M14" s="913"/>
      <c r="N14" s="913"/>
      <c r="O14" s="914"/>
    </row>
    <row r="15" spans="1:38" ht="18" thickTop="1" thickBot="1">
      <c r="A15" s="3">
        <v>13</v>
      </c>
      <c r="B15" s="5" t="s">
        <v>42</v>
      </c>
      <c r="C15" s="29" t="s">
        <v>65</v>
      </c>
      <c r="D15" s="17"/>
      <c r="E15" s="875" t="s">
        <v>258</v>
      </c>
      <c r="F15" s="875"/>
      <c r="G15" s="875"/>
      <c r="H15" s="875"/>
      <c r="I15" s="875"/>
      <c r="J15" s="875"/>
      <c r="K15" s="875"/>
      <c r="L15" s="875"/>
      <c r="M15" s="875"/>
      <c r="N15" s="875"/>
      <c r="O15" s="875"/>
    </row>
    <row r="16" spans="1:38" ht="17.25" thickTop="1">
      <c r="A16" s="3">
        <v>14</v>
      </c>
      <c r="B16" s="5" t="s">
        <v>43</v>
      </c>
      <c r="C16" s="28" t="s">
        <v>54</v>
      </c>
      <c r="D16" s="17"/>
      <c r="E16" s="68" t="s">
        <v>259</v>
      </c>
      <c r="F16" s="876" t="s">
        <v>260</v>
      </c>
      <c r="G16" s="877"/>
      <c r="H16" s="877"/>
      <c r="I16" s="877"/>
      <c r="J16" s="877"/>
      <c r="K16" s="877"/>
      <c r="L16" s="877"/>
      <c r="M16" s="877"/>
      <c r="N16" s="877"/>
      <c r="O16" s="878"/>
    </row>
    <row r="17" spans="1:15" ht="16.5">
      <c r="A17" s="3">
        <v>15</v>
      </c>
      <c r="B17" s="5" t="s">
        <v>44</v>
      </c>
      <c r="C17" s="35" t="s">
        <v>55</v>
      </c>
      <c r="D17" s="17"/>
      <c r="E17" s="879" t="s">
        <v>261</v>
      </c>
      <c r="F17" s="841" t="s">
        <v>262</v>
      </c>
      <c r="G17" s="842"/>
      <c r="H17" s="882"/>
      <c r="I17" s="883" t="s">
        <v>263</v>
      </c>
      <c r="J17" s="884"/>
      <c r="K17" s="884"/>
      <c r="L17" s="884"/>
      <c r="M17" s="884"/>
      <c r="N17" s="884"/>
      <c r="O17" s="885"/>
    </row>
    <row r="18" spans="1:15" ht="18.75">
      <c r="A18" s="3">
        <v>16</v>
      </c>
      <c r="B18" s="915" t="s">
        <v>66</v>
      </c>
      <c r="C18" s="916"/>
      <c r="D18" s="19"/>
      <c r="E18" s="880"/>
      <c r="F18" s="841" t="s">
        <v>264</v>
      </c>
      <c r="G18" s="842"/>
      <c r="H18" s="882"/>
      <c r="I18" s="883" t="s">
        <v>265</v>
      </c>
      <c r="J18" s="884"/>
      <c r="K18" s="884"/>
      <c r="L18" s="884"/>
      <c r="M18" s="884"/>
      <c r="N18" s="884"/>
      <c r="O18" s="885"/>
    </row>
    <row r="19" spans="1:15" ht="17.25">
      <c r="A19" s="3">
        <v>17</v>
      </c>
      <c r="B19" s="66" t="s">
        <v>229</v>
      </c>
      <c r="D19" s="17"/>
      <c r="E19" s="880"/>
      <c r="F19" s="886" t="s">
        <v>266</v>
      </c>
      <c r="G19" s="887"/>
      <c r="H19" s="888"/>
      <c r="I19" s="892" t="s">
        <v>267</v>
      </c>
      <c r="J19" s="893"/>
      <c r="K19" s="893"/>
      <c r="L19" s="893"/>
      <c r="M19" s="893"/>
      <c r="N19" s="893"/>
      <c r="O19" s="894"/>
    </row>
    <row r="20" spans="1:15" ht="16.5">
      <c r="A20" s="3">
        <v>18</v>
      </c>
      <c r="B20" s="5" t="s">
        <v>46</v>
      </c>
      <c r="C20" s="28" t="s">
        <v>57</v>
      </c>
      <c r="D20" s="17"/>
      <c r="E20" s="880"/>
      <c r="F20" s="889"/>
      <c r="G20" s="890"/>
      <c r="H20" s="891"/>
      <c r="I20" s="895" t="s">
        <v>268</v>
      </c>
      <c r="J20" s="896"/>
      <c r="K20" s="896"/>
      <c r="L20" s="896"/>
      <c r="M20" s="896"/>
      <c r="N20" s="896"/>
      <c r="O20" s="897"/>
    </row>
    <row r="21" spans="1:15" ht="16.5">
      <c r="A21" s="3">
        <v>19</v>
      </c>
      <c r="B21" s="5" t="s">
        <v>47</v>
      </c>
      <c r="C21" s="28" t="s">
        <v>67</v>
      </c>
      <c r="D21" s="17"/>
      <c r="E21" s="881"/>
      <c r="F21" s="841" t="s">
        <v>269</v>
      </c>
      <c r="G21" s="842"/>
      <c r="H21" s="882"/>
      <c r="I21" s="883" t="s">
        <v>270</v>
      </c>
      <c r="J21" s="884"/>
      <c r="K21" s="884"/>
      <c r="L21" s="884"/>
      <c r="M21" s="884"/>
      <c r="N21" s="884"/>
      <c r="O21" s="885"/>
    </row>
    <row r="22" spans="1:15" ht="17.25" thickBot="1">
      <c r="A22" s="3">
        <v>20</v>
      </c>
      <c r="B22" s="5" t="s">
        <v>48</v>
      </c>
      <c r="C22" s="29" t="s">
        <v>68</v>
      </c>
      <c r="D22" s="17"/>
      <c r="E22" s="77" t="s">
        <v>271</v>
      </c>
      <c r="F22" s="862"/>
      <c r="G22" s="863"/>
      <c r="H22" s="863"/>
      <c r="I22" s="863"/>
      <c r="J22" s="863"/>
      <c r="K22" s="863"/>
      <c r="L22" s="863"/>
      <c r="M22" s="863"/>
      <c r="N22" s="863"/>
      <c r="O22" s="864"/>
    </row>
    <row r="23" spans="1:15" ht="17.25" thickTop="1">
      <c r="A23" s="3">
        <v>21</v>
      </c>
      <c r="B23" s="5" t="s">
        <v>49</v>
      </c>
      <c r="C23" s="28" t="s">
        <v>69</v>
      </c>
      <c r="D23" s="17"/>
      <c r="E23" s="17"/>
      <c r="F23" s="17"/>
    </row>
    <row r="24" spans="1:15" ht="20.25" thickBot="1">
      <c r="A24" s="3">
        <v>22</v>
      </c>
      <c r="B24" s="5" t="s">
        <v>230</v>
      </c>
      <c r="C24" s="36" t="s">
        <v>22</v>
      </c>
      <c r="D24" s="17"/>
      <c r="E24" s="865" t="s">
        <v>272</v>
      </c>
      <c r="F24" s="865"/>
      <c r="G24" s="865"/>
      <c r="H24" s="865"/>
      <c r="I24" s="865"/>
      <c r="J24" s="865"/>
      <c r="K24" s="865"/>
      <c r="L24" s="865"/>
      <c r="M24" s="865"/>
      <c r="N24" s="865"/>
    </row>
    <row r="25" spans="1:15" ht="20.25" thickTop="1">
      <c r="A25" s="3">
        <v>23</v>
      </c>
      <c r="B25" s="5" t="s">
        <v>232</v>
      </c>
      <c r="C25" s="37" t="s">
        <v>23</v>
      </c>
      <c r="D25" s="17"/>
      <c r="E25" s="68" t="s">
        <v>273</v>
      </c>
      <c r="F25" s="866" t="s">
        <v>274</v>
      </c>
      <c r="G25" s="867"/>
      <c r="H25" s="867"/>
      <c r="I25" s="867"/>
      <c r="J25" s="867"/>
      <c r="K25" s="867"/>
      <c r="L25" s="867"/>
      <c r="M25" s="867"/>
      <c r="N25" s="868"/>
    </row>
    <row r="26" spans="1:15" ht="19.5">
      <c r="A26" s="3">
        <v>24</v>
      </c>
      <c r="B26" s="5" t="s">
        <v>231</v>
      </c>
      <c r="C26" s="38" t="s">
        <v>24</v>
      </c>
      <c r="D26" s="17"/>
      <c r="E26" s="69" t="s">
        <v>275</v>
      </c>
      <c r="F26" s="869" t="s">
        <v>276</v>
      </c>
      <c r="G26" s="870"/>
      <c r="H26" s="870"/>
      <c r="I26" s="870"/>
      <c r="J26" s="870"/>
      <c r="K26" s="870"/>
      <c r="L26" s="870"/>
      <c r="M26" s="870"/>
      <c r="N26" s="871"/>
    </row>
    <row r="27" spans="1:15" ht="19.5">
      <c r="A27" s="3">
        <v>25</v>
      </c>
      <c r="B27" s="5" t="s">
        <v>233</v>
      </c>
      <c r="C27" s="37" t="s">
        <v>25</v>
      </c>
      <c r="D27" s="17"/>
      <c r="E27" s="69" t="s">
        <v>277</v>
      </c>
      <c r="F27" s="872" t="s">
        <v>277</v>
      </c>
      <c r="G27" s="873"/>
      <c r="H27" s="873"/>
      <c r="I27" s="873"/>
      <c r="J27" s="873"/>
      <c r="K27" s="873"/>
      <c r="L27" s="873"/>
      <c r="M27" s="873"/>
      <c r="N27" s="874"/>
    </row>
    <row r="28" spans="1:15" ht="19.5">
      <c r="A28" s="3">
        <v>26</v>
      </c>
      <c r="B28" s="67" t="s">
        <v>236</v>
      </c>
      <c r="C28" s="36" t="s">
        <v>26</v>
      </c>
      <c r="D28" s="17"/>
      <c r="E28" s="70" t="s">
        <v>278</v>
      </c>
      <c r="F28" s="847" t="s">
        <v>280</v>
      </c>
      <c r="G28" s="848"/>
      <c r="H28" s="848"/>
      <c r="I28" s="848"/>
      <c r="J28" s="848"/>
      <c r="K28" s="848"/>
      <c r="L28" s="848"/>
      <c r="M28" s="848"/>
      <c r="N28" s="849"/>
    </row>
    <row r="29" spans="1:15" ht="19.5">
      <c r="A29" s="3">
        <v>27</v>
      </c>
      <c r="B29" s="5" t="s">
        <v>234</v>
      </c>
      <c r="C29" s="37" t="s">
        <v>27</v>
      </c>
      <c r="D29" s="17"/>
      <c r="E29" s="78" t="s">
        <v>279</v>
      </c>
      <c r="F29" s="81" t="s">
        <v>281</v>
      </c>
      <c r="G29" s="81" t="s">
        <v>282</v>
      </c>
      <c r="H29" s="81" t="s">
        <v>283</v>
      </c>
      <c r="I29" s="81" t="s">
        <v>284</v>
      </c>
      <c r="J29" s="81" t="s">
        <v>285</v>
      </c>
      <c r="K29" s="81" t="s">
        <v>286</v>
      </c>
      <c r="L29" s="81" t="s">
        <v>287</v>
      </c>
      <c r="M29" s="81" t="s">
        <v>288</v>
      </c>
      <c r="N29" s="84" t="s">
        <v>289</v>
      </c>
    </row>
    <row r="30" spans="1:15" ht="19.5">
      <c r="A30" s="3">
        <v>28</v>
      </c>
      <c r="B30" s="5" t="s">
        <v>237</v>
      </c>
      <c r="C30" s="38" t="s">
        <v>28</v>
      </c>
      <c r="D30" s="17"/>
      <c r="E30" s="79"/>
      <c r="F30" s="82" t="s">
        <v>290</v>
      </c>
      <c r="G30" s="83" t="s">
        <v>291</v>
      </c>
      <c r="H30" s="83" t="s">
        <v>292</v>
      </c>
      <c r="I30" s="83" t="s">
        <v>292</v>
      </c>
      <c r="J30" s="83" t="s">
        <v>292</v>
      </c>
      <c r="K30" s="83" t="s">
        <v>292</v>
      </c>
      <c r="L30" s="83" t="s">
        <v>292</v>
      </c>
      <c r="M30" s="83" t="s">
        <v>291</v>
      </c>
      <c r="N30" s="85" t="s">
        <v>293</v>
      </c>
    </row>
    <row r="31" spans="1:15" ht="19.5">
      <c r="A31" s="3">
        <v>29</v>
      </c>
      <c r="B31" s="5" t="s">
        <v>235</v>
      </c>
      <c r="C31" s="37" t="s">
        <v>29</v>
      </c>
      <c r="E31" s="79"/>
      <c r="F31" s="82" t="s">
        <v>294</v>
      </c>
      <c r="G31" s="83">
        <v>0</v>
      </c>
      <c r="H31" s="83">
        <v>5</v>
      </c>
      <c r="I31" s="83">
        <v>5</v>
      </c>
      <c r="J31" s="83">
        <v>5</v>
      </c>
      <c r="K31" s="83">
        <v>5</v>
      </c>
      <c r="L31" s="83">
        <v>5</v>
      </c>
      <c r="M31" s="83">
        <v>0</v>
      </c>
      <c r="N31" s="85" t="s">
        <v>295</v>
      </c>
    </row>
    <row r="32" spans="1:15" ht="16.5">
      <c r="A32" s="3">
        <v>30</v>
      </c>
      <c r="B32" s="5" t="s">
        <v>50</v>
      </c>
      <c r="C32" s="28" t="s">
        <v>70</v>
      </c>
      <c r="E32" s="79"/>
      <c r="F32" s="850" t="s">
        <v>296</v>
      </c>
      <c r="G32" s="851"/>
      <c r="H32" s="851"/>
      <c r="I32" s="851"/>
      <c r="J32" s="851"/>
      <c r="K32" s="851"/>
      <c r="L32" s="851"/>
      <c r="M32" s="851"/>
      <c r="N32" s="852"/>
    </row>
    <row r="33" spans="1:14" ht="19.5">
      <c r="A33" s="3">
        <v>31</v>
      </c>
      <c r="B33" s="56" t="s">
        <v>331</v>
      </c>
      <c r="C33" s="28" t="s">
        <v>71</v>
      </c>
      <c r="E33" s="80"/>
      <c r="F33" s="853" t="s">
        <v>297</v>
      </c>
      <c r="G33" s="854"/>
      <c r="H33" s="854"/>
      <c r="I33" s="854"/>
      <c r="J33" s="854"/>
      <c r="K33" s="854"/>
      <c r="L33" s="854"/>
      <c r="M33" s="854"/>
      <c r="N33" s="855"/>
    </row>
    <row r="34" spans="1:14" ht="16.5">
      <c r="A34" s="3">
        <v>32</v>
      </c>
      <c r="B34" s="5" t="s">
        <v>51</v>
      </c>
      <c r="C34" s="28" t="s">
        <v>72</v>
      </c>
      <c r="E34" s="70" t="s">
        <v>298</v>
      </c>
      <c r="F34" s="856" t="s">
        <v>300</v>
      </c>
      <c r="G34" s="857"/>
      <c r="H34" s="857"/>
      <c r="I34" s="857"/>
      <c r="J34" s="857"/>
      <c r="K34" s="857"/>
      <c r="L34" s="857"/>
      <c r="M34" s="857"/>
      <c r="N34" s="858"/>
    </row>
    <row r="35" spans="1:14" ht="16.5">
      <c r="A35" s="3">
        <v>33</v>
      </c>
      <c r="E35" s="73" t="s">
        <v>299</v>
      </c>
      <c r="F35" s="859"/>
      <c r="G35" s="860"/>
      <c r="H35" s="860"/>
      <c r="I35" s="860"/>
      <c r="J35" s="860"/>
      <c r="K35" s="860"/>
      <c r="L35" s="860"/>
      <c r="M35" s="860"/>
      <c r="N35" s="861"/>
    </row>
    <row r="36" spans="1:14" ht="16.5">
      <c r="A36" s="3">
        <v>34</v>
      </c>
      <c r="E36" s="70" t="s">
        <v>301</v>
      </c>
      <c r="F36" s="838" t="s">
        <v>302</v>
      </c>
      <c r="G36" s="839"/>
      <c r="H36" s="839"/>
      <c r="I36" s="840"/>
      <c r="J36" s="844" t="s">
        <v>303</v>
      </c>
      <c r="K36" s="845"/>
      <c r="L36" s="845"/>
      <c r="M36" s="845"/>
      <c r="N36" s="846"/>
    </row>
    <row r="37" spans="1:14" ht="16.5">
      <c r="A37" s="3">
        <v>35</v>
      </c>
      <c r="E37" s="78" t="s">
        <v>332</v>
      </c>
      <c r="F37" s="838" t="s">
        <v>304</v>
      </c>
      <c r="G37" s="839"/>
      <c r="H37" s="839"/>
      <c r="I37" s="840"/>
      <c r="J37" s="844" t="s">
        <v>305</v>
      </c>
      <c r="K37" s="845"/>
      <c r="L37" s="845"/>
      <c r="M37" s="845"/>
      <c r="N37" s="846"/>
    </row>
    <row r="38" spans="1:14" ht="16.5">
      <c r="A38" s="3">
        <v>36</v>
      </c>
      <c r="E38" s="79"/>
      <c r="F38" s="838" t="s">
        <v>306</v>
      </c>
      <c r="G38" s="839"/>
      <c r="H38" s="839"/>
      <c r="I38" s="840"/>
      <c r="J38" s="844" t="s">
        <v>307</v>
      </c>
      <c r="K38" s="845"/>
      <c r="L38" s="845"/>
      <c r="M38" s="845"/>
      <c r="N38" s="846"/>
    </row>
    <row r="39" spans="1:14" ht="16.5">
      <c r="A39" s="3">
        <v>37</v>
      </c>
      <c r="E39" s="79"/>
      <c r="F39" s="838" t="s">
        <v>308</v>
      </c>
      <c r="G39" s="839"/>
      <c r="H39" s="839"/>
      <c r="I39" s="840"/>
      <c r="J39" s="844" t="s">
        <v>309</v>
      </c>
      <c r="K39" s="845"/>
      <c r="L39" s="845"/>
      <c r="M39" s="845"/>
      <c r="N39" s="846"/>
    </row>
    <row r="40" spans="1:14" ht="16.5">
      <c r="A40" s="3">
        <v>38</v>
      </c>
      <c r="E40" s="79"/>
      <c r="F40" s="838" t="s">
        <v>310</v>
      </c>
      <c r="G40" s="839"/>
      <c r="H40" s="839"/>
      <c r="I40" s="840"/>
      <c r="J40" s="844" t="s">
        <v>311</v>
      </c>
      <c r="K40" s="845"/>
      <c r="L40" s="845"/>
      <c r="M40" s="845"/>
      <c r="N40" s="846"/>
    </row>
    <row r="41" spans="1:14" ht="16.5">
      <c r="A41" s="3">
        <v>39</v>
      </c>
      <c r="E41" s="79"/>
      <c r="F41" s="838" t="s">
        <v>312</v>
      </c>
      <c r="G41" s="839"/>
      <c r="H41" s="839"/>
      <c r="I41" s="840"/>
      <c r="J41" s="844" t="s">
        <v>313</v>
      </c>
      <c r="K41" s="845"/>
      <c r="L41" s="845"/>
      <c r="M41" s="845"/>
      <c r="N41" s="846"/>
    </row>
    <row r="42" spans="1:14" ht="16.5">
      <c r="A42" s="3">
        <v>40</v>
      </c>
      <c r="E42" s="79"/>
      <c r="F42" s="838" t="s">
        <v>314</v>
      </c>
      <c r="G42" s="839"/>
      <c r="H42" s="839"/>
      <c r="I42" s="840"/>
      <c r="J42" s="844" t="s">
        <v>315</v>
      </c>
      <c r="K42" s="845"/>
      <c r="L42" s="845"/>
      <c r="M42" s="845"/>
      <c r="N42" s="846"/>
    </row>
    <row r="43" spans="1:14" ht="16.5">
      <c r="A43" s="3">
        <v>41</v>
      </c>
      <c r="E43" s="79"/>
      <c r="F43" s="838" t="s">
        <v>316</v>
      </c>
      <c r="G43" s="839"/>
      <c r="H43" s="839"/>
      <c r="I43" s="840"/>
      <c r="J43" s="844" t="s">
        <v>317</v>
      </c>
      <c r="K43" s="845"/>
      <c r="L43" s="845"/>
      <c r="M43" s="845"/>
      <c r="N43" s="846"/>
    </row>
    <row r="44" spans="1:14" ht="16.5">
      <c r="A44" s="3">
        <v>42</v>
      </c>
      <c r="E44" s="79"/>
      <c r="F44" s="838" t="s">
        <v>318</v>
      </c>
      <c r="G44" s="839"/>
      <c r="H44" s="839"/>
      <c r="I44" s="840"/>
      <c r="J44" s="841" t="s">
        <v>319</v>
      </c>
      <c r="K44" s="842"/>
      <c r="L44" s="842"/>
      <c r="M44" s="842"/>
      <c r="N44" s="843"/>
    </row>
    <row r="45" spans="1:14" ht="16.5">
      <c r="A45" s="3">
        <v>43</v>
      </c>
      <c r="E45" s="79"/>
      <c r="F45" s="838" t="s">
        <v>320</v>
      </c>
      <c r="G45" s="839"/>
      <c r="H45" s="839"/>
      <c r="I45" s="840"/>
      <c r="J45" s="841" t="s">
        <v>319</v>
      </c>
      <c r="K45" s="842"/>
      <c r="L45" s="842"/>
      <c r="M45" s="842"/>
      <c r="N45" s="843"/>
    </row>
    <row r="46" spans="1:14" ht="16.5">
      <c r="A46" s="3">
        <v>44</v>
      </c>
      <c r="E46" s="79"/>
      <c r="F46" s="838" t="s">
        <v>321</v>
      </c>
      <c r="G46" s="839"/>
      <c r="H46" s="839"/>
      <c r="I46" s="840"/>
      <c r="J46" s="841" t="s">
        <v>319</v>
      </c>
      <c r="K46" s="842"/>
      <c r="L46" s="842"/>
      <c r="M46" s="842"/>
      <c r="N46" s="843"/>
    </row>
    <row r="47" spans="1:14" ht="16.5">
      <c r="A47" s="3">
        <v>45</v>
      </c>
      <c r="E47" s="79"/>
      <c r="F47" s="838" t="s">
        <v>322</v>
      </c>
      <c r="G47" s="839"/>
      <c r="H47" s="839"/>
      <c r="I47" s="840"/>
      <c r="J47" s="841" t="s">
        <v>319</v>
      </c>
      <c r="K47" s="842"/>
      <c r="L47" s="842"/>
      <c r="M47" s="842"/>
      <c r="N47" s="843"/>
    </row>
    <row r="48" spans="1:14" ht="16.5">
      <c r="A48" s="3">
        <v>46</v>
      </c>
      <c r="E48" s="79"/>
      <c r="F48" s="838" t="s">
        <v>323</v>
      </c>
      <c r="G48" s="839"/>
      <c r="H48" s="839"/>
      <c r="I48" s="840"/>
      <c r="J48" s="841" t="s">
        <v>319</v>
      </c>
      <c r="K48" s="842"/>
      <c r="L48" s="842"/>
      <c r="M48" s="842"/>
      <c r="N48" s="843"/>
    </row>
    <row r="49" spans="1:14" ht="16.5">
      <c r="A49" s="3">
        <v>47</v>
      </c>
      <c r="E49" s="79"/>
      <c r="F49" s="838" t="s">
        <v>324</v>
      </c>
      <c r="G49" s="839"/>
      <c r="H49" s="839"/>
      <c r="I49" s="840"/>
      <c r="J49" s="841" t="s">
        <v>319</v>
      </c>
      <c r="K49" s="842"/>
      <c r="L49" s="842"/>
      <c r="M49" s="842"/>
      <c r="N49" s="843"/>
    </row>
    <row r="50" spans="1:14" ht="16.5">
      <c r="A50" s="3">
        <v>48</v>
      </c>
      <c r="E50" s="80"/>
      <c r="F50" s="838" t="s">
        <v>325</v>
      </c>
      <c r="G50" s="839"/>
      <c r="H50" s="839"/>
      <c r="I50" s="840"/>
      <c r="J50" s="841" t="s">
        <v>319</v>
      </c>
      <c r="K50" s="842"/>
      <c r="L50" s="842"/>
      <c r="M50" s="842"/>
      <c r="N50" s="843"/>
    </row>
    <row r="51" spans="1:14" ht="26.25" thickBot="1">
      <c r="A51" s="3">
        <v>49</v>
      </c>
      <c r="E51" s="77" t="s">
        <v>326</v>
      </c>
      <c r="F51" s="835" t="s">
        <v>251</v>
      </c>
      <c r="G51" s="836"/>
      <c r="H51" s="836"/>
      <c r="I51" s="837"/>
      <c r="J51" s="86" t="s">
        <v>327</v>
      </c>
      <c r="K51" s="87" t="s">
        <v>330</v>
      </c>
      <c r="L51" s="86" t="s">
        <v>328</v>
      </c>
      <c r="M51" s="87" t="s">
        <v>254</v>
      </c>
      <c r="N51" s="88" t="s">
        <v>329</v>
      </c>
    </row>
    <row r="52" spans="1:14" ht="27" thickTop="1" thickBot="1">
      <c r="A52" s="3">
        <v>50</v>
      </c>
      <c r="E52" s="77" t="s">
        <v>326</v>
      </c>
      <c r="F52" s="835" t="s">
        <v>251</v>
      </c>
      <c r="G52" s="836"/>
      <c r="H52" s="836"/>
      <c r="I52" s="837"/>
      <c r="J52" s="86" t="s">
        <v>327</v>
      </c>
      <c r="K52" s="87" t="s">
        <v>105</v>
      </c>
      <c r="L52" s="86" t="s">
        <v>328</v>
      </c>
      <c r="M52" s="87" t="s">
        <v>254</v>
      </c>
      <c r="N52" s="88" t="s">
        <v>329</v>
      </c>
    </row>
    <row r="53" spans="1:14" ht="17.25" thickTop="1">
      <c r="A53" s="3">
        <v>51</v>
      </c>
    </row>
    <row r="54" spans="1:14" ht="16.5">
      <c r="A54" s="3">
        <v>52</v>
      </c>
    </row>
    <row r="55" spans="1:14" ht="16.5">
      <c r="A55" s="3">
        <v>53</v>
      </c>
    </row>
    <row r="56" spans="1:14" ht="16.5">
      <c r="A56" s="3">
        <v>54</v>
      </c>
    </row>
    <row r="57" spans="1:14" ht="16.5">
      <c r="A57" s="3">
        <v>55</v>
      </c>
    </row>
    <row r="58" spans="1:14" ht="16.5">
      <c r="A58" s="3">
        <v>56</v>
      </c>
    </row>
    <row r="59" spans="1:14" ht="16.5">
      <c r="A59" s="3">
        <v>57</v>
      </c>
    </row>
    <row r="60" spans="1:14" ht="16.5">
      <c r="A60" s="3">
        <v>58</v>
      </c>
    </row>
    <row r="61" spans="1:14" ht="16.5">
      <c r="A61" s="3">
        <v>59</v>
      </c>
    </row>
    <row r="62" spans="1:14" ht="16.5">
      <c r="A62" s="3">
        <v>60</v>
      </c>
    </row>
    <row r="63" spans="1:14" ht="16.5">
      <c r="A63" s="3">
        <v>61</v>
      </c>
    </row>
    <row r="64" spans="1:14" ht="16.5">
      <c r="A64" s="3">
        <v>62</v>
      </c>
    </row>
    <row r="65" spans="1:1" ht="16.5">
      <c r="A65" s="3">
        <v>63</v>
      </c>
    </row>
  </sheetData>
  <mergeCells count="77">
    <mergeCell ref="B3:C3"/>
    <mergeCell ref="B2:C2"/>
    <mergeCell ref="B18:C18"/>
    <mergeCell ref="E3:O3"/>
    <mergeCell ref="E4:O4"/>
    <mergeCell ref="F5:I5"/>
    <mergeCell ref="J5:L5"/>
    <mergeCell ref="M5:O5"/>
    <mergeCell ref="F6:I6"/>
    <mergeCell ref="J6:L6"/>
    <mergeCell ref="M6:O6"/>
    <mergeCell ref="E7:E8"/>
    <mergeCell ref="G7:O7"/>
    <mergeCell ref="G8:O8"/>
    <mergeCell ref="F9:O9"/>
    <mergeCell ref="F10:O11"/>
    <mergeCell ref="E12:O12"/>
    <mergeCell ref="E13:E14"/>
    <mergeCell ref="F13:G13"/>
    <mergeCell ref="H13:J13"/>
    <mergeCell ref="L13:M13"/>
    <mergeCell ref="F14:G14"/>
    <mergeCell ref="H14:J14"/>
    <mergeCell ref="L14:O14"/>
    <mergeCell ref="E15:O15"/>
    <mergeCell ref="F16:O16"/>
    <mergeCell ref="E17:E21"/>
    <mergeCell ref="F17:H17"/>
    <mergeCell ref="I17:O17"/>
    <mergeCell ref="F18:H18"/>
    <mergeCell ref="I18:O18"/>
    <mergeCell ref="F19:H20"/>
    <mergeCell ref="I19:O19"/>
    <mergeCell ref="I20:O20"/>
    <mergeCell ref="F21:H21"/>
    <mergeCell ref="I21:O21"/>
    <mergeCell ref="F22:O22"/>
    <mergeCell ref="E24:N24"/>
    <mergeCell ref="F25:N25"/>
    <mergeCell ref="F26:N26"/>
    <mergeCell ref="F27:N27"/>
    <mergeCell ref="F28:N28"/>
    <mergeCell ref="F32:N32"/>
    <mergeCell ref="F33:N33"/>
    <mergeCell ref="F34:N35"/>
    <mergeCell ref="F36:I36"/>
    <mergeCell ref="J36:N36"/>
    <mergeCell ref="F37:I37"/>
    <mergeCell ref="J37:N37"/>
    <mergeCell ref="F38:I38"/>
    <mergeCell ref="J38:N38"/>
    <mergeCell ref="F39:I39"/>
    <mergeCell ref="J39:N39"/>
    <mergeCell ref="F40:I40"/>
    <mergeCell ref="J40:N40"/>
    <mergeCell ref="F41:I41"/>
    <mergeCell ref="J41:N41"/>
    <mergeCell ref="F42:I42"/>
    <mergeCell ref="J42:N42"/>
    <mergeCell ref="F43:I43"/>
    <mergeCell ref="J43:N43"/>
    <mergeCell ref="F44:I44"/>
    <mergeCell ref="J44:N44"/>
    <mergeCell ref="F45:I45"/>
    <mergeCell ref="J45:N45"/>
    <mergeCell ref="F46:I46"/>
    <mergeCell ref="J46:N46"/>
    <mergeCell ref="F47:I47"/>
    <mergeCell ref="J47:N47"/>
    <mergeCell ref="F48:I48"/>
    <mergeCell ref="J48:N48"/>
    <mergeCell ref="F52:I52"/>
    <mergeCell ref="F49:I49"/>
    <mergeCell ref="J49:N49"/>
    <mergeCell ref="F50:I50"/>
    <mergeCell ref="J50:N50"/>
    <mergeCell ref="F51:I51"/>
  </mergeCells>
  <phoneticPr fontId="9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16</xdr:col>
                    <xdr:colOff>352425</xdr:colOff>
                    <xdr:row>1</xdr:row>
                    <xdr:rowOff>66675</xdr:rowOff>
                  </from>
                  <to>
                    <xdr:col>20</xdr:col>
                    <xdr:colOff>161925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40E6B-77A2-4347-9588-1A382FF88DAA}">
  <sheetPr codeName="Sheet16"/>
  <dimension ref="A1:AL63"/>
  <sheetViews>
    <sheetView workbookViewId="0">
      <selection activeCell="D15" sqref="D15:L15"/>
    </sheetView>
  </sheetViews>
  <sheetFormatPr defaultColWidth="8.7109375" defaultRowHeight="12.75"/>
  <cols>
    <col min="1" max="1" width="14" style="39" customWidth="1"/>
    <col min="2" max="6" width="7.7109375" style="39" customWidth="1"/>
    <col min="7" max="22" width="8.7109375" style="39"/>
    <col min="23" max="24" width="25.7109375" style="39" customWidth="1"/>
    <col min="25" max="25" width="31" style="39" customWidth="1"/>
    <col min="26" max="26" width="25.7109375" style="39" customWidth="1"/>
    <col min="27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15" thickBot="1">
      <c r="A2" s="54">
        <v>0</v>
      </c>
      <c r="B2" s="997" t="s">
        <v>1368</v>
      </c>
      <c r="C2" s="998"/>
      <c r="D2" s="998"/>
      <c r="E2" s="998"/>
      <c r="F2" s="998"/>
      <c r="G2" s="998"/>
      <c r="H2" s="998"/>
      <c r="I2" s="998"/>
      <c r="J2" s="998"/>
      <c r="K2" s="998"/>
      <c r="L2" s="998"/>
      <c r="N2" s="1019" t="s">
        <v>1384</v>
      </c>
      <c r="O2" s="1020"/>
      <c r="P2" s="1020"/>
      <c r="Q2" s="1020"/>
      <c r="R2" s="1020"/>
      <c r="S2" s="1020"/>
      <c r="T2" s="1020"/>
      <c r="U2" s="1020"/>
      <c r="W2" s="948" t="s">
        <v>1415</v>
      </c>
      <c r="X2" s="948"/>
      <c r="Y2" s="948"/>
      <c r="Z2" s="948"/>
    </row>
    <row r="3" spans="1:38" ht="24" customHeight="1" thickTop="1">
      <c r="A3" s="55">
        <v>1</v>
      </c>
      <c r="B3" s="1021" t="s">
        <v>1336</v>
      </c>
      <c r="C3" s="1022"/>
      <c r="D3" s="1022"/>
      <c r="E3" s="1022"/>
      <c r="F3" s="1022"/>
      <c r="G3" s="1022"/>
      <c r="H3" s="1022"/>
      <c r="I3" s="1022"/>
      <c r="J3" s="1022"/>
      <c r="K3" s="1022"/>
      <c r="L3" s="1022"/>
      <c r="N3" s="1010" t="s">
        <v>1369</v>
      </c>
      <c r="O3" s="1011"/>
      <c r="P3" s="1011"/>
      <c r="Q3" s="1011"/>
      <c r="R3" s="1011"/>
      <c r="S3" s="1011"/>
      <c r="T3" s="1011"/>
      <c r="U3" s="1012"/>
      <c r="W3" s="961" t="s">
        <v>1385</v>
      </c>
      <c r="X3" s="961"/>
      <c r="Y3" s="961"/>
      <c r="Z3" s="961"/>
    </row>
    <row r="4" spans="1:38" ht="24.4" customHeight="1">
      <c r="A4" s="55">
        <v>2</v>
      </c>
      <c r="B4" s="1023"/>
      <c r="C4" s="1024"/>
      <c r="D4" s="1024"/>
      <c r="E4" s="1024"/>
      <c r="F4" s="1024"/>
      <c r="G4" s="1024"/>
      <c r="H4" s="1024"/>
      <c r="I4" s="1024"/>
      <c r="J4" s="1024"/>
      <c r="K4" s="1024"/>
      <c r="L4" s="1024"/>
      <c r="N4" s="1013" t="s">
        <v>1370</v>
      </c>
      <c r="O4" s="1014"/>
      <c r="P4" s="1014"/>
      <c r="Q4" s="1014"/>
      <c r="R4" s="1014"/>
      <c r="S4" s="1014"/>
      <c r="T4" s="1014"/>
      <c r="U4" s="1015"/>
      <c r="W4" s="962" t="s">
        <v>1386</v>
      </c>
      <c r="X4" s="962"/>
      <c r="Y4" s="962"/>
      <c r="Z4" s="962"/>
    </row>
    <row r="5" spans="1:38" ht="18" thickBot="1">
      <c r="A5" s="55">
        <v>3</v>
      </c>
      <c r="B5" s="1025"/>
      <c r="C5" s="1026"/>
      <c r="D5" s="1026"/>
      <c r="E5" s="1026"/>
      <c r="F5" s="1026"/>
      <c r="G5" s="1026"/>
      <c r="H5" s="1026"/>
      <c r="I5" s="1026"/>
      <c r="J5" s="1026"/>
      <c r="K5" s="1026"/>
      <c r="L5" s="1026"/>
      <c r="N5" s="1016"/>
      <c r="O5" s="1017"/>
      <c r="P5" s="1017"/>
      <c r="Q5" s="1017"/>
      <c r="R5" s="1017"/>
      <c r="S5" s="1017"/>
      <c r="T5" s="1017"/>
      <c r="U5" s="1018"/>
      <c r="W5" s="963" t="s">
        <v>1387</v>
      </c>
      <c r="X5" s="963"/>
      <c r="Y5" s="963"/>
      <c r="Z5" s="963"/>
    </row>
    <row r="6" spans="1:38" ht="15.75" customHeight="1">
      <c r="A6" s="55">
        <v>4</v>
      </c>
      <c r="B6" s="1027" t="s">
        <v>1337</v>
      </c>
      <c r="C6" s="1028"/>
      <c r="D6" s="1028"/>
      <c r="E6" s="1028"/>
      <c r="F6" s="1028"/>
      <c r="G6" s="1028"/>
      <c r="H6" s="1028"/>
      <c r="I6" s="1028"/>
      <c r="J6" s="1028"/>
      <c r="K6" s="1028"/>
      <c r="L6" s="1028"/>
      <c r="N6" s="999" t="s">
        <v>1371</v>
      </c>
      <c r="O6" s="1000"/>
      <c r="P6" s="1001" t="s">
        <v>1322</v>
      </c>
      <c r="Q6" s="1002"/>
      <c r="R6" s="1002"/>
      <c r="S6" s="1002"/>
      <c r="T6" s="1002"/>
      <c r="U6" s="1003"/>
      <c r="W6" s="947"/>
      <c r="X6" s="947"/>
      <c r="Y6" s="947"/>
      <c r="Z6" s="947"/>
    </row>
    <row r="7" spans="1:38" ht="15.75" customHeight="1">
      <c r="A7" s="55">
        <v>5</v>
      </c>
      <c r="B7" s="1029" t="s">
        <v>1338</v>
      </c>
      <c r="C7" s="1030"/>
      <c r="D7" s="1031" t="s">
        <v>0</v>
      </c>
      <c r="E7" s="1032"/>
      <c r="F7" s="1032"/>
      <c r="G7" s="1033"/>
      <c r="H7" s="1034" t="s">
        <v>1339</v>
      </c>
      <c r="I7" s="1035"/>
      <c r="J7" s="1030"/>
      <c r="K7" s="1031" t="s">
        <v>1</v>
      </c>
      <c r="L7" s="1032"/>
      <c r="N7" s="1004" t="s">
        <v>219</v>
      </c>
      <c r="O7" s="1005"/>
      <c r="P7" s="1006" t="s">
        <v>219</v>
      </c>
      <c r="Q7" s="1007"/>
      <c r="R7" s="1008"/>
      <c r="S7" s="1009" t="s">
        <v>1</v>
      </c>
      <c r="T7" s="1005"/>
      <c r="U7" s="590" t="s">
        <v>1</v>
      </c>
      <c r="W7" s="964" t="s">
        <v>1388</v>
      </c>
      <c r="X7" s="964"/>
      <c r="Y7" s="964"/>
      <c r="Z7" s="964"/>
    </row>
    <row r="8" spans="1:38" ht="23.65" customHeight="1" thickBot="1">
      <c r="A8" s="55">
        <v>6</v>
      </c>
      <c r="B8" s="1070" t="s">
        <v>219</v>
      </c>
      <c r="C8" s="1071"/>
      <c r="D8" s="1087" t="s">
        <v>1340</v>
      </c>
      <c r="E8" s="1088"/>
      <c r="F8" s="1088"/>
      <c r="G8" s="1089"/>
      <c r="H8" s="1093" t="s">
        <v>339</v>
      </c>
      <c r="I8" s="1094"/>
      <c r="J8" s="1071"/>
      <c r="K8" s="1087" t="s">
        <v>1341</v>
      </c>
      <c r="L8" s="1088"/>
      <c r="N8" s="982" t="s">
        <v>1372</v>
      </c>
      <c r="O8" s="983"/>
      <c r="P8" s="984" t="s">
        <v>1373</v>
      </c>
      <c r="Q8" s="985"/>
      <c r="R8" s="985"/>
      <c r="S8" s="985"/>
      <c r="T8" s="985"/>
      <c r="U8" s="986"/>
      <c r="W8" s="596" t="s">
        <v>0</v>
      </c>
      <c r="X8" s="592" t="s">
        <v>0</v>
      </c>
      <c r="Y8" s="591" t="s">
        <v>1</v>
      </c>
      <c r="Z8" s="597" t="s">
        <v>1</v>
      </c>
    </row>
    <row r="9" spans="1:38" ht="15.75" customHeight="1" thickTop="1">
      <c r="A9" s="55">
        <v>7</v>
      </c>
      <c r="B9" s="1062" t="s">
        <v>342</v>
      </c>
      <c r="C9" s="1063"/>
      <c r="D9" s="1090"/>
      <c r="E9" s="1091"/>
      <c r="F9" s="1091"/>
      <c r="G9" s="1092"/>
      <c r="H9" s="1100" t="s">
        <v>343</v>
      </c>
      <c r="I9" s="1101"/>
      <c r="J9" s="1063"/>
      <c r="K9" s="1090"/>
      <c r="L9" s="1091"/>
      <c r="N9" s="987" t="s">
        <v>220</v>
      </c>
      <c r="O9" s="989" t="s">
        <v>1374</v>
      </c>
      <c r="P9" s="990"/>
      <c r="Q9" s="588" t="s">
        <v>1375</v>
      </c>
      <c r="R9" s="989" t="s">
        <v>1376</v>
      </c>
      <c r="S9" s="990"/>
      <c r="T9" s="991" t="s">
        <v>255</v>
      </c>
      <c r="U9" s="992"/>
      <c r="W9" s="596" t="s">
        <v>5</v>
      </c>
      <c r="X9" s="592" t="s">
        <v>5</v>
      </c>
      <c r="Y9" s="591" t="s">
        <v>219</v>
      </c>
      <c r="Z9" s="597" t="s">
        <v>219</v>
      </c>
    </row>
    <row r="10" spans="1:38" ht="15.75" customHeight="1" thickBot="1">
      <c r="A10" s="55">
        <v>8</v>
      </c>
      <c r="B10" s="1029" t="s">
        <v>347</v>
      </c>
      <c r="C10" s="1030"/>
      <c r="D10" s="1031" t="s">
        <v>4</v>
      </c>
      <c r="E10" s="1032"/>
      <c r="F10" s="1032"/>
      <c r="G10" s="1033"/>
      <c r="H10" s="1098"/>
      <c r="I10" s="800"/>
      <c r="J10" s="1099"/>
      <c r="K10" s="1098"/>
      <c r="L10" s="800"/>
      <c r="N10" s="988"/>
      <c r="O10" s="993" t="s">
        <v>1377</v>
      </c>
      <c r="P10" s="994"/>
      <c r="Q10" s="589" t="s">
        <v>253</v>
      </c>
      <c r="R10" s="993" t="s">
        <v>4</v>
      </c>
      <c r="S10" s="994"/>
      <c r="T10" s="995" t="s">
        <v>1378</v>
      </c>
      <c r="U10" s="996"/>
      <c r="W10" s="965" t="s">
        <v>1389</v>
      </c>
      <c r="X10" s="965"/>
      <c r="Y10" s="965"/>
      <c r="Z10" s="965"/>
    </row>
    <row r="11" spans="1:38" ht="15.75" customHeight="1">
      <c r="A11" s="55">
        <v>9</v>
      </c>
      <c r="B11" s="1029" t="s">
        <v>354</v>
      </c>
      <c r="C11" s="1030"/>
      <c r="D11" s="1031" t="s">
        <v>5</v>
      </c>
      <c r="E11" s="1032"/>
      <c r="F11" s="1032"/>
      <c r="G11" s="1032"/>
      <c r="H11" s="1032"/>
      <c r="I11" s="1032"/>
      <c r="J11" s="1032"/>
      <c r="K11" s="1032"/>
      <c r="L11" s="1032"/>
      <c r="N11" s="979"/>
      <c r="O11" s="980"/>
      <c r="P11" s="980"/>
      <c r="Q11" s="980"/>
      <c r="R11" s="980"/>
      <c r="S11" s="980"/>
      <c r="T11" s="980"/>
      <c r="U11" s="981"/>
      <c r="W11" s="949" t="s">
        <v>1390</v>
      </c>
      <c r="X11" s="949"/>
      <c r="Y11" s="949"/>
      <c r="Z11" s="949"/>
    </row>
    <row r="12" spans="1:38" ht="16.5" customHeight="1">
      <c r="A12" s="55">
        <v>10</v>
      </c>
      <c r="B12" s="1070" t="s">
        <v>365</v>
      </c>
      <c r="C12" s="1071"/>
      <c r="D12" s="1087" t="s">
        <v>1342</v>
      </c>
      <c r="E12" s="1088"/>
      <c r="F12" s="1088"/>
      <c r="G12" s="1089"/>
      <c r="H12" s="1093" t="s">
        <v>366</v>
      </c>
      <c r="I12" s="1094"/>
      <c r="J12" s="1071"/>
      <c r="K12" s="1087" t="s">
        <v>1343</v>
      </c>
      <c r="L12" s="1088"/>
      <c r="N12" s="973" t="s">
        <v>1379</v>
      </c>
      <c r="O12" s="974"/>
      <c r="P12" s="974"/>
      <c r="Q12" s="974"/>
      <c r="R12" s="974"/>
      <c r="S12" s="974"/>
      <c r="T12" s="974"/>
      <c r="U12" s="975"/>
      <c r="W12" s="945" t="s">
        <v>1391</v>
      </c>
      <c r="X12" s="945"/>
      <c r="Y12" s="946"/>
      <c r="Z12" s="593" t="s">
        <v>1392</v>
      </c>
    </row>
    <row r="13" spans="1:38" ht="30.4" customHeight="1">
      <c r="A13" s="55">
        <v>11</v>
      </c>
      <c r="B13" s="1062"/>
      <c r="C13" s="1063"/>
      <c r="D13" s="1090"/>
      <c r="E13" s="1091"/>
      <c r="F13" s="1091"/>
      <c r="G13" s="1092"/>
      <c r="H13" s="1095" t="s">
        <v>374</v>
      </c>
      <c r="I13" s="1096"/>
      <c r="J13" s="1097"/>
      <c r="K13" s="1090"/>
      <c r="L13" s="1091"/>
      <c r="N13" s="973" t="s">
        <v>1380</v>
      </c>
      <c r="O13" s="974"/>
      <c r="P13" s="974"/>
      <c r="Q13" s="974"/>
      <c r="R13" s="974"/>
      <c r="S13" s="974"/>
      <c r="T13" s="974"/>
      <c r="U13" s="975"/>
      <c r="W13" s="945" t="s">
        <v>1393</v>
      </c>
      <c r="X13" s="945"/>
      <c r="Y13" s="946"/>
      <c r="Z13" s="966" t="s">
        <v>1392</v>
      </c>
    </row>
    <row r="14" spans="1:38" ht="15.75" customHeight="1">
      <c r="A14" s="55">
        <v>12</v>
      </c>
      <c r="B14" s="1070" t="s">
        <v>6</v>
      </c>
      <c r="C14" s="1071"/>
      <c r="D14" s="1064" t="s">
        <v>1344</v>
      </c>
      <c r="E14" s="1065"/>
      <c r="F14" s="1065"/>
      <c r="G14" s="1065"/>
      <c r="H14" s="1065"/>
      <c r="I14" s="1065"/>
      <c r="J14" s="1065"/>
      <c r="K14" s="1065"/>
      <c r="L14" s="1065"/>
      <c r="N14" s="970"/>
      <c r="O14" s="971"/>
      <c r="P14" s="971"/>
      <c r="Q14" s="971"/>
      <c r="R14" s="971"/>
      <c r="S14" s="971"/>
      <c r="T14" s="971"/>
      <c r="U14" s="972"/>
      <c r="W14" s="951" t="s">
        <v>1394</v>
      </c>
      <c r="X14" s="951"/>
      <c r="Y14" s="952"/>
      <c r="Z14" s="967"/>
    </row>
    <row r="15" spans="1:38" ht="15.75" customHeight="1">
      <c r="A15" s="55">
        <v>13</v>
      </c>
      <c r="B15" s="1077"/>
      <c r="C15" s="1078"/>
      <c r="D15" s="1081" t="s">
        <v>1345</v>
      </c>
      <c r="E15" s="1082"/>
      <c r="F15" s="1082"/>
      <c r="G15" s="1082"/>
      <c r="H15" s="1082"/>
      <c r="I15" s="1082"/>
      <c r="J15" s="1082"/>
      <c r="K15" s="1082"/>
      <c r="L15" s="1082"/>
      <c r="N15" s="970"/>
      <c r="O15" s="971"/>
      <c r="P15" s="971"/>
      <c r="Q15" s="971"/>
      <c r="R15" s="971"/>
      <c r="S15" s="971"/>
      <c r="T15" s="971"/>
      <c r="U15" s="972"/>
      <c r="W15" s="945" t="s">
        <v>1395</v>
      </c>
      <c r="X15" s="945"/>
      <c r="Y15" s="946"/>
      <c r="Z15" s="968" t="s">
        <v>1392</v>
      </c>
    </row>
    <row r="16" spans="1:38" ht="16.5" customHeight="1">
      <c r="A16" s="55">
        <v>14</v>
      </c>
      <c r="B16" s="1077"/>
      <c r="C16" s="1078"/>
      <c r="D16" s="1081" t="s">
        <v>1346</v>
      </c>
      <c r="E16" s="1082"/>
      <c r="F16" s="1082"/>
      <c r="G16" s="1082"/>
      <c r="H16" s="1082"/>
      <c r="I16" s="1082"/>
      <c r="J16" s="1082"/>
      <c r="K16" s="1082"/>
      <c r="L16" s="1082"/>
      <c r="N16" s="973" t="s">
        <v>1381</v>
      </c>
      <c r="O16" s="974"/>
      <c r="P16" s="974"/>
      <c r="Q16" s="974"/>
      <c r="R16" s="974"/>
      <c r="S16" s="974"/>
      <c r="T16" s="974"/>
      <c r="U16" s="975"/>
      <c r="W16" s="953" t="s">
        <v>1396</v>
      </c>
      <c r="X16" s="953"/>
      <c r="Y16" s="954"/>
      <c r="Z16" s="969"/>
    </row>
    <row r="17" spans="1:26" ht="15.75" customHeight="1">
      <c r="A17" s="55">
        <v>15</v>
      </c>
      <c r="B17" s="1077"/>
      <c r="C17" s="1078"/>
      <c r="D17" s="1081" t="s">
        <v>387</v>
      </c>
      <c r="E17" s="1082"/>
      <c r="F17" s="1082"/>
      <c r="G17" s="1082"/>
      <c r="H17" s="1082"/>
      <c r="I17" s="1082"/>
      <c r="J17" s="1082"/>
      <c r="K17" s="1082"/>
      <c r="L17" s="1082"/>
      <c r="N17" s="970"/>
      <c r="O17" s="971"/>
      <c r="P17" s="971"/>
      <c r="Q17" s="971"/>
      <c r="R17" s="971"/>
      <c r="S17" s="971"/>
      <c r="T17" s="971"/>
      <c r="U17" s="972"/>
      <c r="W17" s="945" t="s">
        <v>1397</v>
      </c>
      <c r="X17" s="945"/>
      <c r="Y17" s="946"/>
      <c r="Z17" s="969"/>
    </row>
    <row r="18" spans="1:26" ht="15.75" customHeight="1">
      <c r="A18" s="55">
        <v>16</v>
      </c>
      <c r="B18" s="1077"/>
      <c r="C18" s="1078"/>
      <c r="D18" s="1081" t="s">
        <v>1347</v>
      </c>
      <c r="E18" s="1082"/>
      <c r="F18" s="1082"/>
      <c r="G18" s="1082"/>
      <c r="H18" s="1082"/>
      <c r="I18" s="1082"/>
      <c r="J18" s="1082"/>
      <c r="K18" s="1082"/>
      <c r="L18" s="1082"/>
      <c r="N18" s="970"/>
      <c r="O18" s="971"/>
      <c r="P18" s="971"/>
      <c r="Q18" s="971"/>
      <c r="R18" s="971"/>
      <c r="S18" s="971"/>
      <c r="T18" s="971"/>
      <c r="U18" s="972"/>
      <c r="W18" s="945" t="s">
        <v>1398</v>
      </c>
      <c r="X18" s="945"/>
      <c r="Y18" s="946"/>
      <c r="Z18" s="969"/>
    </row>
    <row r="19" spans="1:26" ht="16.899999999999999" customHeight="1">
      <c r="A19" s="55">
        <v>17</v>
      </c>
      <c r="B19" s="1077"/>
      <c r="C19" s="1078"/>
      <c r="D19" s="1081" t="s">
        <v>1348</v>
      </c>
      <c r="E19" s="1082"/>
      <c r="F19" s="1082"/>
      <c r="G19" s="1082"/>
      <c r="H19" s="1082"/>
      <c r="I19" s="1082"/>
      <c r="J19" s="1082"/>
      <c r="K19" s="1082"/>
      <c r="L19" s="1082"/>
      <c r="N19" s="973" t="s">
        <v>1382</v>
      </c>
      <c r="O19" s="974"/>
      <c r="P19" s="974"/>
      <c r="Q19" s="974"/>
      <c r="R19" s="974"/>
      <c r="S19" s="974"/>
      <c r="T19" s="974"/>
      <c r="U19" s="975"/>
      <c r="W19" s="945" t="s">
        <v>1399</v>
      </c>
      <c r="X19" s="945"/>
      <c r="Y19" s="946"/>
      <c r="Z19" s="967"/>
    </row>
    <row r="20" spans="1:26" ht="15.75" customHeight="1">
      <c r="A20" s="55">
        <v>18</v>
      </c>
      <c r="B20" s="1077"/>
      <c r="C20" s="1078"/>
      <c r="D20" s="1081" t="s">
        <v>1349</v>
      </c>
      <c r="E20" s="1082"/>
      <c r="F20" s="1082"/>
      <c r="G20" s="1082"/>
      <c r="H20" s="1082"/>
      <c r="I20" s="1082"/>
      <c r="J20" s="1082"/>
      <c r="K20" s="1082"/>
      <c r="L20" s="1082"/>
      <c r="N20" s="970"/>
      <c r="O20" s="971"/>
      <c r="P20" s="971"/>
      <c r="Q20" s="971"/>
      <c r="R20" s="971"/>
      <c r="S20" s="971"/>
      <c r="T20" s="971"/>
      <c r="U20" s="972"/>
      <c r="W20" s="945" t="s">
        <v>1400</v>
      </c>
      <c r="X20" s="945"/>
      <c r="Y20" s="946"/>
      <c r="Z20" s="595" t="s">
        <v>1392</v>
      </c>
    </row>
    <row r="21" spans="1:26" ht="15.75" customHeight="1">
      <c r="A21" s="55">
        <v>19</v>
      </c>
      <c r="B21" s="1062"/>
      <c r="C21" s="1063"/>
      <c r="D21" s="1066" t="s">
        <v>1350</v>
      </c>
      <c r="E21" s="1067"/>
      <c r="F21" s="1067"/>
      <c r="G21" s="1067"/>
      <c r="H21" s="1067"/>
      <c r="I21" s="1067"/>
      <c r="J21" s="1067"/>
      <c r="K21" s="1067"/>
      <c r="L21" s="1067"/>
      <c r="N21" s="970"/>
      <c r="O21" s="971"/>
      <c r="P21" s="971"/>
      <c r="Q21" s="971"/>
      <c r="R21" s="971"/>
      <c r="S21" s="971"/>
      <c r="T21" s="971"/>
      <c r="U21" s="972"/>
      <c r="W21" s="945" t="s">
        <v>1401</v>
      </c>
      <c r="X21" s="945"/>
      <c r="Y21" s="946"/>
      <c r="Z21" s="968" t="s">
        <v>1392</v>
      </c>
    </row>
    <row r="22" spans="1:26" ht="19.5" customHeight="1" thickBot="1">
      <c r="A22" s="55">
        <v>20</v>
      </c>
      <c r="B22" s="1070" t="s">
        <v>400</v>
      </c>
      <c r="C22" s="1071"/>
      <c r="D22" s="1083" t="s">
        <v>1351</v>
      </c>
      <c r="E22" s="1084"/>
      <c r="F22" s="1084"/>
      <c r="G22" s="1084"/>
      <c r="H22" s="1084"/>
      <c r="I22" s="1084"/>
      <c r="J22" s="1084"/>
      <c r="K22" s="1084"/>
      <c r="L22" s="1084"/>
      <c r="N22" s="976" t="s">
        <v>1383</v>
      </c>
      <c r="O22" s="977"/>
      <c r="P22" s="977"/>
      <c r="Q22" s="977"/>
      <c r="R22" s="977"/>
      <c r="S22" s="977"/>
      <c r="T22" s="977"/>
      <c r="U22" s="978"/>
      <c r="W22" s="945" t="s">
        <v>1402</v>
      </c>
      <c r="X22" s="945"/>
      <c r="Y22" s="946"/>
      <c r="Z22" s="967"/>
    </row>
    <row r="23" spans="1:26" ht="15.75" customHeight="1" thickTop="1">
      <c r="A23" s="55">
        <v>21</v>
      </c>
      <c r="B23" s="1062" t="s">
        <v>403</v>
      </c>
      <c r="C23" s="1063"/>
      <c r="D23" s="1085"/>
      <c r="E23" s="1086"/>
      <c r="F23" s="1086"/>
      <c r="G23" s="1086"/>
      <c r="H23" s="1086"/>
      <c r="I23" s="1086"/>
      <c r="J23" s="1086"/>
      <c r="K23" s="1086"/>
      <c r="L23" s="1086"/>
      <c r="W23" s="945" t="s">
        <v>1403</v>
      </c>
      <c r="X23" s="945"/>
      <c r="Y23" s="946"/>
      <c r="Z23" s="968" t="s">
        <v>1392</v>
      </c>
    </row>
    <row r="24" spans="1:26" ht="15.75" customHeight="1">
      <c r="A24" s="55">
        <v>22</v>
      </c>
      <c r="B24" s="1070" t="s">
        <v>405</v>
      </c>
      <c r="C24" s="1071"/>
      <c r="D24" s="1034" t="s">
        <v>406</v>
      </c>
      <c r="E24" s="1035"/>
      <c r="F24" s="1030"/>
      <c r="G24" s="1034" t="s">
        <v>407</v>
      </c>
      <c r="H24" s="1035"/>
      <c r="I24" s="1030"/>
      <c r="J24" s="1034" t="s">
        <v>408</v>
      </c>
      <c r="K24" s="1035"/>
      <c r="L24" s="1035"/>
      <c r="W24" s="945" t="s">
        <v>1404</v>
      </c>
      <c r="X24" s="945"/>
      <c r="Y24" s="946"/>
      <c r="Z24" s="969"/>
    </row>
    <row r="25" spans="1:26" ht="15.75" customHeight="1">
      <c r="A25" s="55">
        <v>23</v>
      </c>
      <c r="B25" s="1077" t="s">
        <v>411</v>
      </c>
      <c r="C25" s="1078"/>
      <c r="D25" s="1074"/>
      <c r="E25" s="1075"/>
      <c r="F25" s="1076"/>
      <c r="G25" s="1074"/>
      <c r="H25" s="1075"/>
      <c r="I25" s="1076"/>
      <c r="J25" s="1074"/>
      <c r="K25" s="1075"/>
      <c r="L25" s="1075"/>
      <c r="W25" s="945" t="s">
        <v>1405</v>
      </c>
      <c r="X25" s="945"/>
      <c r="Y25" s="946"/>
      <c r="Z25" s="967"/>
    </row>
    <row r="26" spans="1:26" ht="56.25" customHeight="1">
      <c r="A26" s="55">
        <v>24</v>
      </c>
      <c r="B26" s="1079"/>
      <c r="C26" s="1080"/>
      <c r="D26" s="1074"/>
      <c r="E26" s="1075"/>
      <c r="F26" s="1076"/>
      <c r="G26" s="1074"/>
      <c r="H26" s="1075"/>
      <c r="I26" s="1076"/>
      <c r="J26" s="1074"/>
      <c r="K26" s="1075"/>
      <c r="L26" s="1075"/>
      <c r="W26" s="945" t="s">
        <v>1406</v>
      </c>
      <c r="X26" s="945"/>
      <c r="Y26" s="946"/>
      <c r="Z26" s="595" t="s">
        <v>1392</v>
      </c>
    </row>
    <row r="27" spans="1:26" ht="15.75" customHeight="1">
      <c r="A27" s="55">
        <v>25</v>
      </c>
      <c r="B27" s="1072" t="s">
        <v>415</v>
      </c>
      <c r="C27" s="1073"/>
      <c r="D27" s="1073"/>
      <c r="E27" s="1073"/>
      <c r="F27" s="1073"/>
      <c r="G27" s="1073"/>
      <c r="H27" s="1073"/>
      <c r="I27" s="1073"/>
      <c r="J27" s="1073"/>
      <c r="K27" s="1073"/>
      <c r="L27" s="1073"/>
      <c r="W27" s="945" t="s">
        <v>1407</v>
      </c>
      <c r="X27" s="945"/>
      <c r="Y27" s="946"/>
      <c r="Z27" s="595" t="s">
        <v>1392</v>
      </c>
    </row>
    <row r="28" spans="1:26" ht="15.75" customHeight="1">
      <c r="A28" s="55">
        <v>26</v>
      </c>
      <c r="B28" s="1029" t="s">
        <v>416</v>
      </c>
      <c r="C28" s="1030"/>
      <c r="D28" s="1031" t="s">
        <v>9</v>
      </c>
      <c r="E28" s="1032"/>
      <c r="F28" s="1032"/>
      <c r="G28" s="1033"/>
      <c r="H28" s="1034" t="s">
        <v>417</v>
      </c>
      <c r="I28" s="1035"/>
      <c r="J28" s="1030"/>
      <c r="K28" s="1031" t="s">
        <v>10</v>
      </c>
      <c r="L28" s="1032"/>
      <c r="W28" s="945" t="s">
        <v>1408</v>
      </c>
      <c r="X28" s="945"/>
      <c r="Y28" s="946"/>
      <c r="Z28" s="595" t="s">
        <v>1409</v>
      </c>
    </row>
    <row r="29" spans="1:26" ht="46.5" customHeight="1">
      <c r="A29" s="55">
        <v>27</v>
      </c>
      <c r="B29" s="1029" t="s">
        <v>418</v>
      </c>
      <c r="C29" s="1030"/>
      <c r="D29" s="1031" t="s">
        <v>221</v>
      </c>
      <c r="E29" s="1032"/>
      <c r="F29" s="1032"/>
      <c r="G29" s="1033"/>
      <c r="H29" s="1034" t="s">
        <v>419</v>
      </c>
      <c r="I29" s="1035"/>
      <c r="J29" s="1030"/>
      <c r="K29" s="1031" t="s">
        <v>11</v>
      </c>
      <c r="L29" s="1032"/>
      <c r="W29" s="950" t="s">
        <v>1410</v>
      </c>
      <c r="X29" s="950"/>
      <c r="Y29" s="950"/>
      <c r="Z29" s="950"/>
    </row>
    <row r="30" spans="1:26" ht="74.650000000000006" customHeight="1">
      <c r="A30" s="55">
        <v>28</v>
      </c>
      <c r="B30" s="1072" t="s">
        <v>1352</v>
      </c>
      <c r="C30" s="1073"/>
      <c r="D30" s="1073"/>
      <c r="E30" s="1073"/>
      <c r="F30" s="1073"/>
      <c r="G30" s="1073"/>
      <c r="H30" s="1073"/>
      <c r="I30" s="1073"/>
      <c r="J30" s="1073"/>
      <c r="K30" s="1073"/>
      <c r="L30" s="1073"/>
      <c r="W30" s="955" t="s">
        <v>1411</v>
      </c>
      <c r="X30" s="955"/>
      <c r="Y30" s="955"/>
      <c r="Z30" s="955"/>
    </row>
    <row r="31" spans="1:26" ht="15.75" customHeight="1">
      <c r="A31" s="55">
        <v>29</v>
      </c>
      <c r="B31" s="1029" t="s">
        <v>1353</v>
      </c>
      <c r="C31" s="1030"/>
      <c r="D31" s="1068" t="s">
        <v>1354</v>
      </c>
      <c r="E31" s="1069"/>
      <c r="F31" s="1069"/>
      <c r="G31" s="1069"/>
      <c r="H31" s="1069"/>
      <c r="I31" s="1069"/>
      <c r="J31" s="1069"/>
      <c r="K31" s="1069"/>
      <c r="L31" s="1069"/>
      <c r="W31" s="956" t="s">
        <v>1412</v>
      </c>
      <c r="X31" s="956"/>
      <c r="Y31" s="956"/>
      <c r="Z31" s="956"/>
    </row>
    <row r="32" spans="1:26" ht="18.399999999999999" customHeight="1">
      <c r="A32" s="55">
        <v>30</v>
      </c>
      <c r="B32" s="1060" t="s">
        <v>1355</v>
      </c>
      <c r="C32" s="1061"/>
      <c r="D32" s="1064" t="s">
        <v>1357</v>
      </c>
      <c r="E32" s="1065"/>
      <c r="F32" s="1065"/>
      <c r="G32" s="1065"/>
      <c r="H32" s="1065"/>
      <c r="I32" s="1065"/>
      <c r="J32" s="1065"/>
      <c r="K32" s="1065"/>
      <c r="L32" s="1065"/>
      <c r="W32" s="957" t="s">
        <v>1413</v>
      </c>
      <c r="X32" s="957"/>
      <c r="Y32" s="957"/>
      <c r="Z32" s="957"/>
    </row>
    <row r="33" spans="1:26" ht="15.75" customHeight="1">
      <c r="A33" s="55">
        <v>31</v>
      </c>
      <c r="B33" s="1062" t="s">
        <v>1356</v>
      </c>
      <c r="C33" s="1063"/>
      <c r="D33" s="1066"/>
      <c r="E33" s="1067"/>
      <c r="F33" s="1067"/>
      <c r="G33" s="1067"/>
      <c r="H33" s="1067"/>
      <c r="I33" s="1067"/>
      <c r="J33" s="1067"/>
      <c r="K33" s="1067"/>
      <c r="L33" s="1067"/>
      <c r="W33" s="958"/>
      <c r="X33" s="594" t="s">
        <v>880</v>
      </c>
      <c r="Y33" s="959" t="s">
        <v>1</v>
      </c>
      <c r="Z33" s="552"/>
    </row>
    <row r="34" spans="1:26" ht="23.65" customHeight="1">
      <c r="A34" s="55">
        <v>32</v>
      </c>
      <c r="B34" s="1029" t="s">
        <v>1358</v>
      </c>
      <c r="C34" s="1030"/>
      <c r="D34" s="1068" t="s">
        <v>1359</v>
      </c>
      <c r="E34" s="1069"/>
      <c r="F34" s="1069"/>
      <c r="G34" s="1069"/>
      <c r="H34" s="1069"/>
      <c r="I34" s="1069"/>
      <c r="J34" s="1069"/>
      <c r="K34" s="1069"/>
      <c r="L34" s="1069"/>
      <c r="W34" s="958"/>
      <c r="X34" s="594" t="s">
        <v>881</v>
      </c>
      <c r="Y34" s="959"/>
      <c r="Z34" s="552"/>
    </row>
    <row r="35" spans="1:26" ht="15.75" customHeight="1">
      <c r="A35" s="55">
        <v>33</v>
      </c>
      <c r="B35" s="1070" t="s">
        <v>1360</v>
      </c>
      <c r="C35" s="1071"/>
      <c r="D35" s="1064" t="s">
        <v>1361</v>
      </c>
      <c r="E35" s="1065"/>
      <c r="F35" s="1065"/>
      <c r="G35" s="1065"/>
      <c r="H35" s="1065"/>
      <c r="I35" s="1065"/>
      <c r="J35" s="1065"/>
      <c r="K35" s="1065"/>
      <c r="L35" s="1065"/>
      <c r="W35" s="958"/>
      <c r="X35" s="587"/>
      <c r="Y35" s="959"/>
      <c r="Z35" s="598" t="s">
        <v>223</v>
      </c>
    </row>
    <row r="36" spans="1:26" ht="16.149999999999999" customHeight="1">
      <c r="A36" s="55">
        <v>34</v>
      </c>
      <c r="B36" s="1062"/>
      <c r="C36" s="1063"/>
      <c r="D36" s="1066" t="s">
        <v>1362</v>
      </c>
      <c r="E36" s="1067"/>
      <c r="F36" s="1067"/>
      <c r="G36" s="1067"/>
      <c r="H36" s="1067"/>
      <c r="I36" s="1067"/>
      <c r="J36" s="1067"/>
      <c r="K36" s="1067"/>
      <c r="L36" s="1067"/>
      <c r="W36" s="958"/>
      <c r="X36" s="587"/>
      <c r="Y36" s="959"/>
      <c r="Z36" s="552"/>
    </row>
    <row r="37" spans="1:26" ht="43.5" customHeight="1">
      <c r="A37" s="55">
        <v>35</v>
      </c>
      <c r="B37" s="1047"/>
      <c r="C37" s="1048"/>
      <c r="D37" s="1048"/>
      <c r="E37" s="1048"/>
      <c r="F37" s="1048"/>
      <c r="G37" s="1048"/>
      <c r="H37" s="1048"/>
      <c r="I37" s="1048"/>
      <c r="J37" s="1048"/>
      <c r="K37" s="1048"/>
      <c r="L37" s="1048"/>
      <c r="W37" s="960" t="s">
        <v>1414</v>
      </c>
      <c r="X37" s="960"/>
      <c r="Y37" s="960"/>
      <c r="Z37" s="599"/>
    </row>
    <row r="38" spans="1:26" ht="15">
      <c r="A38" s="55">
        <v>36</v>
      </c>
      <c r="B38" s="1049"/>
      <c r="C38" s="1050"/>
      <c r="D38" s="1050"/>
      <c r="E38" s="1050"/>
      <c r="F38" s="1050"/>
      <c r="G38" s="1050"/>
      <c r="H38" s="1050"/>
      <c r="I38" s="1050"/>
      <c r="J38" s="1050"/>
      <c r="K38" s="1050"/>
      <c r="L38" s="1050"/>
      <c r="W38" s="947"/>
      <c r="X38" s="947"/>
      <c r="Y38" s="947"/>
      <c r="Z38" s="947"/>
    </row>
    <row r="39" spans="1:26" ht="15.75" customHeight="1">
      <c r="A39" s="55">
        <v>37</v>
      </c>
      <c r="B39" s="1051" t="s">
        <v>1363</v>
      </c>
      <c r="C39" s="1052"/>
      <c r="D39" s="1052"/>
      <c r="E39" s="1052"/>
      <c r="F39" s="1052"/>
      <c r="G39" s="1052"/>
      <c r="H39" s="1052"/>
      <c r="I39" s="1052"/>
      <c r="J39" s="1052"/>
      <c r="K39" s="1052"/>
      <c r="L39" s="1052"/>
    </row>
    <row r="40" spans="1:26" ht="15.75" customHeight="1">
      <c r="A40" s="55">
        <v>38</v>
      </c>
      <c r="B40" s="1053" t="s">
        <v>1364</v>
      </c>
      <c r="C40" s="1054"/>
      <c r="D40" s="1054"/>
      <c r="E40" s="1054"/>
      <c r="F40" s="1054"/>
      <c r="G40" s="1054"/>
      <c r="H40" s="1054"/>
      <c r="I40" s="1054"/>
      <c r="J40" s="1054"/>
      <c r="K40" s="1054"/>
      <c r="L40" s="1054"/>
    </row>
    <row r="41" spans="1:26" ht="14.25">
      <c r="A41" s="55">
        <v>39</v>
      </c>
      <c r="B41" s="1055"/>
      <c r="C41" s="1056"/>
      <c r="D41" s="1056"/>
      <c r="E41" s="1057" t="s">
        <v>880</v>
      </c>
      <c r="F41" s="1057"/>
      <c r="G41" s="1057"/>
      <c r="H41" s="1057"/>
      <c r="I41" s="1058" t="s">
        <v>1</v>
      </c>
      <c r="J41" s="1058"/>
      <c r="K41" s="1058"/>
      <c r="L41" s="1059" t="s">
        <v>223</v>
      </c>
    </row>
    <row r="42" spans="1:26" ht="14.25">
      <c r="A42" s="55">
        <v>40</v>
      </c>
      <c r="B42" s="1055"/>
      <c r="C42" s="1056"/>
      <c r="D42" s="1056"/>
      <c r="E42" s="1057" t="s">
        <v>881</v>
      </c>
      <c r="F42" s="1057"/>
      <c r="G42" s="1057"/>
      <c r="H42" s="1057"/>
      <c r="I42" s="1058"/>
      <c r="J42" s="1058"/>
      <c r="K42" s="1058"/>
      <c r="L42" s="1059"/>
    </row>
    <row r="43" spans="1:26" ht="15" thickBot="1">
      <c r="A43" s="55">
        <v>41</v>
      </c>
      <c r="B43" s="1036" t="s">
        <v>1365</v>
      </c>
      <c r="C43" s="1037"/>
      <c r="D43" s="1037"/>
      <c r="E43" s="1037"/>
      <c r="F43" s="1038" t="s">
        <v>225</v>
      </c>
      <c r="G43" s="1038"/>
      <c r="H43" s="1038"/>
      <c r="I43" s="1038"/>
      <c r="J43" s="1038"/>
      <c r="K43" s="1038"/>
      <c r="L43" s="1038"/>
    </row>
    <row r="44" spans="1:26" ht="15.75" thickTop="1">
      <c r="A44" s="55">
        <v>42</v>
      </c>
      <c r="B44" s="1039"/>
      <c r="C44" s="1040"/>
      <c r="D44" s="1040"/>
      <c r="E44" s="1040"/>
      <c r="F44" s="1040"/>
      <c r="G44" s="1040"/>
      <c r="H44" s="1040"/>
      <c r="I44" s="1040"/>
      <c r="J44" s="1040"/>
      <c r="K44" s="1040"/>
      <c r="L44" s="1040"/>
    </row>
    <row r="45" spans="1:26" ht="15.75" customHeight="1">
      <c r="A45" s="55">
        <v>43</v>
      </c>
      <c r="B45" s="1041" t="s">
        <v>226</v>
      </c>
      <c r="C45" s="1043" t="s">
        <v>1366</v>
      </c>
      <c r="D45" s="1044"/>
      <c r="E45" s="1044"/>
      <c r="F45" s="1044"/>
      <c r="G45" s="1044"/>
      <c r="H45" s="1044"/>
      <c r="I45" s="1044"/>
      <c r="J45" s="1044"/>
      <c r="K45" s="1044"/>
      <c r="L45" s="1044"/>
    </row>
    <row r="46" spans="1:26" ht="15.75" customHeight="1">
      <c r="A46" s="55">
        <v>44</v>
      </c>
      <c r="B46" s="1042"/>
      <c r="C46" s="1045" t="s">
        <v>1367</v>
      </c>
      <c r="D46" s="1046"/>
      <c r="E46" s="1046"/>
      <c r="F46" s="1046"/>
      <c r="G46" s="1046"/>
      <c r="H46" s="1046"/>
      <c r="I46" s="1046"/>
      <c r="J46" s="1046"/>
      <c r="K46" s="1046"/>
      <c r="L46" s="1046"/>
    </row>
    <row r="47" spans="1:26" ht="14.25">
      <c r="A47" s="55">
        <v>45</v>
      </c>
    </row>
    <row r="48" spans="1:26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152">
    <mergeCell ref="B10:C10"/>
    <mergeCell ref="D10:G10"/>
    <mergeCell ref="H10:J10"/>
    <mergeCell ref="K10:L10"/>
    <mergeCell ref="B11:C11"/>
    <mergeCell ref="D11:L11"/>
    <mergeCell ref="B8:C8"/>
    <mergeCell ref="B9:C9"/>
    <mergeCell ref="D8:G9"/>
    <mergeCell ref="H8:J8"/>
    <mergeCell ref="H9:J9"/>
    <mergeCell ref="K8:L9"/>
    <mergeCell ref="D18:L18"/>
    <mergeCell ref="D19:L19"/>
    <mergeCell ref="D20:L20"/>
    <mergeCell ref="D21:L21"/>
    <mergeCell ref="B22:C22"/>
    <mergeCell ref="B23:C23"/>
    <mergeCell ref="D22:L23"/>
    <mergeCell ref="B12:C13"/>
    <mergeCell ref="D12:G13"/>
    <mergeCell ref="H12:J12"/>
    <mergeCell ref="H13:J13"/>
    <mergeCell ref="K12:L13"/>
    <mergeCell ref="B14:C21"/>
    <mergeCell ref="D14:L14"/>
    <mergeCell ref="D15:L15"/>
    <mergeCell ref="D16:L16"/>
    <mergeCell ref="D17:L17"/>
    <mergeCell ref="G26:I26"/>
    <mergeCell ref="J26:L26"/>
    <mergeCell ref="B27:L27"/>
    <mergeCell ref="B28:C28"/>
    <mergeCell ref="D28:G28"/>
    <mergeCell ref="H28:J28"/>
    <mergeCell ref="K28:L28"/>
    <mergeCell ref="B24:C24"/>
    <mergeCell ref="B25:C25"/>
    <mergeCell ref="B26:C26"/>
    <mergeCell ref="D24:F24"/>
    <mergeCell ref="G24:I24"/>
    <mergeCell ref="J24:L24"/>
    <mergeCell ref="D25:F25"/>
    <mergeCell ref="G25:I25"/>
    <mergeCell ref="J25:L25"/>
    <mergeCell ref="D26:F26"/>
    <mergeCell ref="B32:C32"/>
    <mergeCell ref="B33:C33"/>
    <mergeCell ref="D32:L33"/>
    <mergeCell ref="B34:C34"/>
    <mergeCell ref="D34:L34"/>
    <mergeCell ref="B35:C36"/>
    <mergeCell ref="D35:L35"/>
    <mergeCell ref="D36:L36"/>
    <mergeCell ref="B29:C29"/>
    <mergeCell ref="D29:G29"/>
    <mergeCell ref="H29:J29"/>
    <mergeCell ref="K29:L29"/>
    <mergeCell ref="B30:L30"/>
    <mergeCell ref="B31:C31"/>
    <mergeCell ref="D31:L31"/>
    <mergeCell ref="B43:E43"/>
    <mergeCell ref="F43:L43"/>
    <mergeCell ref="B44:L44"/>
    <mergeCell ref="B45:B46"/>
    <mergeCell ref="C45:L45"/>
    <mergeCell ref="C46:L46"/>
    <mergeCell ref="B37:L37"/>
    <mergeCell ref="B38:L38"/>
    <mergeCell ref="B39:L39"/>
    <mergeCell ref="B40:L40"/>
    <mergeCell ref="B41:D42"/>
    <mergeCell ref="E41:H41"/>
    <mergeCell ref="E42:H42"/>
    <mergeCell ref="I41:K42"/>
    <mergeCell ref="L41:L42"/>
    <mergeCell ref="B2:L2"/>
    <mergeCell ref="N6:O6"/>
    <mergeCell ref="P6:U6"/>
    <mergeCell ref="N7:O7"/>
    <mergeCell ref="P7:R7"/>
    <mergeCell ref="S7:T7"/>
    <mergeCell ref="N3:U3"/>
    <mergeCell ref="N4:U4"/>
    <mergeCell ref="N5:U5"/>
    <mergeCell ref="N2:U2"/>
    <mergeCell ref="B3:L3"/>
    <mergeCell ref="B4:L4"/>
    <mergeCell ref="B5:L5"/>
    <mergeCell ref="B6:L6"/>
    <mergeCell ref="B7:C7"/>
    <mergeCell ref="D7:G7"/>
    <mergeCell ref="H7:J7"/>
    <mergeCell ref="K7:L7"/>
    <mergeCell ref="N8:O8"/>
    <mergeCell ref="P8:U8"/>
    <mergeCell ref="N9:N10"/>
    <mergeCell ref="O9:P9"/>
    <mergeCell ref="R9:S9"/>
    <mergeCell ref="T9:U9"/>
    <mergeCell ref="O10:P10"/>
    <mergeCell ref="R10:S10"/>
    <mergeCell ref="T10:U10"/>
    <mergeCell ref="N17:U17"/>
    <mergeCell ref="N18:U18"/>
    <mergeCell ref="N19:U19"/>
    <mergeCell ref="N20:U20"/>
    <mergeCell ref="N21:U21"/>
    <mergeCell ref="N22:U22"/>
    <mergeCell ref="N11:U11"/>
    <mergeCell ref="N12:U12"/>
    <mergeCell ref="N13:U13"/>
    <mergeCell ref="N14:U14"/>
    <mergeCell ref="N15:U15"/>
    <mergeCell ref="N16:U16"/>
    <mergeCell ref="W4:Z4"/>
    <mergeCell ref="W5:Z5"/>
    <mergeCell ref="W6:Z6"/>
    <mergeCell ref="W7:Z7"/>
    <mergeCell ref="W10:Z10"/>
    <mergeCell ref="Z13:Z14"/>
    <mergeCell ref="Z15:Z19"/>
    <mergeCell ref="Z21:Z22"/>
    <mergeCell ref="Z23:Z25"/>
    <mergeCell ref="W18:Y18"/>
    <mergeCell ref="W19:Y19"/>
    <mergeCell ref="W20:Y20"/>
    <mergeCell ref="W21:Y21"/>
    <mergeCell ref="W28:Y28"/>
    <mergeCell ref="W22:Y22"/>
    <mergeCell ref="W23:Y23"/>
    <mergeCell ref="W24:Y24"/>
    <mergeCell ref="W25:Y25"/>
    <mergeCell ref="W26:Y26"/>
    <mergeCell ref="W27:Y27"/>
    <mergeCell ref="W38:Z38"/>
    <mergeCell ref="W2:Z2"/>
    <mergeCell ref="W11:Z11"/>
    <mergeCell ref="W29:Z29"/>
    <mergeCell ref="W12:Y12"/>
    <mergeCell ref="W13:Y13"/>
    <mergeCell ref="W14:Y14"/>
    <mergeCell ref="W15:Y15"/>
    <mergeCell ref="W16:Y16"/>
    <mergeCell ref="W17:Y17"/>
    <mergeCell ref="W30:Z30"/>
    <mergeCell ref="W31:Z31"/>
    <mergeCell ref="W32:Z32"/>
    <mergeCell ref="W33:W36"/>
    <mergeCell ref="Y33:Y36"/>
    <mergeCell ref="W37:Y37"/>
    <mergeCell ref="W3:Z3"/>
  </mergeCells>
  <phoneticPr fontId="9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</sheetViews>
  <sheetFormatPr defaultColWidth="8.7109375" defaultRowHeight="12.75"/>
  <cols>
    <col min="1" max="1" width="14" style="39" customWidth="1"/>
    <col min="2" max="6" width="7.7109375" style="39" customWidth="1"/>
    <col min="7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14.25">
      <c r="A2" s="54">
        <v>0</v>
      </c>
    </row>
    <row r="3" spans="1:38" ht="14.25">
      <c r="A3" s="55">
        <v>1</v>
      </c>
    </row>
    <row r="4" spans="1:38" ht="14.25">
      <c r="A4" s="55">
        <v>2</v>
      </c>
    </row>
    <row r="5" spans="1:38" ht="14.25">
      <c r="A5" s="55">
        <v>3</v>
      </c>
    </row>
    <row r="6" spans="1:38" ht="14.25">
      <c r="A6" s="55">
        <v>4</v>
      </c>
    </row>
    <row r="7" spans="1:38" ht="14.25">
      <c r="A7" s="55">
        <v>5</v>
      </c>
    </row>
    <row r="8" spans="1:38" ht="14.25">
      <c r="A8" s="55">
        <v>6</v>
      </c>
    </row>
    <row r="9" spans="1:38" ht="14.25">
      <c r="A9" s="55">
        <v>7</v>
      </c>
    </row>
    <row r="10" spans="1:38" ht="14.25">
      <c r="A10" s="55">
        <v>8</v>
      </c>
    </row>
    <row r="11" spans="1:38" ht="14.25">
      <c r="A11" s="55">
        <v>9</v>
      </c>
    </row>
    <row r="12" spans="1:38" ht="14.25">
      <c r="A12" s="55">
        <v>10</v>
      </c>
    </row>
    <row r="13" spans="1:38" ht="14.25">
      <c r="A13" s="55">
        <v>11</v>
      </c>
    </row>
    <row r="14" spans="1:38" ht="14.25">
      <c r="A14" s="55">
        <v>12</v>
      </c>
    </row>
    <row r="15" spans="1:38" ht="14.25">
      <c r="A15" s="55">
        <v>13</v>
      </c>
    </row>
    <row r="16" spans="1:38" ht="14.25">
      <c r="A16" s="55">
        <v>14</v>
      </c>
    </row>
    <row r="17" spans="1:1" ht="14.25">
      <c r="A17" s="55">
        <v>15</v>
      </c>
    </row>
    <row r="18" spans="1:1" ht="14.25">
      <c r="A18" s="55">
        <v>16</v>
      </c>
    </row>
    <row r="19" spans="1:1" ht="14.25">
      <c r="A19" s="55">
        <v>17</v>
      </c>
    </row>
    <row r="20" spans="1:1" ht="14.25">
      <c r="A20" s="55">
        <v>18</v>
      </c>
    </row>
    <row r="21" spans="1:1" ht="14.25">
      <c r="A21" s="55">
        <v>19</v>
      </c>
    </row>
    <row r="22" spans="1:1" ht="14.25">
      <c r="A22" s="55">
        <v>20</v>
      </c>
    </row>
    <row r="23" spans="1:1" ht="14.25">
      <c r="A23" s="55">
        <v>21</v>
      </c>
    </row>
    <row r="24" spans="1:1" ht="14.25">
      <c r="A24" s="55">
        <v>22</v>
      </c>
    </row>
    <row r="25" spans="1:1" ht="14.25">
      <c r="A25" s="55">
        <v>23</v>
      </c>
    </row>
    <row r="26" spans="1:1" ht="14.25">
      <c r="A26" s="55">
        <v>24</v>
      </c>
    </row>
    <row r="27" spans="1:1" ht="14.25">
      <c r="A27" s="55">
        <v>25</v>
      </c>
    </row>
    <row r="28" spans="1:1" ht="14.25">
      <c r="A28" s="55">
        <v>26</v>
      </c>
    </row>
    <row r="29" spans="1:1" ht="14.25">
      <c r="A29" s="55">
        <v>27</v>
      </c>
    </row>
    <row r="30" spans="1:1" ht="14.25">
      <c r="A30" s="55">
        <v>28</v>
      </c>
    </row>
    <row r="31" spans="1:1" ht="14.25">
      <c r="A31" s="55">
        <v>29</v>
      </c>
    </row>
    <row r="32" spans="1:1" ht="14.25">
      <c r="A32" s="55">
        <v>30</v>
      </c>
    </row>
    <row r="33" spans="1:1" ht="14.25">
      <c r="A33" s="55">
        <v>31</v>
      </c>
    </row>
    <row r="34" spans="1:1" ht="14.25">
      <c r="A34" s="55">
        <v>32</v>
      </c>
    </row>
    <row r="35" spans="1:1" ht="14.25">
      <c r="A35" s="55">
        <v>33</v>
      </c>
    </row>
    <row r="36" spans="1:1" ht="14.25">
      <c r="A36" s="55">
        <v>34</v>
      </c>
    </row>
    <row r="37" spans="1:1" ht="14.25">
      <c r="A37" s="55">
        <v>35</v>
      </c>
    </row>
    <row r="38" spans="1:1" ht="14.25">
      <c r="A38" s="55">
        <v>36</v>
      </c>
    </row>
    <row r="39" spans="1:1" ht="14.25">
      <c r="A39" s="55">
        <v>37</v>
      </c>
    </row>
    <row r="40" spans="1:1" ht="14.25">
      <c r="A40" s="55">
        <v>38</v>
      </c>
    </row>
    <row r="41" spans="1:1" ht="14.25">
      <c r="A41" s="55">
        <v>39</v>
      </c>
    </row>
    <row r="42" spans="1:1" ht="14.25">
      <c r="A42" s="55">
        <v>40</v>
      </c>
    </row>
    <row r="43" spans="1:1" ht="14.25">
      <c r="A43" s="55">
        <v>41</v>
      </c>
    </row>
    <row r="44" spans="1:1" ht="14.25">
      <c r="A44" s="55">
        <v>42</v>
      </c>
    </row>
    <row r="45" spans="1:1" ht="14.25">
      <c r="A45" s="55">
        <v>43</v>
      </c>
    </row>
    <row r="46" spans="1:1" ht="14.25">
      <c r="A46" s="55">
        <v>44</v>
      </c>
    </row>
    <row r="47" spans="1:1" ht="14.25">
      <c r="A47" s="55">
        <v>45</v>
      </c>
    </row>
    <row r="48" spans="1:1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phoneticPr fontId="9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67AAA-4EAE-41DA-9F08-1E49B5668680}">
  <sheetPr codeName="Sheet21"/>
  <dimension ref="A1:AM69"/>
  <sheetViews>
    <sheetView workbookViewId="0">
      <selection activeCell="D9" sqref="D9"/>
    </sheetView>
  </sheetViews>
  <sheetFormatPr defaultColWidth="9" defaultRowHeight="12.75"/>
  <cols>
    <col min="1" max="1" width="14" style="199" customWidth="1"/>
    <col min="2" max="2" width="36.5703125" style="199" customWidth="1"/>
    <col min="3" max="3" width="14.5703125" style="199" bestFit="1" customWidth="1"/>
    <col min="4" max="4" width="31.85546875" style="199" customWidth="1"/>
    <col min="5" max="5" width="22.7109375" style="199" customWidth="1"/>
    <col min="6" max="6" width="11.7109375" style="199" customWidth="1"/>
    <col min="7" max="18" width="9.5703125" style="199" customWidth="1"/>
    <col min="19" max="22" width="3.7109375" style="199" bestFit="1" customWidth="1"/>
    <col min="23" max="23" width="11.140625" style="1741" bestFit="1" customWidth="1"/>
    <col min="24" max="30" width="9" style="1741"/>
    <col min="31" max="31" width="11.7109375" style="1741" customWidth="1"/>
    <col min="32" max="38" width="9" style="1741"/>
    <col min="39" max="16384" width="9" style="199"/>
  </cols>
  <sheetData>
    <row r="1" spans="1:38" ht="24">
      <c r="A1" s="52" t="s">
        <v>101</v>
      </c>
      <c r="B1" s="205">
        <v>1</v>
      </c>
      <c r="C1" s="205">
        <v>2</v>
      </c>
      <c r="D1" s="205">
        <v>3</v>
      </c>
      <c r="E1" s="205">
        <v>4</v>
      </c>
      <c r="F1" s="205">
        <v>5</v>
      </c>
      <c r="G1" s="205">
        <v>6</v>
      </c>
      <c r="H1" s="205">
        <v>7</v>
      </c>
      <c r="I1" s="205">
        <v>8</v>
      </c>
      <c r="J1" s="205">
        <v>9</v>
      </c>
      <c r="K1" s="205">
        <v>10</v>
      </c>
      <c r="L1" s="205">
        <v>11</v>
      </c>
      <c r="M1" s="205">
        <v>12</v>
      </c>
      <c r="N1" s="205">
        <v>13</v>
      </c>
      <c r="O1" s="205">
        <v>14</v>
      </c>
      <c r="P1" s="205">
        <v>15</v>
      </c>
      <c r="Q1" s="205">
        <v>16</v>
      </c>
      <c r="R1" s="205">
        <v>17</v>
      </c>
      <c r="S1" s="205">
        <v>18</v>
      </c>
      <c r="T1" s="205">
        <v>19</v>
      </c>
      <c r="U1" s="205">
        <v>20</v>
      </c>
      <c r="V1" s="205">
        <v>21</v>
      </c>
      <c r="W1" s="1739">
        <v>22</v>
      </c>
      <c r="X1" s="1739">
        <v>23</v>
      </c>
      <c r="Y1" s="1739">
        <v>24</v>
      </c>
      <c r="Z1" s="1739">
        <v>25</v>
      </c>
      <c r="AA1" s="1739">
        <v>26</v>
      </c>
      <c r="AB1" s="1739">
        <v>27</v>
      </c>
      <c r="AC1" s="1739">
        <v>28</v>
      </c>
      <c r="AD1" s="1739">
        <v>29</v>
      </c>
      <c r="AE1" s="1739">
        <v>30</v>
      </c>
      <c r="AF1" s="1739">
        <v>31</v>
      </c>
      <c r="AG1" s="1739">
        <v>32</v>
      </c>
      <c r="AH1" s="1739">
        <v>33</v>
      </c>
      <c r="AI1" s="1739">
        <v>34</v>
      </c>
      <c r="AJ1" s="1739">
        <v>35</v>
      </c>
      <c r="AK1" s="1739">
        <v>36</v>
      </c>
      <c r="AL1" s="1739">
        <v>37</v>
      </c>
    </row>
    <row r="2" spans="1:38" ht="46.5" customHeight="1">
      <c r="A2" s="54">
        <v>0</v>
      </c>
      <c r="B2" s="823" t="s">
        <v>999</v>
      </c>
      <c r="C2" s="824"/>
      <c r="D2" s="824"/>
      <c r="G2" s="1105" t="s">
        <v>995</v>
      </c>
      <c r="H2" s="1105"/>
      <c r="I2" s="1105"/>
      <c r="J2" s="1105"/>
      <c r="K2" s="1105"/>
      <c r="L2" s="1105"/>
      <c r="M2" s="1105"/>
      <c r="N2" s="1105"/>
      <c r="O2" s="1105"/>
      <c r="P2" s="1105"/>
      <c r="Q2" s="1105"/>
      <c r="R2" s="1105"/>
      <c r="S2" s="1105"/>
      <c r="T2" s="1105"/>
      <c r="U2" s="1105"/>
      <c r="V2" s="1105"/>
      <c r="W2" s="1105"/>
      <c r="X2" s="199"/>
      <c r="Y2" s="199"/>
      <c r="Z2" s="199"/>
      <c r="AA2" s="199"/>
      <c r="AB2" s="199"/>
      <c r="AC2" s="199"/>
      <c r="AD2" s="199"/>
      <c r="AE2" s="199"/>
      <c r="AF2" s="199"/>
      <c r="AG2" s="199"/>
      <c r="AH2" s="199"/>
      <c r="AI2" s="199"/>
      <c r="AJ2" s="199"/>
      <c r="AK2" s="199"/>
      <c r="AL2" s="199"/>
    </row>
    <row r="3" spans="1:38" ht="46.5" customHeight="1" thickBot="1">
      <c r="A3" s="55">
        <v>1</v>
      </c>
      <c r="B3" s="261" t="s">
        <v>722</v>
      </c>
      <c r="C3" s="261" t="s">
        <v>726</v>
      </c>
      <c r="D3" s="516" t="s">
        <v>991</v>
      </c>
      <c r="G3" s="1108" t="s">
        <v>996</v>
      </c>
      <c r="H3" s="1109"/>
      <c r="I3" s="1109"/>
      <c r="J3" s="1109"/>
      <c r="K3" s="1109"/>
      <c r="L3" s="1109"/>
      <c r="M3" s="1109"/>
      <c r="N3" s="1109"/>
      <c r="O3" s="1109"/>
      <c r="P3" s="1109"/>
      <c r="Q3" s="1109"/>
      <c r="R3" s="1109"/>
      <c r="S3" s="1109"/>
      <c r="T3" s="1109"/>
      <c r="U3" s="1109"/>
      <c r="V3" s="1109"/>
      <c r="W3" s="1109"/>
      <c r="X3" s="199"/>
      <c r="Y3" s="199"/>
      <c r="Z3" s="199"/>
      <c r="AA3" s="199"/>
      <c r="AB3" s="199"/>
      <c r="AC3" s="199"/>
      <c r="AD3" s="199"/>
      <c r="AE3" s="199"/>
      <c r="AF3" s="199"/>
      <c r="AG3" s="199"/>
      <c r="AH3" s="199"/>
      <c r="AI3" s="199"/>
      <c r="AJ3" s="199"/>
      <c r="AK3" s="199"/>
      <c r="AL3" s="199"/>
    </row>
    <row r="4" spans="1:38" ht="27.75" thickTop="1">
      <c r="A4" s="55">
        <v>2</v>
      </c>
      <c r="B4" s="1345" t="s">
        <v>1478</v>
      </c>
      <c r="C4" s="1691" t="s">
        <v>114</v>
      </c>
      <c r="D4" s="1693" t="str">
        <f>'참여기업 정보'!D46</f>
        <v>한국무선인터넷솔루션협회</v>
      </c>
      <c r="G4" s="1719" t="s">
        <v>114</v>
      </c>
      <c r="H4" s="1720" t="str">
        <f>C3</f>
        <v>필드</v>
      </c>
      <c r="I4" s="1721"/>
      <c r="J4" s="1721"/>
      <c r="K4" s="1721"/>
      <c r="L4" s="1721"/>
      <c r="M4" s="1721"/>
      <c r="N4" s="1722"/>
      <c r="O4" s="1719" t="s">
        <v>1447</v>
      </c>
      <c r="P4" s="1736" t="str">
        <f>D5</f>
        <v>한국융합인재교육협회</v>
      </c>
      <c r="Q4" s="1737"/>
      <c r="R4" s="1737"/>
      <c r="S4" s="1737"/>
      <c r="T4" s="1737"/>
      <c r="U4" s="1737"/>
      <c r="V4" s="1737"/>
      <c r="W4" s="1738"/>
      <c r="X4" s="199"/>
      <c r="Y4" s="199"/>
      <c r="Z4" s="199"/>
      <c r="AA4" s="199"/>
      <c r="AB4" s="199"/>
      <c r="AC4" s="199"/>
      <c r="AD4" s="199"/>
      <c r="AE4" s="199"/>
      <c r="AF4" s="199"/>
      <c r="AG4" s="199"/>
      <c r="AH4" s="199"/>
      <c r="AI4" s="199"/>
      <c r="AJ4" s="199"/>
      <c r="AK4" s="199"/>
      <c r="AL4" s="199"/>
    </row>
    <row r="5" spans="1:38" ht="19.5" customHeight="1">
      <c r="A5" s="55">
        <v>3</v>
      </c>
      <c r="B5" s="1333"/>
      <c r="C5" s="322" t="s">
        <v>1447</v>
      </c>
      <c r="D5" s="323" t="str">
        <f>'참여기업 정보'!D47</f>
        <v>한국융합인재교육협회</v>
      </c>
      <c r="G5" s="1719" t="s">
        <v>1446</v>
      </c>
      <c r="H5" s="1720" t="str">
        <f>D6</f>
        <v>미래내일일경험 광고 마케팅</v>
      </c>
      <c r="I5" s="1721"/>
      <c r="J5" s="1721"/>
      <c r="K5" s="1721"/>
      <c r="L5" s="1721"/>
      <c r="M5" s="1721"/>
      <c r="N5" s="1722"/>
      <c r="O5" s="1719" t="s">
        <v>117</v>
      </c>
      <c r="P5" s="1112" t="str">
        <f>C5&amp;"(09:00~18:00) / 총" &amp;C7&amp;"시간"</f>
        <v>교육기관명(09:00~18:00) / 총교육인원시간</v>
      </c>
      <c r="Q5" s="1113"/>
      <c r="R5" s="1113"/>
      <c r="S5" s="1113"/>
      <c r="T5" s="1113"/>
      <c r="U5" s="1113"/>
      <c r="V5" s="1113"/>
      <c r="W5" s="1114"/>
      <c r="X5" s="199"/>
      <c r="Y5" s="199"/>
      <c r="Z5" s="199"/>
      <c r="AA5" s="199"/>
      <c r="AB5" s="199"/>
      <c r="AC5" s="199"/>
      <c r="AD5" s="199"/>
      <c r="AE5" s="199"/>
      <c r="AF5" s="199"/>
      <c r="AG5" s="199"/>
      <c r="AH5" s="199"/>
      <c r="AI5" s="199"/>
      <c r="AJ5" s="199"/>
      <c r="AK5" s="199"/>
      <c r="AL5" s="199"/>
    </row>
    <row r="6" spans="1:38" ht="19.5" customHeight="1">
      <c r="A6" s="55">
        <v>4</v>
      </c>
      <c r="B6" s="1333"/>
      <c r="C6" s="1692" t="s">
        <v>1446</v>
      </c>
      <c r="D6" s="323" t="str">
        <f>'참여기업 정보'!D48</f>
        <v>미래내일일경험 광고 마케팅</v>
      </c>
      <c r="G6" s="1719" t="s">
        <v>1448</v>
      </c>
      <c r="H6" s="1720">
        <f>D7</f>
        <v>10</v>
      </c>
      <c r="I6" s="1721"/>
      <c r="J6" s="1721"/>
      <c r="K6" s="1722"/>
      <c r="L6" s="1720" t="s">
        <v>1458</v>
      </c>
      <c r="M6" s="1721"/>
      <c r="N6" s="1722"/>
      <c r="O6" s="1723" t="s">
        <v>1459</v>
      </c>
      <c r="P6" s="1112" t="str">
        <f>"집체교육 ("&amp;C9&amp;") 시간 / 온라인교육 ("&amp;C10&amp;") 시간"</f>
        <v>집체교육 (교육시간) 시간 / 온라인교육 () 시간</v>
      </c>
      <c r="Q6" s="1113"/>
      <c r="R6" s="1113"/>
      <c r="S6" s="1113"/>
      <c r="T6" s="1113"/>
      <c r="U6" s="1113"/>
      <c r="V6" s="1113"/>
      <c r="W6" s="1114"/>
      <c r="X6" s="199"/>
      <c r="Y6" s="199"/>
      <c r="Z6" s="199"/>
      <c r="AA6" s="199"/>
      <c r="AB6" s="199"/>
      <c r="AC6" s="199"/>
      <c r="AD6" s="199"/>
      <c r="AE6" s="199"/>
      <c r="AF6" s="199"/>
      <c r="AG6" s="199"/>
      <c r="AH6" s="199"/>
      <c r="AI6" s="199"/>
      <c r="AJ6" s="199"/>
      <c r="AK6" s="199"/>
      <c r="AL6" s="199"/>
    </row>
    <row r="7" spans="1:38" ht="14.25">
      <c r="A7" s="55">
        <v>5</v>
      </c>
      <c r="B7" s="1333"/>
      <c r="C7" s="322" t="s">
        <v>1448</v>
      </c>
      <c r="D7" s="323">
        <f>'참여기업 정보'!D49</f>
        <v>10</v>
      </c>
      <c r="G7" s="1724" t="s">
        <v>1460</v>
      </c>
      <c r="H7" s="1725" t="s">
        <v>1461</v>
      </c>
      <c r="I7" s="1726">
        <f>C11</f>
        <v>0</v>
      </c>
      <c r="J7" s="1727"/>
      <c r="K7" s="1726">
        <f>C12</f>
        <v>0</v>
      </c>
      <c r="L7" s="1728"/>
      <c r="M7" s="1726">
        <f>C13</f>
        <v>0</v>
      </c>
      <c r="N7" s="1728"/>
      <c r="O7" s="1726">
        <f>C14</f>
        <v>0</v>
      </c>
      <c r="P7" s="1728"/>
      <c r="Q7" s="1726">
        <f>C15</f>
        <v>0</v>
      </c>
      <c r="R7" s="1728"/>
      <c r="S7" s="1729" t="s">
        <v>1462</v>
      </c>
      <c r="T7" s="1729" t="s">
        <v>1463</v>
      </c>
      <c r="U7" s="1729" t="s">
        <v>1464</v>
      </c>
      <c r="V7" s="1729" t="s">
        <v>1465</v>
      </c>
      <c r="W7" s="479" t="s">
        <v>997</v>
      </c>
      <c r="X7" s="199"/>
      <c r="Y7" s="199"/>
      <c r="Z7" s="199"/>
      <c r="AA7" s="199"/>
      <c r="AB7" s="199"/>
      <c r="AC7" s="199"/>
      <c r="AD7" s="199"/>
      <c r="AE7" s="199"/>
      <c r="AF7" s="199"/>
      <c r="AG7" s="199"/>
      <c r="AH7" s="199"/>
      <c r="AI7" s="199"/>
      <c r="AJ7" s="199"/>
      <c r="AK7" s="199"/>
      <c r="AL7" s="199"/>
    </row>
    <row r="8" spans="1:38" ht="51">
      <c r="A8" s="55">
        <v>6</v>
      </c>
      <c r="B8" s="1333"/>
      <c r="C8" s="322" t="s">
        <v>117</v>
      </c>
      <c r="D8" s="323" t="str">
        <f>'참여기업 정보'!D54</f>
        <v>2024.12.23~2024.12.27</v>
      </c>
      <c r="G8" s="1724"/>
      <c r="H8" s="1730" t="s">
        <v>1466</v>
      </c>
      <c r="I8" s="1731" t="s">
        <v>1467</v>
      </c>
      <c r="J8" s="1731" t="s">
        <v>1468</v>
      </c>
      <c r="K8" s="1731" t="s">
        <v>1467</v>
      </c>
      <c r="L8" s="1731" t="s">
        <v>1468</v>
      </c>
      <c r="M8" s="1731" t="s">
        <v>1467</v>
      </c>
      <c r="N8" s="1731" t="s">
        <v>1468</v>
      </c>
      <c r="O8" s="1731" t="s">
        <v>1467</v>
      </c>
      <c r="P8" s="1731" t="s">
        <v>1468</v>
      </c>
      <c r="Q8" s="1731" t="s">
        <v>1467</v>
      </c>
      <c r="R8" s="1731" t="s">
        <v>1468</v>
      </c>
      <c r="S8" s="1729" t="s">
        <v>1469</v>
      </c>
      <c r="T8" s="1729" t="s">
        <v>1469</v>
      </c>
      <c r="U8" s="1729" t="s">
        <v>1470</v>
      </c>
      <c r="V8" s="1729" t="s">
        <v>1471</v>
      </c>
      <c r="W8" s="479" t="s">
        <v>998</v>
      </c>
      <c r="X8" s="199"/>
      <c r="Y8" s="199"/>
      <c r="Z8" s="199"/>
      <c r="AA8" s="199"/>
      <c r="AB8" s="199"/>
      <c r="AC8" s="199"/>
      <c r="AD8" s="199"/>
      <c r="AE8" s="199"/>
      <c r="AF8" s="199"/>
      <c r="AG8" s="199"/>
      <c r="AH8" s="199"/>
      <c r="AI8" s="199"/>
      <c r="AJ8" s="199"/>
      <c r="AK8" s="199"/>
      <c r="AL8" s="199"/>
    </row>
    <row r="9" spans="1:38" ht="22.5">
      <c r="A9" s="55">
        <v>7</v>
      </c>
      <c r="B9" s="1333"/>
      <c r="C9" s="1742" t="s">
        <v>1479</v>
      </c>
      <c r="D9" s="323">
        <f>'참여기업 정보'!F54</f>
        <v>0</v>
      </c>
      <c r="E9" s="1743" t="s">
        <v>1480</v>
      </c>
      <c r="G9" s="1732"/>
      <c r="H9" s="1733" t="s">
        <v>1472</v>
      </c>
      <c r="I9" s="1731"/>
      <c r="J9" s="1731"/>
      <c r="K9" s="1731"/>
      <c r="L9" s="1731"/>
      <c r="M9" s="1731"/>
      <c r="N9" s="1731"/>
      <c r="O9" s="1731"/>
      <c r="P9" s="1731"/>
      <c r="Q9" s="1731"/>
      <c r="R9" s="1731"/>
      <c r="S9" s="1734"/>
      <c r="T9" s="1734"/>
      <c r="U9" s="1734"/>
      <c r="V9" s="1734"/>
      <c r="W9" s="460"/>
      <c r="X9" s="199"/>
      <c r="Y9" s="199"/>
      <c r="Z9" s="199"/>
      <c r="AA9" s="199"/>
      <c r="AB9" s="199"/>
      <c r="AC9" s="199"/>
      <c r="AD9" s="199"/>
      <c r="AE9" s="199"/>
      <c r="AF9" s="199"/>
      <c r="AG9" s="199"/>
      <c r="AH9" s="199"/>
      <c r="AI9" s="199"/>
      <c r="AJ9" s="199"/>
      <c r="AK9" s="199"/>
      <c r="AL9" s="199"/>
    </row>
    <row r="10" spans="1:38" ht="15.75">
      <c r="A10" s="55">
        <v>8</v>
      </c>
      <c r="B10" s="1333"/>
      <c r="C10" s="211"/>
      <c r="D10" s="6"/>
      <c r="G10" s="1731">
        <v>1</v>
      </c>
      <c r="H10" s="1731" t="e">
        <f>#REF!</f>
        <v>#REF!</v>
      </c>
      <c r="I10" s="1731"/>
      <c r="J10" s="1735"/>
      <c r="K10" s="1735"/>
      <c r="L10" s="1735"/>
      <c r="M10" s="1735"/>
      <c r="N10" s="1735"/>
      <c r="O10" s="1735"/>
      <c r="P10" s="1735"/>
      <c r="Q10" s="1735"/>
      <c r="R10" s="1735"/>
      <c r="S10" s="1731"/>
      <c r="T10" s="1731"/>
      <c r="U10" s="1731"/>
      <c r="V10" s="1731"/>
      <c r="W10" s="448"/>
      <c r="X10" s="199"/>
      <c r="Y10" s="199"/>
      <c r="Z10" s="199"/>
      <c r="AA10" s="199"/>
      <c r="AB10" s="199"/>
      <c r="AC10" s="199"/>
      <c r="AD10" s="199"/>
      <c r="AE10" s="199"/>
      <c r="AF10" s="199"/>
      <c r="AG10" s="199"/>
      <c r="AH10" s="199"/>
      <c r="AI10" s="199"/>
      <c r="AJ10" s="199"/>
      <c r="AK10" s="199"/>
      <c r="AL10" s="199"/>
    </row>
    <row r="11" spans="1:38" ht="15.75">
      <c r="A11" s="55">
        <v>9</v>
      </c>
      <c r="B11" s="1333"/>
      <c r="C11" s="211"/>
      <c r="D11" s="6"/>
      <c r="G11" s="1731">
        <v>2</v>
      </c>
      <c r="H11" s="1731" t="e">
        <f>#REF!</f>
        <v>#REF!</v>
      </c>
      <c r="I11" s="1731"/>
      <c r="J11" s="1731"/>
      <c r="K11" s="1731"/>
      <c r="L11" s="1731"/>
      <c r="M11" s="1731"/>
      <c r="N11" s="1731"/>
      <c r="O11" s="1731"/>
      <c r="P11" s="1731"/>
      <c r="Q11" s="1731"/>
      <c r="R11" s="1731"/>
      <c r="S11" s="1731"/>
      <c r="T11" s="1731"/>
      <c r="U11" s="1731"/>
      <c r="V11" s="1731"/>
      <c r="W11" s="448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</row>
    <row r="12" spans="1:38" ht="16.5" thickBot="1">
      <c r="A12" s="55">
        <v>10</v>
      </c>
      <c r="B12" s="1334"/>
      <c r="C12" s="214"/>
      <c r="D12" s="268"/>
      <c r="G12" s="1731">
        <v>3</v>
      </c>
      <c r="H12" s="1731" t="e">
        <f>#REF!</f>
        <v>#REF!</v>
      </c>
      <c r="I12" s="1731"/>
      <c r="J12" s="1731"/>
      <c r="K12" s="1731"/>
      <c r="L12" s="1731"/>
      <c r="M12" s="1731"/>
      <c r="N12" s="1731"/>
      <c r="O12" s="1731"/>
      <c r="P12" s="1731"/>
      <c r="Q12" s="1731"/>
      <c r="R12" s="1731"/>
      <c r="S12" s="1731"/>
      <c r="T12" s="1731"/>
      <c r="U12" s="1731"/>
      <c r="V12" s="1731"/>
      <c r="W12" s="448"/>
      <c r="X12" s="199"/>
      <c r="Y12" s="199"/>
      <c r="Z12" s="199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199"/>
      <c r="AL12" s="199"/>
    </row>
    <row r="13" spans="1:38" ht="14.25">
      <c r="A13" s="55">
        <v>11</v>
      </c>
      <c r="B13" s="1740"/>
      <c r="C13" s="1740"/>
      <c r="G13" s="1731">
        <v>4</v>
      </c>
      <c r="H13" s="1731" t="e">
        <f>#REF!</f>
        <v>#REF!</v>
      </c>
      <c r="I13" s="1731"/>
      <c r="J13" s="1731"/>
      <c r="K13" s="1731"/>
      <c r="L13" s="1731"/>
      <c r="M13" s="1731"/>
      <c r="N13" s="1731"/>
      <c r="O13" s="1731"/>
      <c r="P13" s="1731"/>
      <c r="Q13" s="1731"/>
      <c r="R13" s="1731"/>
      <c r="S13" s="1731"/>
      <c r="T13" s="1731"/>
      <c r="U13" s="1731"/>
      <c r="V13" s="1731"/>
      <c r="W13" s="448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</row>
    <row r="14" spans="1:38" ht="14.25">
      <c r="A14" s="55">
        <v>12</v>
      </c>
      <c r="B14" s="1740"/>
      <c r="C14" s="1740"/>
      <c r="G14" s="1731">
        <v>5</v>
      </c>
      <c r="H14" s="1731" t="e">
        <f>#REF!</f>
        <v>#REF!</v>
      </c>
      <c r="I14" s="1731"/>
      <c r="J14" s="1731"/>
      <c r="K14" s="1731"/>
      <c r="L14" s="1731"/>
      <c r="M14" s="1731"/>
      <c r="N14" s="1731"/>
      <c r="O14" s="1731"/>
      <c r="P14" s="1731"/>
      <c r="Q14" s="1731"/>
      <c r="R14" s="1731"/>
      <c r="S14" s="1731"/>
      <c r="T14" s="1731"/>
      <c r="U14" s="1731"/>
      <c r="V14" s="1731"/>
      <c r="W14" s="448"/>
      <c r="X14" s="199"/>
      <c r="Y14" s="199"/>
      <c r="Z14" s="199"/>
      <c r="AA14" s="199"/>
      <c r="AB14" s="199"/>
      <c r="AC14" s="199"/>
      <c r="AD14" s="199"/>
      <c r="AE14" s="199"/>
      <c r="AF14" s="199"/>
      <c r="AG14" s="199"/>
      <c r="AH14" s="199"/>
      <c r="AI14" s="199"/>
      <c r="AJ14" s="199"/>
      <c r="AK14" s="199"/>
      <c r="AL14" s="199"/>
    </row>
    <row r="15" spans="1:38" ht="14.25">
      <c r="A15" s="55">
        <v>13</v>
      </c>
      <c r="B15" s="1745" t="s">
        <v>1481</v>
      </c>
      <c r="C15" s="1746"/>
      <c r="D15" s="1746"/>
      <c r="G15" s="1731">
        <v>6</v>
      </c>
      <c r="H15" s="1731" t="e">
        <f>#REF!</f>
        <v>#REF!</v>
      </c>
      <c r="I15" s="1731"/>
      <c r="J15" s="1731"/>
      <c r="K15" s="1731"/>
      <c r="L15" s="1731"/>
      <c r="M15" s="1731"/>
      <c r="N15" s="1731"/>
      <c r="O15" s="1731"/>
      <c r="P15" s="1731"/>
      <c r="Q15" s="1731"/>
      <c r="R15" s="1731"/>
      <c r="S15" s="1731"/>
      <c r="T15" s="1731"/>
      <c r="U15" s="1731"/>
      <c r="V15" s="1731"/>
      <c r="W15" s="448"/>
      <c r="X15" s="199"/>
      <c r="Y15" s="199"/>
      <c r="Z15" s="199"/>
      <c r="AA15" s="199"/>
      <c r="AB15" s="199"/>
      <c r="AC15" s="199"/>
      <c r="AD15" s="199"/>
      <c r="AE15" s="199"/>
      <c r="AF15" s="199"/>
      <c r="AG15" s="199"/>
      <c r="AH15" s="199"/>
      <c r="AI15" s="199"/>
      <c r="AJ15" s="199"/>
      <c r="AK15" s="199"/>
      <c r="AL15" s="199"/>
    </row>
    <row r="16" spans="1:38" ht="14.25">
      <c r="A16" s="55">
        <v>14</v>
      </c>
      <c r="B16" s="1745"/>
      <c r="C16" s="1746"/>
      <c r="D16" s="1746"/>
      <c r="G16" s="1731">
        <v>7</v>
      </c>
      <c r="H16" s="1731" t="e">
        <f>#REF!</f>
        <v>#REF!</v>
      </c>
      <c r="I16" s="1731"/>
      <c r="J16" s="1731"/>
      <c r="K16" s="1731"/>
      <c r="L16" s="1731"/>
      <c r="M16" s="1731"/>
      <c r="N16" s="1731"/>
      <c r="O16" s="1731"/>
      <c r="P16" s="1731"/>
      <c r="Q16" s="1731"/>
      <c r="R16" s="1731"/>
      <c r="S16" s="1731"/>
      <c r="T16" s="1731"/>
      <c r="U16" s="1731"/>
      <c r="V16" s="1731"/>
      <c r="W16" s="448"/>
      <c r="X16" s="199"/>
      <c r="Y16" s="199"/>
      <c r="Z16" s="199"/>
      <c r="AA16" s="199"/>
      <c r="AB16" s="199"/>
      <c r="AC16" s="199"/>
      <c r="AD16" s="199"/>
      <c r="AE16" s="199"/>
      <c r="AF16" s="199"/>
      <c r="AG16" s="199"/>
      <c r="AH16" s="199"/>
      <c r="AI16" s="199"/>
      <c r="AJ16" s="199"/>
      <c r="AK16" s="199"/>
      <c r="AL16" s="199"/>
    </row>
    <row r="17" spans="1:39" ht="14.25">
      <c r="A17" s="55">
        <v>15</v>
      </c>
      <c r="B17" s="1744" t="s">
        <v>74</v>
      </c>
      <c r="C17" s="1744" t="s">
        <v>1486</v>
      </c>
      <c r="D17" s="199" t="s">
        <v>1487</v>
      </c>
      <c r="G17" s="1731">
        <v>8</v>
      </c>
      <c r="H17" s="1731" t="e">
        <f>#REF!</f>
        <v>#REF!</v>
      </c>
      <c r="I17" s="1731"/>
      <c r="J17" s="1731"/>
      <c r="K17" s="1731"/>
      <c r="L17" s="1731"/>
      <c r="M17" s="1731"/>
      <c r="N17" s="1731"/>
      <c r="O17" s="1731"/>
      <c r="P17" s="1731"/>
      <c r="Q17" s="1731"/>
      <c r="R17" s="1731"/>
      <c r="S17" s="1731"/>
      <c r="T17" s="1731"/>
      <c r="U17" s="1731"/>
      <c r="V17" s="1731"/>
      <c r="W17" s="448"/>
      <c r="X17" s="199"/>
      <c r="Y17" s="199"/>
      <c r="Z17" s="199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199"/>
      <c r="AL17" s="199"/>
    </row>
    <row r="18" spans="1:39" ht="14.25">
      <c r="A18" s="55">
        <v>16</v>
      </c>
      <c r="B18" s="1747" t="str">
        <f>참여자명단!G3</f>
        <v>이민수</v>
      </c>
      <c r="G18" s="1731">
        <v>9</v>
      </c>
      <c r="H18" s="1731" t="e">
        <f>#REF!</f>
        <v>#REF!</v>
      </c>
      <c r="I18" s="1731"/>
      <c r="J18" s="1731"/>
      <c r="K18" s="1731"/>
      <c r="L18" s="1731"/>
      <c r="M18" s="1731"/>
      <c r="N18" s="1731"/>
      <c r="O18" s="1731"/>
      <c r="P18" s="1731"/>
      <c r="Q18" s="1731"/>
      <c r="R18" s="1731"/>
      <c r="S18" s="1731"/>
      <c r="T18" s="1731"/>
      <c r="U18" s="1731"/>
      <c r="V18" s="1731"/>
      <c r="W18" s="448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199"/>
      <c r="AL18" s="199"/>
    </row>
    <row r="19" spans="1:39" ht="14.25">
      <c r="A19" s="55">
        <v>17</v>
      </c>
      <c r="B19" s="1747" t="str">
        <f>참여자명단!G4</f>
        <v>정지우</v>
      </c>
      <c r="G19" s="1731">
        <v>10</v>
      </c>
      <c r="H19" s="1731" t="e">
        <f>#REF!</f>
        <v>#REF!</v>
      </c>
      <c r="I19" s="1731"/>
      <c r="J19" s="1731"/>
      <c r="K19" s="1731"/>
      <c r="L19" s="1731"/>
      <c r="M19" s="1731"/>
      <c r="N19" s="1731"/>
      <c r="O19" s="1731"/>
      <c r="P19" s="1731"/>
      <c r="Q19" s="1731"/>
      <c r="R19" s="1731"/>
      <c r="S19" s="1731"/>
      <c r="T19" s="1731"/>
      <c r="U19" s="1731"/>
      <c r="V19" s="1731"/>
      <c r="W19" s="448"/>
      <c r="X19" s="199"/>
      <c r="Y19" s="199"/>
      <c r="Z19" s="199"/>
      <c r="AA19" s="199"/>
      <c r="AB19" s="199"/>
      <c r="AC19" s="199"/>
      <c r="AD19" s="199"/>
      <c r="AE19" s="199"/>
      <c r="AF19" s="199"/>
      <c r="AG19" s="199"/>
      <c r="AH19" s="199"/>
      <c r="AI19" s="199"/>
      <c r="AJ19" s="199"/>
      <c r="AK19" s="199"/>
      <c r="AL19" s="199"/>
    </row>
    <row r="20" spans="1:39" ht="14.25">
      <c r="A20" s="55">
        <v>18</v>
      </c>
      <c r="B20" s="1747" t="str">
        <f>참여자명단!G5</f>
        <v>박지우</v>
      </c>
      <c r="G20" s="1731">
        <v>11</v>
      </c>
      <c r="H20" s="1731" t="e">
        <f>#REF!</f>
        <v>#REF!</v>
      </c>
      <c r="I20" s="1731"/>
      <c r="J20" s="1731"/>
      <c r="K20" s="1731"/>
      <c r="L20" s="1731"/>
      <c r="M20" s="1731"/>
      <c r="N20" s="1731"/>
      <c r="O20" s="1731"/>
      <c r="P20" s="1731"/>
      <c r="Q20" s="1731"/>
      <c r="R20" s="1731"/>
      <c r="S20" s="1731"/>
      <c r="T20" s="1731"/>
      <c r="U20" s="1731"/>
      <c r="V20" s="1731"/>
      <c r="W20" s="448"/>
      <c r="X20" s="199"/>
      <c r="Y20" s="199"/>
      <c r="Z20" s="199"/>
      <c r="AA20" s="199"/>
      <c r="AB20" s="199"/>
      <c r="AC20" s="199"/>
      <c r="AD20" s="199"/>
      <c r="AE20" s="199"/>
      <c r="AF20" s="199"/>
      <c r="AG20" s="199"/>
      <c r="AH20" s="199"/>
      <c r="AI20" s="199"/>
      <c r="AJ20" s="199"/>
      <c r="AK20" s="199"/>
      <c r="AL20" s="199"/>
    </row>
    <row r="21" spans="1:39" ht="14.25">
      <c r="A21" s="55">
        <v>19</v>
      </c>
      <c r="B21" s="1747" t="str">
        <f>참여자명단!G6</f>
        <v>김예은</v>
      </c>
      <c r="G21" s="1731">
        <v>12</v>
      </c>
      <c r="H21" s="1731" t="e">
        <f>#REF!</f>
        <v>#REF!</v>
      </c>
      <c r="I21" s="1731"/>
      <c r="J21" s="1731"/>
      <c r="K21" s="1731"/>
      <c r="L21" s="1731"/>
      <c r="M21" s="1731"/>
      <c r="N21" s="1731"/>
      <c r="O21" s="1731"/>
      <c r="P21" s="1731"/>
      <c r="Q21" s="1731"/>
      <c r="R21" s="1731"/>
      <c r="S21" s="1731"/>
      <c r="T21" s="1731"/>
      <c r="U21" s="1731"/>
      <c r="V21" s="1731"/>
      <c r="W21" s="448"/>
      <c r="X21" s="199"/>
      <c r="Y21" s="199"/>
      <c r="Z21" s="199"/>
      <c r="AA21" s="199"/>
      <c r="AB21" s="199"/>
      <c r="AC21" s="199"/>
      <c r="AD21" s="199"/>
      <c r="AE21" s="199"/>
      <c r="AF21" s="199"/>
      <c r="AG21" s="199"/>
      <c r="AH21" s="199"/>
      <c r="AI21" s="199"/>
      <c r="AJ21" s="199"/>
      <c r="AK21" s="199"/>
      <c r="AL21" s="199"/>
    </row>
    <row r="22" spans="1:39" ht="14.25">
      <c r="A22" s="55">
        <v>20</v>
      </c>
      <c r="B22" s="1747" t="str">
        <f>참여자명단!G7</f>
        <v>이민수</v>
      </c>
      <c r="G22" s="1731">
        <v>13</v>
      </c>
      <c r="H22" s="1731" t="e">
        <f>#REF!</f>
        <v>#REF!</v>
      </c>
      <c r="I22" s="1731"/>
      <c r="J22" s="1731"/>
      <c r="K22" s="1731"/>
      <c r="L22" s="1731"/>
      <c r="M22" s="1731"/>
      <c r="N22" s="1731"/>
      <c r="O22" s="1731"/>
      <c r="P22" s="1731"/>
      <c r="Q22" s="1731"/>
      <c r="R22" s="1731"/>
      <c r="S22" s="1731"/>
      <c r="T22" s="1731"/>
      <c r="U22" s="1731"/>
      <c r="V22" s="1731"/>
      <c r="W22" s="448"/>
      <c r="X22" s="199"/>
      <c r="Y22" s="199"/>
      <c r="Z22" s="199"/>
      <c r="AA22" s="199"/>
      <c r="AB22" s="199"/>
      <c r="AC22" s="199"/>
      <c r="AD22" s="199"/>
      <c r="AE22" s="199"/>
      <c r="AF22" s="199"/>
      <c r="AG22" s="199"/>
      <c r="AH22" s="199"/>
      <c r="AI22" s="199"/>
      <c r="AJ22" s="199"/>
      <c r="AK22" s="199"/>
      <c r="AL22" s="199"/>
    </row>
    <row r="23" spans="1:39" ht="14.25">
      <c r="A23" s="55">
        <v>21</v>
      </c>
      <c r="B23" s="1747" t="str">
        <f>참여자명단!G8</f>
        <v>박현우</v>
      </c>
      <c r="G23" s="1731">
        <v>14</v>
      </c>
      <c r="H23" s="1731">
        <f>B33</f>
        <v>0</v>
      </c>
      <c r="I23" s="1731"/>
      <c r="J23" s="1731"/>
      <c r="K23" s="1731"/>
      <c r="L23" s="1731"/>
      <c r="M23" s="1731"/>
      <c r="N23" s="1731"/>
      <c r="O23" s="1731"/>
      <c r="P23" s="1731"/>
      <c r="Q23" s="1731"/>
      <c r="R23" s="1731"/>
      <c r="S23" s="1731"/>
      <c r="T23" s="1731"/>
      <c r="U23" s="1731"/>
      <c r="V23" s="1731"/>
      <c r="W23" s="448"/>
      <c r="X23" s="199"/>
      <c r="Y23" s="199"/>
      <c r="Z23" s="199"/>
      <c r="AA23" s="199"/>
      <c r="AB23" s="199"/>
      <c r="AC23" s="199"/>
      <c r="AD23" s="199"/>
      <c r="AE23" s="199"/>
      <c r="AF23" s="199"/>
      <c r="AG23" s="199"/>
      <c r="AH23" s="199"/>
      <c r="AI23" s="199"/>
      <c r="AJ23" s="199"/>
      <c r="AK23" s="199"/>
      <c r="AL23" s="199"/>
    </row>
    <row r="24" spans="1:39" ht="14.25">
      <c r="A24" s="55">
        <v>22</v>
      </c>
      <c r="B24" s="1747" t="str">
        <f>참여자명단!G9</f>
        <v>이현우</v>
      </c>
      <c r="G24" s="1731">
        <v>15</v>
      </c>
      <c r="H24" s="1731">
        <f>B34</f>
        <v>0</v>
      </c>
      <c r="I24" s="1731"/>
      <c r="J24" s="1731"/>
      <c r="K24" s="1731"/>
      <c r="L24" s="1731"/>
      <c r="M24" s="1731"/>
      <c r="N24" s="1731"/>
      <c r="O24" s="1731"/>
      <c r="P24" s="1731"/>
      <c r="Q24" s="1731"/>
      <c r="R24" s="1731"/>
      <c r="S24" s="1731"/>
      <c r="T24" s="1731"/>
      <c r="U24" s="1731"/>
      <c r="V24" s="1731"/>
      <c r="W24" s="448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  <c r="AI24" s="199"/>
      <c r="AJ24" s="199"/>
      <c r="AK24" s="199"/>
      <c r="AL24" s="199"/>
    </row>
    <row r="25" spans="1:39" ht="14.25">
      <c r="A25" s="55">
        <v>23</v>
      </c>
      <c r="B25" s="1747" t="str">
        <f>참여자명단!G10</f>
        <v>김지우</v>
      </c>
      <c r="W25" s="1106" t="s">
        <v>1000</v>
      </c>
      <c r="X25" s="1106"/>
      <c r="Y25" s="1106"/>
      <c r="Z25" s="1106"/>
      <c r="AA25" s="1106"/>
      <c r="AB25" s="1106"/>
      <c r="AC25" s="1106"/>
      <c r="AD25" s="1106"/>
      <c r="AE25" s="1106"/>
      <c r="AF25" s="1106"/>
      <c r="AG25" s="1106"/>
      <c r="AH25" s="1106"/>
      <c r="AI25" s="1106"/>
      <c r="AJ25" s="1106"/>
      <c r="AK25" s="1106"/>
      <c r="AL25" s="1106"/>
      <c r="AM25" s="1106"/>
    </row>
    <row r="26" spans="1:39" ht="14.25">
      <c r="A26" s="55">
        <v>24</v>
      </c>
      <c r="B26" s="1747" t="str">
        <f>참여자명단!G11</f>
        <v>박현우</v>
      </c>
      <c r="W26" s="1107" t="str">
        <f>"담당자 확인 :"&amp;C17&amp;"(인)"</f>
        <v>담당자 확인 :1주차(인)</v>
      </c>
      <c r="X26" s="1107"/>
      <c r="Y26" s="1107"/>
      <c r="Z26" s="1107"/>
      <c r="AA26" s="1107"/>
      <c r="AB26" s="1107"/>
      <c r="AC26" s="1107"/>
      <c r="AD26" s="1107"/>
      <c r="AE26" s="1107"/>
      <c r="AF26" s="1107"/>
      <c r="AG26" s="1107"/>
      <c r="AH26" s="1107"/>
      <c r="AI26" s="1107"/>
      <c r="AJ26" s="1107"/>
      <c r="AK26" s="1107"/>
      <c r="AL26" s="1107"/>
      <c r="AM26" s="1107"/>
    </row>
    <row r="27" spans="1:39" ht="14.25">
      <c r="A27" s="55">
        <v>25</v>
      </c>
      <c r="B27" s="1747" t="str">
        <f>참여자명단!G12</f>
        <v>김현우</v>
      </c>
    </row>
    <row r="28" spans="1:39" ht="14.25">
      <c r="A28" s="55">
        <v>26</v>
      </c>
      <c r="B28" s="1747" t="str">
        <f>참여자명단!G13</f>
        <v>정지우</v>
      </c>
    </row>
    <row r="29" spans="1:39" ht="14.25">
      <c r="A29" s="55">
        <v>27</v>
      </c>
      <c r="B29" s="1747" t="str">
        <f>참여자명단!G14</f>
        <v>박예은</v>
      </c>
    </row>
    <row r="30" spans="1:39" ht="14.25">
      <c r="A30" s="55">
        <v>28</v>
      </c>
      <c r="B30" s="1747" t="str">
        <f>참여자명단!G15</f>
        <v>최현우</v>
      </c>
    </row>
    <row r="31" spans="1:39" ht="14.25">
      <c r="A31" s="55">
        <v>29</v>
      </c>
      <c r="B31" s="1747" t="str">
        <f>참여자명단!G16</f>
        <v>이현우</v>
      </c>
    </row>
    <row r="32" spans="1:39" ht="14.25">
      <c r="A32" s="55">
        <v>30</v>
      </c>
      <c r="B32" s="1747" t="str">
        <f>참여자명단!G17</f>
        <v>최예은</v>
      </c>
    </row>
    <row r="33" spans="1:39" ht="14.25">
      <c r="A33" s="55">
        <v>31</v>
      </c>
      <c r="B33" s="1740"/>
      <c r="C33" s="1747"/>
    </row>
    <row r="34" spans="1:39" ht="14.25">
      <c r="A34" s="55">
        <v>32</v>
      </c>
      <c r="B34" s="1740"/>
      <c r="C34" s="1747"/>
    </row>
    <row r="35" spans="1:39" ht="14.25">
      <c r="A35" s="55">
        <v>33</v>
      </c>
      <c r="B35" s="1740"/>
      <c r="C35" s="1747"/>
    </row>
    <row r="36" spans="1:39" ht="14.25">
      <c r="A36" s="55">
        <v>34</v>
      </c>
      <c r="B36" s="1740"/>
      <c r="C36" s="1740"/>
    </row>
    <row r="37" spans="1:39" ht="15.75">
      <c r="A37" s="55">
        <v>35</v>
      </c>
      <c r="B37" s="1740"/>
      <c r="C37" s="1740"/>
      <c r="W37" s="1105" t="s">
        <v>1001</v>
      </c>
      <c r="X37" s="1105"/>
      <c r="Y37" s="1105"/>
      <c r="Z37" s="1105"/>
      <c r="AA37" s="1105"/>
      <c r="AB37" s="1105"/>
      <c r="AC37" s="1105"/>
      <c r="AD37" s="1105"/>
      <c r="AE37" s="1105"/>
      <c r="AF37" s="1105"/>
      <c r="AG37" s="1105"/>
      <c r="AH37" s="1105"/>
      <c r="AI37" s="1105"/>
      <c r="AJ37" s="1105"/>
      <c r="AK37" s="1105"/>
      <c r="AL37" s="1105"/>
      <c r="AM37" s="1105"/>
    </row>
    <row r="38" spans="1:39" ht="23.25">
      <c r="A38" s="55">
        <v>36</v>
      </c>
      <c r="B38" s="1740"/>
      <c r="C38" s="1740"/>
      <c r="W38" s="1108" t="s">
        <v>1002</v>
      </c>
      <c r="X38" s="1109"/>
      <c r="Y38" s="1109"/>
      <c r="Z38" s="1109"/>
      <c r="AA38" s="1109"/>
      <c r="AB38" s="1109"/>
      <c r="AC38" s="1109"/>
      <c r="AD38" s="1109"/>
      <c r="AE38" s="1109"/>
      <c r="AF38" s="1109"/>
      <c r="AG38" s="1109"/>
      <c r="AH38" s="1109"/>
      <c r="AI38" s="1109"/>
      <c r="AJ38" s="1109"/>
      <c r="AK38" s="1109"/>
      <c r="AL38" s="1109"/>
      <c r="AM38" s="1109"/>
    </row>
    <row r="39" spans="1:39" ht="14.25">
      <c r="A39" s="55">
        <v>37</v>
      </c>
      <c r="B39" s="1740"/>
      <c r="C39" s="1740"/>
      <c r="W39" s="1723" t="s">
        <v>1473</v>
      </c>
      <c r="X39" s="1720">
        <f>C38</f>
        <v>0</v>
      </c>
      <c r="Y39" s="1721"/>
      <c r="Z39" s="1721"/>
      <c r="AA39" s="1721"/>
      <c r="AB39" s="1721"/>
      <c r="AC39" s="1721"/>
      <c r="AD39" s="1722"/>
      <c r="AE39" s="1723" t="s">
        <v>1474</v>
      </c>
      <c r="AF39" s="1736">
        <f>C39</f>
        <v>0</v>
      </c>
      <c r="AG39" s="1737"/>
      <c r="AH39" s="1737"/>
      <c r="AI39" s="1737"/>
      <c r="AJ39" s="1737"/>
      <c r="AK39" s="1737"/>
      <c r="AL39" s="1737"/>
      <c r="AM39" s="1738"/>
    </row>
    <row r="40" spans="1:39" ht="14.25">
      <c r="A40" s="55">
        <v>38</v>
      </c>
      <c r="B40" s="1740"/>
      <c r="C40" s="1740"/>
      <c r="W40" s="1723" t="s">
        <v>1475</v>
      </c>
      <c r="X40" s="1720">
        <f>C40</f>
        <v>0</v>
      </c>
      <c r="Y40" s="1721"/>
      <c r="Z40" s="1721"/>
      <c r="AA40" s="1721"/>
      <c r="AB40" s="1721"/>
      <c r="AC40" s="1721"/>
      <c r="AD40" s="1722"/>
      <c r="AE40" s="1723" t="s">
        <v>1476</v>
      </c>
      <c r="AF40" s="1112" t="str">
        <f>C41&amp;"(09:00~18:00) / 총" &amp;C42&amp;"시간"</f>
        <v>(09:00~18:00) / 총시간</v>
      </c>
      <c r="AG40" s="1113"/>
      <c r="AH40" s="1113"/>
      <c r="AI40" s="1113"/>
      <c r="AJ40" s="1113"/>
      <c r="AK40" s="1113"/>
      <c r="AL40" s="1113"/>
      <c r="AM40" s="1114"/>
    </row>
    <row r="41" spans="1:39" ht="14.25">
      <c r="A41" s="55">
        <v>39</v>
      </c>
      <c r="B41" s="1740"/>
      <c r="C41" s="1740"/>
      <c r="W41" s="1723" t="s">
        <v>1477</v>
      </c>
      <c r="X41" s="1720">
        <f>C43</f>
        <v>0</v>
      </c>
      <c r="Y41" s="1721"/>
      <c r="Z41" s="1721"/>
      <c r="AA41" s="1722"/>
      <c r="AB41" s="1720" t="s">
        <v>1458</v>
      </c>
      <c r="AC41" s="1721"/>
      <c r="AD41" s="1722"/>
      <c r="AE41" s="1723" t="s">
        <v>1459</v>
      </c>
      <c r="AF41" s="1112" t="str">
        <f>"집체교육 ("&amp;C44&amp;") 시간 / 온라인교육 ("&amp;C45&amp;") 시간"</f>
        <v>집체교육 () 시간 / 온라인교육 () 시간</v>
      </c>
      <c r="AG41" s="1113"/>
      <c r="AH41" s="1113"/>
      <c r="AI41" s="1113"/>
      <c r="AJ41" s="1113"/>
      <c r="AK41" s="1113"/>
      <c r="AL41" s="1113"/>
      <c r="AM41" s="1114"/>
    </row>
    <row r="42" spans="1:39" ht="14.25">
      <c r="A42" s="55">
        <v>40</v>
      </c>
      <c r="B42" s="1740"/>
      <c r="C42" s="1740"/>
      <c r="W42" s="1724" t="s">
        <v>1460</v>
      </c>
      <c r="X42" s="1725" t="s">
        <v>1461</v>
      </c>
      <c r="Y42" s="1726">
        <f>C46</f>
        <v>0</v>
      </c>
      <c r="Z42" s="1727"/>
      <c r="AA42" s="1726">
        <f>C47</f>
        <v>0</v>
      </c>
      <c r="AB42" s="1728"/>
      <c r="AC42" s="1726">
        <f>C48</f>
        <v>0</v>
      </c>
      <c r="AD42" s="1728"/>
      <c r="AE42" s="1726">
        <f>C49</f>
        <v>0</v>
      </c>
      <c r="AF42" s="1728"/>
      <c r="AG42" s="1726">
        <f>C50</f>
        <v>0</v>
      </c>
      <c r="AH42" s="1728"/>
      <c r="AI42" s="1729" t="s">
        <v>1462</v>
      </c>
      <c r="AJ42" s="1729" t="s">
        <v>1463</v>
      </c>
      <c r="AK42" s="1729" t="s">
        <v>1464</v>
      </c>
      <c r="AL42" s="1729" t="s">
        <v>1465</v>
      </c>
      <c r="AM42" s="479" t="s">
        <v>997</v>
      </c>
    </row>
    <row r="43" spans="1:39" ht="14.25">
      <c r="A43" s="55">
        <v>41</v>
      </c>
      <c r="B43" s="1740"/>
      <c r="C43" s="1740"/>
      <c r="W43" s="1724"/>
      <c r="X43" s="1730" t="s">
        <v>1466</v>
      </c>
      <c r="Y43" s="1731" t="s">
        <v>1467</v>
      </c>
      <c r="Z43" s="1731" t="s">
        <v>1468</v>
      </c>
      <c r="AA43" s="1731" t="s">
        <v>1467</v>
      </c>
      <c r="AB43" s="1731" t="s">
        <v>1468</v>
      </c>
      <c r="AC43" s="1731" t="s">
        <v>1467</v>
      </c>
      <c r="AD43" s="1731" t="s">
        <v>1468</v>
      </c>
      <c r="AE43" s="1731" t="s">
        <v>1467</v>
      </c>
      <c r="AF43" s="1731" t="s">
        <v>1468</v>
      </c>
      <c r="AG43" s="1731" t="s">
        <v>1467</v>
      </c>
      <c r="AH43" s="1731" t="s">
        <v>1468</v>
      </c>
      <c r="AI43" s="1729" t="s">
        <v>1469</v>
      </c>
      <c r="AJ43" s="1729" t="s">
        <v>1469</v>
      </c>
      <c r="AK43" s="1729" t="s">
        <v>1470</v>
      </c>
      <c r="AL43" s="1729" t="s">
        <v>1471</v>
      </c>
      <c r="AM43" s="479" t="s">
        <v>998</v>
      </c>
    </row>
    <row r="44" spans="1:39" ht="22.5">
      <c r="A44" s="55">
        <v>42</v>
      </c>
      <c r="B44" s="1740"/>
      <c r="C44" s="1740"/>
      <c r="W44" s="1732"/>
      <c r="X44" s="1733" t="s">
        <v>1472</v>
      </c>
      <c r="Y44" s="1731"/>
      <c r="Z44" s="1731"/>
      <c r="AA44" s="1731"/>
      <c r="AB44" s="1731"/>
      <c r="AC44" s="1731"/>
      <c r="AD44" s="1731"/>
      <c r="AE44" s="1731"/>
      <c r="AF44" s="1731"/>
      <c r="AG44" s="1731"/>
      <c r="AH44" s="1731"/>
      <c r="AI44" s="1734"/>
      <c r="AJ44" s="1734"/>
      <c r="AK44" s="1734"/>
      <c r="AL44" s="1734"/>
      <c r="AM44" s="460"/>
    </row>
    <row r="45" spans="1:39" ht="14.25">
      <c r="A45" s="55">
        <v>43</v>
      </c>
      <c r="B45" s="1740"/>
      <c r="C45" s="1740"/>
      <c r="W45" s="1731">
        <v>1</v>
      </c>
      <c r="X45" s="1731">
        <f>B55</f>
        <v>0</v>
      </c>
      <c r="Y45" s="1731"/>
      <c r="Z45" s="1735"/>
      <c r="AA45" s="1735"/>
      <c r="AB45" s="1735"/>
      <c r="AC45" s="1735"/>
      <c r="AD45" s="1735"/>
      <c r="AE45" s="1735"/>
      <c r="AF45" s="1735"/>
      <c r="AG45" s="1735"/>
      <c r="AH45" s="1735"/>
      <c r="AI45" s="1731"/>
      <c r="AJ45" s="1731"/>
      <c r="AK45" s="1731"/>
      <c r="AL45" s="1731"/>
      <c r="AM45" s="448"/>
    </row>
    <row r="46" spans="1:39" ht="14.25">
      <c r="A46" s="55">
        <v>44</v>
      </c>
      <c r="B46" s="1740"/>
      <c r="C46" s="1740"/>
      <c r="W46" s="1731">
        <v>2</v>
      </c>
      <c r="X46" s="1731">
        <f>B56</f>
        <v>0</v>
      </c>
      <c r="Y46" s="1731"/>
      <c r="Z46" s="1731"/>
      <c r="AA46" s="1731"/>
      <c r="AB46" s="1731"/>
      <c r="AC46" s="1731"/>
      <c r="AD46" s="1731"/>
      <c r="AE46" s="1731"/>
      <c r="AF46" s="1731"/>
      <c r="AG46" s="1731"/>
      <c r="AH46" s="1731"/>
      <c r="AI46" s="1731"/>
      <c r="AJ46" s="1731"/>
      <c r="AK46" s="1731"/>
      <c r="AL46" s="1731"/>
      <c r="AM46" s="448"/>
    </row>
    <row r="47" spans="1:39" ht="14.25">
      <c r="A47" s="55">
        <v>45</v>
      </c>
      <c r="B47" s="1740"/>
      <c r="C47" s="1740"/>
      <c r="W47" s="1731">
        <v>3</v>
      </c>
      <c r="X47" s="1731">
        <f>B57</f>
        <v>0</v>
      </c>
      <c r="Y47" s="1731"/>
      <c r="Z47" s="1731"/>
      <c r="AA47" s="1731"/>
      <c r="AB47" s="1731"/>
      <c r="AC47" s="1731"/>
      <c r="AD47" s="1731"/>
      <c r="AE47" s="1731"/>
      <c r="AF47" s="1731"/>
      <c r="AG47" s="1731"/>
      <c r="AH47" s="1731"/>
      <c r="AI47" s="1731"/>
      <c r="AJ47" s="1731"/>
      <c r="AK47" s="1731"/>
      <c r="AL47" s="1731"/>
      <c r="AM47" s="448"/>
    </row>
    <row r="48" spans="1:39" ht="14.25">
      <c r="A48" s="55">
        <v>46</v>
      </c>
      <c r="B48" s="1740"/>
      <c r="C48" s="1740"/>
      <c r="W48" s="1731">
        <v>4</v>
      </c>
      <c r="X48" s="1731">
        <f>B58</f>
        <v>0</v>
      </c>
      <c r="Y48" s="1731"/>
      <c r="Z48" s="1731"/>
      <c r="AA48" s="1731"/>
      <c r="AB48" s="1731"/>
      <c r="AC48" s="1731"/>
      <c r="AD48" s="1731"/>
      <c r="AE48" s="1731"/>
      <c r="AF48" s="1731"/>
      <c r="AG48" s="1731"/>
      <c r="AH48" s="1731"/>
      <c r="AI48" s="1731"/>
      <c r="AJ48" s="1731"/>
      <c r="AK48" s="1731"/>
      <c r="AL48" s="1731"/>
      <c r="AM48" s="448"/>
    </row>
    <row r="49" spans="1:39" ht="14.25">
      <c r="A49" s="55">
        <v>47</v>
      </c>
      <c r="B49" s="1740"/>
      <c r="C49" s="1740"/>
      <c r="W49" s="1731">
        <v>5</v>
      </c>
      <c r="X49" s="1731">
        <f>B59</f>
        <v>0</v>
      </c>
      <c r="Y49" s="1731"/>
      <c r="Z49" s="1731"/>
      <c r="AA49" s="1731"/>
      <c r="AB49" s="1731"/>
      <c r="AC49" s="1731"/>
      <c r="AD49" s="1731"/>
      <c r="AE49" s="1731"/>
      <c r="AF49" s="1731"/>
      <c r="AG49" s="1731"/>
      <c r="AH49" s="1731"/>
      <c r="AI49" s="1731"/>
      <c r="AJ49" s="1731"/>
      <c r="AK49" s="1731"/>
      <c r="AL49" s="1731"/>
      <c r="AM49" s="448"/>
    </row>
    <row r="50" spans="1:39" ht="14.25">
      <c r="A50" s="55">
        <v>48</v>
      </c>
      <c r="B50" s="1740"/>
      <c r="C50" s="1740"/>
      <c r="W50" s="1731">
        <v>6</v>
      </c>
      <c r="X50" s="1731">
        <f>B60</f>
        <v>0</v>
      </c>
      <c r="Y50" s="1731"/>
      <c r="Z50" s="1731"/>
      <c r="AA50" s="1731"/>
      <c r="AB50" s="1731"/>
      <c r="AC50" s="1731"/>
      <c r="AD50" s="1731"/>
      <c r="AE50" s="1731"/>
      <c r="AF50" s="1731"/>
      <c r="AG50" s="1731"/>
      <c r="AH50" s="1731"/>
      <c r="AI50" s="1731"/>
      <c r="AJ50" s="1731"/>
      <c r="AK50" s="1731"/>
      <c r="AL50" s="1731"/>
      <c r="AM50" s="448"/>
    </row>
    <row r="51" spans="1:39" ht="14.25">
      <c r="A51" s="55">
        <v>49</v>
      </c>
      <c r="B51" s="1740"/>
      <c r="C51" s="1740"/>
      <c r="W51" s="1731">
        <v>7</v>
      </c>
      <c r="X51" s="1731">
        <f>B61</f>
        <v>0</v>
      </c>
      <c r="Y51" s="1731"/>
      <c r="Z51" s="1731"/>
      <c r="AA51" s="1731"/>
      <c r="AB51" s="1731"/>
      <c r="AC51" s="1731"/>
      <c r="AD51" s="1731"/>
      <c r="AE51" s="1731"/>
      <c r="AF51" s="1731"/>
      <c r="AG51" s="1731"/>
      <c r="AH51" s="1731"/>
      <c r="AI51" s="1731"/>
      <c r="AJ51" s="1731"/>
      <c r="AK51" s="1731"/>
      <c r="AL51" s="1731"/>
      <c r="AM51" s="448"/>
    </row>
    <row r="52" spans="1:39" ht="14.25">
      <c r="A52" s="267">
        <v>50</v>
      </c>
      <c r="B52" s="1740"/>
      <c r="C52" s="1740"/>
      <c r="W52" s="1731">
        <v>8</v>
      </c>
      <c r="X52" s="1731">
        <f>B62</f>
        <v>0</v>
      </c>
      <c r="Y52" s="1731"/>
      <c r="Z52" s="1731"/>
      <c r="AA52" s="1731"/>
      <c r="AB52" s="1731"/>
      <c r="AC52" s="1731"/>
      <c r="AD52" s="1731"/>
      <c r="AE52" s="1731"/>
      <c r="AF52" s="1731"/>
      <c r="AG52" s="1731"/>
      <c r="AH52" s="1731"/>
      <c r="AI52" s="1731"/>
      <c r="AJ52" s="1731"/>
      <c r="AK52" s="1731"/>
      <c r="AL52" s="1731"/>
      <c r="AM52" s="448"/>
    </row>
    <row r="53" spans="1:39" ht="14.25">
      <c r="A53" s="267">
        <v>51</v>
      </c>
      <c r="B53" s="1740"/>
      <c r="C53" s="1740"/>
      <c r="W53" s="1731">
        <v>9</v>
      </c>
      <c r="X53" s="1731">
        <f>B63</f>
        <v>0</v>
      </c>
      <c r="Y53" s="1731"/>
      <c r="Z53" s="1731"/>
      <c r="AA53" s="1731"/>
      <c r="AB53" s="1731"/>
      <c r="AC53" s="1731"/>
      <c r="AD53" s="1731"/>
      <c r="AE53" s="1731"/>
      <c r="AF53" s="1731"/>
      <c r="AG53" s="1731"/>
      <c r="AH53" s="1731"/>
      <c r="AI53" s="1731"/>
      <c r="AJ53" s="1731"/>
      <c r="AK53" s="1731"/>
      <c r="AL53" s="1731"/>
      <c r="AM53" s="448"/>
    </row>
    <row r="54" spans="1:39" ht="14.25">
      <c r="A54" s="267">
        <v>52</v>
      </c>
      <c r="B54" s="1740"/>
      <c r="C54" s="1740"/>
      <c r="W54" s="1731">
        <v>10</v>
      </c>
      <c r="X54" s="1731">
        <f>B64</f>
        <v>0</v>
      </c>
      <c r="Y54" s="1731"/>
      <c r="Z54" s="1731"/>
      <c r="AA54" s="1731"/>
      <c r="AB54" s="1731"/>
      <c r="AC54" s="1731"/>
      <c r="AD54" s="1731"/>
      <c r="AE54" s="1731"/>
      <c r="AF54" s="1731"/>
      <c r="AG54" s="1731"/>
      <c r="AH54" s="1731"/>
      <c r="AI54" s="1731"/>
      <c r="AJ54" s="1731"/>
      <c r="AK54" s="1731"/>
      <c r="AL54" s="1731"/>
      <c r="AM54" s="448"/>
    </row>
    <row r="55" spans="1:39" ht="14.25">
      <c r="A55" s="267">
        <v>53</v>
      </c>
      <c r="B55" s="1740"/>
      <c r="C55" s="1740"/>
      <c r="W55" s="1731">
        <v>11</v>
      </c>
      <c r="X55" s="1731">
        <f>B65</f>
        <v>0</v>
      </c>
      <c r="Y55" s="1731"/>
      <c r="Z55" s="1731"/>
      <c r="AA55" s="1731"/>
      <c r="AB55" s="1731"/>
      <c r="AC55" s="1731"/>
      <c r="AD55" s="1731"/>
      <c r="AE55" s="1731"/>
      <c r="AF55" s="1731"/>
      <c r="AG55" s="1731"/>
      <c r="AH55" s="1731"/>
      <c r="AI55" s="1731"/>
      <c r="AJ55" s="1731"/>
      <c r="AK55" s="1731"/>
      <c r="AL55" s="1731"/>
      <c r="AM55" s="448"/>
    </row>
    <row r="56" spans="1:39" ht="14.25">
      <c r="A56" s="267">
        <v>54</v>
      </c>
      <c r="B56" s="1740"/>
      <c r="C56" s="1740"/>
      <c r="W56" s="1731">
        <v>12</v>
      </c>
      <c r="X56" s="1731">
        <f>B66</f>
        <v>0</v>
      </c>
      <c r="Y56" s="1731"/>
      <c r="Z56" s="1731"/>
      <c r="AA56" s="1731"/>
      <c r="AB56" s="1731"/>
      <c r="AC56" s="1731"/>
      <c r="AD56" s="1731"/>
      <c r="AE56" s="1731"/>
      <c r="AF56" s="1731"/>
      <c r="AG56" s="1731"/>
      <c r="AH56" s="1731"/>
      <c r="AI56" s="1731"/>
      <c r="AJ56" s="1731"/>
      <c r="AK56" s="1731"/>
      <c r="AL56" s="1731"/>
      <c r="AM56" s="448"/>
    </row>
    <row r="57" spans="1:39" ht="14.25">
      <c r="A57" s="267">
        <v>55</v>
      </c>
      <c r="B57" s="1740"/>
      <c r="C57" s="1740"/>
      <c r="W57" s="1731">
        <v>13</v>
      </c>
      <c r="X57" s="1731">
        <f>B67</f>
        <v>0</v>
      </c>
      <c r="Y57" s="1731"/>
      <c r="Z57" s="1731"/>
      <c r="AA57" s="1731"/>
      <c r="AB57" s="1731"/>
      <c r="AC57" s="1731"/>
      <c r="AD57" s="1731"/>
      <c r="AE57" s="1731"/>
      <c r="AF57" s="1731"/>
      <c r="AG57" s="1731"/>
      <c r="AH57" s="1731"/>
      <c r="AI57" s="1731"/>
      <c r="AJ57" s="1731"/>
      <c r="AK57" s="1731"/>
      <c r="AL57" s="1731"/>
      <c r="AM57" s="448"/>
    </row>
    <row r="58" spans="1:39" ht="14.25">
      <c r="A58" s="267">
        <v>56</v>
      </c>
      <c r="B58" s="1740"/>
      <c r="C58" s="1740"/>
      <c r="W58" s="1731">
        <v>14</v>
      </c>
      <c r="X58" s="1731">
        <f>B68</f>
        <v>0</v>
      </c>
      <c r="Y58" s="1731"/>
      <c r="Z58" s="1731"/>
      <c r="AA58" s="1731"/>
      <c r="AB58" s="1731"/>
      <c r="AC58" s="1731"/>
      <c r="AD58" s="1731"/>
      <c r="AE58" s="1731"/>
      <c r="AF58" s="1731"/>
      <c r="AG58" s="1731"/>
      <c r="AH58" s="1731"/>
      <c r="AI58" s="1731"/>
      <c r="AJ58" s="1731"/>
      <c r="AK58" s="1731"/>
      <c r="AL58" s="1731"/>
      <c r="AM58" s="448"/>
    </row>
    <row r="59" spans="1:39" ht="14.25">
      <c r="A59" s="267">
        <v>57</v>
      </c>
      <c r="B59" s="1740"/>
      <c r="C59" s="1740"/>
      <c r="W59" s="1731">
        <v>15</v>
      </c>
      <c r="X59" s="1731">
        <f>B69</f>
        <v>0</v>
      </c>
      <c r="Y59" s="1731"/>
      <c r="Z59" s="1731"/>
      <c r="AA59" s="1731"/>
      <c r="AB59" s="1731"/>
      <c r="AC59" s="1731"/>
      <c r="AD59" s="1731"/>
      <c r="AE59" s="1731"/>
      <c r="AF59" s="1731"/>
      <c r="AG59" s="1731"/>
      <c r="AH59" s="1731"/>
      <c r="AI59" s="1731"/>
      <c r="AJ59" s="1731"/>
      <c r="AK59" s="1731"/>
      <c r="AL59" s="1731"/>
      <c r="AM59" s="448"/>
    </row>
    <row r="60" spans="1:39" ht="14.25">
      <c r="A60" s="267">
        <v>58</v>
      </c>
      <c r="B60" s="1740"/>
      <c r="C60" s="1740"/>
      <c r="W60" s="1106" t="s">
        <v>1000</v>
      </c>
      <c r="X60" s="1106"/>
      <c r="Y60" s="1106"/>
      <c r="Z60" s="1106"/>
      <c r="AA60" s="1106"/>
      <c r="AB60" s="1106"/>
      <c r="AC60" s="1106"/>
      <c r="AD60" s="1106"/>
      <c r="AE60" s="1106"/>
      <c r="AF60" s="1106"/>
      <c r="AG60" s="1106"/>
      <c r="AH60" s="1106"/>
      <c r="AI60" s="1106"/>
      <c r="AJ60" s="1106"/>
      <c r="AK60" s="1106"/>
      <c r="AL60" s="1106"/>
      <c r="AM60" s="1106"/>
    </row>
    <row r="61" spans="1:39" ht="14.25">
      <c r="A61" s="267">
        <v>59</v>
      </c>
      <c r="B61" s="1740"/>
      <c r="C61" s="1740"/>
      <c r="W61" s="1107" t="str">
        <f>"담당자 확인 :"&amp;C51&amp;"(인)"</f>
        <v>담당자 확인 :(인)</v>
      </c>
      <c r="X61" s="1107"/>
      <c r="Y61" s="1107"/>
      <c r="Z61" s="1107"/>
      <c r="AA61" s="1107"/>
      <c r="AB61" s="1107"/>
      <c r="AC61" s="1107"/>
      <c r="AD61" s="1107"/>
      <c r="AE61" s="1107"/>
      <c r="AF61" s="1107"/>
      <c r="AG61" s="1107"/>
      <c r="AH61" s="1107"/>
      <c r="AI61" s="1107"/>
      <c r="AJ61" s="1107"/>
      <c r="AK61" s="1107"/>
      <c r="AL61" s="1107"/>
      <c r="AM61" s="1107"/>
    </row>
    <row r="62" spans="1:39" ht="14.25">
      <c r="A62" s="267">
        <v>60</v>
      </c>
      <c r="B62" s="1740"/>
      <c r="C62" s="1740"/>
    </row>
    <row r="63" spans="1:39" ht="14.25">
      <c r="A63" s="267">
        <v>61</v>
      </c>
      <c r="B63" s="1740"/>
      <c r="C63" s="1740"/>
    </row>
    <row r="64" spans="1:39" ht="14.25">
      <c r="A64" s="267">
        <v>62</v>
      </c>
      <c r="B64" s="1740"/>
      <c r="C64" s="1740"/>
    </row>
    <row r="65" spans="1:3" ht="14.25">
      <c r="A65" s="267">
        <v>63</v>
      </c>
      <c r="B65" s="1740"/>
      <c r="C65" s="1740"/>
    </row>
    <row r="66" spans="1:3" ht="14.25">
      <c r="A66" s="267">
        <v>64</v>
      </c>
      <c r="B66" s="1740"/>
      <c r="C66" s="1740"/>
    </row>
    <row r="67" spans="1:3" ht="14.25">
      <c r="A67" s="267">
        <v>65</v>
      </c>
      <c r="B67" s="1740"/>
      <c r="C67" s="1740"/>
    </row>
    <row r="68" spans="1:3" ht="14.25">
      <c r="A68" s="267">
        <v>66</v>
      </c>
      <c r="B68" s="1740"/>
      <c r="C68" s="1740"/>
    </row>
    <row r="69" spans="1:3" ht="14.25">
      <c r="A69" s="267">
        <v>67</v>
      </c>
      <c r="B69" s="1740"/>
      <c r="C69" s="1740"/>
    </row>
  </sheetData>
  <mergeCells count="37">
    <mergeCell ref="B2:D2"/>
    <mergeCell ref="B4:B12"/>
    <mergeCell ref="B15:D16"/>
    <mergeCell ref="W61:AM61"/>
    <mergeCell ref="W60:AM60"/>
    <mergeCell ref="W38:AM38"/>
    <mergeCell ref="X40:AD40"/>
    <mergeCell ref="X41:AA41"/>
    <mergeCell ref="AB41:AD41"/>
    <mergeCell ref="AF41:AM41"/>
    <mergeCell ref="W42:W44"/>
    <mergeCell ref="Y42:Z42"/>
    <mergeCell ref="AA42:AB42"/>
    <mergeCell ref="AC42:AD42"/>
    <mergeCell ref="AE42:AF42"/>
    <mergeCell ref="AG42:AH42"/>
    <mergeCell ref="P4:W4"/>
    <mergeCell ref="W37:AM37"/>
    <mergeCell ref="X39:AD39"/>
    <mergeCell ref="AF39:AM39"/>
    <mergeCell ref="AF40:AM40"/>
    <mergeCell ref="P5:W5"/>
    <mergeCell ref="P6:W6"/>
    <mergeCell ref="G7:G9"/>
    <mergeCell ref="I7:J7"/>
    <mergeCell ref="G2:W2"/>
    <mergeCell ref="W25:AM25"/>
    <mergeCell ref="W26:AM26"/>
    <mergeCell ref="K7:L7"/>
    <mergeCell ref="M7:N7"/>
    <mergeCell ref="O7:P7"/>
    <mergeCell ref="Q7:R7"/>
    <mergeCell ref="G3:W3"/>
    <mergeCell ref="H5:N5"/>
    <mergeCell ref="H4:N4"/>
    <mergeCell ref="L6:N6"/>
    <mergeCell ref="H6:K6"/>
  </mergeCells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47C57-FB10-42A4-9FB8-576BE92A9DE8}">
  <sheetPr codeName="Sheet24">
    <tabColor theme="5" tint="0.79998168889431442"/>
  </sheetPr>
  <dimension ref="A1:L90"/>
  <sheetViews>
    <sheetView workbookViewId="0">
      <selection activeCell="D4" sqref="D4"/>
    </sheetView>
  </sheetViews>
  <sheetFormatPr defaultColWidth="9.140625" defaultRowHeight="12.75"/>
  <cols>
    <col min="1" max="1" width="14" style="275" customWidth="1"/>
    <col min="2" max="2" width="26.5703125" style="275" customWidth="1"/>
    <col min="3" max="3" width="30.85546875" style="275" bestFit="1" customWidth="1"/>
    <col min="4" max="4" width="50.7109375" style="275" bestFit="1" customWidth="1"/>
    <col min="5" max="5" width="28.42578125" style="275" bestFit="1" customWidth="1"/>
    <col min="6" max="6" width="13.85546875" style="291" customWidth="1"/>
    <col min="7" max="8" width="9.140625" style="275"/>
    <col min="9" max="10" width="17.5703125" style="275" customWidth="1"/>
    <col min="11" max="11" width="16.28515625" style="275" customWidth="1"/>
    <col min="12" max="12" width="14.42578125" style="275" customWidth="1"/>
    <col min="13" max="16384" width="9.140625" style="275"/>
  </cols>
  <sheetData>
    <row r="1" spans="1:12" ht="24">
      <c r="A1" s="390" t="s">
        <v>101</v>
      </c>
      <c r="B1" s="388">
        <v>1</v>
      </c>
      <c r="C1" s="388">
        <v>2</v>
      </c>
      <c r="D1" s="388">
        <v>3</v>
      </c>
      <c r="E1" s="388">
        <v>4</v>
      </c>
      <c r="F1" s="389">
        <v>5</v>
      </c>
      <c r="G1" s="388">
        <v>6</v>
      </c>
      <c r="H1" s="388">
        <v>7</v>
      </c>
      <c r="I1" s="388">
        <v>8</v>
      </c>
      <c r="J1" s="388">
        <v>9</v>
      </c>
      <c r="K1" s="388">
        <v>10</v>
      </c>
      <c r="L1" s="388">
        <v>11</v>
      </c>
    </row>
    <row r="2" spans="1:12" ht="26.25">
      <c r="A2" s="387">
        <v>0</v>
      </c>
      <c r="B2" s="1115" t="s">
        <v>930</v>
      </c>
      <c r="C2" s="1116"/>
      <c r="D2" s="1116"/>
      <c r="F2" s="1127" t="s">
        <v>931</v>
      </c>
      <c r="G2" s="1127"/>
      <c r="H2" s="1127"/>
      <c r="I2" s="1127"/>
      <c r="J2" s="1127"/>
      <c r="K2" s="1127"/>
      <c r="L2" s="1127"/>
    </row>
    <row r="3" spans="1:12" ht="24" thickBot="1">
      <c r="A3" s="324">
        <v>1</v>
      </c>
      <c r="B3" s="386" t="s">
        <v>704</v>
      </c>
      <c r="C3" s="386" t="s">
        <v>568</v>
      </c>
      <c r="D3" s="386" t="s">
        <v>569</v>
      </c>
      <c r="F3" s="1124" t="s">
        <v>932</v>
      </c>
      <c r="G3" s="1125"/>
      <c r="H3" s="1125"/>
      <c r="I3" s="1125"/>
      <c r="J3" s="1125"/>
      <c r="K3" s="1126"/>
      <c r="L3" s="1126"/>
    </row>
    <row r="4" spans="1:12" ht="17.25" customHeight="1" thickTop="1">
      <c r="A4" s="324">
        <v>2</v>
      </c>
      <c r="B4" s="1119" t="s">
        <v>925</v>
      </c>
      <c r="C4" s="383" t="s">
        <v>926</v>
      </c>
      <c r="D4" s="384"/>
      <c r="F4" s="462" t="s">
        <v>933</v>
      </c>
      <c r="G4" s="1110">
        <f>D4</f>
        <v>0</v>
      </c>
      <c r="H4" s="1111"/>
      <c r="I4" s="1130" t="s">
        <v>934</v>
      </c>
      <c r="J4" s="1130"/>
      <c r="K4" s="1137">
        <f>D5</f>
        <v>0</v>
      </c>
      <c r="L4" s="1118"/>
    </row>
    <row r="5" spans="1:12" ht="21" customHeight="1">
      <c r="A5" s="324">
        <v>3</v>
      </c>
      <c r="B5" s="776"/>
      <c r="C5" s="331" t="s">
        <v>927</v>
      </c>
      <c r="D5" s="369"/>
      <c r="F5" s="462" t="s">
        <v>935</v>
      </c>
      <c r="G5" s="1128">
        <f>D6</f>
        <v>0</v>
      </c>
      <c r="H5" s="1129"/>
      <c r="I5" s="1130" t="s">
        <v>936</v>
      </c>
      <c r="J5" s="1130"/>
      <c r="K5" s="799">
        <f>D7</f>
        <v>0</v>
      </c>
      <c r="L5" s="798"/>
    </row>
    <row r="6" spans="1:12" ht="16.5" customHeight="1">
      <c r="A6" s="324">
        <v>4</v>
      </c>
      <c r="B6" s="776"/>
      <c r="C6" s="331" t="s">
        <v>928</v>
      </c>
      <c r="D6" s="369"/>
      <c r="F6" s="1138"/>
      <c r="G6" s="1139"/>
      <c r="H6" s="1139"/>
      <c r="I6" s="1139"/>
      <c r="J6" s="1139"/>
      <c r="K6" s="1140"/>
      <c r="L6" s="1141"/>
    </row>
    <row r="7" spans="1:12" ht="16.5" customHeight="1" thickBot="1">
      <c r="A7" s="324">
        <v>5</v>
      </c>
      <c r="B7" s="777"/>
      <c r="C7" s="364" t="s">
        <v>929</v>
      </c>
      <c r="D7" s="450"/>
      <c r="F7" s="455" t="s">
        <v>937</v>
      </c>
      <c r="G7" s="1142" t="s">
        <v>938</v>
      </c>
      <c r="H7" s="1143"/>
      <c r="I7" s="1146" t="s">
        <v>939</v>
      </c>
      <c r="J7" s="1142" t="s">
        <v>940</v>
      </c>
      <c r="K7" s="1143"/>
      <c r="L7" s="455" t="s">
        <v>941</v>
      </c>
    </row>
    <row r="8" spans="1:12" ht="16.5" customHeight="1">
      <c r="A8" s="324">
        <v>6</v>
      </c>
      <c r="F8" s="456" t="s">
        <v>942</v>
      </c>
      <c r="G8" s="1144"/>
      <c r="H8" s="1145"/>
      <c r="I8" s="1104"/>
      <c r="J8" s="1144"/>
      <c r="K8" s="1145"/>
      <c r="L8" s="456" t="s">
        <v>943</v>
      </c>
    </row>
    <row r="9" spans="1:12" ht="15.75" customHeight="1">
      <c r="A9" s="324">
        <v>7</v>
      </c>
      <c r="F9" s="448">
        <v>1</v>
      </c>
      <c r="G9" s="1117">
        <f>B13</f>
        <v>0</v>
      </c>
      <c r="H9" s="1118"/>
      <c r="I9" s="457">
        <f>C13</f>
        <v>0</v>
      </c>
      <c r="J9" s="1117">
        <f>D13</f>
        <v>0</v>
      </c>
      <c r="K9" s="1118"/>
      <c r="L9" s="448"/>
    </row>
    <row r="10" spans="1:12" ht="16.5" customHeight="1">
      <c r="A10" s="324">
        <v>8</v>
      </c>
      <c r="B10" s="1120" t="s">
        <v>944</v>
      </c>
      <c r="C10" s="1121"/>
      <c r="D10" s="1121"/>
      <c r="E10" s="291"/>
      <c r="F10" s="448">
        <v>2</v>
      </c>
      <c r="G10" s="1117">
        <f t="shared" ref="G10:G18" si="0">B14</f>
        <v>0</v>
      </c>
      <c r="H10" s="1118"/>
      <c r="I10" s="457">
        <f t="shared" ref="I10:I18" si="1">C14</f>
        <v>0</v>
      </c>
      <c r="J10" s="1117">
        <f t="shared" ref="J10:J18" si="2">D14</f>
        <v>0</v>
      </c>
      <c r="K10" s="1118"/>
      <c r="L10" s="448"/>
    </row>
    <row r="11" spans="1:12" ht="17.25" customHeight="1" thickBot="1">
      <c r="A11" s="324">
        <v>9</v>
      </c>
      <c r="B11" s="1122"/>
      <c r="C11" s="1123"/>
      <c r="D11" s="1123"/>
      <c r="E11" s="291"/>
      <c r="F11" s="448">
        <v>3</v>
      </c>
      <c r="G11" s="1117">
        <f t="shared" si="0"/>
        <v>0</v>
      </c>
      <c r="H11" s="1118"/>
      <c r="I11" s="457">
        <f t="shared" si="1"/>
        <v>0</v>
      </c>
      <c r="J11" s="1117">
        <f t="shared" si="2"/>
        <v>0</v>
      </c>
      <c r="K11" s="1118"/>
      <c r="L11" s="448"/>
    </row>
    <row r="12" spans="1:12" ht="17.25" customHeight="1" thickTop="1">
      <c r="A12" s="324">
        <v>10</v>
      </c>
      <c r="B12" s="206" t="s">
        <v>945</v>
      </c>
      <c r="C12" s="206" t="s">
        <v>946</v>
      </c>
      <c r="D12" s="458" t="s">
        <v>947</v>
      </c>
      <c r="E12" s="291"/>
      <c r="F12" s="448">
        <v>4</v>
      </c>
      <c r="G12" s="1117">
        <f t="shared" si="0"/>
        <v>0</v>
      </c>
      <c r="H12" s="1118"/>
      <c r="I12" s="457">
        <f t="shared" si="1"/>
        <v>0</v>
      </c>
      <c r="J12" s="1117">
        <f t="shared" si="2"/>
        <v>0</v>
      </c>
      <c r="K12" s="1118"/>
      <c r="L12" s="448"/>
    </row>
    <row r="13" spans="1:12" ht="18" customHeight="1">
      <c r="A13" s="324">
        <v>11</v>
      </c>
      <c r="B13" s="228"/>
      <c r="C13" s="209"/>
      <c r="D13" s="451"/>
      <c r="E13" s="291"/>
      <c r="F13" s="448">
        <v>5</v>
      </c>
      <c r="G13" s="1117">
        <f t="shared" si="0"/>
        <v>0</v>
      </c>
      <c r="H13" s="1118"/>
      <c r="I13" s="457">
        <f t="shared" si="1"/>
        <v>0</v>
      </c>
      <c r="J13" s="1117">
        <f t="shared" si="2"/>
        <v>0</v>
      </c>
      <c r="K13" s="1118"/>
      <c r="L13" s="448"/>
    </row>
    <row r="14" spans="1:12" ht="16.5" customHeight="1">
      <c r="A14" s="324">
        <v>12</v>
      </c>
      <c r="B14" s="228"/>
      <c r="C14" s="209"/>
      <c r="D14" s="451"/>
      <c r="E14" s="291"/>
      <c r="F14" s="448">
        <v>6</v>
      </c>
      <c r="G14" s="1117">
        <f t="shared" si="0"/>
        <v>0</v>
      </c>
      <c r="H14" s="1118"/>
      <c r="I14" s="457">
        <f t="shared" si="1"/>
        <v>0</v>
      </c>
      <c r="J14" s="1117">
        <f t="shared" si="2"/>
        <v>0</v>
      </c>
      <c r="K14" s="1118"/>
      <c r="L14" s="448"/>
    </row>
    <row r="15" spans="1:12" ht="16.5" customHeight="1">
      <c r="A15" s="324">
        <v>13</v>
      </c>
      <c r="B15" s="228"/>
      <c r="C15" s="209"/>
      <c r="D15" s="451"/>
      <c r="E15" s="291"/>
      <c r="F15" s="448">
        <v>7</v>
      </c>
      <c r="G15" s="1117">
        <f t="shared" si="0"/>
        <v>0</v>
      </c>
      <c r="H15" s="1118"/>
      <c r="I15" s="457">
        <f t="shared" si="1"/>
        <v>0</v>
      </c>
      <c r="J15" s="1117">
        <f t="shared" si="2"/>
        <v>0</v>
      </c>
      <c r="K15" s="1118"/>
      <c r="L15" s="448"/>
    </row>
    <row r="16" spans="1:12" ht="16.5" customHeight="1">
      <c r="A16" s="324">
        <v>14</v>
      </c>
      <c r="B16" s="228"/>
      <c r="C16" s="209"/>
      <c r="D16" s="451"/>
      <c r="E16" s="291"/>
      <c r="F16" s="448">
        <v>8</v>
      </c>
      <c r="G16" s="1117">
        <f t="shared" si="0"/>
        <v>0</v>
      </c>
      <c r="H16" s="1118"/>
      <c r="I16" s="457">
        <f t="shared" si="1"/>
        <v>0</v>
      </c>
      <c r="J16" s="1117">
        <f t="shared" si="2"/>
        <v>0</v>
      </c>
      <c r="K16" s="1118"/>
      <c r="L16" s="448"/>
    </row>
    <row r="17" spans="1:12" ht="16.5" customHeight="1">
      <c r="A17" s="324">
        <v>15</v>
      </c>
      <c r="B17" s="228"/>
      <c r="C17" s="209"/>
      <c r="D17" s="451"/>
      <c r="E17" s="291"/>
      <c r="F17" s="448">
        <v>9</v>
      </c>
      <c r="G17" s="1117">
        <f t="shared" si="0"/>
        <v>0</v>
      </c>
      <c r="H17" s="1118"/>
      <c r="I17" s="457">
        <f t="shared" si="1"/>
        <v>0</v>
      </c>
      <c r="J17" s="1117">
        <f t="shared" si="2"/>
        <v>0</v>
      </c>
      <c r="K17" s="1118"/>
      <c r="L17" s="448"/>
    </row>
    <row r="18" spans="1:12" ht="16.5" customHeight="1">
      <c r="A18" s="324">
        <v>16</v>
      </c>
      <c r="B18" s="228"/>
      <c r="C18" s="209"/>
      <c r="D18" s="451"/>
      <c r="E18" s="291"/>
      <c r="F18" s="448">
        <v>10</v>
      </c>
      <c r="G18" s="1117">
        <f t="shared" si="0"/>
        <v>0</v>
      </c>
      <c r="H18" s="1118"/>
      <c r="I18" s="457">
        <f t="shared" si="1"/>
        <v>0</v>
      </c>
      <c r="J18" s="1117">
        <f t="shared" si="2"/>
        <v>0</v>
      </c>
      <c r="K18" s="1118"/>
      <c r="L18" s="448"/>
    </row>
    <row r="19" spans="1:12" ht="17.25" customHeight="1">
      <c r="A19" s="324">
        <v>17</v>
      </c>
      <c r="B19" s="228"/>
      <c r="C19" s="209"/>
      <c r="D19" s="451"/>
      <c r="E19" s="291"/>
      <c r="F19" s="453"/>
      <c r="G19" s="39"/>
      <c r="H19" s="39"/>
      <c r="I19" s="39"/>
      <c r="J19" s="39"/>
      <c r="K19" s="39"/>
      <c r="L19" s="39"/>
    </row>
    <row r="20" spans="1:12" ht="17.25" customHeight="1">
      <c r="A20" s="324">
        <v>18</v>
      </c>
      <c r="B20" s="228"/>
      <c r="C20" s="209"/>
      <c r="D20" s="451"/>
      <c r="E20" s="291"/>
      <c r="F20" s="1147" t="s">
        <v>948</v>
      </c>
      <c r="G20" s="1147"/>
      <c r="H20" s="1147"/>
      <c r="I20" s="1147"/>
      <c r="J20" s="1147"/>
      <c r="K20" s="1147"/>
      <c r="L20" s="1147"/>
    </row>
    <row r="21" spans="1:12" ht="16.899999999999999" customHeight="1">
      <c r="A21" s="324">
        <v>19</v>
      </c>
      <c r="B21" s="228"/>
      <c r="C21" s="209"/>
      <c r="D21" s="451"/>
      <c r="E21" s="291"/>
      <c r="F21" s="459" t="s">
        <v>949</v>
      </c>
      <c r="G21" s="459" t="s">
        <v>950</v>
      </c>
      <c r="H21" s="464" t="s">
        <v>951</v>
      </c>
      <c r="I21" s="1148" t="s">
        <v>952</v>
      </c>
      <c r="J21" s="1148"/>
      <c r="K21" s="1148"/>
      <c r="L21" s="470" t="s">
        <v>953</v>
      </c>
    </row>
    <row r="22" spans="1:12" ht="15.75" thickBot="1">
      <c r="A22" s="324">
        <v>20</v>
      </c>
      <c r="B22" s="231"/>
      <c r="C22" s="227"/>
      <c r="D22" s="452"/>
      <c r="E22" s="291"/>
      <c r="F22" s="1131">
        <v>1</v>
      </c>
      <c r="G22" s="1131" t="s">
        <v>954</v>
      </c>
      <c r="H22" s="465" t="s">
        <v>955</v>
      </c>
      <c r="I22" s="1136" t="s">
        <v>956</v>
      </c>
      <c r="J22" s="1136"/>
      <c r="K22" s="1136"/>
      <c r="L22" s="1149" t="s">
        <v>957</v>
      </c>
    </row>
    <row r="23" spans="1:12" ht="13.5" customHeight="1">
      <c r="A23" s="324">
        <v>21</v>
      </c>
      <c r="F23" s="1133"/>
      <c r="G23" s="1133"/>
      <c r="H23" s="466" t="s">
        <v>958</v>
      </c>
      <c r="I23" s="1136"/>
      <c r="J23" s="1136"/>
      <c r="K23" s="1136"/>
      <c r="L23" s="1150"/>
    </row>
    <row r="24" spans="1:12" ht="22.5" customHeight="1">
      <c r="A24" s="324">
        <v>22</v>
      </c>
      <c r="F24" s="1131">
        <v>2</v>
      </c>
      <c r="G24" s="1131" t="s">
        <v>959</v>
      </c>
      <c r="H24" s="465" t="s">
        <v>955</v>
      </c>
      <c r="I24" s="1136" t="s">
        <v>960</v>
      </c>
      <c r="J24" s="1136"/>
      <c r="K24" s="1136"/>
      <c r="L24" s="471" t="s">
        <v>961</v>
      </c>
    </row>
    <row r="25" spans="1:12" ht="16.899999999999999" customHeight="1">
      <c r="A25" s="324">
        <v>23</v>
      </c>
      <c r="F25" s="1133"/>
      <c r="G25" s="1133"/>
      <c r="H25" s="466" t="s">
        <v>958</v>
      </c>
      <c r="I25" s="1136"/>
      <c r="J25" s="1136"/>
      <c r="K25" s="1136"/>
      <c r="L25" s="472" t="s">
        <v>962</v>
      </c>
    </row>
    <row r="26" spans="1:12" ht="16.899999999999999" customHeight="1">
      <c r="A26" s="324">
        <v>24</v>
      </c>
      <c r="F26" s="1131">
        <v>3</v>
      </c>
      <c r="G26" s="1131" t="s">
        <v>963</v>
      </c>
      <c r="H26" s="465" t="s">
        <v>955</v>
      </c>
      <c r="I26" s="1136" t="s">
        <v>964</v>
      </c>
      <c r="J26" s="1136"/>
      <c r="K26" s="1136"/>
      <c r="L26" s="471" t="s">
        <v>965</v>
      </c>
    </row>
    <row r="27" spans="1:12" ht="16.5" customHeight="1">
      <c r="A27" s="324">
        <v>25</v>
      </c>
      <c r="F27" s="1132"/>
      <c r="G27" s="1132"/>
      <c r="H27" s="467" t="s">
        <v>958</v>
      </c>
      <c r="I27" s="1136" t="s">
        <v>966</v>
      </c>
      <c r="J27" s="1136"/>
      <c r="K27" s="1136"/>
      <c r="L27" s="473" t="s">
        <v>967</v>
      </c>
    </row>
    <row r="28" spans="1:12" ht="16.5" customHeight="1">
      <c r="A28" s="324">
        <v>26</v>
      </c>
      <c r="F28" s="1133"/>
      <c r="G28" s="1133"/>
      <c r="H28" s="468"/>
      <c r="I28" s="1136" t="s">
        <v>968</v>
      </c>
      <c r="J28" s="1136"/>
      <c r="K28" s="1136"/>
      <c r="L28" s="474"/>
    </row>
    <row r="29" spans="1:12" ht="16.5" customHeight="1">
      <c r="A29" s="324">
        <v>27</v>
      </c>
      <c r="F29" s="1131">
        <v>4</v>
      </c>
      <c r="G29" s="1131" t="s">
        <v>969</v>
      </c>
      <c r="H29" s="1134" t="s">
        <v>970</v>
      </c>
      <c r="I29" s="1136" t="s">
        <v>971</v>
      </c>
      <c r="J29" s="1136"/>
      <c r="K29" s="1136"/>
      <c r="L29" s="471" t="s">
        <v>972</v>
      </c>
    </row>
    <row r="30" spans="1:12" ht="15.75" customHeight="1">
      <c r="A30" s="324">
        <v>28</v>
      </c>
      <c r="F30" s="1132"/>
      <c r="G30" s="1132"/>
      <c r="H30" s="1135"/>
      <c r="I30" s="1136"/>
      <c r="J30" s="1136"/>
      <c r="K30" s="1136"/>
      <c r="L30" s="472" t="s">
        <v>973</v>
      </c>
    </row>
    <row r="31" spans="1:12" ht="16.5" customHeight="1">
      <c r="A31" s="324">
        <v>29</v>
      </c>
      <c r="F31" s="1133"/>
      <c r="G31" s="1133"/>
      <c r="H31" s="469" t="s">
        <v>974</v>
      </c>
      <c r="I31" s="1136" t="s">
        <v>975</v>
      </c>
      <c r="J31" s="1136"/>
      <c r="K31" s="1136"/>
      <c r="L31" s="475" t="s">
        <v>976</v>
      </c>
    </row>
    <row r="32" spans="1:12" ht="34.9" customHeight="1">
      <c r="A32" s="324">
        <v>30</v>
      </c>
      <c r="F32" s="1131">
        <v>5</v>
      </c>
      <c r="G32" s="1131" t="s">
        <v>977</v>
      </c>
      <c r="H32" s="469" t="s">
        <v>970</v>
      </c>
      <c r="I32" s="1136" t="s">
        <v>978</v>
      </c>
      <c r="J32" s="1136"/>
      <c r="K32" s="1136"/>
      <c r="L32" s="475" t="s">
        <v>979</v>
      </c>
    </row>
    <row r="33" spans="1:12" ht="46.5" customHeight="1">
      <c r="A33" s="324">
        <v>31</v>
      </c>
      <c r="F33" s="1132"/>
      <c r="G33" s="1132"/>
      <c r="H33" s="469" t="s">
        <v>980</v>
      </c>
      <c r="I33" s="1136" t="s">
        <v>981</v>
      </c>
      <c r="J33" s="1136"/>
      <c r="K33" s="1136"/>
      <c r="L33" s="475" t="s">
        <v>976</v>
      </c>
    </row>
    <row r="34" spans="1:12" ht="23.25" customHeight="1">
      <c r="A34" s="324">
        <v>32</v>
      </c>
      <c r="F34" s="1132"/>
      <c r="G34" s="1132"/>
      <c r="H34" s="469" t="s">
        <v>980</v>
      </c>
      <c r="I34" s="1136" t="s">
        <v>982</v>
      </c>
      <c r="J34" s="1136"/>
      <c r="K34" s="1136"/>
      <c r="L34" s="475" t="s">
        <v>976</v>
      </c>
    </row>
    <row r="35" spans="1:12" ht="34.9" customHeight="1">
      <c r="A35" s="324">
        <v>33</v>
      </c>
      <c r="F35" s="1133"/>
      <c r="G35" s="1133"/>
      <c r="H35" s="469" t="s">
        <v>974</v>
      </c>
      <c r="I35" s="1136" t="s">
        <v>983</v>
      </c>
      <c r="J35" s="1136"/>
      <c r="K35" s="1136"/>
      <c r="L35" s="475" t="s">
        <v>976</v>
      </c>
    </row>
    <row r="36" spans="1:12" ht="23.25" customHeight="1">
      <c r="A36" s="324">
        <v>34</v>
      </c>
      <c r="F36" s="461">
        <v>6</v>
      </c>
      <c r="G36" s="461" t="s">
        <v>984</v>
      </c>
      <c r="H36" s="469" t="s">
        <v>985</v>
      </c>
      <c r="I36" s="1136" t="s">
        <v>986</v>
      </c>
      <c r="J36" s="1136"/>
      <c r="K36" s="1136"/>
      <c r="L36" s="475" t="s">
        <v>976</v>
      </c>
    </row>
    <row r="37" spans="1:12" ht="13.5" customHeight="1">
      <c r="A37" s="324">
        <v>35</v>
      </c>
      <c r="F37" s="1151" t="s">
        <v>987</v>
      </c>
      <c r="G37" s="1151"/>
      <c r="H37" s="1151"/>
      <c r="I37" s="1151"/>
      <c r="J37" s="1151"/>
      <c r="K37" s="1151"/>
      <c r="L37" s="1151"/>
    </row>
    <row r="38" spans="1:12" ht="14.25">
      <c r="A38" s="324">
        <v>36</v>
      </c>
      <c r="F38" s="1151"/>
      <c r="G38" s="1151"/>
      <c r="H38" s="1151"/>
      <c r="I38" s="1151"/>
      <c r="J38" s="1151"/>
      <c r="K38" s="1151"/>
      <c r="L38" s="1151"/>
    </row>
    <row r="39" spans="1:12" ht="14.25">
      <c r="A39" s="324">
        <v>37</v>
      </c>
      <c r="F39" s="463"/>
      <c r="G39" s="463"/>
      <c r="H39" s="463"/>
      <c r="I39" s="463"/>
      <c r="J39" s="463"/>
      <c r="K39" s="463"/>
    </row>
    <row r="40" spans="1:12" ht="13.5" customHeight="1">
      <c r="A40" s="324">
        <v>38</v>
      </c>
      <c r="F40" s="1151" t="s">
        <v>988</v>
      </c>
      <c r="G40" s="1151"/>
      <c r="H40" s="1151"/>
      <c r="I40" s="1151"/>
      <c r="J40" s="1151"/>
      <c r="K40" s="1151"/>
      <c r="L40" s="1151"/>
    </row>
    <row r="41" spans="1:12" ht="14.25">
      <c r="A41" s="324">
        <v>39</v>
      </c>
      <c r="F41" s="1151"/>
      <c r="G41" s="1151"/>
      <c r="H41" s="1151"/>
      <c r="I41" s="1151"/>
      <c r="J41" s="1151"/>
      <c r="K41" s="1151"/>
      <c r="L41" s="1151"/>
    </row>
    <row r="42" spans="1:12" ht="19.5" customHeight="1">
      <c r="A42" s="324">
        <v>40</v>
      </c>
      <c r="F42" s="463"/>
      <c r="G42" s="463"/>
      <c r="H42" s="463"/>
      <c r="I42" s="463"/>
      <c r="J42" s="463"/>
      <c r="K42" s="463"/>
    </row>
    <row r="43" spans="1:12" ht="14.25">
      <c r="A43" s="324">
        <v>41</v>
      </c>
      <c r="F43" s="275"/>
    </row>
    <row r="44" spans="1:12" ht="14.25">
      <c r="A44" s="324">
        <v>42</v>
      </c>
    </row>
    <row r="45" spans="1:12" ht="15.75" customHeight="1">
      <c r="A45" s="324">
        <v>43</v>
      </c>
    </row>
    <row r="46" spans="1:12" ht="15.75" customHeight="1">
      <c r="A46" s="324">
        <v>44</v>
      </c>
    </row>
    <row r="47" spans="1:12" ht="15.75" customHeight="1">
      <c r="A47" s="324">
        <v>45</v>
      </c>
    </row>
    <row r="48" spans="1:12" ht="14.25">
      <c r="A48" s="324">
        <v>46</v>
      </c>
    </row>
    <row r="49" spans="1:1" ht="15.75" customHeight="1">
      <c r="A49" s="324">
        <v>47</v>
      </c>
    </row>
    <row r="50" spans="1:1" ht="14.25">
      <c r="A50" s="324">
        <v>48</v>
      </c>
    </row>
    <row r="51" spans="1:1" ht="15.75" customHeight="1">
      <c r="A51" s="324">
        <v>49</v>
      </c>
    </row>
    <row r="52" spans="1:1" ht="15.75" customHeight="1">
      <c r="A52" s="324">
        <v>50</v>
      </c>
    </row>
    <row r="53" spans="1:1" ht="16.5" customHeight="1">
      <c r="A53" s="324">
        <v>51</v>
      </c>
    </row>
    <row r="54" spans="1:1" ht="16.5" customHeight="1">
      <c r="A54" s="324">
        <v>52</v>
      </c>
    </row>
    <row r="55" spans="1:1" ht="16.5" customHeight="1">
      <c r="A55" s="324">
        <v>53</v>
      </c>
    </row>
    <row r="56" spans="1:1" ht="16.5" customHeight="1">
      <c r="A56" s="324">
        <v>54</v>
      </c>
    </row>
    <row r="57" spans="1:1" ht="16.5" customHeight="1">
      <c r="A57" s="324">
        <v>55</v>
      </c>
    </row>
    <row r="58" spans="1:1" ht="16.5" customHeight="1">
      <c r="A58" s="324">
        <v>56</v>
      </c>
    </row>
    <row r="59" spans="1:1" ht="16.5" customHeight="1">
      <c r="A59" s="324">
        <v>57</v>
      </c>
    </row>
    <row r="60" spans="1:1" ht="16.5" customHeight="1">
      <c r="A60" s="324">
        <v>58</v>
      </c>
    </row>
    <row r="61" spans="1:1" ht="19.5" customHeight="1">
      <c r="A61" s="324">
        <v>59</v>
      </c>
    </row>
    <row r="62" spans="1:1" ht="19.5" customHeight="1">
      <c r="A62" s="324">
        <v>60</v>
      </c>
    </row>
    <row r="63" spans="1:1" ht="19.5" customHeight="1">
      <c r="A63" s="324">
        <v>61</v>
      </c>
    </row>
    <row r="64" spans="1:1" ht="16.5" customHeight="1">
      <c r="A64" s="324">
        <v>62</v>
      </c>
    </row>
    <row r="65" spans="1:5" s="291" customFormat="1" ht="14.25">
      <c r="A65" s="324">
        <v>63</v>
      </c>
      <c r="B65" s="275"/>
      <c r="C65" s="275"/>
      <c r="D65" s="275"/>
      <c r="E65" s="275"/>
    </row>
    <row r="66" spans="1:5" s="291" customFormat="1" ht="15" customHeight="1">
      <c r="A66" s="324">
        <v>64</v>
      </c>
      <c r="B66" s="275"/>
      <c r="C66" s="275"/>
      <c r="D66" s="275"/>
      <c r="E66" s="275"/>
    </row>
    <row r="67" spans="1:5" s="291" customFormat="1" ht="15" customHeight="1">
      <c r="A67" s="324">
        <v>65</v>
      </c>
      <c r="B67" s="275"/>
      <c r="C67" s="275"/>
      <c r="D67" s="275"/>
      <c r="E67" s="275"/>
    </row>
    <row r="68" spans="1:5" s="291" customFormat="1" ht="15" customHeight="1">
      <c r="A68" s="324">
        <v>66</v>
      </c>
      <c r="B68" s="275"/>
      <c r="C68" s="275"/>
      <c r="D68" s="275"/>
      <c r="E68" s="275"/>
    </row>
    <row r="69" spans="1:5" s="291" customFormat="1" ht="15" customHeight="1">
      <c r="A69" s="324">
        <v>67</v>
      </c>
      <c r="B69" s="275"/>
      <c r="C69" s="275"/>
      <c r="D69" s="275"/>
      <c r="E69" s="275"/>
    </row>
    <row r="70" spans="1:5" s="291" customFormat="1" ht="15" customHeight="1">
      <c r="A70" s="324">
        <v>68</v>
      </c>
      <c r="B70" s="275"/>
      <c r="C70" s="275"/>
      <c r="D70" s="275"/>
      <c r="E70" s="275"/>
    </row>
    <row r="71" spans="1:5" s="291" customFormat="1" ht="15" customHeight="1">
      <c r="A71" s="324">
        <v>69</v>
      </c>
      <c r="B71" s="275"/>
      <c r="C71" s="275"/>
      <c r="D71" s="275"/>
      <c r="E71" s="275"/>
    </row>
    <row r="72" spans="1:5" s="291" customFormat="1" ht="15" customHeight="1">
      <c r="A72" s="324">
        <v>70</v>
      </c>
      <c r="B72" s="275"/>
      <c r="C72" s="275"/>
      <c r="D72" s="275"/>
      <c r="E72" s="275"/>
    </row>
    <row r="73" spans="1:5" s="291" customFormat="1" ht="15" customHeight="1">
      <c r="A73" s="324">
        <v>71</v>
      </c>
      <c r="B73" s="275"/>
      <c r="C73" s="275"/>
      <c r="D73" s="275"/>
      <c r="E73" s="275"/>
    </row>
    <row r="74" spans="1:5" s="291" customFormat="1" ht="15.4" customHeight="1">
      <c r="A74" s="324">
        <v>72</v>
      </c>
      <c r="B74" s="275"/>
      <c r="C74" s="275"/>
      <c r="D74" s="275"/>
      <c r="E74" s="275"/>
    </row>
    <row r="75" spans="1:5" s="291" customFormat="1" ht="14.25">
      <c r="A75" s="324">
        <v>73</v>
      </c>
      <c r="B75" s="275"/>
      <c r="C75" s="275"/>
      <c r="D75" s="275"/>
      <c r="E75" s="275"/>
    </row>
    <row r="76" spans="1:5" s="291" customFormat="1" ht="14.25">
      <c r="A76" s="324">
        <v>74</v>
      </c>
      <c r="B76" s="275"/>
      <c r="C76" s="275"/>
      <c r="D76" s="275"/>
      <c r="E76" s="275"/>
    </row>
    <row r="77" spans="1:5" s="291" customFormat="1" ht="14.25">
      <c r="A77" s="324">
        <v>75</v>
      </c>
      <c r="B77" s="275"/>
      <c r="C77" s="275"/>
      <c r="D77" s="275"/>
      <c r="E77" s="275"/>
    </row>
    <row r="78" spans="1:5" s="291" customFormat="1" ht="14.25">
      <c r="A78" s="324">
        <v>76</v>
      </c>
      <c r="B78" s="275"/>
      <c r="C78" s="275"/>
      <c r="D78" s="275"/>
      <c r="E78" s="275"/>
    </row>
    <row r="79" spans="1:5" s="291" customFormat="1" ht="14.25">
      <c r="A79" s="324">
        <v>77</v>
      </c>
      <c r="B79" s="275"/>
      <c r="C79" s="275"/>
      <c r="D79" s="275"/>
      <c r="E79" s="275"/>
    </row>
    <row r="80" spans="1:5" s="291" customFormat="1" ht="14.25">
      <c r="A80" s="324">
        <v>78</v>
      </c>
      <c r="B80" s="275"/>
      <c r="C80" s="275"/>
      <c r="D80" s="275"/>
      <c r="E80" s="275"/>
    </row>
    <row r="81" spans="1:1" ht="14.25">
      <c r="A81" s="324">
        <v>79</v>
      </c>
    </row>
    <row r="82" spans="1:1" ht="14.25">
      <c r="A82" s="324">
        <v>80</v>
      </c>
    </row>
    <row r="83" spans="1:1" ht="14.25">
      <c r="A83" s="324">
        <v>81</v>
      </c>
    </row>
    <row r="84" spans="1:1" ht="14.25">
      <c r="A84" s="324">
        <v>82</v>
      </c>
    </row>
    <row r="85" spans="1:1" ht="14.25">
      <c r="A85" s="324">
        <v>83</v>
      </c>
    </row>
    <row r="86" spans="1:1" ht="14.25">
      <c r="A86" s="324">
        <v>84</v>
      </c>
    </row>
    <row r="87" spans="1:1" ht="14.25">
      <c r="A87" s="324">
        <v>85</v>
      </c>
    </row>
    <row r="88" spans="1:1" ht="14.25">
      <c r="A88" s="324">
        <v>86</v>
      </c>
    </row>
    <row r="89" spans="1:1" ht="14.25">
      <c r="A89" s="324">
        <v>87</v>
      </c>
    </row>
    <row r="90" spans="1:1" ht="14.25">
      <c r="A90" s="324">
        <v>88</v>
      </c>
    </row>
  </sheetData>
  <mergeCells count="63">
    <mergeCell ref="I34:K34"/>
    <mergeCell ref="I35:K35"/>
    <mergeCell ref="I36:K36"/>
    <mergeCell ref="F37:L38"/>
    <mergeCell ref="F40:L41"/>
    <mergeCell ref="I29:K30"/>
    <mergeCell ref="I31:K31"/>
    <mergeCell ref="I32:K32"/>
    <mergeCell ref="I33:K33"/>
    <mergeCell ref="F20:L20"/>
    <mergeCell ref="I21:K21"/>
    <mergeCell ref="I22:K23"/>
    <mergeCell ref="I24:K25"/>
    <mergeCell ref="I26:K26"/>
    <mergeCell ref="F32:F35"/>
    <mergeCell ref="G32:G35"/>
    <mergeCell ref="L22:L23"/>
    <mergeCell ref="F24:F25"/>
    <mergeCell ref="G24:G25"/>
    <mergeCell ref="F26:F28"/>
    <mergeCell ref="G26:G28"/>
    <mergeCell ref="I27:K27"/>
    <mergeCell ref="I28:K28"/>
    <mergeCell ref="K4:L4"/>
    <mergeCell ref="F6:L6"/>
    <mergeCell ref="G7:H8"/>
    <mergeCell ref="I7:I8"/>
    <mergeCell ref="J7:K8"/>
    <mergeCell ref="G9:H9"/>
    <mergeCell ref="G17:H17"/>
    <mergeCell ref="J17:K17"/>
    <mergeCell ref="G18:H18"/>
    <mergeCell ref="J18:K18"/>
    <mergeCell ref="G14:H14"/>
    <mergeCell ref="J14:K14"/>
    <mergeCell ref="G15:H15"/>
    <mergeCell ref="J15:K15"/>
    <mergeCell ref="F29:F31"/>
    <mergeCell ref="G29:G31"/>
    <mergeCell ref="H29:H30"/>
    <mergeCell ref="F22:F23"/>
    <mergeCell ref="G22:G23"/>
    <mergeCell ref="G16:H16"/>
    <mergeCell ref="J16:K16"/>
    <mergeCell ref="G11:H11"/>
    <mergeCell ref="J11:K11"/>
    <mergeCell ref="G12:H12"/>
    <mergeCell ref="J12:K12"/>
    <mergeCell ref="G13:H13"/>
    <mergeCell ref="J13:K13"/>
    <mergeCell ref="B2:D2"/>
    <mergeCell ref="G10:H10"/>
    <mergeCell ref="J10:K10"/>
    <mergeCell ref="J9:K9"/>
    <mergeCell ref="K5:L5"/>
    <mergeCell ref="B4:B7"/>
    <mergeCell ref="B10:D11"/>
    <mergeCell ref="F3:L3"/>
    <mergeCell ref="F2:L2"/>
    <mergeCell ref="G4:H4"/>
    <mergeCell ref="G5:H5"/>
    <mergeCell ref="I4:J4"/>
    <mergeCell ref="I5:J5"/>
  </mergeCells>
  <phoneticPr fontId="9" type="noConversion"/>
  <dataValidations count="1">
    <dataValidation allowBlank="1" showInputMessage="1" showErrorMessage="1" promptTitle="연락처" prompt="직통번호만 가능합니다._x000a_예)_x000a_1866-9999 (X)_x000a_051-000-0000 (0)_x000a_" sqref="D6" xr:uid="{D3625BD2-C86A-4CEC-B85C-B900EA8259F5}"/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topLeftCell="A8" workbookViewId="0">
      <selection activeCell="B16" sqref="B16:F22"/>
    </sheetView>
  </sheetViews>
  <sheetFormatPr defaultColWidth="9" defaultRowHeight="12.75"/>
  <cols>
    <col min="1" max="1" width="14" style="39" customWidth="1"/>
    <col min="2" max="2" width="19.5703125" style="39" customWidth="1"/>
    <col min="3" max="3" width="25.5703125" style="39" bestFit="1" customWidth="1"/>
    <col min="4" max="4" width="27.7109375" style="39" customWidth="1"/>
    <col min="5" max="5" width="13.42578125" style="39" bestFit="1" customWidth="1"/>
    <col min="6" max="6" width="21.85546875" style="39" bestFit="1" customWidth="1"/>
    <col min="7" max="7" width="9" style="39"/>
    <col min="8" max="8" width="10" style="39" customWidth="1"/>
    <col min="9" max="12" width="9" style="39"/>
    <col min="13" max="13" width="14" style="39" customWidth="1"/>
    <col min="14" max="15" width="9" style="39"/>
    <col min="16" max="16" width="12.7109375" style="39" customWidth="1"/>
    <col min="17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7" thickBot="1">
      <c r="A2" s="54">
        <v>0</v>
      </c>
      <c r="B2" s="1102" t="s">
        <v>1145</v>
      </c>
      <c r="C2" s="1103"/>
      <c r="D2" s="1103"/>
      <c r="E2" s="1103"/>
      <c r="F2" s="1103"/>
      <c r="H2" s="1154" t="s">
        <v>1148</v>
      </c>
      <c r="I2" s="1154"/>
      <c r="J2" s="1154"/>
      <c r="K2" s="1154"/>
      <c r="L2" s="1154"/>
      <c r="M2" s="1154"/>
      <c r="N2" s="1154"/>
      <c r="O2" s="1154"/>
      <c r="P2" s="1154"/>
    </row>
    <row r="3" spans="1:38" ht="24" thickBot="1">
      <c r="A3" s="55">
        <v>1</v>
      </c>
      <c r="B3" s="254" t="s">
        <v>1143</v>
      </c>
      <c r="C3" s="521" t="s">
        <v>990</v>
      </c>
      <c r="D3" s="420" t="s">
        <v>991</v>
      </c>
      <c r="E3" s="521" t="s">
        <v>990</v>
      </c>
      <c r="F3" s="420" t="s">
        <v>991</v>
      </c>
      <c r="H3" s="1188" t="s">
        <v>1149</v>
      </c>
      <c r="I3" s="1189"/>
      <c r="J3" s="1189"/>
      <c r="K3" s="1189"/>
      <c r="L3" s="1189"/>
      <c r="M3" s="1189"/>
      <c r="N3" s="1189"/>
      <c r="O3" s="1189"/>
      <c r="P3" s="1190"/>
    </row>
    <row r="4" spans="1:38" ht="17.25" thickTop="1">
      <c r="A4" s="55">
        <v>2</v>
      </c>
      <c r="B4" s="522"/>
      <c r="C4" s="218" t="s">
        <v>1144</v>
      </c>
      <c r="D4" s="203"/>
      <c r="E4" s="218"/>
      <c r="F4" s="203"/>
      <c r="H4" s="1191"/>
      <c r="I4" s="1191"/>
      <c r="J4" s="1191"/>
      <c r="K4" s="1191"/>
      <c r="L4" s="1191"/>
      <c r="M4" s="1191"/>
      <c r="N4" s="1191"/>
      <c r="O4" s="1191"/>
      <c r="P4" s="1191"/>
    </row>
    <row r="5" spans="1:38" ht="38.25">
      <c r="A5" s="55">
        <v>3</v>
      </c>
      <c r="B5" s="522"/>
      <c r="C5" s="216" t="s">
        <v>113</v>
      </c>
      <c r="D5" s="203"/>
      <c r="E5" s="218"/>
      <c r="F5" s="203"/>
      <c r="H5" s="531" t="s">
        <v>1150</v>
      </c>
      <c r="I5" s="1186" t="s">
        <v>1151</v>
      </c>
      <c r="J5" s="1187"/>
      <c r="K5" s="532" t="s">
        <v>1152</v>
      </c>
      <c r="L5" s="1186" t="s">
        <v>1153</v>
      </c>
      <c r="M5" s="1187"/>
      <c r="N5" s="1182" t="s">
        <v>1154</v>
      </c>
      <c r="O5" s="799"/>
      <c r="P5" s="799"/>
    </row>
    <row r="6" spans="1:38" ht="15.75">
      <c r="A6" s="55">
        <v>4</v>
      </c>
      <c r="B6" s="522"/>
      <c r="C6" s="217" t="s">
        <v>114</v>
      </c>
      <c r="D6" s="203"/>
      <c r="E6" s="218"/>
      <c r="F6" s="203"/>
      <c r="H6" s="533" t="s">
        <v>1155</v>
      </c>
      <c r="I6" s="1186" t="s">
        <v>1156</v>
      </c>
      <c r="J6" s="1187"/>
      <c r="K6" s="1182" t="s">
        <v>1157</v>
      </c>
      <c r="L6" s="799"/>
      <c r="M6" s="799"/>
      <c r="N6" s="799"/>
      <c r="O6" s="799"/>
      <c r="P6" s="799"/>
    </row>
    <row r="7" spans="1:38" ht="38.25">
      <c r="A7" s="55">
        <v>5</v>
      </c>
      <c r="B7" s="522"/>
      <c r="C7" s="216" t="s">
        <v>112</v>
      </c>
      <c r="D7" s="203"/>
      <c r="E7" s="218"/>
      <c r="F7" s="203"/>
      <c r="H7" s="534"/>
      <c r="I7" s="1186" t="s">
        <v>1158</v>
      </c>
      <c r="J7" s="1187"/>
      <c r="K7" s="532" t="s">
        <v>1159</v>
      </c>
      <c r="L7" s="1192" t="s">
        <v>1160</v>
      </c>
      <c r="M7" s="1193"/>
      <c r="N7" s="1194">
        <v>4</v>
      </c>
      <c r="O7" s="1195"/>
      <c r="P7" s="1195"/>
    </row>
    <row r="8" spans="1:38" ht="25.5">
      <c r="A8" s="55">
        <v>6</v>
      </c>
      <c r="B8" s="522"/>
      <c r="C8" s="216" t="s">
        <v>115</v>
      </c>
      <c r="D8" s="203"/>
      <c r="E8" s="218"/>
      <c r="F8" s="203"/>
      <c r="H8" s="241" t="s">
        <v>1161</v>
      </c>
      <c r="I8" s="1186" t="s">
        <v>1162</v>
      </c>
      <c r="J8" s="1187"/>
      <c r="K8" s="532" t="s">
        <v>1163</v>
      </c>
      <c r="L8" s="1186" t="s">
        <v>1164</v>
      </c>
      <c r="M8" s="1187"/>
      <c r="N8" s="1182" t="s">
        <v>1165</v>
      </c>
      <c r="O8" s="799"/>
      <c r="P8" s="799"/>
    </row>
    <row r="9" spans="1:38" ht="25.5">
      <c r="A9" s="55">
        <v>7</v>
      </c>
      <c r="B9" s="522"/>
      <c r="C9" s="216" t="s">
        <v>113</v>
      </c>
      <c r="D9" s="203"/>
      <c r="E9" s="218"/>
      <c r="F9" s="203"/>
      <c r="H9" s="535" t="s">
        <v>1166</v>
      </c>
      <c r="I9" s="1186" t="s">
        <v>1167</v>
      </c>
      <c r="J9" s="1187"/>
      <c r="K9" s="532" t="s">
        <v>750</v>
      </c>
      <c r="L9" s="1186" t="s">
        <v>1168</v>
      </c>
      <c r="M9" s="1187"/>
      <c r="N9" s="1182" t="s">
        <v>17</v>
      </c>
      <c r="O9" s="799"/>
      <c r="P9" s="799"/>
    </row>
    <row r="10" spans="1:38" ht="15.75">
      <c r="A10" s="55">
        <v>8</v>
      </c>
      <c r="B10" s="522"/>
      <c r="C10" s="216" t="s">
        <v>116</v>
      </c>
      <c r="D10" s="203"/>
      <c r="E10" s="218"/>
      <c r="F10" s="203"/>
      <c r="H10" s="531" t="s">
        <v>1169</v>
      </c>
      <c r="I10" s="1182" t="s">
        <v>1170</v>
      </c>
      <c r="J10" s="799"/>
      <c r="K10" s="798"/>
      <c r="L10" s="797" t="s">
        <v>1171</v>
      </c>
      <c r="M10" s="798"/>
      <c r="N10" s="797" t="s">
        <v>934</v>
      </c>
      <c r="O10" s="798"/>
      <c r="P10" s="449" t="s">
        <v>1172</v>
      </c>
    </row>
    <row r="11" spans="1:38" ht="24.75" customHeight="1">
      <c r="A11" s="55">
        <v>9</v>
      </c>
      <c r="B11" s="522"/>
      <c r="C11" s="216" t="s">
        <v>117</v>
      </c>
      <c r="D11" s="203"/>
      <c r="E11" s="218"/>
      <c r="F11" s="203"/>
      <c r="H11" s="533" t="s">
        <v>1173</v>
      </c>
      <c r="I11" s="1183">
        <f>D4</f>
        <v>0</v>
      </c>
      <c r="J11" s="1184"/>
      <c r="K11" s="1185"/>
      <c r="L11" s="1117">
        <f>D5</f>
        <v>0</v>
      </c>
      <c r="M11" s="1118"/>
      <c r="N11" s="1117">
        <f>D6</f>
        <v>0</v>
      </c>
      <c r="O11" s="1118"/>
      <c r="P11" s="454">
        <f>D7</f>
        <v>0</v>
      </c>
    </row>
    <row r="12" spans="1:38" ht="16.5">
      <c r="A12" s="55">
        <v>10</v>
      </c>
      <c r="B12" s="522"/>
      <c r="C12" s="216" t="s">
        <v>1146</v>
      </c>
      <c r="D12" s="203"/>
      <c r="E12" s="218"/>
      <c r="F12" s="203"/>
      <c r="H12" s="533" t="s">
        <v>1174</v>
      </c>
      <c r="I12" s="1182"/>
      <c r="J12" s="799"/>
      <c r="K12" s="798"/>
      <c r="L12" s="797"/>
      <c r="M12" s="798"/>
      <c r="N12" s="797"/>
      <c r="O12" s="798"/>
      <c r="P12" s="449"/>
    </row>
    <row r="13" spans="1:38" ht="15.75">
      <c r="A13" s="55">
        <v>11</v>
      </c>
      <c r="B13" s="522"/>
      <c r="C13" s="217" t="s">
        <v>112</v>
      </c>
      <c r="D13" s="203"/>
      <c r="E13" s="218"/>
      <c r="F13" s="203"/>
      <c r="H13" s="239"/>
      <c r="I13" s="1182"/>
      <c r="J13" s="799"/>
      <c r="K13" s="798"/>
      <c r="L13" s="797"/>
      <c r="M13" s="798"/>
      <c r="N13" s="797"/>
      <c r="O13" s="798"/>
      <c r="P13" s="449"/>
    </row>
    <row r="14" spans="1:38" ht="16.5" thickBot="1">
      <c r="A14" s="55">
        <v>12</v>
      </c>
      <c r="B14" s="524"/>
      <c r="C14" s="219" t="s">
        <v>110</v>
      </c>
      <c r="D14" s="525"/>
      <c r="E14" s="526"/>
      <c r="F14" s="525"/>
      <c r="H14" s="239"/>
      <c r="I14" s="1182"/>
      <c r="J14" s="799"/>
      <c r="K14" s="798"/>
      <c r="L14" s="797"/>
      <c r="M14" s="798"/>
      <c r="N14" s="797"/>
      <c r="O14" s="798"/>
      <c r="P14" s="449"/>
    </row>
    <row r="15" spans="1:38" ht="17.25" thickBot="1">
      <c r="A15" s="55">
        <v>13</v>
      </c>
      <c r="E15" s="523"/>
      <c r="H15" s="238"/>
      <c r="I15" s="1171"/>
      <c r="J15" s="1172"/>
      <c r="K15" s="1173"/>
      <c r="L15" s="1174"/>
      <c r="M15" s="1173"/>
      <c r="N15" s="1175"/>
      <c r="O15" s="1176"/>
      <c r="P15" s="529"/>
    </row>
    <row r="16" spans="1:38" ht="15" thickBot="1">
      <c r="A16" s="55">
        <v>14</v>
      </c>
      <c r="B16" s="1120" t="s">
        <v>565</v>
      </c>
      <c r="C16" s="1121"/>
      <c r="D16" s="1121"/>
      <c r="E16" s="1121"/>
      <c r="F16" s="1121"/>
      <c r="H16" s="536" t="s">
        <v>1150</v>
      </c>
      <c r="I16" s="1167" t="s">
        <v>1175</v>
      </c>
      <c r="J16" s="1168"/>
      <c r="K16" s="1177">
        <f>D8</f>
        <v>0</v>
      </c>
      <c r="L16" s="1178"/>
      <c r="M16" s="1180"/>
      <c r="N16" s="1169" t="s">
        <v>1171</v>
      </c>
      <c r="O16" s="1181"/>
      <c r="P16" s="537">
        <f>D9</f>
        <v>0</v>
      </c>
    </row>
    <row r="17" spans="1:16" ht="15" thickBot="1">
      <c r="A17" s="55">
        <v>15</v>
      </c>
      <c r="B17" s="1122"/>
      <c r="C17" s="1123"/>
      <c r="D17" s="1123"/>
      <c r="E17" s="1123"/>
      <c r="F17" s="1123"/>
      <c r="H17" s="533" t="s">
        <v>1176</v>
      </c>
      <c r="I17" s="1167" t="s">
        <v>1177</v>
      </c>
      <c r="J17" s="1168"/>
      <c r="K17" s="1177">
        <f>D10</f>
        <v>0</v>
      </c>
      <c r="L17" s="1178"/>
      <c r="M17" s="1178"/>
      <c r="N17" s="1178"/>
      <c r="O17" s="1178"/>
      <c r="P17" s="1178"/>
    </row>
    <row r="18" spans="1:16" ht="18" thickTop="1" thickBot="1">
      <c r="A18" s="55">
        <v>16</v>
      </c>
      <c r="B18" s="421" t="s">
        <v>74</v>
      </c>
      <c r="C18" s="421" t="s">
        <v>75</v>
      </c>
      <c r="D18" s="421" t="s">
        <v>76</v>
      </c>
      <c r="E18" s="421" t="s">
        <v>77</v>
      </c>
      <c r="F18" s="527" t="s">
        <v>1147</v>
      </c>
      <c r="H18" s="239"/>
      <c r="I18" s="1167" t="s">
        <v>936</v>
      </c>
      <c r="J18" s="1168"/>
      <c r="K18" s="1169">
        <f>D11</f>
        <v>0</v>
      </c>
      <c r="L18" s="1170"/>
      <c r="M18" s="1170"/>
      <c r="N18" s="1170"/>
      <c r="O18" s="1170"/>
      <c r="P18" s="1170"/>
    </row>
    <row r="19" spans="1:16" ht="15" thickBot="1">
      <c r="A19" s="55">
        <v>17</v>
      </c>
      <c r="B19" s="505" t="s">
        <v>120</v>
      </c>
      <c r="C19" s="505">
        <v>501111</v>
      </c>
      <c r="D19" s="505" t="s">
        <v>118</v>
      </c>
      <c r="E19" s="505" t="s">
        <v>54</v>
      </c>
      <c r="F19" s="505" t="s">
        <v>121</v>
      </c>
      <c r="H19" s="239"/>
      <c r="I19" s="1167" t="s">
        <v>1178</v>
      </c>
      <c r="J19" s="1168"/>
      <c r="K19" s="1177">
        <f>D12</f>
        <v>0</v>
      </c>
      <c r="L19" s="1178"/>
      <c r="M19" s="1178"/>
      <c r="N19" s="1178"/>
      <c r="O19" s="1178"/>
      <c r="P19" s="1178"/>
    </row>
    <row r="20" spans="1:16" ht="15" thickBot="1">
      <c r="A20" s="55">
        <v>18</v>
      </c>
      <c r="B20" s="505" t="s">
        <v>122</v>
      </c>
      <c r="C20" s="505">
        <v>111111</v>
      </c>
      <c r="D20" s="505" t="s">
        <v>104</v>
      </c>
      <c r="E20" s="505" t="s">
        <v>119</v>
      </c>
      <c r="F20" s="505" t="s">
        <v>123</v>
      </c>
      <c r="H20" s="238"/>
      <c r="I20" s="1167" t="s">
        <v>1172</v>
      </c>
      <c r="J20" s="1168"/>
      <c r="K20" s="1179" t="str">
        <f>D13&amp;"명"</f>
        <v>명</v>
      </c>
      <c r="L20" s="1170"/>
      <c r="M20" s="1170"/>
      <c r="N20" s="1170"/>
      <c r="O20" s="1170"/>
      <c r="P20" s="1170"/>
    </row>
    <row r="21" spans="1:16" ht="15" thickBot="1">
      <c r="A21" s="55">
        <v>19</v>
      </c>
      <c r="H21" s="1160"/>
      <c r="I21" s="1160"/>
      <c r="J21" s="1160"/>
      <c r="K21" s="1160"/>
      <c r="L21" s="1160"/>
      <c r="M21" s="1160"/>
      <c r="N21" s="1160"/>
      <c r="O21" s="1160"/>
      <c r="P21" s="1160"/>
    </row>
    <row r="22" spans="1:16" ht="14.25">
      <c r="A22" s="55">
        <v>20</v>
      </c>
      <c r="H22" s="1161" t="s">
        <v>1179</v>
      </c>
      <c r="I22" s="1163" t="s">
        <v>1180</v>
      </c>
      <c r="J22" s="1164"/>
      <c r="K22" s="1164"/>
      <c r="L22" s="1164"/>
      <c r="M22" s="1164"/>
      <c r="N22" s="1164"/>
      <c r="O22" s="1164"/>
      <c r="P22" s="1164"/>
    </row>
    <row r="23" spans="1:16" ht="15" thickBot="1">
      <c r="A23" s="55">
        <v>21</v>
      </c>
      <c r="H23" s="1162"/>
      <c r="I23" s="1165" t="s">
        <v>1181</v>
      </c>
      <c r="J23" s="1166"/>
      <c r="K23" s="1166"/>
      <c r="L23" s="1166"/>
      <c r="M23" s="1166"/>
      <c r="N23" s="1166"/>
      <c r="O23" s="1166"/>
      <c r="P23" s="1166"/>
    </row>
    <row r="24" spans="1:16" ht="14.25">
      <c r="A24" s="55">
        <v>22</v>
      </c>
      <c r="H24" s="1164"/>
      <c r="I24" s="1164"/>
      <c r="J24" s="1164"/>
      <c r="K24" s="1164"/>
      <c r="L24" s="1164"/>
      <c r="M24" s="1164"/>
      <c r="N24" s="1164"/>
      <c r="O24" s="1164"/>
      <c r="P24" s="1164"/>
    </row>
    <row r="25" spans="1:16" ht="15">
      <c r="A25" s="55">
        <v>23</v>
      </c>
      <c r="H25" s="1155" t="s">
        <v>1182</v>
      </c>
      <c r="I25" s="1155"/>
      <c r="J25" s="1155"/>
      <c r="K25" s="1155"/>
      <c r="L25" s="1155"/>
      <c r="M25" s="1155"/>
      <c r="N25" s="1155"/>
      <c r="O25" s="1155"/>
      <c r="P25" s="1155"/>
    </row>
    <row r="26" spans="1:16" ht="14.25" customHeight="1">
      <c r="A26" s="55">
        <v>24</v>
      </c>
      <c r="H26" s="1156">
        <f>D14</f>
        <v>0</v>
      </c>
      <c r="I26" s="1156"/>
      <c r="J26" s="1156"/>
      <c r="K26" s="1156"/>
      <c r="L26" s="1156"/>
      <c r="M26" s="1156"/>
      <c r="N26" s="1156"/>
      <c r="O26" s="1156"/>
      <c r="P26" s="1156"/>
    </row>
    <row r="27" spans="1:16" ht="14.25">
      <c r="A27" s="55">
        <v>25</v>
      </c>
      <c r="H27" s="1157"/>
      <c r="I27" s="1157"/>
      <c r="J27" s="1157"/>
      <c r="K27" s="1157"/>
      <c r="L27" s="1157"/>
      <c r="M27" s="504" t="s">
        <v>1183</v>
      </c>
      <c r="N27" s="1158" t="s">
        <v>1154</v>
      </c>
      <c r="O27" s="1159" t="s">
        <v>1184</v>
      </c>
      <c r="P27" s="1159"/>
    </row>
    <row r="28" spans="1:16" ht="14.25">
      <c r="A28" s="55">
        <v>26</v>
      </c>
      <c r="H28" s="1157"/>
      <c r="I28" s="1157"/>
      <c r="J28" s="1157"/>
      <c r="K28" s="1157"/>
      <c r="L28" s="1157"/>
      <c r="M28" s="504" t="s">
        <v>1185</v>
      </c>
      <c r="N28" s="1158"/>
      <c r="O28" s="1159"/>
      <c r="P28" s="1159"/>
    </row>
    <row r="29" spans="1:16" ht="15.75" thickBot="1">
      <c r="A29" s="55">
        <v>27</v>
      </c>
      <c r="H29" s="1152" t="s">
        <v>1186</v>
      </c>
      <c r="I29" s="1152"/>
      <c r="J29" s="1153" t="s">
        <v>1187</v>
      </c>
      <c r="K29" s="1153"/>
      <c r="L29" s="1153"/>
      <c r="M29" s="1153"/>
      <c r="N29" s="1153"/>
      <c r="O29" s="1153"/>
      <c r="P29" s="1153"/>
    </row>
    <row r="30" spans="1:16" ht="21.4" customHeight="1" thickTop="1">
      <c r="A30" s="55">
        <v>28</v>
      </c>
      <c r="H30" s="528"/>
    </row>
    <row r="31" spans="1:16" ht="14.25">
      <c r="A31" s="55">
        <v>29</v>
      </c>
      <c r="H31" s="530"/>
    </row>
    <row r="32" spans="1:16" ht="14.25">
      <c r="A32" s="55">
        <v>30</v>
      </c>
      <c r="H32" s="538" t="s">
        <v>1188</v>
      </c>
      <c r="I32"/>
      <c r="J32"/>
      <c r="K32"/>
      <c r="L32"/>
      <c r="M32"/>
    </row>
    <row r="33" spans="1:13" ht="29.25" thickBot="1">
      <c r="A33" s="55">
        <v>31</v>
      </c>
      <c r="H33" s="539" t="s">
        <v>81</v>
      </c>
      <c r="I33" s="539" t="s">
        <v>748</v>
      </c>
      <c r="J33" s="539" t="s">
        <v>95</v>
      </c>
      <c r="K33" s="539" t="s">
        <v>94</v>
      </c>
      <c r="L33" s="539" t="s">
        <v>4</v>
      </c>
      <c r="M33" s="539" t="s">
        <v>1189</v>
      </c>
    </row>
    <row r="34" spans="1:13" ht="29.25" thickBot="1">
      <c r="A34" s="55">
        <v>32</v>
      </c>
      <c r="H34" s="448">
        <v>1</v>
      </c>
      <c r="I34" s="540" t="str">
        <f>B19</f>
        <v>홍길동</v>
      </c>
      <c r="J34" s="540">
        <f>C19</f>
        <v>501111</v>
      </c>
      <c r="K34" s="320" t="str">
        <f>D19</f>
        <v>남</v>
      </c>
      <c r="L34" s="320" t="str">
        <f>E19</f>
        <v>010-111-2222</v>
      </c>
      <c r="M34" s="541" t="str">
        <f>F19</f>
        <v>참여 프로그램명1</v>
      </c>
    </row>
    <row r="35" spans="1:13" ht="29.25" thickBot="1">
      <c r="A35" s="55">
        <v>33</v>
      </c>
      <c r="H35" s="448">
        <v>2</v>
      </c>
      <c r="I35" s="540" t="str">
        <f t="shared" ref="I35:I63" si="0">B20</f>
        <v>수지</v>
      </c>
      <c r="J35" s="540">
        <f t="shared" ref="J35:J63" si="1">C20</f>
        <v>111111</v>
      </c>
      <c r="K35" s="320" t="str">
        <f t="shared" ref="K35:K63" si="2">D20</f>
        <v>여</v>
      </c>
      <c r="L35" s="320" t="str">
        <f t="shared" ref="L35:L63" si="3">E20</f>
        <v>010-111-2223</v>
      </c>
      <c r="M35" s="541" t="str">
        <f t="shared" ref="M35:M63" si="4">F20</f>
        <v>참여 프로그램명2</v>
      </c>
    </row>
    <row r="36" spans="1:13" ht="15" thickBot="1">
      <c r="A36" s="55">
        <v>34</v>
      </c>
      <c r="H36" s="448">
        <v>3</v>
      </c>
      <c r="I36" s="540">
        <f t="shared" si="0"/>
        <v>0</v>
      </c>
      <c r="J36" s="540">
        <f t="shared" si="1"/>
        <v>0</v>
      </c>
      <c r="K36" s="320">
        <f t="shared" si="2"/>
        <v>0</v>
      </c>
      <c r="L36" s="320">
        <f t="shared" si="3"/>
        <v>0</v>
      </c>
      <c r="M36" s="541">
        <f t="shared" si="4"/>
        <v>0</v>
      </c>
    </row>
    <row r="37" spans="1:13" ht="15" thickBot="1">
      <c r="A37" s="55">
        <v>35</v>
      </c>
      <c r="H37" s="448">
        <v>4</v>
      </c>
      <c r="I37" s="540">
        <f t="shared" si="0"/>
        <v>0</v>
      </c>
      <c r="J37" s="540">
        <f t="shared" si="1"/>
        <v>0</v>
      </c>
      <c r="K37" s="320">
        <f t="shared" si="2"/>
        <v>0</v>
      </c>
      <c r="L37" s="320">
        <f t="shared" si="3"/>
        <v>0</v>
      </c>
      <c r="M37" s="541">
        <f t="shared" si="4"/>
        <v>0</v>
      </c>
    </row>
    <row r="38" spans="1:13" ht="15" thickBot="1">
      <c r="A38" s="55">
        <v>36</v>
      </c>
      <c r="H38" s="448">
        <v>5</v>
      </c>
      <c r="I38" s="540">
        <f t="shared" si="0"/>
        <v>0</v>
      </c>
      <c r="J38" s="540">
        <f t="shared" si="1"/>
        <v>0</v>
      </c>
      <c r="K38" s="320">
        <f t="shared" si="2"/>
        <v>0</v>
      </c>
      <c r="L38" s="320">
        <f t="shared" si="3"/>
        <v>0</v>
      </c>
      <c r="M38" s="541">
        <f t="shared" si="4"/>
        <v>0</v>
      </c>
    </row>
    <row r="39" spans="1:13" ht="15" thickBot="1">
      <c r="A39" s="55">
        <v>37</v>
      </c>
      <c r="H39" s="448">
        <v>6</v>
      </c>
      <c r="I39" s="540">
        <f t="shared" si="0"/>
        <v>0</v>
      </c>
      <c r="J39" s="540">
        <f t="shared" si="1"/>
        <v>0</v>
      </c>
      <c r="K39" s="320">
        <f t="shared" si="2"/>
        <v>0</v>
      </c>
      <c r="L39" s="320">
        <f t="shared" si="3"/>
        <v>0</v>
      </c>
      <c r="M39" s="541">
        <f t="shared" si="4"/>
        <v>0</v>
      </c>
    </row>
    <row r="40" spans="1:13" ht="15" thickBot="1">
      <c r="A40" s="55">
        <v>38</v>
      </c>
      <c r="H40" s="448">
        <v>7</v>
      </c>
      <c r="I40" s="540">
        <f t="shared" si="0"/>
        <v>0</v>
      </c>
      <c r="J40" s="540">
        <f t="shared" si="1"/>
        <v>0</v>
      </c>
      <c r="K40" s="320">
        <f t="shared" si="2"/>
        <v>0</v>
      </c>
      <c r="L40" s="320">
        <f t="shared" si="3"/>
        <v>0</v>
      </c>
      <c r="M40" s="541">
        <f t="shared" si="4"/>
        <v>0</v>
      </c>
    </row>
    <row r="41" spans="1:13" ht="15" thickBot="1">
      <c r="A41" s="55">
        <v>39</v>
      </c>
      <c r="H41" s="448">
        <v>8</v>
      </c>
      <c r="I41" s="540">
        <f t="shared" si="0"/>
        <v>0</v>
      </c>
      <c r="J41" s="540">
        <f t="shared" si="1"/>
        <v>0</v>
      </c>
      <c r="K41" s="320">
        <f t="shared" si="2"/>
        <v>0</v>
      </c>
      <c r="L41" s="320">
        <f t="shared" si="3"/>
        <v>0</v>
      </c>
      <c r="M41" s="541">
        <f t="shared" si="4"/>
        <v>0</v>
      </c>
    </row>
    <row r="42" spans="1:13" ht="15" thickBot="1">
      <c r="A42" s="55">
        <v>40</v>
      </c>
      <c r="H42" s="448">
        <v>9</v>
      </c>
      <c r="I42" s="540">
        <f t="shared" si="0"/>
        <v>0</v>
      </c>
      <c r="J42" s="540">
        <f t="shared" si="1"/>
        <v>0</v>
      </c>
      <c r="K42" s="320">
        <f t="shared" si="2"/>
        <v>0</v>
      </c>
      <c r="L42" s="320">
        <f t="shared" si="3"/>
        <v>0</v>
      </c>
      <c r="M42" s="541">
        <f t="shared" si="4"/>
        <v>0</v>
      </c>
    </row>
    <row r="43" spans="1:13" ht="15" thickBot="1">
      <c r="A43" s="55">
        <v>41</v>
      </c>
      <c r="H43" s="448">
        <v>10</v>
      </c>
      <c r="I43" s="540">
        <f t="shared" si="0"/>
        <v>0</v>
      </c>
      <c r="J43" s="540">
        <f t="shared" si="1"/>
        <v>0</v>
      </c>
      <c r="K43" s="320">
        <f t="shared" si="2"/>
        <v>0</v>
      </c>
      <c r="L43" s="320">
        <f t="shared" si="3"/>
        <v>0</v>
      </c>
      <c r="M43" s="541">
        <f t="shared" si="4"/>
        <v>0</v>
      </c>
    </row>
    <row r="44" spans="1:13" ht="15" thickBot="1">
      <c r="A44" s="55">
        <v>42</v>
      </c>
      <c r="H44" s="448">
        <v>11</v>
      </c>
      <c r="I44" s="540">
        <f t="shared" si="0"/>
        <v>0</v>
      </c>
      <c r="J44" s="540">
        <f t="shared" si="1"/>
        <v>0</v>
      </c>
      <c r="K44" s="320">
        <f t="shared" si="2"/>
        <v>0</v>
      </c>
      <c r="L44" s="320">
        <f t="shared" si="3"/>
        <v>0</v>
      </c>
      <c r="M44" s="541">
        <f t="shared" si="4"/>
        <v>0</v>
      </c>
    </row>
    <row r="45" spans="1:13" ht="15" thickBot="1">
      <c r="A45" s="55">
        <v>43</v>
      </c>
      <c r="H45" s="448">
        <v>12</v>
      </c>
      <c r="I45" s="540">
        <f t="shared" si="0"/>
        <v>0</v>
      </c>
      <c r="J45" s="540">
        <f t="shared" si="1"/>
        <v>0</v>
      </c>
      <c r="K45" s="320">
        <f t="shared" si="2"/>
        <v>0</v>
      </c>
      <c r="L45" s="320">
        <f t="shared" si="3"/>
        <v>0</v>
      </c>
      <c r="M45" s="541">
        <f t="shared" si="4"/>
        <v>0</v>
      </c>
    </row>
    <row r="46" spans="1:13" ht="15" thickBot="1">
      <c r="A46" s="55">
        <v>44</v>
      </c>
      <c r="H46" s="448">
        <v>13</v>
      </c>
      <c r="I46" s="540">
        <f t="shared" si="0"/>
        <v>0</v>
      </c>
      <c r="J46" s="540">
        <f t="shared" si="1"/>
        <v>0</v>
      </c>
      <c r="K46" s="320">
        <f t="shared" si="2"/>
        <v>0</v>
      </c>
      <c r="L46" s="320">
        <f t="shared" si="3"/>
        <v>0</v>
      </c>
      <c r="M46" s="541">
        <f t="shared" si="4"/>
        <v>0</v>
      </c>
    </row>
    <row r="47" spans="1:13" ht="15" thickBot="1">
      <c r="A47" s="55">
        <v>45</v>
      </c>
      <c r="H47" s="448">
        <v>14</v>
      </c>
      <c r="I47" s="540">
        <f t="shared" si="0"/>
        <v>0</v>
      </c>
      <c r="J47" s="540">
        <f t="shared" si="1"/>
        <v>0</v>
      </c>
      <c r="K47" s="320">
        <f t="shared" si="2"/>
        <v>0</v>
      </c>
      <c r="L47" s="320">
        <f t="shared" si="3"/>
        <v>0</v>
      </c>
      <c r="M47" s="541">
        <f t="shared" si="4"/>
        <v>0</v>
      </c>
    </row>
    <row r="48" spans="1:13" ht="15" thickBot="1">
      <c r="A48" s="55">
        <v>46</v>
      </c>
      <c r="H48" s="448">
        <v>15</v>
      </c>
      <c r="I48" s="540">
        <f t="shared" si="0"/>
        <v>0</v>
      </c>
      <c r="J48" s="540">
        <f t="shared" si="1"/>
        <v>0</v>
      </c>
      <c r="K48" s="320">
        <f t="shared" si="2"/>
        <v>0</v>
      </c>
      <c r="L48" s="320">
        <f t="shared" si="3"/>
        <v>0</v>
      </c>
      <c r="M48" s="541">
        <f t="shared" si="4"/>
        <v>0</v>
      </c>
    </row>
    <row r="49" spans="1:13" ht="15" thickBot="1">
      <c r="A49" s="55">
        <v>47</v>
      </c>
      <c r="H49" s="448">
        <v>16</v>
      </c>
      <c r="I49" s="540">
        <f t="shared" si="0"/>
        <v>0</v>
      </c>
      <c r="J49" s="540">
        <f t="shared" si="1"/>
        <v>0</v>
      </c>
      <c r="K49" s="320">
        <f t="shared" si="2"/>
        <v>0</v>
      </c>
      <c r="L49" s="320">
        <f t="shared" si="3"/>
        <v>0</v>
      </c>
      <c r="M49" s="541">
        <f t="shared" si="4"/>
        <v>0</v>
      </c>
    </row>
    <row r="50" spans="1:13" ht="15" thickBot="1">
      <c r="A50" s="55">
        <v>48</v>
      </c>
      <c r="H50" s="448">
        <v>17</v>
      </c>
      <c r="I50" s="540">
        <f t="shared" si="0"/>
        <v>0</v>
      </c>
      <c r="J50" s="540">
        <f t="shared" si="1"/>
        <v>0</v>
      </c>
      <c r="K50" s="320">
        <f t="shared" si="2"/>
        <v>0</v>
      </c>
      <c r="L50" s="320">
        <f t="shared" si="3"/>
        <v>0</v>
      </c>
      <c r="M50" s="541">
        <f t="shared" si="4"/>
        <v>0</v>
      </c>
    </row>
    <row r="51" spans="1:13" ht="15" thickBot="1">
      <c r="A51" s="55">
        <v>49</v>
      </c>
      <c r="H51" s="448">
        <v>18</v>
      </c>
      <c r="I51" s="540">
        <f t="shared" si="0"/>
        <v>0</v>
      </c>
      <c r="J51" s="540">
        <f t="shared" si="1"/>
        <v>0</v>
      </c>
      <c r="K51" s="320">
        <f t="shared" si="2"/>
        <v>0</v>
      </c>
      <c r="L51" s="320">
        <f t="shared" si="3"/>
        <v>0</v>
      </c>
      <c r="M51" s="541">
        <f t="shared" si="4"/>
        <v>0</v>
      </c>
    </row>
    <row r="52" spans="1:13" ht="15" thickBot="1">
      <c r="A52" s="55">
        <v>50</v>
      </c>
      <c r="H52" s="448">
        <v>19</v>
      </c>
      <c r="I52" s="540">
        <f t="shared" si="0"/>
        <v>0</v>
      </c>
      <c r="J52" s="540">
        <f t="shared" si="1"/>
        <v>0</v>
      </c>
      <c r="K52" s="320">
        <f t="shared" si="2"/>
        <v>0</v>
      </c>
      <c r="L52" s="320">
        <f t="shared" si="3"/>
        <v>0</v>
      </c>
      <c r="M52" s="541">
        <f t="shared" si="4"/>
        <v>0</v>
      </c>
    </row>
    <row r="53" spans="1:13" ht="15" thickBot="1">
      <c r="A53" s="55">
        <v>51</v>
      </c>
      <c r="H53" s="448">
        <v>20</v>
      </c>
      <c r="I53" s="540">
        <f t="shared" si="0"/>
        <v>0</v>
      </c>
      <c r="J53" s="540">
        <f t="shared" si="1"/>
        <v>0</v>
      </c>
      <c r="K53" s="320">
        <f t="shared" si="2"/>
        <v>0</v>
      </c>
      <c r="L53" s="320">
        <f t="shared" si="3"/>
        <v>0</v>
      </c>
      <c r="M53" s="541">
        <f t="shared" si="4"/>
        <v>0</v>
      </c>
    </row>
    <row r="54" spans="1:13" ht="15" thickBot="1">
      <c r="A54" s="55">
        <v>52</v>
      </c>
      <c r="H54" s="448">
        <v>21</v>
      </c>
      <c r="I54" s="540">
        <f t="shared" si="0"/>
        <v>0</v>
      </c>
      <c r="J54" s="540">
        <f t="shared" si="1"/>
        <v>0</v>
      </c>
      <c r="K54" s="320">
        <f t="shared" si="2"/>
        <v>0</v>
      </c>
      <c r="L54" s="320">
        <f t="shared" si="3"/>
        <v>0</v>
      </c>
      <c r="M54" s="541">
        <f t="shared" si="4"/>
        <v>0</v>
      </c>
    </row>
    <row r="55" spans="1:13" ht="15" thickBot="1">
      <c r="A55" s="55">
        <v>53</v>
      </c>
      <c r="H55" s="448">
        <v>22</v>
      </c>
      <c r="I55" s="540">
        <f t="shared" si="0"/>
        <v>0</v>
      </c>
      <c r="J55" s="540">
        <f t="shared" si="1"/>
        <v>0</v>
      </c>
      <c r="K55" s="320">
        <f t="shared" si="2"/>
        <v>0</v>
      </c>
      <c r="L55" s="320">
        <f t="shared" si="3"/>
        <v>0</v>
      </c>
      <c r="M55" s="541">
        <f t="shared" si="4"/>
        <v>0</v>
      </c>
    </row>
    <row r="56" spans="1:13" ht="15" thickBot="1">
      <c r="A56" s="55">
        <v>54</v>
      </c>
      <c r="H56" s="448">
        <v>23</v>
      </c>
      <c r="I56" s="540">
        <f t="shared" si="0"/>
        <v>0</v>
      </c>
      <c r="J56" s="540">
        <f t="shared" si="1"/>
        <v>0</v>
      </c>
      <c r="K56" s="320">
        <f t="shared" si="2"/>
        <v>0</v>
      </c>
      <c r="L56" s="320">
        <f t="shared" si="3"/>
        <v>0</v>
      </c>
      <c r="M56" s="541">
        <f t="shared" si="4"/>
        <v>0</v>
      </c>
    </row>
    <row r="57" spans="1:13" ht="15" thickBot="1">
      <c r="A57" s="55">
        <v>55</v>
      </c>
      <c r="H57" s="448">
        <v>24</v>
      </c>
      <c r="I57" s="540">
        <f t="shared" si="0"/>
        <v>0</v>
      </c>
      <c r="J57" s="540">
        <f t="shared" si="1"/>
        <v>0</v>
      </c>
      <c r="K57" s="320">
        <f t="shared" si="2"/>
        <v>0</v>
      </c>
      <c r="L57" s="320">
        <f t="shared" si="3"/>
        <v>0</v>
      </c>
      <c r="M57" s="541">
        <f t="shared" si="4"/>
        <v>0</v>
      </c>
    </row>
    <row r="58" spans="1:13" ht="15" thickBot="1">
      <c r="A58" s="55">
        <v>56</v>
      </c>
      <c r="H58" s="448">
        <v>25</v>
      </c>
      <c r="I58" s="540">
        <f t="shared" si="0"/>
        <v>0</v>
      </c>
      <c r="J58" s="540">
        <f t="shared" si="1"/>
        <v>0</v>
      </c>
      <c r="K58" s="320">
        <f t="shared" si="2"/>
        <v>0</v>
      </c>
      <c r="L58" s="320">
        <f t="shared" si="3"/>
        <v>0</v>
      </c>
      <c r="M58" s="541">
        <f t="shared" si="4"/>
        <v>0</v>
      </c>
    </row>
    <row r="59" spans="1:13" ht="15" thickBot="1">
      <c r="A59" s="55">
        <v>57</v>
      </c>
      <c r="H59" s="448">
        <v>26</v>
      </c>
      <c r="I59" s="540">
        <f t="shared" si="0"/>
        <v>0</v>
      </c>
      <c r="J59" s="540">
        <f t="shared" si="1"/>
        <v>0</v>
      </c>
      <c r="K59" s="320">
        <f t="shared" si="2"/>
        <v>0</v>
      </c>
      <c r="L59" s="320">
        <f t="shared" si="3"/>
        <v>0</v>
      </c>
      <c r="M59" s="541">
        <f t="shared" si="4"/>
        <v>0</v>
      </c>
    </row>
    <row r="60" spans="1:13" ht="15" thickBot="1">
      <c r="A60" s="55">
        <v>58</v>
      </c>
      <c r="H60" s="448">
        <v>27</v>
      </c>
      <c r="I60" s="540">
        <f t="shared" si="0"/>
        <v>0</v>
      </c>
      <c r="J60" s="540">
        <f t="shared" si="1"/>
        <v>0</v>
      </c>
      <c r="K60" s="320">
        <f t="shared" si="2"/>
        <v>0</v>
      </c>
      <c r="L60" s="320">
        <f t="shared" si="3"/>
        <v>0</v>
      </c>
      <c r="M60" s="541">
        <f t="shared" si="4"/>
        <v>0</v>
      </c>
    </row>
    <row r="61" spans="1:13" ht="15" thickBot="1">
      <c r="A61" s="55">
        <v>59</v>
      </c>
      <c r="H61" s="448">
        <v>28</v>
      </c>
      <c r="I61" s="540">
        <f t="shared" si="0"/>
        <v>0</v>
      </c>
      <c r="J61" s="540">
        <f t="shared" si="1"/>
        <v>0</v>
      </c>
      <c r="K61" s="320">
        <f t="shared" si="2"/>
        <v>0</v>
      </c>
      <c r="L61" s="320">
        <f t="shared" si="3"/>
        <v>0</v>
      </c>
      <c r="M61" s="541">
        <f t="shared" si="4"/>
        <v>0</v>
      </c>
    </row>
    <row r="62" spans="1:13" ht="15" thickBot="1">
      <c r="A62" s="55">
        <v>60</v>
      </c>
      <c r="H62" s="448">
        <v>29</v>
      </c>
      <c r="I62" s="540">
        <f t="shared" si="0"/>
        <v>0</v>
      </c>
      <c r="J62" s="540">
        <f t="shared" si="1"/>
        <v>0</v>
      </c>
      <c r="K62" s="320">
        <f t="shared" si="2"/>
        <v>0</v>
      </c>
      <c r="L62" s="320">
        <f t="shared" si="3"/>
        <v>0</v>
      </c>
      <c r="M62" s="541">
        <f t="shared" si="4"/>
        <v>0</v>
      </c>
    </row>
    <row r="63" spans="1:13" ht="14.25">
      <c r="A63" s="55">
        <v>61</v>
      </c>
      <c r="H63" s="448">
        <v>30</v>
      </c>
      <c r="I63" s="540">
        <f t="shared" si="0"/>
        <v>0</v>
      </c>
      <c r="J63" s="540">
        <f t="shared" si="1"/>
        <v>0</v>
      </c>
      <c r="K63" s="320">
        <f t="shared" si="2"/>
        <v>0</v>
      </c>
      <c r="L63" s="320">
        <f t="shared" si="3"/>
        <v>0</v>
      </c>
      <c r="M63" s="541">
        <f t="shared" si="4"/>
        <v>0</v>
      </c>
    </row>
  </sheetData>
  <mergeCells count="60">
    <mergeCell ref="B16:F17"/>
    <mergeCell ref="B2:F2"/>
    <mergeCell ref="H3:P3"/>
    <mergeCell ref="H4:P4"/>
    <mergeCell ref="I5:J5"/>
    <mergeCell ref="L5:M5"/>
    <mergeCell ref="N5:P5"/>
    <mergeCell ref="I6:J6"/>
    <mergeCell ref="K6:P6"/>
    <mergeCell ref="I7:J7"/>
    <mergeCell ref="L7:M7"/>
    <mergeCell ref="N7:P7"/>
    <mergeCell ref="I8:J8"/>
    <mergeCell ref="L8:M8"/>
    <mergeCell ref="N8:P8"/>
    <mergeCell ref="I9:J9"/>
    <mergeCell ref="L9:M9"/>
    <mergeCell ref="N9:P9"/>
    <mergeCell ref="I10:K10"/>
    <mergeCell ref="L10:M10"/>
    <mergeCell ref="N10:O10"/>
    <mergeCell ref="I11:K11"/>
    <mergeCell ref="L11:M11"/>
    <mergeCell ref="N11:O11"/>
    <mergeCell ref="I12:K12"/>
    <mergeCell ref="L12:M12"/>
    <mergeCell ref="N12:O12"/>
    <mergeCell ref="I13:K13"/>
    <mergeCell ref="L13:M13"/>
    <mergeCell ref="N13:O13"/>
    <mergeCell ref="I14:K14"/>
    <mergeCell ref="L14:M14"/>
    <mergeCell ref="N14:O14"/>
    <mergeCell ref="I15:K15"/>
    <mergeCell ref="L15:M15"/>
    <mergeCell ref="N15:O15"/>
    <mergeCell ref="K19:P19"/>
    <mergeCell ref="I20:J20"/>
    <mergeCell ref="K20:P20"/>
    <mergeCell ref="I16:J16"/>
    <mergeCell ref="K16:M16"/>
    <mergeCell ref="N16:O16"/>
    <mergeCell ref="I17:J17"/>
    <mergeCell ref="K17:P17"/>
    <mergeCell ref="H29:I29"/>
    <mergeCell ref="J29:P29"/>
    <mergeCell ref="H2:P2"/>
    <mergeCell ref="H25:P25"/>
    <mergeCell ref="H26:P26"/>
    <mergeCell ref="H27:L28"/>
    <mergeCell ref="N27:N28"/>
    <mergeCell ref="O27:P28"/>
    <mergeCell ref="H21:P21"/>
    <mergeCell ref="H22:H23"/>
    <mergeCell ref="I22:P22"/>
    <mergeCell ref="I23:P23"/>
    <mergeCell ref="H24:P24"/>
    <mergeCell ref="I18:J18"/>
    <mergeCell ref="K18:P18"/>
    <mergeCell ref="I19:J19"/>
  </mergeCells>
  <phoneticPr fontId="9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FD982-B12E-4471-A5F5-63055522EEFD}">
  <sheetPr codeName="Sheet20"/>
  <dimension ref="A1:AL69"/>
  <sheetViews>
    <sheetView workbookViewId="0">
      <selection activeCell="C8" sqref="C8"/>
    </sheetView>
  </sheetViews>
  <sheetFormatPr defaultColWidth="9" defaultRowHeight="12.75"/>
  <cols>
    <col min="1" max="1" width="14" style="39" customWidth="1"/>
    <col min="2" max="2" width="19.5703125" style="39" customWidth="1"/>
    <col min="3" max="3" width="25.5703125" style="39" bestFit="1" customWidth="1"/>
    <col min="4" max="4" width="27.7109375" style="39" customWidth="1"/>
    <col min="5" max="5" width="13.42578125" style="39" bestFit="1" customWidth="1"/>
    <col min="6" max="6" width="21.85546875" style="39" bestFit="1" customWidth="1"/>
    <col min="7" max="7" width="9" style="39"/>
    <col min="8" max="8" width="10" style="39" customWidth="1"/>
    <col min="9" max="9" width="11.140625" style="39" customWidth="1"/>
    <col min="10" max="10" width="9" style="39"/>
    <col min="11" max="11" width="8.28515625" style="39" customWidth="1"/>
    <col min="12" max="12" width="9" style="39"/>
    <col min="13" max="13" width="14" style="39" customWidth="1"/>
    <col min="14" max="15" width="9" style="39"/>
    <col min="16" max="16" width="12.7109375" style="39" customWidth="1"/>
    <col min="17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6.25">
      <c r="A2" s="54">
        <v>0</v>
      </c>
      <c r="B2" s="1102" t="s">
        <v>1191</v>
      </c>
      <c r="C2" s="1103"/>
      <c r="D2" s="1103"/>
      <c r="E2" s="1103"/>
      <c r="F2" s="1103"/>
      <c r="I2" s="1243" t="s">
        <v>1309</v>
      </c>
      <c r="J2" s="1244"/>
      <c r="K2" s="1244"/>
      <c r="L2" s="1244"/>
      <c r="M2" s="1244"/>
      <c r="N2" s="1244"/>
      <c r="O2" s="1244"/>
      <c r="P2" s="1244"/>
      <c r="Q2" s="1244"/>
      <c r="R2" s="1244"/>
    </row>
    <row r="3" spans="1:38" ht="18.75" thickBot="1">
      <c r="A3" s="55">
        <v>1</v>
      </c>
      <c r="B3" s="254" t="s">
        <v>1143</v>
      </c>
      <c r="C3" s="521" t="s">
        <v>990</v>
      </c>
      <c r="D3" s="420" t="s">
        <v>991</v>
      </c>
      <c r="E3" s="521" t="s">
        <v>990</v>
      </c>
      <c r="F3" s="420" t="s">
        <v>991</v>
      </c>
      <c r="I3" s="1258" t="s">
        <v>1267</v>
      </c>
      <c r="J3" s="1258"/>
      <c r="K3" s="1258"/>
      <c r="L3" s="1258"/>
      <c r="M3" s="1258"/>
      <c r="N3" s="1258"/>
      <c r="O3" s="1258"/>
      <c r="P3" s="1258"/>
      <c r="Q3" s="1258"/>
      <c r="R3" s="1258"/>
    </row>
    <row r="4" spans="1:38" ht="26.65" customHeight="1" thickTop="1">
      <c r="A4" s="55">
        <v>2</v>
      </c>
      <c r="B4" s="522"/>
      <c r="C4" s="545" t="s">
        <v>1192</v>
      </c>
      <c r="D4" s="203"/>
      <c r="E4" s="218" t="s">
        <v>1193</v>
      </c>
      <c r="F4" s="203"/>
      <c r="I4" s="557" t="s">
        <v>1268</v>
      </c>
      <c r="J4" s="1247">
        <f>D4</f>
        <v>0</v>
      </c>
      <c r="K4" s="1248"/>
      <c r="L4" s="1248"/>
      <c r="M4" s="1249"/>
      <c r="N4" s="1245" t="s">
        <v>1269</v>
      </c>
      <c r="O4" s="1246"/>
      <c r="P4" s="1250">
        <f>D5</f>
        <v>0</v>
      </c>
      <c r="Q4" s="1250"/>
      <c r="R4" s="1251"/>
    </row>
    <row r="5" spans="1:38" ht="31.5" customHeight="1">
      <c r="A5" s="55">
        <v>3</v>
      </c>
      <c r="B5" s="522"/>
      <c r="C5" s="216" t="s">
        <v>1194</v>
      </c>
      <c r="D5" s="203"/>
      <c r="E5" s="218" t="s">
        <v>732</v>
      </c>
      <c r="F5" s="203"/>
      <c r="I5" s="558" t="s">
        <v>1270</v>
      </c>
      <c r="J5" s="1252">
        <f>D6</f>
        <v>0</v>
      </c>
      <c r="K5" s="1252"/>
      <c r="L5" s="1252"/>
      <c r="M5" s="1252"/>
      <c r="N5" s="1252"/>
      <c r="O5" s="1252"/>
      <c r="P5" s="1252"/>
      <c r="Q5" s="1252"/>
      <c r="R5" s="1253"/>
    </row>
    <row r="6" spans="1:38" ht="16.5" thickBot="1">
      <c r="A6" s="55">
        <v>4</v>
      </c>
      <c r="B6" s="522"/>
      <c r="C6" s="217" t="s">
        <v>1195</v>
      </c>
      <c r="D6" s="203"/>
      <c r="E6" s="218" t="s">
        <v>733</v>
      </c>
      <c r="F6" s="203"/>
      <c r="I6" s="559" t="s">
        <v>1271</v>
      </c>
      <c r="J6" s="1254" t="s">
        <v>1272</v>
      </c>
      <c r="K6" s="1255"/>
      <c r="L6" s="1256">
        <f>D7</f>
        <v>0</v>
      </c>
      <c r="M6" s="1257"/>
      <c r="N6" s="1254" t="s">
        <v>1273</v>
      </c>
      <c r="O6" s="1255"/>
      <c r="P6" s="1240">
        <f>D8</f>
        <v>0</v>
      </c>
      <c r="Q6" s="1241"/>
      <c r="R6" s="1242"/>
    </row>
    <row r="7" spans="1:38" ht="16.5" thickBot="1">
      <c r="A7" s="55">
        <v>5</v>
      </c>
      <c r="B7" s="522"/>
      <c r="C7" s="216" t="s">
        <v>946</v>
      </c>
      <c r="D7" s="203"/>
      <c r="E7" s="218" t="s">
        <v>1196</v>
      </c>
      <c r="F7" s="203"/>
      <c r="I7" s="1258" t="s">
        <v>1274</v>
      </c>
      <c r="J7" s="1258"/>
      <c r="K7" s="1258"/>
      <c r="L7" s="1258"/>
      <c r="M7" s="1258"/>
      <c r="N7" s="1258"/>
      <c r="O7" s="1258"/>
      <c r="P7" s="1258"/>
      <c r="Q7" s="1258"/>
      <c r="R7" s="1258"/>
    </row>
    <row r="8" spans="1:38" ht="26.65" customHeight="1" thickBot="1">
      <c r="A8" s="55">
        <v>6</v>
      </c>
      <c r="B8" s="524"/>
      <c r="C8" s="219" t="s">
        <v>1011</v>
      </c>
      <c r="D8" s="525"/>
      <c r="E8" s="526"/>
      <c r="F8" s="525"/>
      <c r="I8" s="557" t="s">
        <v>1275</v>
      </c>
      <c r="J8" s="1259">
        <f>D10</f>
        <v>0</v>
      </c>
      <c r="K8" s="1260"/>
      <c r="L8" s="1260"/>
      <c r="M8" s="1261"/>
      <c r="N8" s="563" t="s">
        <v>1276</v>
      </c>
      <c r="O8" s="1231">
        <f>D11</f>
        <v>0</v>
      </c>
      <c r="P8" s="1232"/>
      <c r="Q8" s="1232"/>
      <c r="R8" s="1233"/>
    </row>
    <row r="9" spans="1:38" ht="31.5" customHeight="1">
      <c r="A9" s="55">
        <v>7</v>
      </c>
      <c r="C9" s="543"/>
      <c r="D9" s="542"/>
      <c r="E9" s="543"/>
      <c r="F9" s="542"/>
      <c r="I9" s="560" t="s">
        <v>1270</v>
      </c>
      <c r="J9" s="1199">
        <f>D12</f>
        <v>0</v>
      </c>
      <c r="K9" s="1184"/>
      <c r="L9" s="1184"/>
      <c r="M9" s="1184"/>
      <c r="N9" s="1234"/>
      <c r="O9" s="1234"/>
      <c r="P9" s="1234"/>
      <c r="Q9" s="1234"/>
      <c r="R9" s="1235"/>
    </row>
    <row r="10" spans="1:38" ht="16.5" thickBot="1">
      <c r="A10" s="55">
        <v>8</v>
      </c>
      <c r="B10" s="544"/>
      <c r="C10" s="216" t="s">
        <v>1003</v>
      </c>
      <c r="D10" s="212"/>
      <c r="E10" s="216"/>
      <c r="F10" s="212"/>
      <c r="I10" s="561" t="s">
        <v>1271</v>
      </c>
      <c r="J10" s="1236" t="s">
        <v>1277</v>
      </c>
      <c r="K10" s="1237"/>
      <c r="L10" s="1238">
        <f>D13</f>
        <v>0</v>
      </c>
      <c r="M10" s="1239"/>
      <c r="N10" s="566" t="s">
        <v>1278</v>
      </c>
      <c r="O10" s="1240">
        <f>D14</f>
        <v>0</v>
      </c>
      <c r="P10" s="1241"/>
      <c r="Q10" s="1241"/>
      <c r="R10" s="1242"/>
    </row>
    <row r="11" spans="1:38" ht="15" customHeight="1">
      <c r="A11" s="55">
        <v>9</v>
      </c>
      <c r="B11" s="522"/>
      <c r="C11" s="216" t="s">
        <v>1194</v>
      </c>
      <c r="D11" s="203"/>
      <c r="E11" s="218"/>
      <c r="F11" s="203"/>
      <c r="I11" s="562" t="s">
        <v>1279</v>
      </c>
      <c r="J11" s="1208">
        <f>D15</f>
        <v>0</v>
      </c>
      <c r="K11" s="1209"/>
      <c r="L11" s="1209"/>
      <c r="M11" s="1210"/>
      <c r="N11" s="1214" t="s">
        <v>1280</v>
      </c>
      <c r="O11" s="1216">
        <f>D16</f>
        <v>0</v>
      </c>
      <c r="P11" s="1217"/>
      <c r="Q11" s="1217"/>
      <c r="R11" s="1218"/>
    </row>
    <row r="12" spans="1:38" ht="15.75" customHeight="1">
      <c r="A12" s="55">
        <v>10</v>
      </c>
      <c r="B12" s="522"/>
      <c r="C12" s="216" t="s">
        <v>1195</v>
      </c>
      <c r="D12" s="203"/>
      <c r="E12" s="218"/>
      <c r="F12" s="203"/>
      <c r="I12" s="565" t="s">
        <v>1281</v>
      </c>
      <c r="J12" s="1211"/>
      <c r="K12" s="1212"/>
      <c r="L12" s="1212"/>
      <c r="M12" s="1213"/>
      <c r="N12" s="1215"/>
      <c r="O12" s="1219"/>
      <c r="P12" s="1220"/>
      <c r="Q12" s="1220"/>
      <c r="R12" s="1221"/>
    </row>
    <row r="13" spans="1:38" ht="26.65" customHeight="1" thickBot="1">
      <c r="A13" s="55">
        <v>11</v>
      </c>
      <c r="B13" s="522"/>
      <c r="C13" s="216" t="s">
        <v>946</v>
      </c>
      <c r="D13" s="203"/>
      <c r="E13" s="218"/>
      <c r="F13" s="203"/>
      <c r="I13" s="564" t="s">
        <v>1282</v>
      </c>
      <c r="J13" s="1222">
        <f>D17</f>
        <v>0</v>
      </c>
      <c r="K13" s="1223"/>
      <c r="L13" s="1223"/>
      <c r="M13" s="1223"/>
      <c r="N13" s="1223"/>
      <c r="O13" s="1223"/>
      <c r="P13" s="1223"/>
      <c r="Q13" s="1223"/>
      <c r="R13" s="1224"/>
    </row>
    <row r="14" spans="1:38" ht="31.9" customHeight="1">
      <c r="A14" s="55">
        <v>12</v>
      </c>
      <c r="B14" s="522"/>
      <c r="C14" s="216" t="s">
        <v>1011</v>
      </c>
      <c r="D14" s="203"/>
      <c r="E14" s="218"/>
      <c r="F14" s="203"/>
      <c r="I14" s="1225" t="s">
        <v>1283</v>
      </c>
      <c r="J14" s="1225"/>
      <c r="K14" s="1225"/>
      <c r="L14" s="1225"/>
      <c r="M14" s="1225"/>
      <c r="N14" s="1225"/>
      <c r="O14" s="1225"/>
      <c r="P14" s="1225"/>
      <c r="Q14" s="1225"/>
      <c r="R14" s="1225"/>
    </row>
    <row r="15" spans="1:38" ht="15.75" customHeight="1">
      <c r="A15" s="55">
        <v>13</v>
      </c>
      <c r="B15" s="522"/>
      <c r="C15" s="216" t="s">
        <v>1197</v>
      </c>
      <c r="D15" s="203"/>
      <c r="E15" s="218"/>
      <c r="F15" s="203"/>
      <c r="I15" s="1196" t="s">
        <v>1284</v>
      </c>
      <c r="J15" s="1197"/>
      <c r="K15" s="1198"/>
      <c r="L15" s="1226" t="s">
        <v>1285</v>
      </c>
      <c r="M15" s="1227"/>
      <c r="N15" s="1227" t="s">
        <v>1286</v>
      </c>
      <c r="O15" s="1227"/>
      <c r="P15" s="1227" t="s">
        <v>1287</v>
      </c>
      <c r="Q15" s="1227"/>
      <c r="R15" s="1228"/>
    </row>
    <row r="16" spans="1:38" ht="16.5" customHeight="1">
      <c r="A16" s="55">
        <v>14</v>
      </c>
      <c r="B16" s="522"/>
      <c r="C16" s="217" t="s">
        <v>1198</v>
      </c>
      <c r="D16" s="203"/>
      <c r="E16" s="218"/>
      <c r="F16" s="203"/>
      <c r="I16" s="1196" t="s">
        <v>1288</v>
      </c>
      <c r="J16" s="1197"/>
      <c r="K16" s="1198"/>
      <c r="L16" s="1199">
        <f>F4</f>
        <v>0</v>
      </c>
      <c r="M16" s="1184"/>
      <c r="N16" s="1184"/>
      <c r="O16" s="1184"/>
      <c r="P16" s="1184"/>
      <c r="Q16" s="1184"/>
      <c r="R16" s="1185"/>
    </row>
    <row r="17" spans="1:18" ht="17.25" customHeight="1" thickBot="1">
      <c r="A17" s="55">
        <v>15</v>
      </c>
      <c r="B17" s="524"/>
      <c r="C17" s="219" t="s">
        <v>1199</v>
      </c>
      <c r="D17" s="525"/>
      <c r="E17" s="526"/>
      <c r="F17" s="525"/>
      <c r="I17" s="1196" t="s">
        <v>1289</v>
      </c>
      <c r="J17" s="1197"/>
      <c r="K17" s="1198"/>
      <c r="L17" s="1199">
        <f>F5</f>
        <v>0</v>
      </c>
      <c r="M17" s="1184"/>
      <c r="N17" s="1184"/>
      <c r="O17" s="1184"/>
      <c r="P17" s="1184"/>
      <c r="Q17" s="1184"/>
      <c r="R17" s="1185"/>
    </row>
    <row r="18" spans="1:18" ht="16.899999999999999" customHeight="1">
      <c r="A18" s="55">
        <v>16</v>
      </c>
      <c r="E18" s="523"/>
      <c r="I18" s="1196" t="s">
        <v>1290</v>
      </c>
      <c r="J18" s="1197"/>
      <c r="K18" s="1198"/>
      <c r="L18" s="1199">
        <f>F6</f>
        <v>0</v>
      </c>
      <c r="M18" s="1184"/>
      <c r="N18" s="1184"/>
      <c r="O18" s="1184"/>
      <c r="P18" s="1184"/>
      <c r="Q18" s="1184"/>
      <c r="R18" s="1185"/>
    </row>
    <row r="19" spans="1:18" ht="27" thickBot="1">
      <c r="A19" s="55">
        <v>17</v>
      </c>
      <c r="B19" s="1203" t="s">
        <v>1200</v>
      </c>
      <c r="C19" s="1204"/>
      <c r="D19" s="1204"/>
      <c r="E19" s="1204"/>
      <c r="F19" s="1204"/>
      <c r="G19" s="1204"/>
      <c r="I19" s="1196" t="s">
        <v>1291</v>
      </c>
      <c r="J19" s="1197"/>
      <c r="K19" s="1198"/>
      <c r="L19" s="1117">
        <f>F7</f>
        <v>0</v>
      </c>
      <c r="M19" s="1137"/>
      <c r="N19" s="1137"/>
      <c r="O19" s="1137"/>
      <c r="P19" s="1137"/>
      <c r="Q19" s="1137"/>
      <c r="R19" s="1118"/>
    </row>
    <row r="20" spans="1:18" ht="13.9" customHeight="1" thickTop="1">
      <c r="A20" s="55">
        <v>18</v>
      </c>
      <c r="B20" s="546" t="s">
        <v>1201</v>
      </c>
      <c r="C20" s="546" t="s">
        <v>1202</v>
      </c>
      <c r="D20" s="547" t="s">
        <v>1203</v>
      </c>
      <c r="E20" s="546" t="s">
        <v>1204</v>
      </c>
      <c r="F20" s="546" t="s">
        <v>1205</v>
      </c>
      <c r="G20" s="548" t="s">
        <v>1206</v>
      </c>
      <c r="I20" s="799"/>
      <c r="J20" s="799"/>
      <c r="K20" s="799"/>
      <c r="L20" s="799"/>
      <c r="M20" s="799"/>
      <c r="N20" s="799"/>
      <c r="O20" s="799"/>
      <c r="P20" s="799"/>
      <c r="Q20" s="799"/>
      <c r="R20" s="799"/>
    </row>
    <row r="21" spans="1:18" ht="16.899999999999999" customHeight="1">
      <c r="A21" s="55">
        <v>19</v>
      </c>
      <c r="B21" s="39" t="s">
        <v>1207</v>
      </c>
      <c r="C21" s="508" t="s">
        <v>1208</v>
      </c>
      <c r="D21" s="478" t="s">
        <v>1081</v>
      </c>
      <c r="E21" s="508" t="s">
        <v>1209</v>
      </c>
      <c r="F21" s="508" t="s">
        <v>1210</v>
      </c>
      <c r="G21" s="478" t="s">
        <v>1211</v>
      </c>
      <c r="I21" s="554" t="s">
        <v>1292</v>
      </c>
      <c r="J21" s="554" t="s">
        <v>1293</v>
      </c>
      <c r="K21" s="1229" t="s">
        <v>1294</v>
      </c>
      <c r="L21" s="1230"/>
      <c r="M21" s="1229" t="s">
        <v>1295</v>
      </c>
      <c r="N21" s="1230"/>
      <c r="O21" s="1229" t="s">
        <v>1296</v>
      </c>
      <c r="P21" s="1230"/>
      <c r="Q21" s="554" t="s">
        <v>1297</v>
      </c>
      <c r="R21" s="554" t="s">
        <v>1298</v>
      </c>
    </row>
    <row r="22" spans="1:18" ht="25.5">
      <c r="A22" s="55">
        <v>20</v>
      </c>
      <c r="B22" s="549" t="s">
        <v>1082</v>
      </c>
      <c r="C22" s="508" t="s">
        <v>1212</v>
      </c>
      <c r="D22" s="478" t="s">
        <v>1081</v>
      </c>
      <c r="E22" s="508" t="s">
        <v>1213</v>
      </c>
      <c r="F22" s="508" t="s">
        <v>1214</v>
      </c>
      <c r="G22" s="478" t="s">
        <v>1215</v>
      </c>
      <c r="I22" s="271" t="s">
        <v>1299</v>
      </c>
      <c r="J22" s="553" t="s">
        <v>1300</v>
      </c>
      <c r="K22" s="797" t="s">
        <v>1266</v>
      </c>
      <c r="L22" s="798"/>
      <c r="M22" s="797" t="s">
        <v>1266</v>
      </c>
      <c r="N22" s="798"/>
      <c r="O22" s="797" t="s">
        <v>1266</v>
      </c>
      <c r="P22" s="798"/>
      <c r="Q22" s="448" t="s">
        <v>1266</v>
      </c>
      <c r="R22" s="448" t="s">
        <v>1266</v>
      </c>
    </row>
    <row r="23" spans="1:18" ht="15">
      <c r="A23" s="55">
        <v>21</v>
      </c>
      <c r="B23" s="550"/>
      <c r="C23" s="508" t="s">
        <v>1216</v>
      </c>
      <c r="D23" s="478" t="s">
        <v>1081</v>
      </c>
      <c r="E23" s="508" t="s">
        <v>1217</v>
      </c>
      <c r="F23" s="508" t="s">
        <v>1218</v>
      </c>
      <c r="G23" s="478" t="s">
        <v>1219</v>
      </c>
      <c r="I23" s="272" t="s">
        <v>1265</v>
      </c>
      <c r="J23" s="553" t="s">
        <v>1301</v>
      </c>
      <c r="K23" s="797"/>
      <c r="L23" s="799"/>
      <c r="M23" s="799"/>
      <c r="N23" s="799"/>
      <c r="O23" s="799"/>
      <c r="P23" s="798"/>
      <c r="Q23" s="797"/>
      <c r="R23" s="798"/>
    </row>
    <row r="24" spans="1:18" ht="15">
      <c r="A24" s="55">
        <v>22</v>
      </c>
      <c r="B24" s="550"/>
      <c r="C24" s="508" t="s">
        <v>1220</v>
      </c>
      <c r="D24" s="478" t="s">
        <v>1081</v>
      </c>
      <c r="E24" s="508" t="s">
        <v>1221</v>
      </c>
      <c r="F24" s="508" t="s">
        <v>1222</v>
      </c>
      <c r="G24" s="478" t="s">
        <v>1223</v>
      </c>
      <c r="I24" s="555"/>
      <c r="J24" s="553" t="s">
        <v>1302</v>
      </c>
      <c r="K24" s="794"/>
      <c r="L24" s="795"/>
      <c r="M24" s="794"/>
      <c r="N24" s="795"/>
      <c r="O24" s="794"/>
      <c r="P24" s="795"/>
      <c r="Q24" s="517"/>
      <c r="R24" s="517"/>
    </row>
    <row r="25" spans="1:18" ht="15">
      <c r="A25" s="55">
        <v>23</v>
      </c>
      <c r="B25" s="551"/>
      <c r="C25" s="508" t="s">
        <v>1224</v>
      </c>
      <c r="D25" s="478" t="s">
        <v>1081</v>
      </c>
      <c r="E25" s="508" t="s">
        <v>1225</v>
      </c>
      <c r="F25" s="508" t="s">
        <v>1226</v>
      </c>
      <c r="G25" s="478" t="s">
        <v>1227</v>
      </c>
      <c r="I25" s="556"/>
      <c r="J25" s="553" t="s">
        <v>1303</v>
      </c>
      <c r="K25" s="797"/>
      <c r="L25" s="798"/>
      <c r="M25" s="797"/>
      <c r="N25" s="798"/>
      <c r="O25" s="797"/>
      <c r="P25" s="798"/>
      <c r="Q25" s="448"/>
      <c r="R25" s="448"/>
    </row>
    <row r="26" spans="1:18" ht="15.4" customHeight="1">
      <c r="A26" s="55">
        <v>24</v>
      </c>
      <c r="B26" s="39" t="s">
        <v>1228</v>
      </c>
      <c r="C26" s="508" t="s">
        <v>1208</v>
      </c>
      <c r="D26" s="478" t="s">
        <v>1081</v>
      </c>
      <c r="E26" s="508" t="s">
        <v>1229</v>
      </c>
      <c r="F26" s="508" t="s">
        <v>1230</v>
      </c>
      <c r="G26" s="478" t="s">
        <v>1231</v>
      </c>
      <c r="I26" s="271" t="s">
        <v>1304</v>
      </c>
      <c r="J26" s="553" t="s">
        <v>1300</v>
      </c>
      <c r="K26" s="797" t="s">
        <v>1266</v>
      </c>
      <c r="L26" s="798"/>
      <c r="M26" s="797" t="s">
        <v>1266</v>
      </c>
      <c r="N26" s="798"/>
      <c r="O26" s="797" t="s">
        <v>1266</v>
      </c>
      <c r="P26" s="798"/>
      <c r="Q26" s="448" t="s">
        <v>1266</v>
      </c>
      <c r="R26" s="448" t="s">
        <v>1266</v>
      </c>
    </row>
    <row r="27" spans="1:18" ht="15">
      <c r="A27" s="55">
        <v>25</v>
      </c>
      <c r="B27" s="549" t="s">
        <v>1082</v>
      </c>
      <c r="C27" s="508" t="s">
        <v>1212</v>
      </c>
      <c r="D27" s="478" t="s">
        <v>1081</v>
      </c>
      <c r="E27" s="508" t="s">
        <v>1232</v>
      </c>
      <c r="F27" s="508" t="s">
        <v>1233</v>
      </c>
      <c r="G27" s="478" t="s">
        <v>1234</v>
      </c>
      <c r="I27" s="272" t="s">
        <v>1265</v>
      </c>
      <c r="J27" s="553" t="s">
        <v>1301</v>
      </c>
      <c r="K27" s="1205"/>
      <c r="L27" s="1206"/>
      <c r="M27" s="1206"/>
      <c r="N27" s="1207"/>
      <c r="O27" s="797"/>
      <c r="P27" s="798"/>
      <c r="Q27" s="797"/>
      <c r="R27" s="798"/>
    </row>
    <row r="28" spans="1:18" ht="15">
      <c r="A28" s="55">
        <v>26</v>
      </c>
      <c r="B28" s="550"/>
      <c r="C28" s="508" t="s">
        <v>1216</v>
      </c>
      <c r="D28" s="478" t="s">
        <v>1081</v>
      </c>
      <c r="E28" s="508" t="s">
        <v>1235</v>
      </c>
      <c r="F28" s="508" t="s">
        <v>1236</v>
      </c>
      <c r="G28" s="478" t="s">
        <v>1237</v>
      </c>
      <c r="I28" s="555"/>
      <c r="J28" s="553" t="s">
        <v>1302</v>
      </c>
      <c r="K28" s="794"/>
      <c r="L28" s="795"/>
      <c r="M28" s="794"/>
      <c r="N28" s="795"/>
      <c r="O28" s="794"/>
      <c r="P28" s="795"/>
      <c r="Q28" s="517"/>
      <c r="R28" s="517"/>
    </row>
    <row r="29" spans="1:18" ht="15">
      <c r="A29" s="55">
        <v>27</v>
      </c>
      <c r="B29" s="550"/>
      <c r="C29" s="508" t="s">
        <v>1220</v>
      </c>
      <c r="D29" s="478" t="s">
        <v>1081</v>
      </c>
      <c r="E29" s="508" t="s">
        <v>1238</v>
      </c>
      <c r="F29" s="508" t="s">
        <v>1239</v>
      </c>
      <c r="G29" s="478" t="s">
        <v>1240</v>
      </c>
      <c r="I29" s="556"/>
      <c r="J29" s="553" t="s">
        <v>1303</v>
      </c>
      <c r="K29" s="797"/>
      <c r="L29" s="798"/>
      <c r="M29" s="797"/>
      <c r="N29" s="798"/>
      <c r="O29" s="797"/>
      <c r="P29" s="798"/>
      <c r="Q29" s="448"/>
      <c r="R29" s="448"/>
    </row>
    <row r="30" spans="1:18" ht="21.4" customHeight="1">
      <c r="A30" s="55">
        <v>28</v>
      </c>
      <c r="B30" s="551"/>
      <c r="C30" s="508" t="s">
        <v>1224</v>
      </c>
      <c r="D30" s="478" t="s">
        <v>1081</v>
      </c>
      <c r="E30" s="508" t="s">
        <v>1241</v>
      </c>
      <c r="F30" s="508" t="s">
        <v>1242</v>
      </c>
      <c r="G30" s="478" t="s">
        <v>1243</v>
      </c>
    </row>
    <row r="31" spans="1:18" ht="14.25">
      <c r="A31" s="55">
        <v>29</v>
      </c>
      <c r="B31" s="39" t="s">
        <v>1244</v>
      </c>
      <c r="C31" s="508" t="s">
        <v>1208</v>
      </c>
      <c r="D31" s="478" t="s">
        <v>1081</v>
      </c>
      <c r="E31" s="508" t="s">
        <v>1245</v>
      </c>
      <c r="F31" s="508" t="s">
        <v>1246</v>
      </c>
      <c r="G31" s="478" t="s">
        <v>1247</v>
      </c>
    </row>
    <row r="32" spans="1:18" ht="14.25">
      <c r="A32" s="55">
        <v>30</v>
      </c>
      <c r="B32" s="549" t="s">
        <v>1082</v>
      </c>
      <c r="C32" s="508" t="s">
        <v>1212</v>
      </c>
      <c r="D32" s="478" t="s">
        <v>1081</v>
      </c>
      <c r="E32" s="508" t="s">
        <v>1248</v>
      </c>
      <c r="F32" s="508" t="s">
        <v>1249</v>
      </c>
      <c r="G32" s="478" t="s">
        <v>1250</v>
      </c>
    </row>
    <row r="33" spans="1:17" ht="14.25">
      <c r="A33" s="55">
        <v>31</v>
      </c>
      <c r="B33" s="550"/>
      <c r="C33" s="508" t="s">
        <v>1216</v>
      </c>
      <c r="D33" s="478" t="s">
        <v>1081</v>
      </c>
      <c r="E33" s="508" t="s">
        <v>1251</v>
      </c>
      <c r="F33" s="508" t="s">
        <v>1252</v>
      </c>
      <c r="G33" s="478" t="s">
        <v>1253</v>
      </c>
    </row>
    <row r="34" spans="1:17" ht="14.25">
      <c r="A34" s="55">
        <v>32</v>
      </c>
      <c r="B34" s="550"/>
      <c r="C34" s="508" t="s">
        <v>1220</v>
      </c>
      <c r="D34" s="478" t="s">
        <v>1081</v>
      </c>
      <c r="E34" s="508" t="s">
        <v>1254</v>
      </c>
      <c r="F34" s="508" t="s">
        <v>1255</v>
      </c>
      <c r="G34" s="478" t="s">
        <v>1256</v>
      </c>
    </row>
    <row r="35" spans="1:17" ht="14.25">
      <c r="A35" s="55">
        <v>33</v>
      </c>
      <c r="B35" s="551"/>
      <c r="C35" s="508" t="s">
        <v>1224</v>
      </c>
      <c r="D35" s="478" t="s">
        <v>1081</v>
      </c>
      <c r="E35" s="508" t="s">
        <v>1257</v>
      </c>
      <c r="F35" s="508" t="s">
        <v>1258</v>
      </c>
      <c r="G35" s="478" t="s">
        <v>1259</v>
      </c>
    </row>
    <row r="36" spans="1:17" ht="14.25">
      <c r="A36" s="55">
        <v>34</v>
      </c>
    </row>
    <row r="37" spans="1:17" ht="18" thickBot="1">
      <c r="A37" s="55">
        <v>35</v>
      </c>
      <c r="B37" s="1200" t="s">
        <v>1305</v>
      </c>
      <c r="C37" s="216" t="s">
        <v>1260</v>
      </c>
      <c r="D37" s="212"/>
      <c r="E37" s="216" t="s">
        <v>1261</v>
      </c>
      <c r="F37" s="212"/>
      <c r="I37" s="1276" t="s">
        <v>1310</v>
      </c>
      <c r="J37" s="1276"/>
      <c r="K37" s="1276"/>
      <c r="L37" s="1276"/>
      <c r="M37" s="1276"/>
      <c r="N37" s="1276"/>
      <c r="O37" s="1276"/>
      <c r="P37" s="1276"/>
      <c r="Q37" s="1276"/>
    </row>
    <row r="38" spans="1:17" ht="15.75" customHeight="1">
      <c r="A38" s="55">
        <v>36</v>
      </c>
      <c r="B38" s="1201"/>
      <c r="C38" s="217" t="s">
        <v>1262</v>
      </c>
      <c r="D38" s="203"/>
      <c r="E38" s="218"/>
      <c r="F38" s="203"/>
      <c r="I38" s="1270" t="s">
        <v>1311</v>
      </c>
      <c r="J38" s="1271"/>
      <c r="K38" s="1272" t="s">
        <v>1312</v>
      </c>
      <c r="L38" s="1271"/>
      <c r="M38" s="1272" t="s">
        <v>1313</v>
      </c>
      <c r="N38" s="1271"/>
      <c r="O38" s="1272" t="s">
        <v>1314</v>
      </c>
      <c r="P38" s="1271"/>
      <c r="Q38" s="567" t="s">
        <v>878</v>
      </c>
    </row>
    <row r="39" spans="1:17" ht="16.5" thickBot="1">
      <c r="A39" s="55">
        <v>37</v>
      </c>
      <c r="B39" s="1201"/>
      <c r="C39" s="216" t="s">
        <v>1263</v>
      </c>
      <c r="D39" s="203"/>
      <c r="E39" s="218"/>
      <c r="F39" s="203"/>
      <c r="I39" s="1273">
        <f>D37</f>
        <v>0</v>
      </c>
      <c r="J39" s="1274"/>
      <c r="K39" s="1275">
        <f>D38</f>
        <v>0</v>
      </c>
      <c r="L39" s="1274"/>
      <c r="M39" s="1275">
        <f>D39</f>
        <v>0</v>
      </c>
      <c r="N39" s="1274"/>
      <c r="O39" s="1275">
        <f>D40</f>
        <v>0</v>
      </c>
      <c r="P39" s="1274"/>
      <c r="Q39" s="568">
        <f>F37</f>
        <v>0</v>
      </c>
    </row>
    <row r="40" spans="1:17" ht="16.5" thickBot="1">
      <c r="A40" s="55">
        <v>38</v>
      </c>
      <c r="B40" s="1202"/>
      <c r="C40" s="219" t="s">
        <v>1264</v>
      </c>
      <c r="D40" s="525"/>
      <c r="E40" s="526"/>
      <c r="F40" s="525"/>
      <c r="I40" s="1262"/>
      <c r="J40" s="1262"/>
      <c r="K40" s="1262"/>
      <c r="L40" s="1262"/>
      <c r="M40" s="1262"/>
      <c r="N40" s="1262"/>
      <c r="O40" s="1262"/>
      <c r="P40" s="1262"/>
      <c r="Q40" s="1262"/>
    </row>
    <row r="41" spans="1:17" ht="15" thickBot="1">
      <c r="A41" s="55">
        <v>39</v>
      </c>
      <c r="I41" s="569" t="s">
        <v>1315</v>
      </c>
      <c r="J41" s="1263" t="s">
        <v>748</v>
      </c>
      <c r="K41" s="1264"/>
      <c r="L41" s="569" t="s">
        <v>95</v>
      </c>
      <c r="M41" s="569" t="s">
        <v>1316</v>
      </c>
      <c r="N41" s="1265" t="s">
        <v>1317</v>
      </c>
      <c r="O41" s="1266"/>
      <c r="P41" s="1265" t="s">
        <v>878</v>
      </c>
      <c r="Q41" s="1266"/>
    </row>
    <row r="42" spans="1:17" ht="15.75" customHeight="1" thickBot="1">
      <c r="A42" s="55">
        <v>40</v>
      </c>
      <c r="B42" s="1120" t="s">
        <v>565</v>
      </c>
      <c r="C42" s="1121"/>
      <c r="D42" s="1121"/>
      <c r="E42" s="1121"/>
      <c r="F42" s="1121"/>
      <c r="I42" s="83">
        <v>1</v>
      </c>
      <c r="J42" s="1267">
        <f>B45</f>
        <v>0</v>
      </c>
      <c r="K42" s="1268"/>
      <c r="L42" s="570">
        <f>C45</f>
        <v>0</v>
      </c>
      <c r="M42" s="571">
        <f>D45</f>
        <v>0</v>
      </c>
      <c r="N42" s="869">
        <f>E45</f>
        <v>0</v>
      </c>
      <c r="O42" s="1269"/>
      <c r="P42" s="797">
        <f>F45</f>
        <v>0</v>
      </c>
      <c r="Q42" s="798"/>
    </row>
    <row r="43" spans="1:17" ht="15" thickBot="1">
      <c r="A43" s="55">
        <v>41</v>
      </c>
      <c r="B43" s="1122"/>
      <c r="C43" s="1123"/>
      <c r="D43" s="1123"/>
      <c r="E43" s="1123"/>
      <c r="F43" s="1123"/>
      <c r="I43" s="83">
        <v>2</v>
      </c>
      <c r="J43" s="1267">
        <f t="shared" ref="J43:J61" si="0">B46</f>
        <v>0</v>
      </c>
      <c r="K43" s="1268"/>
      <c r="L43" s="570">
        <f t="shared" ref="L43:L61" si="1">C46</f>
        <v>0</v>
      </c>
      <c r="M43" s="571">
        <f t="shared" ref="M43:M61" si="2">D46</f>
        <v>0</v>
      </c>
      <c r="N43" s="869">
        <f t="shared" ref="N43:N61" si="3">E46</f>
        <v>0</v>
      </c>
      <c r="O43" s="1269"/>
      <c r="P43" s="797">
        <f t="shared" ref="P43:P61" si="4">F46</f>
        <v>0</v>
      </c>
      <c r="Q43" s="798"/>
    </row>
    <row r="44" spans="1:17" ht="18" thickTop="1" thickBot="1">
      <c r="A44" s="55">
        <v>42</v>
      </c>
      <c r="B44" s="421" t="s">
        <v>74</v>
      </c>
      <c r="C44" s="421" t="s">
        <v>75</v>
      </c>
      <c r="D44" s="421" t="s">
        <v>1306</v>
      </c>
      <c r="E44" s="421" t="s">
        <v>1307</v>
      </c>
      <c r="F44" s="527" t="s">
        <v>1308</v>
      </c>
      <c r="I44" s="83">
        <v>3</v>
      </c>
      <c r="J44" s="1267">
        <f t="shared" si="0"/>
        <v>0</v>
      </c>
      <c r="K44" s="1268"/>
      <c r="L44" s="570">
        <f t="shared" si="1"/>
        <v>0</v>
      </c>
      <c r="M44" s="571">
        <f t="shared" si="2"/>
        <v>0</v>
      </c>
      <c r="N44" s="869">
        <f t="shared" si="3"/>
        <v>0</v>
      </c>
      <c r="O44" s="1269"/>
      <c r="P44" s="797">
        <f t="shared" si="4"/>
        <v>0</v>
      </c>
      <c r="Q44" s="798"/>
    </row>
    <row r="45" spans="1:17" ht="15.75" customHeight="1" thickBot="1">
      <c r="A45" s="55">
        <v>43</v>
      </c>
      <c r="B45" s="505"/>
      <c r="C45" s="505"/>
      <c r="D45" s="505"/>
      <c r="E45" s="505"/>
      <c r="F45" s="505"/>
      <c r="I45" s="83">
        <v>4</v>
      </c>
      <c r="J45" s="1267">
        <f t="shared" si="0"/>
        <v>0</v>
      </c>
      <c r="K45" s="1268"/>
      <c r="L45" s="570">
        <f t="shared" si="1"/>
        <v>0</v>
      </c>
      <c r="M45" s="571">
        <f t="shared" si="2"/>
        <v>0</v>
      </c>
      <c r="N45" s="869">
        <f t="shared" si="3"/>
        <v>0</v>
      </c>
      <c r="O45" s="1269"/>
      <c r="P45" s="797">
        <f t="shared" si="4"/>
        <v>0</v>
      </c>
      <c r="Q45" s="798"/>
    </row>
    <row r="46" spans="1:17" ht="15.75" customHeight="1" thickBot="1">
      <c r="A46" s="55">
        <v>44</v>
      </c>
      <c r="B46" s="505"/>
      <c r="C46" s="505"/>
      <c r="D46" s="505"/>
      <c r="E46" s="505"/>
      <c r="F46" s="505"/>
      <c r="I46" s="83">
        <v>5</v>
      </c>
      <c r="J46" s="1267">
        <f t="shared" si="0"/>
        <v>0</v>
      </c>
      <c r="K46" s="1268"/>
      <c r="L46" s="570">
        <f t="shared" si="1"/>
        <v>0</v>
      </c>
      <c r="M46" s="571">
        <f t="shared" si="2"/>
        <v>0</v>
      </c>
      <c r="N46" s="869">
        <f t="shared" si="3"/>
        <v>0</v>
      </c>
      <c r="O46" s="1269"/>
      <c r="P46" s="797">
        <f t="shared" si="4"/>
        <v>0</v>
      </c>
      <c r="Q46" s="798"/>
    </row>
    <row r="47" spans="1:17" ht="15.75" customHeight="1" thickBot="1">
      <c r="A47" s="55">
        <v>45</v>
      </c>
      <c r="I47" s="83">
        <v>6</v>
      </c>
      <c r="J47" s="1267">
        <f t="shared" si="0"/>
        <v>0</v>
      </c>
      <c r="K47" s="1268"/>
      <c r="L47" s="570">
        <f t="shared" si="1"/>
        <v>0</v>
      </c>
      <c r="M47" s="571">
        <f t="shared" si="2"/>
        <v>0</v>
      </c>
      <c r="N47" s="869">
        <f t="shared" si="3"/>
        <v>0</v>
      </c>
      <c r="O47" s="1269"/>
      <c r="P47" s="797">
        <f t="shared" si="4"/>
        <v>0</v>
      </c>
      <c r="Q47" s="798"/>
    </row>
    <row r="48" spans="1:17" ht="15.75" customHeight="1" thickBot="1">
      <c r="A48" s="55">
        <v>46</v>
      </c>
      <c r="I48" s="83">
        <v>7</v>
      </c>
      <c r="J48" s="1267">
        <f t="shared" si="0"/>
        <v>0</v>
      </c>
      <c r="K48" s="1268"/>
      <c r="L48" s="570">
        <f t="shared" si="1"/>
        <v>0</v>
      </c>
      <c r="M48" s="571">
        <f t="shared" si="2"/>
        <v>0</v>
      </c>
      <c r="N48" s="869">
        <f t="shared" si="3"/>
        <v>0</v>
      </c>
      <c r="O48" s="1269"/>
      <c r="P48" s="797">
        <f t="shared" si="4"/>
        <v>0</v>
      </c>
      <c r="Q48" s="798"/>
    </row>
    <row r="49" spans="1:17" ht="15.75" customHeight="1" thickBot="1">
      <c r="A49" s="55">
        <v>47</v>
      </c>
      <c r="I49" s="83">
        <v>8</v>
      </c>
      <c r="J49" s="1267">
        <f t="shared" si="0"/>
        <v>0</v>
      </c>
      <c r="K49" s="1268"/>
      <c r="L49" s="570">
        <f t="shared" si="1"/>
        <v>0</v>
      </c>
      <c r="M49" s="571">
        <f t="shared" si="2"/>
        <v>0</v>
      </c>
      <c r="N49" s="869">
        <f t="shared" si="3"/>
        <v>0</v>
      </c>
      <c r="O49" s="1269"/>
      <c r="P49" s="797">
        <f t="shared" si="4"/>
        <v>0</v>
      </c>
      <c r="Q49" s="798"/>
    </row>
    <row r="50" spans="1:17" ht="15.75" customHeight="1" thickBot="1">
      <c r="A50" s="55">
        <v>48</v>
      </c>
      <c r="I50" s="83">
        <v>9</v>
      </c>
      <c r="J50" s="1267">
        <f t="shared" si="0"/>
        <v>0</v>
      </c>
      <c r="K50" s="1268"/>
      <c r="L50" s="570">
        <f t="shared" si="1"/>
        <v>0</v>
      </c>
      <c r="M50" s="571">
        <f t="shared" si="2"/>
        <v>0</v>
      </c>
      <c r="N50" s="869">
        <f t="shared" si="3"/>
        <v>0</v>
      </c>
      <c r="O50" s="1269"/>
      <c r="P50" s="797">
        <f t="shared" si="4"/>
        <v>0</v>
      </c>
      <c r="Q50" s="798"/>
    </row>
    <row r="51" spans="1:17" ht="15.75" customHeight="1" thickBot="1">
      <c r="A51" s="55">
        <v>49</v>
      </c>
      <c r="I51" s="83">
        <v>10</v>
      </c>
      <c r="J51" s="1267">
        <f t="shared" si="0"/>
        <v>0</v>
      </c>
      <c r="K51" s="1268"/>
      <c r="L51" s="570">
        <f t="shared" si="1"/>
        <v>0</v>
      </c>
      <c r="M51" s="571">
        <f t="shared" si="2"/>
        <v>0</v>
      </c>
      <c r="N51" s="869">
        <f t="shared" si="3"/>
        <v>0</v>
      </c>
      <c r="O51" s="1269"/>
      <c r="P51" s="797">
        <f t="shared" si="4"/>
        <v>0</v>
      </c>
      <c r="Q51" s="798"/>
    </row>
    <row r="52" spans="1:17" ht="15.75" customHeight="1" thickBot="1">
      <c r="A52" s="55">
        <v>50</v>
      </c>
      <c r="I52" s="83">
        <v>11</v>
      </c>
      <c r="J52" s="1267">
        <f t="shared" si="0"/>
        <v>0</v>
      </c>
      <c r="K52" s="1268"/>
      <c r="L52" s="570">
        <f t="shared" si="1"/>
        <v>0</v>
      </c>
      <c r="M52" s="571">
        <f t="shared" si="2"/>
        <v>0</v>
      </c>
      <c r="N52" s="869">
        <f t="shared" si="3"/>
        <v>0</v>
      </c>
      <c r="O52" s="1269"/>
      <c r="P52" s="797">
        <f t="shared" si="4"/>
        <v>0</v>
      </c>
      <c r="Q52" s="798"/>
    </row>
    <row r="53" spans="1:17" ht="15.75" customHeight="1" thickBot="1">
      <c r="A53" s="55">
        <v>51</v>
      </c>
      <c r="I53" s="83">
        <v>12</v>
      </c>
      <c r="J53" s="1267">
        <f t="shared" si="0"/>
        <v>0</v>
      </c>
      <c r="K53" s="1268"/>
      <c r="L53" s="570">
        <f t="shared" si="1"/>
        <v>0</v>
      </c>
      <c r="M53" s="571">
        <f t="shared" si="2"/>
        <v>0</v>
      </c>
      <c r="N53" s="869">
        <f t="shared" si="3"/>
        <v>0</v>
      </c>
      <c r="O53" s="1269"/>
      <c r="P53" s="797">
        <f t="shared" si="4"/>
        <v>0</v>
      </c>
      <c r="Q53" s="798"/>
    </row>
    <row r="54" spans="1:17" ht="15.75" customHeight="1" thickBot="1">
      <c r="A54" s="55">
        <v>52</v>
      </c>
      <c r="I54" s="83">
        <v>13</v>
      </c>
      <c r="J54" s="1267">
        <f t="shared" si="0"/>
        <v>0</v>
      </c>
      <c r="K54" s="1268"/>
      <c r="L54" s="570">
        <f t="shared" si="1"/>
        <v>0</v>
      </c>
      <c r="M54" s="571">
        <f t="shared" si="2"/>
        <v>0</v>
      </c>
      <c r="N54" s="869">
        <f t="shared" si="3"/>
        <v>0</v>
      </c>
      <c r="O54" s="1269"/>
      <c r="P54" s="797">
        <f t="shared" si="4"/>
        <v>0</v>
      </c>
      <c r="Q54" s="798"/>
    </row>
    <row r="55" spans="1:17" ht="15.75" customHeight="1" thickBot="1">
      <c r="A55" s="55">
        <v>53</v>
      </c>
      <c r="I55" s="83">
        <v>14</v>
      </c>
      <c r="J55" s="1267">
        <f t="shared" si="0"/>
        <v>0</v>
      </c>
      <c r="K55" s="1268"/>
      <c r="L55" s="570">
        <f t="shared" si="1"/>
        <v>0</v>
      </c>
      <c r="M55" s="571">
        <f t="shared" si="2"/>
        <v>0</v>
      </c>
      <c r="N55" s="869">
        <f t="shared" si="3"/>
        <v>0</v>
      </c>
      <c r="O55" s="1269"/>
      <c r="P55" s="797">
        <f t="shared" si="4"/>
        <v>0</v>
      </c>
      <c r="Q55" s="798"/>
    </row>
    <row r="56" spans="1:17" ht="15.75" customHeight="1" thickBot="1">
      <c r="A56" s="55">
        <v>54</v>
      </c>
      <c r="I56" s="83">
        <v>15</v>
      </c>
      <c r="J56" s="1267">
        <f t="shared" si="0"/>
        <v>0</v>
      </c>
      <c r="K56" s="1268"/>
      <c r="L56" s="570">
        <f t="shared" si="1"/>
        <v>0</v>
      </c>
      <c r="M56" s="571">
        <f t="shared" si="2"/>
        <v>0</v>
      </c>
      <c r="N56" s="869">
        <f t="shared" si="3"/>
        <v>0</v>
      </c>
      <c r="O56" s="1269"/>
      <c r="P56" s="797">
        <f t="shared" si="4"/>
        <v>0</v>
      </c>
      <c r="Q56" s="798"/>
    </row>
    <row r="57" spans="1:17" ht="15.75" customHeight="1" thickBot="1">
      <c r="A57" s="55">
        <v>55</v>
      </c>
      <c r="I57" s="83">
        <v>16</v>
      </c>
      <c r="J57" s="1267">
        <f t="shared" si="0"/>
        <v>0</v>
      </c>
      <c r="K57" s="1268"/>
      <c r="L57" s="570">
        <f t="shared" si="1"/>
        <v>0</v>
      </c>
      <c r="M57" s="571">
        <f t="shared" si="2"/>
        <v>0</v>
      </c>
      <c r="N57" s="869">
        <f t="shared" si="3"/>
        <v>0</v>
      </c>
      <c r="O57" s="1269"/>
      <c r="P57" s="797">
        <f t="shared" si="4"/>
        <v>0</v>
      </c>
      <c r="Q57" s="798"/>
    </row>
    <row r="58" spans="1:17" ht="15.75" customHeight="1" thickBot="1">
      <c r="A58" s="55">
        <v>56</v>
      </c>
      <c r="I58" s="83">
        <v>17</v>
      </c>
      <c r="J58" s="1267">
        <f t="shared" si="0"/>
        <v>0</v>
      </c>
      <c r="K58" s="1268"/>
      <c r="L58" s="570">
        <f t="shared" si="1"/>
        <v>0</v>
      </c>
      <c r="M58" s="571">
        <f t="shared" si="2"/>
        <v>0</v>
      </c>
      <c r="N58" s="869">
        <f t="shared" si="3"/>
        <v>0</v>
      </c>
      <c r="O58" s="1269"/>
      <c r="P58" s="797">
        <f t="shared" si="4"/>
        <v>0</v>
      </c>
      <c r="Q58" s="798"/>
    </row>
    <row r="59" spans="1:17" ht="15.75" customHeight="1" thickBot="1">
      <c r="A59" s="55">
        <v>57</v>
      </c>
      <c r="I59" s="83">
        <v>18</v>
      </c>
      <c r="J59" s="1267">
        <f t="shared" si="0"/>
        <v>0</v>
      </c>
      <c r="K59" s="1268"/>
      <c r="L59" s="570">
        <f t="shared" si="1"/>
        <v>0</v>
      </c>
      <c r="M59" s="571">
        <f t="shared" si="2"/>
        <v>0</v>
      </c>
      <c r="N59" s="869">
        <f t="shared" si="3"/>
        <v>0</v>
      </c>
      <c r="O59" s="1269"/>
      <c r="P59" s="797">
        <f t="shared" si="4"/>
        <v>0</v>
      </c>
      <c r="Q59" s="798"/>
    </row>
    <row r="60" spans="1:17" ht="15.75" customHeight="1" thickBot="1">
      <c r="A60" s="55">
        <v>58</v>
      </c>
      <c r="I60" s="83">
        <v>19</v>
      </c>
      <c r="J60" s="1267">
        <f t="shared" si="0"/>
        <v>0</v>
      </c>
      <c r="K60" s="1268"/>
      <c r="L60" s="570">
        <f t="shared" si="1"/>
        <v>0</v>
      </c>
      <c r="M60" s="571">
        <f t="shared" si="2"/>
        <v>0</v>
      </c>
      <c r="N60" s="869">
        <f t="shared" si="3"/>
        <v>0</v>
      </c>
      <c r="O60" s="1269"/>
      <c r="P60" s="797">
        <f t="shared" si="4"/>
        <v>0</v>
      </c>
      <c r="Q60" s="798"/>
    </row>
    <row r="61" spans="1:17" ht="15.75" customHeight="1">
      <c r="A61" s="55">
        <v>59</v>
      </c>
      <c r="I61" s="83">
        <v>20</v>
      </c>
      <c r="J61" s="1267">
        <f t="shared" si="0"/>
        <v>0</v>
      </c>
      <c r="K61" s="1268"/>
      <c r="L61" s="570">
        <f t="shared" si="1"/>
        <v>0</v>
      </c>
      <c r="M61" s="571">
        <f t="shared" si="2"/>
        <v>0</v>
      </c>
      <c r="N61" s="869">
        <f t="shared" si="3"/>
        <v>0</v>
      </c>
      <c r="O61" s="1269"/>
      <c r="P61" s="797">
        <f t="shared" si="4"/>
        <v>0</v>
      </c>
      <c r="Q61" s="798"/>
    </row>
    <row r="62" spans="1:17" ht="14.25">
      <c r="A62" s="55">
        <v>60</v>
      </c>
    </row>
    <row r="63" spans="1:17" ht="14.25">
      <c r="A63" s="55">
        <v>61</v>
      </c>
    </row>
    <row r="64" spans="1:17" ht="14.25">
      <c r="A64" s="55">
        <v>62</v>
      </c>
    </row>
    <row r="65" spans="1:1" ht="14.25">
      <c r="A65" s="55">
        <v>63</v>
      </c>
    </row>
    <row r="66" spans="1:1" ht="14.25">
      <c r="A66" s="55">
        <v>64</v>
      </c>
    </row>
    <row r="67" spans="1:1" ht="14.25">
      <c r="A67" s="55">
        <v>65</v>
      </c>
    </row>
    <row r="68" spans="1:1" ht="14.25">
      <c r="A68" s="55">
        <v>66</v>
      </c>
    </row>
    <row r="69" spans="1:1" ht="14.25">
      <c r="A69" s="55">
        <v>67</v>
      </c>
    </row>
  </sheetData>
  <mergeCells count="138">
    <mergeCell ref="J61:K61"/>
    <mergeCell ref="N61:O61"/>
    <mergeCell ref="P61:Q61"/>
    <mergeCell ref="I37:Q37"/>
    <mergeCell ref="J59:K59"/>
    <mergeCell ref="N59:O59"/>
    <mergeCell ref="P59:Q59"/>
    <mergeCell ref="J60:K60"/>
    <mergeCell ref="N60:O60"/>
    <mergeCell ref="P60:Q60"/>
    <mergeCell ref="J57:K57"/>
    <mergeCell ref="N57:O57"/>
    <mergeCell ref="P57:Q57"/>
    <mergeCell ref="J58:K58"/>
    <mergeCell ref="N58:O58"/>
    <mergeCell ref="P58:Q58"/>
    <mergeCell ref="J55:K55"/>
    <mergeCell ref="N55:O55"/>
    <mergeCell ref="P55:Q55"/>
    <mergeCell ref="J56:K56"/>
    <mergeCell ref="N56:O56"/>
    <mergeCell ref="P56:Q56"/>
    <mergeCell ref="J53:K53"/>
    <mergeCell ref="N53:O53"/>
    <mergeCell ref="P53:Q53"/>
    <mergeCell ref="J54:K54"/>
    <mergeCell ref="N54:O54"/>
    <mergeCell ref="P54:Q54"/>
    <mergeCell ref="J51:K51"/>
    <mergeCell ref="N51:O51"/>
    <mergeCell ref="P51:Q51"/>
    <mergeCell ref="J52:K52"/>
    <mergeCell ref="N52:O52"/>
    <mergeCell ref="P52:Q52"/>
    <mergeCell ref="J49:K49"/>
    <mergeCell ref="N49:O49"/>
    <mergeCell ref="P49:Q49"/>
    <mergeCell ref="J50:K50"/>
    <mergeCell ref="N50:O50"/>
    <mergeCell ref="P50:Q50"/>
    <mergeCell ref="J47:K47"/>
    <mergeCell ref="N47:O47"/>
    <mergeCell ref="P47:Q47"/>
    <mergeCell ref="J48:K48"/>
    <mergeCell ref="N48:O48"/>
    <mergeCell ref="P48:Q48"/>
    <mergeCell ref="J45:K45"/>
    <mergeCell ref="N45:O45"/>
    <mergeCell ref="P45:Q45"/>
    <mergeCell ref="J46:K46"/>
    <mergeCell ref="N46:O46"/>
    <mergeCell ref="P46:Q46"/>
    <mergeCell ref="J43:K43"/>
    <mergeCell ref="N43:O43"/>
    <mergeCell ref="P43:Q43"/>
    <mergeCell ref="J44:K44"/>
    <mergeCell ref="N44:O44"/>
    <mergeCell ref="P44:Q44"/>
    <mergeCell ref="I40:Q40"/>
    <mergeCell ref="J41:K41"/>
    <mergeCell ref="N41:O41"/>
    <mergeCell ref="P41:Q41"/>
    <mergeCell ref="J42:K42"/>
    <mergeCell ref="N42:O42"/>
    <mergeCell ref="P42:Q42"/>
    <mergeCell ref="I38:J38"/>
    <mergeCell ref="K38:L38"/>
    <mergeCell ref="M38:N38"/>
    <mergeCell ref="O38:P38"/>
    <mergeCell ref="I39:J39"/>
    <mergeCell ref="K39:L39"/>
    <mergeCell ref="M39:N39"/>
    <mergeCell ref="O39:P39"/>
    <mergeCell ref="O8:R8"/>
    <mergeCell ref="J9:R9"/>
    <mergeCell ref="J10:K10"/>
    <mergeCell ref="L10:M10"/>
    <mergeCell ref="O10:R10"/>
    <mergeCell ref="I2:R2"/>
    <mergeCell ref="N4:O4"/>
    <mergeCell ref="J4:M4"/>
    <mergeCell ref="P4:R4"/>
    <mergeCell ref="J5:R5"/>
    <mergeCell ref="J6:K6"/>
    <mergeCell ref="L6:M6"/>
    <mergeCell ref="N6:O6"/>
    <mergeCell ref="P6:R6"/>
    <mergeCell ref="I3:R3"/>
    <mergeCell ref="I7:R7"/>
    <mergeCell ref="J8:M8"/>
    <mergeCell ref="Q27:R27"/>
    <mergeCell ref="K28:L28"/>
    <mergeCell ref="M28:N28"/>
    <mergeCell ref="J11:M12"/>
    <mergeCell ref="N11:N12"/>
    <mergeCell ref="O11:R12"/>
    <mergeCell ref="J13:R13"/>
    <mergeCell ref="I14:R14"/>
    <mergeCell ref="I15:K15"/>
    <mergeCell ref="L15:M15"/>
    <mergeCell ref="N15:O15"/>
    <mergeCell ref="P15:R15"/>
    <mergeCell ref="K23:P23"/>
    <mergeCell ref="Q23:R23"/>
    <mergeCell ref="K24:L24"/>
    <mergeCell ref="M24:N24"/>
    <mergeCell ref="O24:P24"/>
    <mergeCell ref="K22:L22"/>
    <mergeCell ref="M22:N22"/>
    <mergeCell ref="O22:P22"/>
    <mergeCell ref="I20:R20"/>
    <mergeCell ref="K21:L21"/>
    <mergeCell ref="M21:N21"/>
    <mergeCell ref="O21:P21"/>
    <mergeCell ref="I17:K17"/>
    <mergeCell ref="L17:R17"/>
    <mergeCell ref="I18:K18"/>
    <mergeCell ref="L18:R18"/>
    <mergeCell ref="L16:R16"/>
    <mergeCell ref="B37:B40"/>
    <mergeCell ref="B42:F43"/>
    <mergeCell ref="B19:G19"/>
    <mergeCell ref="B2:F2"/>
    <mergeCell ref="I16:K16"/>
    <mergeCell ref="I19:K19"/>
    <mergeCell ref="L19:R19"/>
    <mergeCell ref="K29:L29"/>
    <mergeCell ref="M29:N29"/>
    <mergeCell ref="O29:P29"/>
    <mergeCell ref="O27:P27"/>
    <mergeCell ref="O28:P28"/>
    <mergeCell ref="K27:N27"/>
    <mergeCell ref="K25:L25"/>
    <mergeCell ref="M25:N25"/>
    <mergeCell ref="O25:P25"/>
    <mergeCell ref="K26:L26"/>
    <mergeCell ref="M26:N26"/>
    <mergeCell ref="O26:P26"/>
  </mergeCells>
  <phoneticPr fontId="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8"/>
  <sheetViews>
    <sheetView showGridLines="0" workbookViewId="0">
      <selection activeCell="F35" sqref="F35"/>
    </sheetView>
  </sheetViews>
  <sheetFormatPr defaultColWidth="8.7109375" defaultRowHeight="12.75"/>
  <cols>
    <col min="1" max="1" width="14" style="39" customWidth="1"/>
    <col min="2" max="2" width="27.5703125" style="39" customWidth="1"/>
    <col min="3" max="4" width="13.140625" style="39" customWidth="1"/>
    <col min="5" max="5" width="18" style="39" customWidth="1"/>
    <col min="6" max="6" width="13.140625" style="39" customWidth="1"/>
    <col min="7" max="8" width="8.7109375" style="39"/>
    <col min="9" max="9" width="8.42578125" style="39" bestFit="1" customWidth="1"/>
    <col min="10" max="10" width="12.85546875" style="39" bestFit="1" customWidth="1"/>
    <col min="11" max="11" width="8.42578125" style="39" bestFit="1" customWidth="1"/>
    <col min="12" max="14" width="3.28515625" style="39" bestFit="1" customWidth="1"/>
    <col min="15" max="16" width="6.28515625" style="39" customWidth="1"/>
    <col min="17" max="19" width="3.28515625" style="39" bestFit="1" customWidth="1"/>
    <col min="20" max="20" width="12.42578125" style="39" bestFit="1" customWidth="1"/>
    <col min="21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31.5">
      <c r="A2" s="54">
        <v>0</v>
      </c>
      <c r="B2" s="1342" t="s">
        <v>1482</v>
      </c>
      <c r="C2" s="824"/>
      <c r="D2" s="824"/>
      <c r="E2" s="824"/>
      <c r="F2" s="824"/>
      <c r="I2" s="1308" t="s">
        <v>720</v>
      </c>
      <c r="J2" s="1309"/>
      <c r="K2" s="1309"/>
      <c r="L2" s="1309"/>
      <c r="M2" s="1309"/>
      <c r="N2" s="1309"/>
      <c r="O2" s="1309"/>
      <c r="P2" s="1309"/>
      <c r="Q2" s="1309"/>
      <c r="R2" s="1309"/>
      <c r="S2" s="1309"/>
      <c r="T2" s="1309"/>
    </row>
    <row r="3" spans="1:38" ht="18.75" thickBot="1">
      <c r="A3" s="55">
        <v>1</v>
      </c>
      <c r="B3" s="240" t="s">
        <v>576</v>
      </c>
      <c r="C3" s="1343" t="s">
        <v>577</v>
      </c>
      <c r="D3" s="1343"/>
      <c r="E3" s="1343" t="s">
        <v>578</v>
      </c>
      <c r="F3" s="1344"/>
      <c r="I3" s="241" t="s">
        <v>579</v>
      </c>
      <c r="J3" s="242" t="s">
        <v>580</v>
      </c>
      <c r="K3" s="1310" t="e">
        <f>E4</f>
        <v>#REF!</v>
      </c>
      <c r="L3" s="1311"/>
      <c r="M3" s="1311"/>
      <c r="N3" s="1312"/>
      <c r="O3" s="1186" t="s">
        <v>581</v>
      </c>
      <c r="P3" s="1187"/>
      <c r="Q3" s="1313" t="e">
        <f>E5</f>
        <v>#REF!</v>
      </c>
      <c r="R3" s="1311"/>
      <c r="S3" s="1311"/>
      <c r="T3" s="1311"/>
    </row>
    <row r="4" spans="1:38" ht="17.649999999999999" customHeight="1" thickTop="1">
      <c r="A4" s="55">
        <v>2</v>
      </c>
      <c r="B4" s="1345" t="s">
        <v>530</v>
      </c>
      <c r="C4" s="1338" t="s">
        <v>522</v>
      </c>
      <c r="D4" s="1338"/>
      <c r="E4" s="1346" t="e">
        <f>#REF!</f>
        <v>#REF!</v>
      </c>
      <c r="F4" s="1347"/>
      <c r="I4" s="243" t="s">
        <v>582</v>
      </c>
      <c r="J4" s="244" t="s">
        <v>583</v>
      </c>
      <c r="K4" s="1314" t="e">
        <f>E6</f>
        <v>#REF!</v>
      </c>
      <c r="L4" s="1315"/>
      <c r="M4" s="1315"/>
      <c r="N4" s="1315"/>
      <c r="O4" s="1315"/>
      <c r="P4" s="1315"/>
      <c r="Q4" s="1315"/>
      <c r="R4" s="1315"/>
      <c r="S4" s="1315"/>
      <c r="T4" s="1315"/>
    </row>
    <row r="5" spans="1:38" ht="16.899999999999999" customHeight="1" thickBot="1">
      <c r="A5" s="55">
        <v>3</v>
      </c>
      <c r="B5" s="1333"/>
      <c r="C5" s="1335" t="s">
        <v>523</v>
      </c>
      <c r="D5" s="1335"/>
      <c r="E5" s="1336" t="e">
        <f>#REF!</f>
        <v>#REF!</v>
      </c>
      <c r="F5" s="1337"/>
      <c r="I5" s="238"/>
      <c r="J5" s="245" t="s">
        <v>584</v>
      </c>
      <c r="K5" s="1310" t="e">
        <f>E7</f>
        <v>#REF!</v>
      </c>
      <c r="L5" s="1311"/>
      <c r="M5" s="1311"/>
      <c r="N5" s="1316"/>
      <c r="O5" s="1226" t="s">
        <v>585</v>
      </c>
      <c r="P5" s="1228"/>
      <c r="Q5" s="1310" t="e">
        <f>E8</f>
        <v>#REF!</v>
      </c>
      <c r="R5" s="1311"/>
      <c r="S5" s="1311"/>
      <c r="T5" s="1311"/>
    </row>
    <row r="6" spans="1:38" ht="16.899999999999999" customHeight="1">
      <c r="A6" s="55">
        <v>4</v>
      </c>
      <c r="B6" s="1333"/>
      <c r="C6" s="1335" t="s">
        <v>524</v>
      </c>
      <c r="D6" s="1335"/>
      <c r="E6" s="1336" t="e">
        <f>#REF!</f>
        <v>#REF!</v>
      </c>
      <c r="F6" s="1337"/>
      <c r="I6" s="246" t="s">
        <v>586</v>
      </c>
      <c r="J6" s="247" t="s">
        <v>587</v>
      </c>
      <c r="K6" s="1310" t="e">
        <f>E10</f>
        <v>#REF!</v>
      </c>
      <c r="L6" s="1311"/>
      <c r="M6" s="1311"/>
      <c r="N6" s="1316"/>
      <c r="O6" s="1226" t="s">
        <v>588</v>
      </c>
      <c r="P6" s="1228"/>
      <c r="Q6" s="1310" t="e">
        <f>E9</f>
        <v>#REF!</v>
      </c>
      <c r="R6" s="1311"/>
      <c r="S6" s="1311"/>
      <c r="T6" s="1311"/>
    </row>
    <row r="7" spans="1:38" ht="16.5">
      <c r="A7" s="55">
        <v>5</v>
      </c>
      <c r="B7" s="1333"/>
      <c r="C7" s="1335" t="s">
        <v>525</v>
      </c>
      <c r="D7" s="1335"/>
      <c r="E7" s="1336" t="e">
        <f>#REF!</f>
        <v>#REF!</v>
      </c>
      <c r="F7" s="1337"/>
      <c r="I7" s="243" t="s">
        <v>589</v>
      </c>
      <c r="J7" s="248" t="s">
        <v>590</v>
      </c>
      <c r="K7" s="1317" t="e">
        <f>E11</f>
        <v>#REF!</v>
      </c>
      <c r="L7" s="1318"/>
      <c r="M7" s="1318"/>
      <c r="N7" s="1319"/>
      <c r="O7" s="1323" t="s">
        <v>591</v>
      </c>
      <c r="P7" s="1324"/>
      <c r="Q7" s="1326" t="e">
        <f>E12</f>
        <v>#REF!</v>
      </c>
      <c r="R7" s="1318"/>
      <c r="S7" s="1318"/>
      <c r="T7" s="1318"/>
    </row>
    <row r="8" spans="1:38" ht="16.899999999999999" customHeight="1" thickBot="1">
      <c r="A8" s="55">
        <v>6</v>
      </c>
      <c r="B8" s="1333"/>
      <c r="C8" s="1335" t="s">
        <v>526</v>
      </c>
      <c r="D8" s="1335"/>
      <c r="E8" s="1336" t="e">
        <f>#REF!</f>
        <v>#REF!</v>
      </c>
      <c r="F8" s="1337"/>
      <c r="I8" s="238"/>
      <c r="J8" s="236" t="s">
        <v>592</v>
      </c>
      <c r="K8" s="1320"/>
      <c r="L8" s="1321"/>
      <c r="M8" s="1321"/>
      <c r="N8" s="1322"/>
      <c r="O8" s="1165"/>
      <c r="P8" s="1325"/>
      <c r="Q8" s="1320"/>
      <c r="R8" s="1321"/>
      <c r="S8" s="1321"/>
      <c r="T8" s="1321"/>
    </row>
    <row r="9" spans="1:38" ht="17.25" customHeight="1">
      <c r="A9" s="55">
        <v>7</v>
      </c>
      <c r="B9" s="1333"/>
      <c r="C9" s="1348" t="s">
        <v>699</v>
      </c>
      <c r="D9" s="1335"/>
      <c r="E9" s="1336" t="e">
        <f>#REF!</f>
        <v>#REF!</v>
      </c>
      <c r="F9" s="1337"/>
      <c r="I9" s="1164" t="s">
        <v>717</v>
      </c>
      <c r="J9" s="1164"/>
      <c r="K9" s="1164"/>
      <c r="L9" s="1164"/>
      <c r="M9" s="1164"/>
      <c r="N9" s="1164"/>
      <c r="O9" s="1164"/>
      <c r="P9" s="1164"/>
      <c r="Q9" s="1164"/>
      <c r="R9" s="1164"/>
      <c r="S9" s="1164"/>
      <c r="T9" s="1164"/>
    </row>
    <row r="10" spans="1:38" ht="17.25" customHeight="1" thickBot="1">
      <c r="A10" s="55">
        <v>8</v>
      </c>
      <c r="B10" s="1333"/>
      <c r="C10" s="1348" t="s">
        <v>376</v>
      </c>
      <c r="D10" s="1335"/>
      <c r="E10" s="1336" t="e">
        <f>#REF!</f>
        <v>#REF!</v>
      </c>
      <c r="F10" s="1337"/>
      <c r="I10" s="1166" t="s">
        <v>593</v>
      </c>
      <c r="J10" s="1166"/>
      <c r="K10" s="1166"/>
      <c r="L10" s="1166"/>
      <c r="M10" s="1166"/>
      <c r="N10" s="1166"/>
      <c r="O10" s="1166"/>
      <c r="P10" s="1166"/>
      <c r="Q10" s="1166"/>
      <c r="R10" s="1166"/>
      <c r="S10" s="1166"/>
      <c r="T10" s="1166"/>
    </row>
    <row r="11" spans="1:38" ht="20.25" thickBot="1">
      <c r="A11" s="55">
        <v>9</v>
      </c>
      <c r="B11" s="1333"/>
      <c r="C11" s="1350" t="s">
        <v>718</v>
      </c>
      <c r="D11" s="1335"/>
      <c r="E11" s="1336" t="e">
        <f>#REF! &amp; "(" &amp;#REF!&amp; ")"</f>
        <v>#REF!</v>
      </c>
      <c r="F11" s="1337"/>
      <c r="I11" s="1327" t="s">
        <v>594</v>
      </c>
      <c r="J11" s="249" t="s">
        <v>595</v>
      </c>
      <c r="K11" s="1291">
        <f>E15</f>
        <v>0</v>
      </c>
      <c r="L11" s="1292"/>
      <c r="M11" s="1292"/>
      <c r="N11" s="1330"/>
      <c r="O11" s="1169" t="s">
        <v>596</v>
      </c>
      <c r="P11" s="1181"/>
      <c r="Q11" s="1291">
        <f>E16</f>
        <v>0</v>
      </c>
      <c r="R11" s="1292"/>
      <c r="S11" s="1292"/>
      <c r="T11" s="1292"/>
    </row>
    <row r="12" spans="1:38" ht="17.25" thickBot="1">
      <c r="A12" s="55">
        <v>10</v>
      </c>
      <c r="B12" s="1333"/>
      <c r="C12" s="1335" t="s">
        <v>528</v>
      </c>
      <c r="D12" s="1335"/>
      <c r="E12" s="1336" t="e">
        <f>#REF!</f>
        <v>#REF!</v>
      </c>
      <c r="F12" s="1337"/>
      <c r="I12" s="1328"/>
      <c r="J12" s="249" t="s">
        <v>597</v>
      </c>
      <c r="K12" s="1291">
        <f>E17</f>
        <v>0</v>
      </c>
      <c r="L12" s="1292"/>
      <c r="M12" s="1292"/>
      <c r="N12" s="1292"/>
      <c r="O12" s="1292"/>
      <c r="P12" s="1292"/>
      <c r="Q12" s="1292"/>
      <c r="R12" s="1292"/>
      <c r="S12" s="1292"/>
      <c r="T12" s="1292"/>
    </row>
    <row r="13" spans="1:38" ht="17.25" thickBot="1">
      <c r="A13" s="55">
        <v>11</v>
      </c>
      <c r="B13" s="1334"/>
      <c r="C13" s="1339" t="s">
        <v>529</v>
      </c>
      <c r="D13" s="1339"/>
      <c r="E13" s="1349"/>
      <c r="F13" s="1341"/>
      <c r="I13" s="1328"/>
      <c r="J13" s="249" t="s">
        <v>598</v>
      </c>
      <c r="K13" s="1291">
        <f>E18</f>
        <v>0</v>
      </c>
      <c r="L13" s="1292"/>
      <c r="M13" s="1292"/>
      <c r="N13" s="1292"/>
      <c r="O13" s="1292"/>
      <c r="P13" s="1292"/>
      <c r="Q13" s="1292"/>
      <c r="R13" s="1292"/>
      <c r="S13" s="1292"/>
      <c r="T13" s="1292"/>
    </row>
    <row r="14" spans="1:38" ht="13.9" customHeight="1" thickBot="1">
      <c r="A14" s="55">
        <v>12</v>
      </c>
      <c r="I14" s="1328"/>
      <c r="J14" s="249" t="s">
        <v>599</v>
      </c>
      <c r="K14" s="1331">
        <f>E19</f>
        <v>0</v>
      </c>
      <c r="L14" s="1292"/>
      <c r="M14" s="1292"/>
      <c r="N14" s="1292"/>
      <c r="O14" s="1292"/>
      <c r="P14" s="1292"/>
      <c r="Q14" s="1292"/>
      <c r="R14" s="1292"/>
      <c r="S14" s="1292"/>
      <c r="T14" s="1292"/>
    </row>
    <row r="15" spans="1:38" ht="17.25" customHeight="1" thickBot="1">
      <c r="A15" s="55">
        <v>13</v>
      </c>
      <c r="B15" s="1332" t="s">
        <v>531</v>
      </c>
      <c r="C15" s="1335" t="s">
        <v>532</v>
      </c>
      <c r="D15" s="1335"/>
      <c r="E15" s="1336"/>
      <c r="F15" s="1337"/>
      <c r="I15" s="1329"/>
      <c r="J15" s="249" t="s">
        <v>600</v>
      </c>
      <c r="K15" s="1291">
        <f>E20</f>
        <v>55555555</v>
      </c>
      <c r="L15" s="1292"/>
      <c r="M15" s="1292"/>
      <c r="N15" s="1292"/>
      <c r="O15" s="1292"/>
      <c r="P15" s="1292"/>
      <c r="Q15" s="1292"/>
      <c r="R15" s="1292"/>
      <c r="S15" s="1292"/>
      <c r="T15" s="1292"/>
    </row>
    <row r="16" spans="1:38" ht="17.25" thickBot="1">
      <c r="A16" s="55">
        <v>14</v>
      </c>
      <c r="B16" s="1333"/>
      <c r="C16" s="1338" t="s">
        <v>533</v>
      </c>
      <c r="D16" s="1338"/>
      <c r="E16" s="1336"/>
      <c r="F16" s="1337"/>
      <c r="I16" s="1293"/>
      <c r="J16" s="1293"/>
      <c r="K16" s="1293"/>
      <c r="L16" s="1293"/>
      <c r="M16" s="1293"/>
      <c r="N16" s="1293"/>
      <c r="O16" s="1293"/>
      <c r="P16" s="1293"/>
      <c r="Q16" s="1293"/>
      <c r="R16" s="1293"/>
      <c r="S16" s="1293"/>
      <c r="T16" s="1293"/>
    </row>
    <row r="17" spans="1:20" ht="16.5">
      <c r="A17" s="55">
        <v>15</v>
      </c>
      <c r="B17" s="1333"/>
      <c r="C17" s="1338" t="s">
        <v>534</v>
      </c>
      <c r="D17" s="1338"/>
      <c r="E17" s="1336"/>
      <c r="F17" s="1337"/>
      <c r="I17" s="250" t="s">
        <v>601</v>
      </c>
      <c r="J17" s="1294" t="s">
        <v>602</v>
      </c>
      <c r="K17" s="1294" t="s">
        <v>603</v>
      </c>
      <c r="L17" s="1296" t="s">
        <v>604</v>
      </c>
      <c r="M17" s="1297"/>
      <c r="N17" s="1296" t="s">
        <v>605</v>
      </c>
      <c r="O17" s="1300"/>
      <c r="P17" s="1300"/>
      <c r="Q17" s="1297"/>
      <c r="R17" s="1296" t="s">
        <v>606</v>
      </c>
      <c r="S17" s="1300"/>
      <c r="T17" s="1300"/>
    </row>
    <row r="18" spans="1:20" ht="16.5">
      <c r="A18" s="55">
        <v>16</v>
      </c>
      <c r="B18" s="1333"/>
      <c r="C18" s="1338" t="s">
        <v>535</v>
      </c>
      <c r="D18" s="1338"/>
      <c r="E18" s="1336"/>
      <c r="F18" s="1337"/>
      <c r="I18" s="251" t="s">
        <v>607</v>
      </c>
      <c r="J18" s="1295"/>
      <c r="K18" s="1295"/>
      <c r="L18" s="1298"/>
      <c r="M18" s="1299"/>
      <c r="N18" s="1302" t="s">
        <v>608</v>
      </c>
      <c r="O18" s="1303"/>
      <c r="P18" s="1303"/>
      <c r="Q18" s="1304"/>
      <c r="R18" s="1298"/>
      <c r="S18" s="1301"/>
      <c r="T18" s="1301"/>
    </row>
    <row r="19" spans="1:20" ht="16.5">
      <c r="A19" s="55">
        <v>17</v>
      </c>
      <c r="B19" s="1333"/>
      <c r="C19" s="1338" t="s">
        <v>536</v>
      </c>
      <c r="D19" s="1338"/>
      <c r="E19" s="1336"/>
      <c r="F19" s="1337"/>
      <c r="I19" s="239"/>
      <c r="J19" s="265" t="str">
        <f>B24</f>
        <v>이민수</v>
      </c>
      <c r="K19" s="252" t="str">
        <f>C24</f>
        <v>900699</v>
      </c>
      <c r="L19" s="1284" t="str">
        <f>D24</f>
        <v>남</v>
      </c>
      <c r="M19" s="1285"/>
      <c r="N19" s="1305" t="s">
        <v>719</v>
      </c>
      <c r="O19" s="1286"/>
      <c r="P19" s="1286"/>
      <c r="Q19" s="1285"/>
      <c r="R19" s="1287" t="str">
        <f>F24</f>
        <v>010-1234-5678</v>
      </c>
      <c r="S19" s="1286"/>
      <c r="T19" s="1286"/>
    </row>
    <row r="20" spans="1:20" ht="17.25" thickBot="1">
      <c r="A20" s="55">
        <v>18</v>
      </c>
      <c r="B20" s="1334"/>
      <c r="C20" s="1339" t="s">
        <v>537</v>
      </c>
      <c r="D20" s="1339"/>
      <c r="E20" s="1340">
        <v>55555555</v>
      </c>
      <c r="F20" s="1341"/>
      <c r="I20" s="239"/>
      <c r="J20" s="265" t="str">
        <f t="shared" ref="J20:J28" si="0">B25</f>
        <v>정지우</v>
      </c>
      <c r="K20" s="252" t="str">
        <f t="shared" ref="K20:K28" si="1">C25</f>
        <v>950499</v>
      </c>
      <c r="L20" s="1284" t="str">
        <f t="shared" ref="L20:L28" si="2">D25</f>
        <v>여</v>
      </c>
      <c r="M20" s="1285"/>
      <c r="N20" s="1284" t="s">
        <v>609</v>
      </c>
      <c r="O20" s="1286"/>
      <c r="P20" s="1286"/>
      <c r="Q20" s="1285"/>
      <c r="R20" s="1287" t="str">
        <f t="shared" ref="R20:R28" si="3">F25</f>
        <v>010-1234-5678</v>
      </c>
      <c r="S20" s="1286"/>
      <c r="T20" s="1286"/>
    </row>
    <row r="21" spans="1:20" ht="14.25">
      <c r="A21" s="55">
        <v>19</v>
      </c>
      <c r="I21" s="239"/>
      <c r="J21" s="265" t="str">
        <f t="shared" si="0"/>
        <v>박지우</v>
      </c>
      <c r="K21" s="252" t="str">
        <f t="shared" si="1"/>
        <v>960399</v>
      </c>
      <c r="L21" s="1284" t="str">
        <f t="shared" si="2"/>
        <v>여</v>
      </c>
      <c r="M21" s="1285"/>
      <c r="N21" s="1284" t="s">
        <v>609</v>
      </c>
      <c r="O21" s="1286"/>
      <c r="P21" s="1286"/>
      <c r="Q21" s="1285"/>
      <c r="R21" s="1287" t="str">
        <f t="shared" si="3"/>
        <v>010-1234-5678</v>
      </c>
      <c r="S21" s="1286"/>
      <c r="T21" s="1286"/>
    </row>
    <row r="22" spans="1:20" ht="26.25" thickBot="1">
      <c r="A22" s="55">
        <v>20</v>
      </c>
      <c r="B22" s="1306" t="s">
        <v>538</v>
      </c>
      <c r="C22" s="1307"/>
      <c r="D22" s="1307"/>
      <c r="E22" s="1307"/>
      <c r="F22" s="1307"/>
      <c r="I22" s="239"/>
      <c r="J22" s="265" t="str">
        <f t="shared" si="0"/>
        <v>김예은</v>
      </c>
      <c r="K22" s="252" t="str">
        <f t="shared" si="1"/>
        <v>930699</v>
      </c>
      <c r="L22" s="1284" t="str">
        <f t="shared" si="2"/>
        <v>남</v>
      </c>
      <c r="M22" s="1285"/>
      <c r="N22" s="1284" t="s">
        <v>609</v>
      </c>
      <c r="O22" s="1286"/>
      <c r="P22" s="1286"/>
      <c r="Q22" s="1285"/>
      <c r="R22" s="1287" t="str">
        <f t="shared" si="3"/>
        <v>010-1234-5678</v>
      </c>
      <c r="S22" s="1286"/>
      <c r="T22" s="1286"/>
    </row>
    <row r="23" spans="1:20" ht="17.25" thickTop="1">
      <c r="A23" s="55">
        <v>21</v>
      </c>
      <c r="B23" s="234" t="s">
        <v>102</v>
      </c>
      <c r="C23" s="234" t="s">
        <v>75</v>
      </c>
      <c r="D23" s="234" t="s">
        <v>76</v>
      </c>
      <c r="E23" s="234" t="s">
        <v>103</v>
      </c>
      <c r="F23" s="235" t="s">
        <v>78</v>
      </c>
      <c r="I23" s="239"/>
      <c r="J23" s="265" t="str">
        <f t="shared" si="0"/>
        <v>이민수</v>
      </c>
      <c r="K23" s="252" t="str">
        <f t="shared" si="1"/>
        <v>020699</v>
      </c>
      <c r="L23" s="1284" t="str">
        <f t="shared" si="2"/>
        <v>남</v>
      </c>
      <c r="M23" s="1285"/>
      <c r="N23" s="1284" t="s">
        <v>609</v>
      </c>
      <c r="O23" s="1286"/>
      <c r="P23" s="1286"/>
      <c r="Q23" s="1285"/>
      <c r="R23" s="1287" t="str">
        <f t="shared" si="3"/>
        <v>010-1234-5678</v>
      </c>
      <c r="S23" s="1286"/>
      <c r="T23" s="1286"/>
    </row>
    <row r="24" spans="1:20" ht="14.25">
      <c r="A24" s="55">
        <v>22</v>
      </c>
      <c r="B24" s="262" t="str">
        <f>참여자명단!G3</f>
        <v>이민수</v>
      </c>
      <c r="C24" s="39" t="str">
        <f>참여자명단!U3</f>
        <v>900699</v>
      </c>
      <c r="D24" s="39" t="str">
        <f>참여자명단!T3</f>
        <v>남</v>
      </c>
      <c r="F24" s="262" t="str">
        <f>참여자명단!I3</f>
        <v>010-1234-5678</v>
      </c>
      <c r="I24" s="239"/>
      <c r="J24" s="265" t="str">
        <f t="shared" si="0"/>
        <v>박현우</v>
      </c>
      <c r="K24" s="252" t="str">
        <f t="shared" si="1"/>
        <v>930899</v>
      </c>
      <c r="L24" s="1284" t="str">
        <f t="shared" si="2"/>
        <v>남</v>
      </c>
      <c r="M24" s="1285"/>
      <c r="N24" s="1284" t="s">
        <v>609</v>
      </c>
      <c r="O24" s="1286"/>
      <c r="P24" s="1286"/>
      <c r="Q24" s="1285"/>
      <c r="R24" s="1287" t="str">
        <f t="shared" si="3"/>
        <v>010-1234-5678</v>
      </c>
      <c r="S24" s="1286"/>
      <c r="T24" s="1286"/>
    </row>
    <row r="25" spans="1:20" ht="14.25">
      <c r="A25" s="55">
        <v>23</v>
      </c>
      <c r="B25" s="262" t="str">
        <f>참여자명단!G4</f>
        <v>정지우</v>
      </c>
      <c r="C25" s="39" t="str">
        <f>참여자명단!U4</f>
        <v>950499</v>
      </c>
      <c r="D25" s="39" t="str">
        <f>참여자명단!T4</f>
        <v>여</v>
      </c>
      <c r="F25" s="262" t="str">
        <f>참여자명단!I4</f>
        <v>010-1234-5678</v>
      </c>
      <c r="I25" s="239"/>
      <c r="J25" s="265" t="str">
        <f t="shared" si="0"/>
        <v>이현우</v>
      </c>
      <c r="K25" s="252" t="str">
        <f t="shared" si="1"/>
        <v>001199</v>
      </c>
      <c r="L25" s="1284" t="str">
        <f t="shared" si="2"/>
        <v>남</v>
      </c>
      <c r="M25" s="1285"/>
      <c r="N25" s="1284" t="s">
        <v>609</v>
      </c>
      <c r="O25" s="1286"/>
      <c r="P25" s="1286"/>
      <c r="Q25" s="1285"/>
      <c r="R25" s="1287" t="str">
        <f t="shared" si="3"/>
        <v>010-1234-5678</v>
      </c>
      <c r="S25" s="1286"/>
      <c r="T25" s="1286"/>
    </row>
    <row r="26" spans="1:20" ht="14.25">
      <c r="A26" s="55">
        <v>24</v>
      </c>
      <c r="B26" s="262" t="str">
        <f>참여자명단!G5</f>
        <v>박지우</v>
      </c>
      <c r="C26" s="39" t="str">
        <f>참여자명단!U5</f>
        <v>960399</v>
      </c>
      <c r="D26" s="39" t="str">
        <f>참여자명단!T5</f>
        <v>여</v>
      </c>
      <c r="F26" s="262" t="str">
        <f>참여자명단!I5</f>
        <v>010-1234-5678</v>
      </c>
      <c r="I26" s="239"/>
      <c r="J26" s="265" t="str">
        <f t="shared" si="0"/>
        <v>김지우</v>
      </c>
      <c r="K26" s="252" t="str">
        <f t="shared" si="1"/>
        <v>920699</v>
      </c>
      <c r="L26" s="1284" t="str">
        <f t="shared" si="2"/>
        <v>남</v>
      </c>
      <c r="M26" s="1285"/>
      <c r="N26" s="1284" t="s">
        <v>609</v>
      </c>
      <c r="O26" s="1286"/>
      <c r="P26" s="1286"/>
      <c r="Q26" s="1285"/>
      <c r="R26" s="1287" t="str">
        <f t="shared" si="3"/>
        <v>010-1234-5678</v>
      </c>
      <c r="S26" s="1286"/>
      <c r="T26" s="1286"/>
    </row>
    <row r="27" spans="1:20" ht="14.25">
      <c r="A27" s="55">
        <v>25</v>
      </c>
      <c r="B27" s="262" t="str">
        <f>참여자명단!G6</f>
        <v>김예은</v>
      </c>
      <c r="C27" s="39" t="str">
        <f>참여자명단!U6</f>
        <v>930699</v>
      </c>
      <c r="D27" s="39" t="str">
        <f>참여자명단!T6</f>
        <v>남</v>
      </c>
      <c r="F27" s="262" t="str">
        <f>참여자명단!I6</f>
        <v>010-1234-5678</v>
      </c>
      <c r="I27" s="239"/>
      <c r="J27" s="265" t="str">
        <f t="shared" si="0"/>
        <v>박현우</v>
      </c>
      <c r="K27" s="252" t="str">
        <f t="shared" si="1"/>
        <v>900699</v>
      </c>
      <c r="L27" s="1284" t="str">
        <f t="shared" si="2"/>
        <v>여</v>
      </c>
      <c r="M27" s="1285"/>
      <c r="N27" s="1284" t="s">
        <v>609</v>
      </c>
      <c r="O27" s="1286"/>
      <c r="P27" s="1286"/>
      <c r="Q27" s="1285"/>
      <c r="R27" s="1287" t="str">
        <f t="shared" si="3"/>
        <v>010-1234-5678</v>
      </c>
      <c r="S27" s="1286"/>
      <c r="T27" s="1286"/>
    </row>
    <row r="28" spans="1:20" ht="15" thickBot="1">
      <c r="A28" s="55">
        <v>26</v>
      </c>
      <c r="B28" s="262" t="str">
        <f>참여자명단!G7</f>
        <v>이민수</v>
      </c>
      <c r="C28" s="39" t="str">
        <f>참여자명단!U7</f>
        <v>020699</v>
      </c>
      <c r="D28" s="39" t="str">
        <f>참여자명단!T7</f>
        <v>남</v>
      </c>
      <c r="F28" s="262" t="str">
        <f>참여자명단!I7</f>
        <v>010-1234-5678</v>
      </c>
      <c r="I28" s="238"/>
      <c r="J28" s="265" t="str">
        <f t="shared" si="0"/>
        <v>김현우</v>
      </c>
      <c r="K28" s="252" t="str">
        <f t="shared" si="1"/>
        <v>900799</v>
      </c>
      <c r="L28" s="1284" t="str">
        <f t="shared" si="2"/>
        <v>남</v>
      </c>
      <c r="M28" s="1285"/>
      <c r="N28" s="1288" t="s">
        <v>609</v>
      </c>
      <c r="O28" s="1289"/>
      <c r="P28" s="1289"/>
      <c r="Q28" s="1290"/>
      <c r="R28" s="1287" t="str">
        <f t="shared" si="3"/>
        <v>010-1234-5678</v>
      </c>
      <c r="S28" s="1286"/>
      <c r="T28" s="1286"/>
    </row>
    <row r="29" spans="1:20" ht="14.25">
      <c r="A29" s="55">
        <v>27</v>
      </c>
      <c r="B29" s="262" t="str">
        <f>참여자명단!G8</f>
        <v>박현우</v>
      </c>
      <c r="C29" s="39" t="str">
        <f>참여자명단!U8</f>
        <v>930899</v>
      </c>
      <c r="D29" s="39" t="str">
        <f>참여자명단!T8</f>
        <v>남</v>
      </c>
      <c r="F29" s="262" t="str">
        <f>참여자명단!I8</f>
        <v>010-1234-5678</v>
      </c>
      <c r="I29" s="1277"/>
      <c r="J29" s="1277"/>
      <c r="K29" s="1277"/>
      <c r="L29" s="1277"/>
      <c r="M29" s="1277"/>
      <c r="N29" s="1277"/>
      <c r="O29" s="1277"/>
      <c r="P29" s="1277"/>
      <c r="Q29" s="1277"/>
      <c r="R29" s="1277"/>
      <c r="S29" s="1277"/>
      <c r="T29" s="1277"/>
    </row>
    <row r="30" spans="1:20" ht="14.25">
      <c r="A30" s="55">
        <v>28</v>
      </c>
      <c r="B30" s="262" t="str">
        <f>참여자명단!G9</f>
        <v>이현우</v>
      </c>
      <c r="C30" s="39" t="str">
        <f>참여자명단!U9</f>
        <v>001199</v>
      </c>
      <c r="D30" s="39" t="str">
        <f>참여자명단!T9</f>
        <v>남</v>
      </c>
      <c r="F30" s="262" t="str">
        <f>참여자명단!I9</f>
        <v>010-1234-5678</v>
      </c>
      <c r="I30" s="1278" t="s">
        <v>610</v>
      </c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278"/>
    </row>
    <row r="31" spans="1:20" ht="14.25">
      <c r="A31" s="55">
        <v>29</v>
      </c>
      <c r="B31" s="262" t="str">
        <f>참여자명단!G10</f>
        <v>김지우</v>
      </c>
      <c r="C31" s="39" t="str">
        <f>참여자명단!U10</f>
        <v>920699</v>
      </c>
      <c r="D31" s="39" t="str">
        <f>참여자명단!T10</f>
        <v>남</v>
      </c>
      <c r="F31" s="262" t="str">
        <f>참여자명단!I10</f>
        <v>010-1234-5678</v>
      </c>
      <c r="I31" s="1279" t="s">
        <v>611</v>
      </c>
      <c r="J31" s="1279"/>
      <c r="K31" s="1279"/>
      <c r="L31" s="1279"/>
      <c r="M31" s="1279"/>
      <c r="N31" s="1279"/>
      <c r="O31" s="1279"/>
      <c r="P31" s="1279"/>
      <c r="Q31" s="1279"/>
      <c r="R31" s="1279"/>
      <c r="S31" s="1279"/>
      <c r="T31" s="1279"/>
    </row>
    <row r="32" spans="1:20" ht="13.9" customHeight="1">
      <c r="A32" s="55">
        <v>30</v>
      </c>
      <c r="B32" s="262" t="str">
        <f>참여자명단!G11</f>
        <v>박현우</v>
      </c>
      <c r="C32" s="39" t="str">
        <f>참여자명단!U11</f>
        <v>900699</v>
      </c>
      <c r="D32" s="39" t="str">
        <f>참여자명단!T11</f>
        <v>여</v>
      </c>
      <c r="F32" s="262" t="str">
        <f>참여자명단!I11</f>
        <v>010-1234-5678</v>
      </c>
      <c r="I32" s="958"/>
      <c r="J32" s="958"/>
      <c r="K32" s="958"/>
      <c r="L32" s="958"/>
      <c r="M32" s="1280" t="s">
        <v>612</v>
      </c>
      <c r="N32" s="1280"/>
      <c r="O32" s="1280"/>
      <c r="P32" s="1281" t="e">
        <f>E5</f>
        <v>#REF!</v>
      </c>
      <c r="Q32" s="1281"/>
      <c r="R32" s="1281"/>
      <c r="S32" s="1281"/>
      <c r="T32" s="253" t="s">
        <v>613</v>
      </c>
    </row>
    <row r="33" spans="1:20" ht="13.9" customHeight="1" thickBot="1">
      <c r="A33" s="55">
        <v>31</v>
      </c>
      <c r="B33" s="262" t="str">
        <f>참여자명단!G12</f>
        <v>김현우</v>
      </c>
      <c r="C33" s="39" t="str">
        <f>참여자명단!U12</f>
        <v>900799</v>
      </c>
      <c r="D33" s="39" t="str">
        <f>참여자명단!T12</f>
        <v>남</v>
      </c>
      <c r="F33" s="262" t="str">
        <f>참여자명단!I12</f>
        <v>010-1234-5678</v>
      </c>
      <c r="I33" s="1282" t="s">
        <v>539</v>
      </c>
      <c r="J33" s="1282"/>
      <c r="K33" s="1282"/>
      <c r="L33" s="1282"/>
      <c r="M33" s="1282"/>
      <c r="N33" s="1282"/>
      <c r="O33" s="1282"/>
      <c r="P33" s="1282"/>
      <c r="Q33" s="1282"/>
      <c r="R33" s="1282"/>
      <c r="S33" s="1283" t="s">
        <v>614</v>
      </c>
      <c r="T33" s="1283"/>
    </row>
    <row r="34" spans="1:20" ht="15" thickTop="1">
      <c r="A34" s="55">
        <v>32</v>
      </c>
      <c r="B34" s="262"/>
      <c r="I34" s="266"/>
      <c r="J34" s="266"/>
      <c r="K34" s="266"/>
      <c r="L34" s="266"/>
      <c r="M34" s="266"/>
      <c r="N34" s="266"/>
      <c r="O34" s="266"/>
      <c r="P34" s="266"/>
      <c r="Q34" s="266"/>
      <c r="R34" s="266"/>
      <c r="S34" s="266"/>
      <c r="T34" s="266"/>
    </row>
    <row r="35" spans="1:20" ht="14.25">
      <c r="A35" s="55">
        <v>33</v>
      </c>
      <c r="B35" s="262"/>
    </row>
    <row r="36" spans="1:20" ht="31.5">
      <c r="A36" s="55">
        <v>34</v>
      </c>
      <c r="B36" s="1342" t="s">
        <v>716</v>
      </c>
      <c r="C36" s="824"/>
      <c r="D36" s="824"/>
      <c r="E36" s="824"/>
      <c r="F36" s="824"/>
      <c r="I36" s="1308" t="s">
        <v>721</v>
      </c>
      <c r="J36" s="1309"/>
      <c r="K36" s="1309"/>
      <c r="L36" s="1309"/>
      <c r="M36" s="1309"/>
      <c r="N36" s="1309"/>
      <c r="O36" s="1309"/>
      <c r="P36" s="1309"/>
      <c r="Q36" s="1309"/>
      <c r="R36" s="1309"/>
      <c r="S36" s="1309"/>
      <c r="T36" s="1309"/>
    </row>
    <row r="37" spans="1:20" ht="18.75" thickBot="1">
      <c r="A37" s="55">
        <v>35</v>
      </c>
      <c r="B37" s="240" t="s">
        <v>576</v>
      </c>
      <c r="C37" s="1343" t="s">
        <v>577</v>
      </c>
      <c r="D37" s="1343"/>
      <c r="E37" s="1343" t="s">
        <v>578</v>
      </c>
      <c r="F37" s="1344"/>
      <c r="I37" s="241" t="s">
        <v>579</v>
      </c>
      <c r="J37" s="242" t="s">
        <v>580</v>
      </c>
      <c r="K37" s="1310" t="e">
        <f>E38</f>
        <v>#REF!</v>
      </c>
      <c r="L37" s="1311"/>
      <c r="M37" s="1311"/>
      <c r="N37" s="1312"/>
      <c r="O37" s="1186" t="s">
        <v>581</v>
      </c>
      <c r="P37" s="1187"/>
      <c r="Q37" s="1313" t="e">
        <f>E39</f>
        <v>#REF!</v>
      </c>
      <c r="R37" s="1311"/>
      <c r="S37" s="1311"/>
      <c r="T37" s="1311"/>
    </row>
    <row r="38" spans="1:20" ht="17.25" thickTop="1">
      <c r="A38" s="55">
        <v>36</v>
      </c>
      <c r="B38" s="1345" t="s">
        <v>530</v>
      </c>
      <c r="C38" s="1338" t="s">
        <v>522</v>
      </c>
      <c r="D38" s="1338"/>
      <c r="E38" s="1346" t="e">
        <f>#REF!</f>
        <v>#REF!</v>
      </c>
      <c r="F38" s="1347"/>
      <c r="I38" s="243" t="s">
        <v>582</v>
      </c>
      <c r="J38" s="244" t="s">
        <v>583</v>
      </c>
      <c r="K38" s="1314" t="e">
        <f>E40</f>
        <v>#REF!</v>
      </c>
      <c r="L38" s="1315"/>
      <c r="M38" s="1315"/>
      <c r="N38" s="1315"/>
      <c r="O38" s="1315"/>
      <c r="P38" s="1315"/>
      <c r="Q38" s="1315"/>
      <c r="R38" s="1315"/>
      <c r="S38" s="1315"/>
      <c r="T38" s="1315"/>
    </row>
    <row r="39" spans="1:20" ht="17.25" thickBot="1">
      <c r="A39" s="55">
        <v>37</v>
      </c>
      <c r="B39" s="1333"/>
      <c r="C39" s="1335" t="s">
        <v>523</v>
      </c>
      <c r="D39" s="1335"/>
      <c r="E39" s="1336" t="e">
        <f>#REF!</f>
        <v>#REF!</v>
      </c>
      <c r="F39" s="1337"/>
      <c r="I39" s="238"/>
      <c r="J39" s="245" t="s">
        <v>584</v>
      </c>
      <c r="K39" s="1310" t="e">
        <f>E41</f>
        <v>#REF!</v>
      </c>
      <c r="L39" s="1311"/>
      <c r="M39" s="1311"/>
      <c r="N39" s="1316"/>
      <c r="O39" s="1226" t="s">
        <v>585</v>
      </c>
      <c r="P39" s="1228"/>
      <c r="Q39" s="1310" t="e">
        <f>E42</f>
        <v>#REF!</v>
      </c>
      <c r="R39" s="1311"/>
      <c r="S39" s="1311"/>
      <c r="T39" s="1311"/>
    </row>
    <row r="40" spans="1:20" ht="16.5">
      <c r="A40" s="55">
        <v>38</v>
      </c>
      <c r="B40" s="1333"/>
      <c r="C40" s="1335" t="s">
        <v>524</v>
      </c>
      <c r="D40" s="1335"/>
      <c r="E40" s="1336" t="e">
        <f>#REF!</f>
        <v>#REF!</v>
      </c>
      <c r="F40" s="1337"/>
      <c r="I40" s="246" t="s">
        <v>586</v>
      </c>
      <c r="J40" s="247" t="s">
        <v>587</v>
      </c>
      <c r="K40" s="1310" t="e">
        <f>E44</f>
        <v>#REF!</v>
      </c>
      <c r="L40" s="1311"/>
      <c r="M40" s="1311"/>
      <c r="N40" s="1316"/>
      <c r="O40" s="1226" t="s">
        <v>588</v>
      </c>
      <c r="P40" s="1228"/>
      <c r="Q40" s="1310" t="e">
        <f>E43</f>
        <v>#REF!</v>
      </c>
      <c r="R40" s="1311"/>
      <c r="S40" s="1311"/>
      <c r="T40" s="1311"/>
    </row>
    <row r="41" spans="1:20" ht="16.5">
      <c r="A41" s="55">
        <v>39</v>
      </c>
      <c r="B41" s="1333"/>
      <c r="C41" s="1335" t="s">
        <v>525</v>
      </c>
      <c r="D41" s="1335"/>
      <c r="E41" s="1336" t="e">
        <f>#REF!</f>
        <v>#REF!</v>
      </c>
      <c r="F41" s="1337"/>
      <c r="I41" s="243" t="s">
        <v>589</v>
      </c>
      <c r="J41" s="248" t="s">
        <v>590</v>
      </c>
      <c r="K41" s="1317" t="e">
        <f>E45</f>
        <v>#REF!</v>
      </c>
      <c r="L41" s="1318"/>
      <c r="M41" s="1318"/>
      <c r="N41" s="1319"/>
      <c r="O41" s="1323" t="s">
        <v>591</v>
      </c>
      <c r="P41" s="1324"/>
      <c r="Q41" s="1326" t="e">
        <f>E46</f>
        <v>#REF!</v>
      </c>
      <c r="R41" s="1318"/>
      <c r="S41" s="1318"/>
      <c r="T41" s="1318"/>
    </row>
    <row r="42" spans="1:20" ht="17.25" thickBot="1">
      <c r="A42" s="55">
        <v>40</v>
      </c>
      <c r="B42" s="1333"/>
      <c r="C42" s="1335" t="s">
        <v>526</v>
      </c>
      <c r="D42" s="1335"/>
      <c r="E42" s="1336" t="e">
        <f>#REF!</f>
        <v>#REF!</v>
      </c>
      <c r="F42" s="1337"/>
      <c r="I42" s="238"/>
      <c r="J42" s="236" t="s">
        <v>592</v>
      </c>
      <c r="K42" s="1320"/>
      <c r="L42" s="1321"/>
      <c r="M42" s="1321"/>
      <c r="N42" s="1322"/>
      <c r="O42" s="1165"/>
      <c r="P42" s="1325"/>
      <c r="Q42" s="1320"/>
      <c r="R42" s="1321"/>
      <c r="S42" s="1321"/>
      <c r="T42" s="1321"/>
    </row>
    <row r="43" spans="1:20" ht="19.5">
      <c r="A43" s="55">
        <v>41</v>
      </c>
      <c r="B43" s="1333"/>
      <c r="C43" s="1348" t="s">
        <v>699</v>
      </c>
      <c r="D43" s="1335"/>
      <c r="E43" s="1336" t="e">
        <f>#REF!</f>
        <v>#REF!</v>
      </c>
      <c r="F43" s="1337"/>
      <c r="I43" s="1164" t="s">
        <v>717</v>
      </c>
      <c r="J43" s="1164"/>
      <c r="K43" s="1164"/>
      <c r="L43" s="1164"/>
      <c r="M43" s="1164"/>
      <c r="N43" s="1164"/>
      <c r="O43" s="1164"/>
      <c r="P43" s="1164"/>
      <c r="Q43" s="1164"/>
      <c r="R43" s="1164"/>
      <c r="S43" s="1164"/>
      <c r="T43" s="1164"/>
    </row>
    <row r="44" spans="1:20" ht="20.25" thickBot="1">
      <c r="A44" s="55">
        <v>42</v>
      </c>
      <c r="B44" s="1333"/>
      <c r="C44" s="1348" t="s">
        <v>376</v>
      </c>
      <c r="D44" s="1335"/>
      <c r="E44" s="1336" t="e">
        <f>#REF!</f>
        <v>#REF!</v>
      </c>
      <c r="F44" s="1337"/>
      <c r="I44" s="1166" t="s">
        <v>593</v>
      </c>
      <c r="J44" s="1166"/>
      <c r="K44" s="1166"/>
      <c r="L44" s="1166"/>
      <c r="M44" s="1166"/>
      <c r="N44" s="1166"/>
      <c r="O44" s="1166"/>
      <c r="P44" s="1166"/>
      <c r="Q44" s="1166"/>
      <c r="R44" s="1166"/>
      <c r="S44" s="1166"/>
      <c r="T44" s="1166"/>
    </row>
    <row r="45" spans="1:20" ht="17.25" thickBot="1">
      <c r="A45" s="55">
        <v>43</v>
      </c>
      <c r="B45" s="1333"/>
      <c r="C45" s="1335" t="s">
        <v>527</v>
      </c>
      <c r="D45" s="1335"/>
      <c r="E45" s="1336" t="e">
        <f>#REF!</f>
        <v>#REF!</v>
      </c>
      <c r="F45" s="1337"/>
      <c r="I45" s="1327" t="s">
        <v>594</v>
      </c>
      <c r="J45" s="249" t="s">
        <v>595</v>
      </c>
      <c r="K45" s="1291">
        <f>E49</f>
        <v>0</v>
      </c>
      <c r="L45" s="1292"/>
      <c r="M45" s="1292"/>
      <c r="N45" s="1330"/>
      <c r="O45" s="1169" t="s">
        <v>596</v>
      </c>
      <c r="P45" s="1181"/>
      <c r="Q45" s="1291">
        <f>E50</f>
        <v>0</v>
      </c>
      <c r="R45" s="1292"/>
      <c r="S45" s="1292"/>
      <c r="T45" s="1292"/>
    </row>
    <row r="46" spans="1:20" ht="17.25" thickBot="1">
      <c r="A46" s="55">
        <v>44</v>
      </c>
      <c r="B46" s="1333"/>
      <c r="C46" s="1335" t="s">
        <v>528</v>
      </c>
      <c r="D46" s="1335"/>
      <c r="E46" s="1336" t="e">
        <f>#REF!</f>
        <v>#REF!</v>
      </c>
      <c r="F46" s="1337"/>
      <c r="I46" s="1328"/>
      <c r="J46" s="249" t="s">
        <v>597</v>
      </c>
      <c r="K46" s="1291">
        <f>E51</f>
        <v>0</v>
      </c>
      <c r="L46" s="1292"/>
      <c r="M46" s="1292"/>
      <c r="N46" s="1292"/>
      <c r="O46" s="1292"/>
      <c r="P46" s="1292"/>
      <c r="Q46" s="1292"/>
      <c r="R46" s="1292"/>
      <c r="S46" s="1292"/>
      <c r="T46" s="1292"/>
    </row>
    <row r="47" spans="1:20" ht="17.25" thickBot="1">
      <c r="A47" s="55">
        <v>45</v>
      </c>
      <c r="B47" s="1334"/>
      <c r="C47" s="1339" t="s">
        <v>529</v>
      </c>
      <c r="D47" s="1339"/>
      <c r="E47" s="1349"/>
      <c r="F47" s="1341"/>
      <c r="I47" s="1328"/>
      <c r="J47" s="249" t="s">
        <v>598</v>
      </c>
      <c r="K47" s="1291">
        <f>E52</f>
        <v>0</v>
      </c>
      <c r="L47" s="1292"/>
      <c r="M47" s="1292"/>
      <c r="N47" s="1292"/>
      <c r="O47" s="1292"/>
      <c r="P47" s="1292"/>
      <c r="Q47" s="1292"/>
      <c r="R47" s="1292"/>
      <c r="S47" s="1292"/>
      <c r="T47" s="1292"/>
    </row>
    <row r="48" spans="1:20" ht="15" thickBot="1">
      <c r="A48" s="55">
        <v>46</v>
      </c>
      <c r="I48" s="1328"/>
      <c r="J48" s="249" t="s">
        <v>599</v>
      </c>
      <c r="K48" s="1331">
        <f>E53</f>
        <v>0</v>
      </c>
      <c r="L48" s="1292"/>
      <c r="M48" s="1292"/>
      <c r="N48" s="1292"/>
      <c r="O48" s="1292"/>
      <c r="P48" s="1292"/>
      <c r="Q48" s="1292"/>
      <c r="R48" s="1292"/>
      <c r="S48" s="1292"/>
      <c r="T48" s="1292"/>
    </row>
    <row r="49" spans="1:20" ht="17.25" thickBot="1">
      <c r="A49" s="55">
        <v>47</v>
      </c>
      <c r="B49" s="1332" t="s">
        <v>531</v>
      </c>
      <c r="C49" s="1335" t="s">
        <v>532</v>
      </c>
      <c r="D49" s="1335"/>
      <c r="E49" s="1336"/>
      <c r="F49" s="1337"/>
      <c r="I49" s="1329"/>
      <c r="J49" s="249" t="s">
        <v>600</v>
      </c>
      <c r="K49" s="1291">
        <f>E54</f>
        <v>0</v>
      </c>
      <c r="L49" s="1292"/>
      <c r="M49" s="1292"/>
      <c r="N49" s="1292"/>
      <c r="O49" s="1292"/>
      <c r="P49" s="1292"/>
      <c r="Q49" s="1292"/>
      <c r="R49" s="1292"/>
      <c r="S49" s="1292"/>
      <c r="T49" s="1292"/>
    </row>
    <row r="50" spans="1:20" ht="17.25" thickBot="1">
      <c r="A50" s="55">
        <v>48</v>
      </c>
      <c r="B50" s="1333"/>
      <c r="C50" s="1338" t="s">
        <v>533</v>
      </c>
      <c r="D50" s="1338"/>
      <c r="E50" s="1336"/>
      <c r="F50" s="1337"/>
      <c r="I50" s="1293"/>
      <c r="J50" s="1293"/>
      <c r="K50" s="1293"/>
      <c r="L50" s="1293"/>
      <c r="M50" s="1293"/>
      <c r="N50" s="1293"/>
      <c r="O50" s="1293"/>
      <c r="P50" s="1293"/>
      <c r="Q50" s="1293"/>
      <c r="R50" s="1293"/>
      <c r="S50" s="1293"/>
      <c r="T50" s="1293"/>
    </row>
    <row r="51" spans="1:20" ht="16.5">
      <c r="A51" s="55">
        <v>49</v>
      </c>
      <c r="B51" s="1333"/>
      <c r="C51" s="1338" t="s">
        <v>534</v>
      </c>
      <c r="D51" s="1338"/>
      <c r="E51" s="1336"/>
      <c r="F51" s="1337"/>
      <c r="I51" s="250" t="s">
        <v>601</v>
      </c>
      <c r="J51" s="1294" t="s">
        <v>602</v>
      </c>
      <c r="K51" s="1294" t="s">
        <v>603</v>
      </c>
      <c r="L51" s="1296" t="s">
        <v>604</v>
      </c>
      <c r="M51" s="1297"/>
      <c r="N51" s="1296" t="s">
        <v>605</v>
      </c>
      <c r="O51" s="1300"/>
      <c r="P51" s="1300"/>
      <c r="Q51" s="1297"/>
      <c r="R51" s="1296" t="s">
        <v>606</v>
      </c>
      <c r="S51" s="1300"/>
      <c r="T51" s="1300"/>
    </row>
    <row r="52" spans="1:20" ht="16.5">
      <c r="A52" s="55">
        <v>50</v>
      </c>
      <c r="B52" s="1333"/>
      <c r="C52" s="1338" t="s">
        <v>535</v>
      </c>
      <c r="D52" s="1338"/>
      <c r="E52" s="1336"/>
      <c r="F52" s="1337"/>
      <c r="I52" s="251" t="s">
        <v>607</v>
      </c>
      <c r="J52" s="1295"/>
      <c r="K52" s="1295"/>
      <c r="L52" s="1298"/>
      <c r="M52" s="1299"/>
      <c r="N52" s="1302" t="s">
        <v>608</v>
      </c>
      <c r="O52" s="1303"/>
      <c r="P52" s="1303"/>
      <c r="Q52" s="1304"/>
      <c r="R52" s="1298"/>
      <c r="S52" s="1301"/>
      <c r="T52" s="1301"/>
    </row>
    <row r="53" spans="1:20" ht="16.5">
      <c r="A53" s="55">
        <v>51</v>
      </c>
      <c r="B53" s="1333"/>
      <c r="C53" s="1338" t="s">
        <v>536</v>
      </c>
      <c r="D53" s="1338"/>
      <c r="E53" s="1336"/>
      <c r="F53" s="1337"/>
      <c r="I53" s="239"/>
      <c r="J53" s="265" t="str">
        <f>B58</f>
        <v>정지우</v>
      </c>
      <c r="K53" s="252" t="str">
        <f>C58</f>
        <v>910699</v>
      </c>
      <c r="L53" s="1284" t="str">
        <f>D58</f>
        <v>남</v>
      </c>
      <c r="M53" s="1285"/>
      <c r="N53" s="1305" t="s">
        <v>719</v>
      </c>
      <c r="O53" s="1286"/>
      <c r="P53" s="1286"/>
      <c r="Q53" s="1285"/>
      <c r="R53" s="1287" t="str">
        <f>F58</f>
        <v>010-1234-5678</v>
      </c>
      <c r="S53" s="1286"/>
      <c r="T53" s="1286"/>
    </row>
    <row r="54" spans="1:20" ht="17.25" thickBot="1">
      <c r="A54" s="55">
        <v>52</v>
      </c>
      <c r="B54" s="1334"/>
      <c r="C54" s="1339" t="s">
        <v>537</v>
      </c>
      <c r="D54" s="1339"/>
      <c r="E54" s="1340"/>
      <c r="F54" s="1341"/>
      <c r="I54" s="239"/>
      <c r="J54" s="265" t="str">
        <f t="shared" ref="J54:J62" si="4">B59</f>
        <v>박예은</v>
      </c>
      <c r="K54" s="252" t="str">
        <f t="shared" ref="K54:K62" si="5">C59</f>
        <v>000899</v>
      </c>
      <c r="L54" s="1284" t="str">
        <f t="shared" ref="L54:L62" si="6">D59</f>
        <v>여</v>
      </c>
      <c r="M54" s="1285"/>
      <c r="N54" s="1284" t="s">
        <v>609</v>
      </c>
      <c r="O54" s="1286"/>
      <c r="P54" s="1286"/>
      <c r="Q54" s="1285"/>
      <c r="R54" s="1287" t="str">
        <f t="shared" ref="R54:R62" si="7">F59</f>
        <v>010-1234-5678</v>
      </c>
      <c r="S54" s="1286"/>
      <c r="T54" s="1286"/>
    </row>
    <row r="55" spans="1:20" ht="14.25">
      <c r="A55" s="55">
        <v>53</v>
      </c>
      <c r="I55" s="239"/>
      <c r="J55" s="265" t="str">
        <f t="shared" si="4"/>
        <v>최현우</v>
      </c>
      <c r="K55" s="252" t="str">
        <f t="shared" si="5"/>
        <v>921299</v>
      </c>
      <c r="L55" s="1284" t="str">
        <f t="shared" si="6"/>
        <v>여</v>
      </c>
      <c r="M55" s="1285"/>
      <c r="N55" s="1284" t="s">
        <v>609</v>
      </c>
      <c r="O55" s="1286"/>
      <c r="P55" s="1286"/>
      <c r="Q55" s="1285"/>
      <c r="R55" s="1287" t="str">
        <f t="shared" si="7"/>
        <v>010-1234-5678</v>
      </c>
      <c r="S55" s="1286"/>
      <c r="T55" s="1286"/>
    </row>
    <row r="56" spans="1:20" ht="26.25" thickBot="1">
      <c r="A56" s="55">
        <v>54</v>
      </c>
      <c r="B56" s="1306" t="s">
        <v>538</v>
      </c>
      <c r="C56" s="1307"/>
      <c r="D56" s="1307"/>
      <c r="E56" s="1307"/>
      <c r="F56" s="1307"/>
      <c r="I56" s="239"/>
      <c r="J56" s="265" t="str">
        <f t="shared" si="4"/>
        <v>이현우</v>
      </c>
      <c r="K56" s="252" t="str">
        <f t="shared" si="5"/>
        <v>901199</v>
      </c>
      <c r="L56" s="1284" t="str">
        <f t="shared" si="6"/>
        <v>남</v>
      </c>
      <c r="M56" s="1285"/>
      <c r="N56" s="1284" t="s">
        <v>609</v>
      </c>
      <c r="O56" s="1286"/>
      <c r="P56" s="1286"/>
      <c r="Q56" s="1285"/>
      <c r="R56" s="1287" t="str">
        <f t="shared" si="7"/>
        <v>010-1234-5678</v>
      </c>
      <c r="S56" s="1286"/>
      <c r="T56" s="1286"/>
    </row>
    <row r="57" spans="1:20" ht="17.25" thickTop="1">
      <c r="A57" s="55">
        <v>55</v>
      </c>
      <c r="B57" s="234" t="s">
        <v>102</v>
      </c>
      <c r="C57" s="234" t="s">
        <v>75</v>
      </c>
      <c r="D57" s="234" t="s">
        <v>76</v>
      </c>
      <c r="E57" s="234" t="s">
        <v>103</v>
      </c>
      <c r="F57" s="235" t="s">
        <v>78</v>
      </c>
      <c r="I57" s="239"/>
      <c r="J57" s="265" t="str">
        <f t="shared" si="4"/>
        <v>최예은</v>
      </c>
      <c r="K57" s="252" t="str">
        <f t="shared" si="5"/>
        <v>941099</v>
      </c>
      <c r="L57" s="1284" t="str">
        <f t="shared" si="6"/>
        <v>남</v>
      </c>
      <c r="M57" s="1285"/>
      <c r="N57" s="1284" t="s">
        <v>609</v>
      </c>
      <c r="O57" s="1286"/>
      <c r="P57" s="1286"/>
      <c r="Q57" s="1285"/>
      <c r="R57" s="1287" t="str">
        <f t="shared" si="7"/>
        <v>010-1234-5678</v>
      </c>
      <c r="S57" s="1286"/>
      <c r="T57" s="1286"/>
    </row>
    <row r="58" spans="1:20" ht="14.25">
      <c r="A58" s="55">
        <v>56</v>
      </c>
      <c r="B58" s="263" t="str">
        <f>참여자명단!G13</f>
        <v>정지우</v>
      </c>
      <c r="C58" t="str">
        <f>참여자명단!U13</f>
        <v>910699</v>
      </c>
      <c r="D58" t="str">
        <f>참여자명단!T13</f>
        <v>남</v>
      </c>
      <c r="E58"/>
      <c r="F58" s="263" t="str">
        <f>참여자명단!I13</f>
        <v>010-1234-5678</v>
      </c>
      <c r="I58" s="239"/>
      <c r="J58" s="265">
        <f t="shared" si="4"/>
        <v>0</v>
      </c>
      <c r="K58" s="252">
        <f t="shared" si="5"/>
        <v>0</v>
      </c>
      <c r="L58" s="1284">
        <f t="shared" si="6"/>
        <v>0</v>
      </c>
      <c r="M58" s="1285"/>
      <c r="N58" s="1284" t="s">
        <v>609</v>
      </c>
      <c r="O58" s="1286"/>
      <c r="P58" s="1286"/>
      <c r="Q58" s="1285"/>
      <c r="R58" s="1287">
        <f t="shared" si="7"/>
        <v>0</v>
      </c>
      <c r="S58" s="1286"/>
      <c r="T58" s="1286"/>
    </row>
    <row r="59" spans="1:20" ht="14.25">
      <c r="A59" s="55">
        <v>57</v>
      </c>
      <c r="B59" s="263" t="str">
        <f>참여자명단!G14</f>
        <v>박예은</v>
      </c>
      <c r="C59" t="str">
        <f>참여자명단!U14</f>
        <v>000899</v>
      </c>
      <c r="D59" t="str">
        <f>참여자명단!T14</f>
        <v>여</v>
      </c>
      <c r="E59"/>
      <c r="F59" s="263" t="str">
        <f>참여자명단!I14</f>
        <v>010-1234-5678</v>
      </c>
      <c r="I59" s="239"/>
      <c r="J59" s="265">
        <f t="shared" si="4"/>
        <v>0</v>
      </c>
      <c r="K59" s="252">
        <f t="shared" si="5"/>
        <v>0</v>
      </c>
      <c r="L59" s="1284">
        <f t="shared" si="6"/>
        <v>0</v>
      </c>
      <c r="M59" s="1285"/>
      <c r="N59" s="1284" t="s">
        <v>609</v>
      </c>
      <c r="O59" s="1286"/>
      <c r="P59" s="1286"/>
      <c r="Q59" s="1285"/>
      <c r="R59" s="1287">
        <f t="shared" si="7"/>
        <v>0</v>
      </c>
      <c r="S59" s="1286"/>
      <c r="T59" s="1286"/>
    </row>
    <row r="60" spans="1:20" ht="14.25">
      <c r="A60" s="55">
        <v>58</v>
      </c>
      <c r="B60" s="263" t="str">
        <f>참여자명단!G15</f>
        <v>최현우</v>
      </c>
      <c r="C60" t="str">
        <f>참여자명단!U15</f>
        <v>921299</v>
      </c>
      <c r="D60" t="str">
        <f>참여자명단!T15</f>
        <v>여</v>
      </c>
      <c r="E60"/>
      <c r="F60" s="263" t="str">
        <f>참여자명단!I15</f>
        <v>010-1234-5678</v>
      </c>
      <c r="I60" s="239"/>
      <c r="J60" s="265">
        <f t="shared" si="4"/>
        <v>0</v>
      </c>
      <c r="K60" s="252">
        <f t="shared" si="5"/>
        <v>0</v>
      </c>
      <c r="L60" s="1284">
        <f t="shared" si="6"/>
        <v>0</v>
      </c>
      <c r="M60" s="1285"/>
      <c r="N60" s="1284" t="s">
        <v>609</v>
      </c>
      <c r="O60" s="1286"/>
      <c r="P60" s="1286"/>
      <c r="Q60" s="1285"/>
      <c r="R60" s="1287">
        <f t="shared" si="7"/>
        <v>0</v>
      </c>
      <c r="S60" s="1286"/>
      <c r="T60" s="1286"/>
    </row>
    <row r="61" spans="1:20" ht="14.25">
      <c r="A61" s="55">
        <v>59</v>
      </c>
      <c r="B61" s="263" t="str">
        <f>참여자명단!G16</f>
        <v>이현우</v>
      </c>
      <c r="C61" t="str">
        <f>참여자명단!U16</f>
        <v>901199</v>
      </c>
      <c r="D61" t="str">
        <f>참여자명단!T16</f>
        <v>남</v>
      </c>
      <c r="E61"/>
      <c r="F61" s="263" t="str">
        <f>참여자명단!I16</f>
        <v>010-1234-5678</v>
      </c>
      <c r="I61" s="239"/>
      <c r="J61" s="265">
        <f t="shared" si="4"/>
        <v>0</v>
      </c>
      <c r="K61" s="252">
        <f t="shared" si="5"/>
        <v>0</v>
      </c>
      <c r="L61" s="1284">
        <f t="shared" si="6"/>
        <v>0</v>
      </c>
      <c r="M61" s="1285"/>
      <c r="N61" s="1284" t="s">
        <v>609</v>
      </c>
      <c r="O61" s="1286"/>
      <c r="P61" s="1286"/>
      <c r="Q61" s="1285"/>
      <c r="R61" s="1287">
        <f t="shared" si="7"/>
        <v>0</v>
      </c>
      <c r="S61" s="1286"/>
      <c r="T61" s="1286"/>
    </row>
    <row r="62" spans="1:20" ht="15" thickBot="1">
      <c r="A62" s="55">
        <v>60</v>
      </c>
      <c r="B62" s="263" t="str">
        <f>참여자명단!G17</f>
        <v>최예은</v>
      </c>
      <c r="C62" t="str">
        <f>참여자명단!U17</f>
        <v>941099</v>
      </c>
      <c r="D62" t="str">
        <f>참여자명단!T17</f>
        <v>남</v>
      </c>
      <c r="E62"/>
      <c r="F62" s="263" t="str">
        <f>참여자명단!I17</f>
        <v>010-1234-5678</v>
      </c>
      <c r="I62" s="238"/>
      <c r="J62" s="265">
        <f t="shared" si="4"/>
        <v>0</v>
      </c>
      <c r="K62" s="252">
        <f t="shared" si="5"/>
        <v>0</v>
      </c>
      <c r="L62" s="1284">
        <f t="shared" si="6"/>
        <v>0</v>
      </c>
      <c r="M62" s="1285"/>
      <c r="N62" s="1288" t="s">
        <v>609</v>
      </c>
      <c r="O62" s="1289"/>
      <c r="P62" s="1289"/>
      <c r="Q62" s="1290"/>
      <c r="R62" s="1287">
        <f t="shared" si="7"/>
        <v>0</v>
      </c>
      <c r="S62" s="1286"/>
      <c r="T62" s="1286"/>
    </row>
    <row r="63" spans="1:20" ht="14.25">
      <c r="A63" s="55">
        <v>61</v>
      </c>
      <c r="B63"/>
      <c r="C63"/>
      <c r="D63"/>
      <c r="E63"/>
      <c r="F63"/>
      <c r="I63" s="1277"/>
      <c r="J63" s="1277"/>
      <c r="K63" s="1277"/>
      <c r="L63" s="1277"/>
      <c r="M63" s="1277"/>
      <c r="N63" s="1277"/>
      <c r="O63" s="1277"/>
      <c r="P63" s="1277"/>
      <c r="Q63" s="1277"/>
      <c r="R63" s="1277"/>
      <c r="S63" s="1277"/>
      <c r="T63" s="1277"/>
    </row>
    <row r="64" spans="1:20">
      <c r="B64"/>
      <c r="C64"/>
      <c r="D64"/>
      <c r="E64"/>
      <c r="F64"/>
      <c r="I64" s="1278" t="s">
        <v>610</v>
      </c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278"/>
    </row>
    <row r="65" spans="2:20">
      <c r="B65"/>
      <c r="C65"/>
      <c r="D65"/>
      <c r="E65"/>
      <c r="F65"/>
      <c r="I65" s="1279" t="s">
        <v>611</v>
      </c>
      <c r="J65" s="1279"/>
      <c r="K65" s="1279"/>
      <c r="L65" s="1279"/>
      <c r="M65" s="1279"/>
      <c r="N65" s="1279"/>
      <c r="O65" s="1279"/>
      <c r="P65" s="1279"/>
      <c r="Q65" s="1279"/>
      <c r="R65" s="1279"/>
      <c r="S65" s="1279"/>
      <c r="T65" s="1279"/>
    </row>
    <row r="66" spans="2:20">
      <c r="B66"/>
      <c r="C66"/>
      <c r="D66"/>
      <c r="E66"/>
      <c r="F66"/>
      <c r="I66" s="958"/>
      <c r="J66" s="958"/>
      <c r="K66" s="958"/>
      <c r="L66" s="958"/>
      <c r="M66" s="1280" t="s">
        <v>612</v>
      </c>
      <c r="N66" s="1280"/>
      <c r="O66" s="1280"/>
      <c r="P66" s="1281" t="e">
        <f>E39</f>
        <v>#REF!</v>
      </c>
      <c r="Q66" s="1281"/>
      <c r="R66" s="1281"/>
      <c r="S66" s="1281"/>
      <c r="T66" s="253" t="s">
        <v>613</v>
      </c>
    </row>
    <row r="67" spans="2:20" ht="13.5" thickBot="1">
      <c r="B67"/>
      <c r="C67"/>
      <c r="D67"/>
      <c r="E67"/>
      <c r="F67"/>
      <c r="I67" s="1282" t="s">
        <v>539</v>
      </c>
      <c r="J67" s="1282"/>
      <c r="K67" s="1282"/>
      <c r="L67" s="1282"/>
      <c r="M67" s="1282"/>
      <c r="N67" s="1282"/>
      <c r="O67" s="1282"/>
      <c r="P67" s="1282"/>
      <c r="Q67" s="1282"/>
      <c r="R67" s="1282"/>
      <c r="S67" s="1283" t="s">
        <v>614</v>
      </c>
      <c r="T67" s="1283"/>
    </row>
    <row r="68" spans="2:20" ht="13.5" thickTop="1"/>
  </sheetData>
  <mergeCells count="214">
    <mergeCell ref="I2:T2"/>
    <mergeCell ref="K15:T15"/>
    <mergeCell ref="I16:T16"/>
    <mergeCell ref="K17:K18"/>
    <mergeCell ref="L17:M18"/>
    <mergeCell ref="N17:Q17"/>
    <mergeCell ref="N18:Q18"/>
    <mergeCell ref="R17:T18"/>
    <mergeCell ref="K3:N3"/>
    <mergeCell ref="O3:P3"/>
    <mergeCell ref="Q3:T3"/>
    <mergeCell ref="K4:T4"/>
    <mergeCell ref="K5:N5"/>
    <mergeCell ref="O5:P5"/>
    <mergeCell ref="Q5:T5"/>
    <mergeCell ref="K6:N6"/>
    <mergeCell ref="O6:P6"/>
    <mergeCell ref="Q6:T6"/>
    <mergeCell ref="K7:N8"/>
    <mergeCell ref="O7:P8"/>
    <mergeCell ref="Q7:T8"/>
    <mergeCell ref="I9:T9"/>
    <mergeCell ref="I10:T10"/>
    <mergeCell ref="I32:L32"/>
    <mergeCell ref="M32:O32"/>
    <mergeCell ref="P32:S32"/>
    <mergeCell ref="I33:R33"/>
    <mergeCell ref="S33:T33"/>
    <mergeCell ref="L28:M28"/>
    <mergeCell ref="N28:Q28"/>
    <mergeCell ref="R28:T28"/>
    <mergeCell ref="I29:T29"/>
    <mergeCell ref="I30:T30"/>
    <mergeCell ref="I31:T31"/>
    <mergeCell ref="L26:M26"/>
    <mergeCell ref="N26:Q26"/>
    <mergeCell ref="R26:T26"/>
    <mergeCell ref="L27:M27"/>
    <mergeCell ref="N27:Q27"/>
    <mergeCell ref="R27:T27"/>
    <mergeCell ref="L24:M24"/>
    <mergeCell ref="N24:Q24"/>
    <mergeCell ref="R24:T24"/>
    <mergeCell ref="L25:M25"/>
    <mergeCell ref="N25:Q25"/>
    <mergeCell ref="R25:T25"/>
    <mergeCell ref="L22:M22"/>
    <mergeCell ref="N22:Q22"/>
    <mergeCell ref="R22:T22"/>
    <mergeCell ref="L23:M23"/>
    <mergeCell ref="N23:Q23"/>
    <mergeCell ref="R23:T23"/>
    <mergeCell ref="L20:M20"/>
    <mergeCell ref="N20:Q20"/>
    <mergeCell ref="R20:T20"/>
    <mergeCell ref="L21:M21"/>
    <mergeCell ref="N21:Q21"/>
    <mergeCell ref="R21:T21"/>
    <mergeCell ref="L19:M19"/>
    <mergeCell ref="N19:Q19"/>
    <mergeCell ref="R19:T19"/>
    <mergeCell ref="J17:J18"/>
    <mergeCell ref="I11:I15"/>
    <mergeCell ref="K11:N11"/>
    <mergeCell ref="O11:P11"/>
    <mergeCell ref="Q11:T11"/>
    <mergeCell ref="K12:T12"/>
    <mergeCell ref="K13:T13"/>
    <mergeCell ref="K14:T14"/>
    <mergeCell ref="B2:F2"/>
    <mergeCell ref="C15:D15"/>
    <mergeCell ref="C16:D16"/>
    <mergeCell ref="C17:D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B4:B13"/>
    <mergeCell ref="B15:B20"/>
    <mergeCell ref="C18:D18"/>
    <mergeCell ref="C19:D19"/>
    <mergeCell ref="C20:D20"/>
    <mergeCell ref="E15:F15"/>
    <mergeCell ref="E16:F16"/>
    <mergeCell ref="E17:F17"/>
    <mergeCell ref="E18:F18"/>
    <mergeCell ref="E19:F19"/>
    <mergeCell ref="B22:F22"/>
    <mergeCell ref="C3:D3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E13:F13"/>
    <mergeCell ref="E20:F20"/>
    <mergeCell ref="B36:F36"/>
    <mergeCell ref="C37:D37"/>
    <mergeCell ref="E37:F37"/>
    <mergeCell ref="B38:B47"/>
    <mergeCell ref="C38:D38"/>
    <mergeCell ref="E38:F38"/>
    <mergeCell ref="C39:D39"/>
    <mergeCell ref="E39:F39"/>
    <mergeCell ref="C40:D40"/>
    <mergeCell ref="E40:F40"/>
    <mergeCell ref="C41:D41"/>
    <mergeCell ref="E41:F41"/>
    <mergeCell ref="C42:D42"/>
    <mergeCell ref="E42:F42"/>
    <mergeCell ref="C43:D43"/>
    <mergeCell ref="E43:F43"/>
    <mergeCell ref="C44:D44"/>
    <mergeCell ref="E44:F44"/>
    <mergeCell ref="C45:D45"/>
    <mergeCell ref="E45:F45"/>
    <mergeCell ref="C46:D46"/>
    <mergeCell ref="E46:F46"/>
    <mergeCell ref="C47:D47"/>
    <mergeCell ref="E47:F47"/>
    <mergeCell ref="B49:B54"/>
    <mergeCell ref="C49:D49"/>
    <mergeCell ref="E49:F49"/>
    <mergeCell ref="C50:D50"/>
    <mergeCell ref="E50:F50"/>
    <mergeCell ref="C51:D51"/>
    <mergeCell ref="E51:F51"/>
    <mergeCell ref="C52:D52"/>
    <mergeCell ref="E52:F52"/>
    <mergeCell ref="C53:D53"/>
    <mergeCell ref="E53:F53"/>
    <mergeCell ref="C54:D54"/>
    <mergeCell ref="E54:F54"/>
    <mergeCell ref="B56:F56"/>
    <mergeCell ref="I36:T36"/>
    <mergeCell ref="K37:N37"/>
    <mergeCell ref="O37:P37"/>
    <mergeCell ref="Q37:T37"/>
    <mergeCell ref="K38:T38"/>
    <mergeCell ref="K39:N39"/>
    <mergeCell ref="O39:P39"/>
    <mergeCell ref="Q39:T39"/>
    <mergeCell ref="K40:N40"/>
    <mergeCell ref="O40:P40"/>
    <mergeCell ref="Q40:T40"/>
    <mergeCell ref="K41:N42"/>
    <mergeCell ref="O41:P42"/>
    <mergeCell ref="Q41:T42"/>
    <mergeCell ref="I43:T43"/>
    <mergeCell ref="I44:T44"/>
    <mergeCell ref="I45:I49"/>
    <mergeCell ref="K45:N45"/>
    <mergeCell ref="O45:P45"/>
    <mergeCell ref="Q45:T45"/>
    <mergeCell ref="K46:T46"/>
    <mergeCell ref="K47:T47"/>
    <mergeCell ref="K48:T48"/>
    <mergeCell ref="K49:T49"/>
    <mergeCell ref="I50:T50"/>
    <mergeCell ref="J51:J52"/>
    <mergeCell ref="K51:K52"/>
    <mergeCell ref="L51:M52"/>
    <mergeCell ref="N51:Q51"/>
    <mergeCell ref="R51:T52"/>
    <mergeCell ref="N52:Q52"/>
    <mergeCell ref="L53:M53"/>
    <mergeCell ref="N53:Q53"/>
    <mergeCell ref="R53:T53"/>
    <mergeCell ref="L54:M54"/>
    <mergeCell ref="N54:Q54"/>
    <mergeCell ref="R54:T54"/>
    <mergeCell ref="L55:M55"/>
    <mergeCell ref="N55:Q55"/>
    <mergeCell ref="R55:T55"/>
    <mergeCell ref="L56:M56"/>
    <mergeCell ref="N56:Q56"/>
    <mergeCell ref="R56:T56"/>
    <mergeCell ref="L57:M57"/>
    <mergeCell ref="N57:Q57"/>
    <mergeCell ref="R57:T57"/>
    <mergeCell ref="L58:M58"/>
    <mergeCell ref="N58:Q58"/>
    <mergeCell ref="R58:T58"/>
    <mergeCell ref="L59:M59"/>
    <mergeCell ref="N59:Q59"/>
    <mergeCell ref="R59:T59"/>
    <mergeCell ref="I63:T63"/>
    <mergeCell ref="I64:T64"/>
    <mergeCell ref="I65:T65"/>
    <mergeCell ref="I66:L66"/>
    <mergeCell ref="M66:O66"/>
    <mergeCell ref="P66:S66"/>
    <mergeCell ref="I67:R67"/>
    <mergeCell ref="S67:T67"/>
    <mergeCell ref="L60:M60"/>
    <mergeCell ref="N60:Q60"/>
    <mergeCell ref="R60:T60"/>
    <mergeCell ref="L61:M61"/>
    <mergeCell ref="N61:Q61"/>
    <mergeCell ref="R61:T61"/>
    <mergeCell ref="L62:M62"/>
    <mergeCell ref="N62:Q62"/>
    <mergeCell ref="R62:T62"/>
  </mergeCells>
  <phoneticPr fontId="9" type="noConversion"/>
  <hyperlinks>
    <hyperlink ref="E12" r:id="rId1" display="asd@asd.net" xr:uid="{694FA870-8D8E-4790-B77E-F471C440482C}"/>
    <hyperlink ref="E46" r:id="rId2" display="asd@asd.net" xr:uid="{4EACE0EE-2D3A-4858-A8B6-A699AFBB0B36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Drop Down 1">
              <controlPr defaultSize="0" autoLine="0" autoPict="0" macro="[0]!목차드롭다운">
                <anchor moveWithCells="1">
                  <from>
                    <xdr:col>20</xdr:col>
                    <xdr:colOff>361950</xdr:colOff>
                    <xdr:row>2</xdr:row>
                    <xdr:rowOff>9525</xdr:rowOff>
                  </from>
                  <to>
                    <xdr:col>24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415E-B3C5-4A7B-A13A-EDF2E4982C02}">
  <sheetPr codeName="Sheet25">
    <tabColor theme="5" tint="0.79998168889431442"/>
  </sheetPr>
  <dimension ref="A1:AL63"/>
  <sheetViews>
    <sheetView topLeftCell="A8" workbookViewId="0">
      <selection activeCell="C4" sqref="C4"/>
    </sheetView>
  </sheetViews>
  <sheetFormatPr defaultColWidth="9" defaultRowHeight="12.75"/>
  <cols>
    <col min="1" max="1" width="14" style="39" customWidth="1"/>
    <col min="2" max="2" width="19.5703125" style="39" customWidth="1"/>
    <col min="3" max="3" width="19.5703125" style="39" bestFit="1" customWidth="1"/>
    <col min="4" max="4" width="38.140625" style="39" bestFit="1" customWidth="1"/>
    <col min="5" max="5" width="9" style="39"/>
    <col min="6" max="6" width="14.85546875" style="39" customWidth="1"/>
    <col min="7" max="7" width="13.5703125" style="39" customWidth="1"/>
    <col min="8" max="8" width="14" style="39" customWidth="1"/>
    <col min="9" max="9" width="11.7109375" style="39" customWidth="1"/>
    <col min="10" max="19" width="6.42578125" style="39" customWidth="1"/>
    <col min="20" max="20" width="11.85546875" style="39" customWidth="1"/>
    <col min="21" max="27" width="9" style="39"/>
    <col min="28" max="29" width="9" style="39" customWidth="1"/>
    <col min="30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7" customHeight="1">
      <c r="A2" s="54">
        <v>0</v>
      </c>
      <c r="B2" s="1342" t="s">
        <v>1031</v>
      </c>
      <c r="C2" s="824"/>
      <c r="D2" s="824"/>
      <c r="E2" s="33"/>
      <c r="F2" s="1358" t="s">
        <v>1032</v>
      </c>
      <c r="G2" s="1359"/>
      <c r="H2" s="1359"/>
      <c r="I2" s="1359"/>
    </row>
    <row r="3" spans="1:38" ht="24" thickBot="1">
      <c r="A3" s="55">
        <v>1</v>
      </c>
      <c r="B3" s="261" t="s">
        <v>722</v>
      </c>
      <c r="C3" s="261" t="s">
        <v>726</v>
      </c>
      <c r="D3" s="261" t="s">
        <v>727</v>
      </c>
      <c r="E3" s="10"/>
      <c r="F3" s="1360" t="s">
        <v>1015</v>
      </c>
      <c r="G3" s="1361"/>
      <c r="H3" s="1361"/>
      <c r="I3" s="1362"/>
    </row>
    <row r="4" spans="1:38" ht="19.5" customHeight="1" thickTop="1">
      <c r="A4" s="55">
        <v>2</v>
      </c>
      <c r="B4" s="825"/>
      <c r="C4" s="210" t="s">
        <v>1003</v>
      </c>
      <c r="D4" s="260"/>
      <c r="E4" s="30"/>
      <c r="F4" s="822"/>
      <c r="G4" s="822"/>
      <c r="H4" s="822"/>
      <c r="I4" s="822"/>
    </row>
    <row r="5" spans="1:38" ht="19.149999999999999" customHeight="1">
      <c r="A5" s="55">
        <v>3</v>
      </c>
      <c r="B5" s="826"/>
      <c r="C5" s="213" t="s">
        <v>1004</v>
      </c>
      <c r="D5" s="269"/>
      <c r="E5" s="31"/>
      <c r="F5" s="484" t="s">
        <v>1016</v>
      </c>
      <c r="G5" s="1199">
        <f>D4</f>
        <v>0</v>
      </c>
      <c r="H5" s="1184"/>
      <c r="I5" s="1185"/>
    </row>
    <row r="6" spans="1:38" ht="19.149999999999999" customHeight="1">
      <c r="A6" s="55">
        <v>4</v>
      </c>
      <c r="B6" s="826"/>
      <c r="C6" s="213" t="s">
        <v>1005</v>
      </c>
      <c r="D6" s="269"/>
      <c r="E6" s="31"/>
      <c r="F6" s="1363"/>
      <c r="G6" s="822"/>
      <c r="H6" s="822"/>
      <c r="I6" s="822"/>
    </row>
    <row r="7" spans="1:38" ht="19.149999999999999" customHeight="1">
      <c r="A7" s="55">
        <v>5</v>
      </c>
      <c r="B7" s="826"/>
      <c r="C7" s="213" t="s">
        <v>1006</v>
      </c>
      <c r="D7" s="269"/>
      <c r="E7" s="10"/>
      <c r="F7" s="484" t="s">
        <v>1017</v>
      </c>
      <c r="G7" s="1199">
        <f>D5</f>
        <v>0</v>
      </c>
      <c r="H7" s="1184"/>
      <c r="I7" s="1185"/>
    </row>
    <row r="8" spans="1:38" ht="19.5" customHeight="1">
      <c r="A8" s="267">
        <v>6</v>
      </c>
      <c r="B8" s="826"/>
      <c r="C8" s="213" t="s">
        <v>1007</v>
      </c>
      <c r="D8" s="269"/>
      <c r="E8" s="30"/>
      <c r="F8" s="484" t="s">
        <v>1018</v>
      </c>
      <c r="G8" s="1199">
        <f>D6</f>
        <v>0</v>
      </c>
      <c r="H8" s="1184"/>
      <c r="I8" s="1185"/>
    </row>
    <row r="9" spans="1:38" ht="15.75">
      <c r="A9" s="55">
        <v>7</v>
      </c>
      <c r="B9" s="826"/>
      <c r="C9" s="211" t="s">
        <v>1008</v>
      </c>
      <c r="D9" s="6"/>
      <c r="E9" s="9"/>
      <c r="F9" s="822"/>
      <c r="G9" s="822"/>
      <c r="H9" s="822"/>
      <c r="I9" s="822"/>
    </row>
    <row r="10" spans="1:38" ht="19.149999999999999" customHeight="1" thickBot="1">
      <c r="A10" s="267">
        <v>8</v>
      </c>
      <c r="B10" s="827"/>
      <c r="C10" s="214" t="s">
        <v>1009</v>
      </c>
      <c r="D10" s="268"/>
      <c r="E10" s="32"/>
      <c r="F10" s="485" t="s">
        <v>1019</v>
      </c>
      <c r="G10" s="1357">
        <f>D7</f>
        <v>0</v>
      </c>
      <c r="H10" s="1352"/>
      <c r="I10" s="1353"/>
    </row>
    <row r="11" spans="1:38" ht="14.25">
      <c r="A11" s="55">
        <v>9</v>
      </c>
      <c r="B11" s="480"/>
      <c r="F11" s="486" t="s">
        <v>1020</v>
      </c>
      <c r="G11" s="1354"/>
      <c r="H11" s="1355"/>
      <c r="I11" s="1356"/>
    </row>
    <row r="12" spans="1:38" ht="14.25">
      <c r="A12" s="55">
        <v>10</v>
      </c>
      <c r="B12" s="480"/>
      <c r="D12" s="481"/>
      <c r="F12" s="485" t="s">
        <v>1021</v>
      </c>
      <c r="G12" s="1351">
        <f>D8</f>
        <v>0</v>
      </c>
      <c r="H12" s="1352"/>
      <c r="I12" s="1353"/>
    </row>
    <row r="13" spans="1:38" ht="27" customHeight="1">
      <c r="A13" s="55">
        <v>11</v>
      </c>
      <c r="B13" s="1332" t="s">
        <v>1014</v>
      </c>
      <c r="C13" s="211" t="s">
        <v>946</v>
      </c>
      <c r="D13" s="6">
        <v>111</v>
      </c>
      <c r="F13" s="486" t="s">
        <v>1022</v>
      </c>
      <c r="G13" s="1354"/>
      <c r="H13" s="1355"/>
      <c r="I13" s="1356"/>
    </row>
    <row r="14" spans="1:38" ht="15.75">
      <c r="A14" s="55">
        <v>12</v>
      </c>
      <c r="B14" s="1333"/>
      <c r="C14" s="213" t="s">
        <v>1010</v>
      </c>
      <c r="D14" s="269"/>
      <c r="F14" s="484" t="s">
        <v>1023</v>
      </c>
      <c r="G14" s="1364">
        <f>D9</f>
        <v>0</v>
      </c>
      <c r="H14" s="1365"/>
      <c r="I14" s="1366"/>
    </row>
    <row r="15" spans="1:38" ht="15.75">
      <c r="A15" s="55">
        <v>13</v>
      </c>
      <c r="B15" s="1333"/>
      <c r="C15" s="213" t="s">
        <v>1011</v>
      </c>
      <c r="D15" s="269"/>
      <c r="F15" s="822"/>
      <c r="G15" s="822"/>
      <c r="H15" s="822"/>
      <c r="I15" s="822"/>
    </row>
    <row r="16" spans="1:38" ht="19.149999999999999" customHeight="1">
      <c r="A16" s="55">
        <v>14</v>
      </c>
      <c r="B16" s="1333"/>
      <c r="C16" s="213" t="s">
        <v>1012</v>
      </c>
      <c r="D16" s="269"/>
      <c r="F16" s="484" t="s">
        <v>1024</v>
      </c>
      <c r="G16" s="1117">
        <f>D10</f>
        <v>0</v>
      </c>
      <c r="H16" s="1137"/>
      <c r="I16" s="1118"/>
    </row>
    <row r="17" spans="1:9" ht="19.149999999999999" customHeight="1" thickBot="1">
      <c r="A17" s="55">
        <v>15</v>
      </c>
      <c r="B17" s="1334"/>
      <c r="C17" s="482" t="s">
        <v>1013</v>
      </c>
      <c r="D17" s="483"/>
      <c r="F17" s="484" t="s">
        <v>1025</v>
      </c>
      <c r="G17" s="457">
        <f>D13</f>
        <v>111</v>
      </c>
      <c r="H17" s="484" t="s">
        <v>1026</v>
      </c>
      <c r="I17" s="487">
        <f>D14</f>
        <v>0</v>
      </c>
    </row>
    <row r="18" spans="1:9" ht="19.149999999999999" customHeight="1">
      <c r="A18" s="55">
        <v>16</v>
      </c>
      <c r="F18" s="484" t="s">
        <v>1027</v>
      </c>
      <c r="G18" s="457">
        <f>D15</f>
        <v>0</v>
      </c>
      <c r="H18" s="484" t="s">
        <v>1028</v>
      </c>
      <c r="I18" s="488">
        <f>D16</f>
        <v>0</v>
      </c>
    </row>
    <row r="19" spans="1:9" ht="14.25">
      <c r="A19" s="55">
        <v>17</v>
      </c>
      <c r="F19" s="489" t="s">
        <v>1029</v>
      </c>
      <c r="G19" s="490">
        <f>D17</f>
        <v>0</v>
      </c>
      <c r="H19" s="489" t="s">
        <v>1030</v>
      </c>
      <c r="I19" s="491" t="str">
        <f>D13&amp;" (인)"</f>
        <v>111 (인)</v>
      </c>
    </row>
    <row r="20" spans="1:9" ht="16.899999999999999" customHeight="1">
      <c r="A20" s="55">
        <v>18</v>
      </c>
    </row>
    <row r="21" spans="1:9" ht="16.899999999999999" customHeight="1">
      <c r="A21" s="55">
        <v>19</v>
      </c>
    </row>
    <row r="22" spans="1:9" ht="31.5">
      <c r="A22" s="55">
        <v>20</v>
      </c>
      <c r="B22" s="1342" t="s">
        <v>1033</v>
      </c>
      <c r="C22" s="824"/>
      <c r="D22" s="824"/>
      <c r="F22" s="1368" t="s">
        <v>1034</v>
      </c>
      <c r="G22" s="1369"/>
      <c r="H22" s="1369"/>
      <c r="I22" s="1369"/>
    </row>
    <row r="23" spans="1:9" ht="24" thickBot="1">
      <c r="A23" s="55">
        <v>21</v>
      </c>
      <c r="B23" s="261" t="s">
        <v>722</v>
      </c>
      <c r="C23" s="261" t="s">
        <v>726</v>
      </c>
      <c r="D23" s="261" t="s">
        <v>727</v>
      </c>
      <c r="F23" s="1124" t="s">
        <v>1015</v>
      </c>
      <c r="G23" s="1126"/>
      <c r="H23" s="1126"/>
      <c r="I23" s="1367"/>
    </row>
    <row r="24" spans="1:9" ht="16.899999999999999" customHeight="1" thickTop="1">
      <c r="A24" s="55">
        <v>22</v>
      </c>
      <c r="B24" s="825"/>
      <c r="C24" s="210" t="s">
        <v>1003</v>
      </c>
      <c r="D24" s="260"/>
      <c r="F24" s="822"/>
      <c r="G24" s="822"/>
      <c r="H24" s="822"/>
      <c r="I24" s="822"/>
    </row>
    <row r="25" spans="1:9" ht="16.899999999999999" customHeight="1">
      <c r="A25" s="55">
        <v>23</v>
      </c>
      <c r="B25" s="826"/>
      <c r="C25" s="213" t="s">
        <v>1004</v>
      </c>
      <c r="D25" s="269"/>
      <c r="F25" s="484" t="s">
        <v>1016</v>
      </c>
      <c r="G25" s="1199">
        <f>D24</f>
        <v>0</v>
      </c>
      <c r="H25" s="1184"/>
      <c r="I25" s="1185"/>
    </row>
    <row r="26" spans="1:9" ht="16.899999999999999" customHeight="1">
      <c r="A26" s="55">
        <v>24</v>
      </c>
      <c r="B26" s="826"/>
      <c r="C26" s="213" t="s">
        <v>1005</v>
      </c>
      <c r="D26" s="269"/>
      <c r="F26" s="1363"/>
      <c r="G26" s="822"/>
      <c r="H26" s="822"/>
      <c r="I26" s="822"/>
    </row>
    <row r="27" spans="1:9" ht="16.899999999999999" customHeight="1">
      <c r="A27" s="55">
        <v>25</v>
      </c>
      <c r="B27" s="826"/>
      <c r="C27" s="213" t="s">
        <v>1006</v>
      </c>
      <c r="D27" s="269"/>
      <c r="F27" s="484" t="s">
        <v>1017</v>
      </c>
      <c r="G27" s="1199">
        <f>D25</f>
        <v>0</v>
      </c>
      <c r="H27" s="1184"/>
      <c r="I27" s="1185"/>
    </row>
    <row r="28" spans="1:9" ht="16.899999999999999" customHeight="1">
      <c r="A28" s="55">
        <v>26</v>
      </c>
      <c r="B28" s="826"/>
      <c r="C28" s="213" t="s">
        <v>1007</v>
      </c>
      <c r="D28" s="269"/>
      <c r="F28" s="484" t="s">
        <v>1018</v>
      </c>
      <c r="G28" s="1199">
        <f>D26</f>
        <v>0</v>
      </c>
      <c r="H28" s="1184"/>
      <c r="I28" s="1185"/>
    </row>
    <row r="29" spans="1:9" ht="16.899999999999999" customHeight="1">
      <c r="A29" s="55">
        <v>27</v>
      </c>
      <c r="B29" s="826"/>
      <c r="C29" s="211" t="s">
        <v>1008</v>
      </c>
      <c r="D29" s="6"/>
      <c r="F29" s="822"/>
      <c r="G29" s="822"/>
      <c r="H29" s="822"/>
      <c r="I29" s="822"/>
    </row>
    <row r="30" spans="1:9" ht="16.899999999999999" customHeight="1" thickBot="1">
      <c r="A30" s="55">
        <v>28</v>
      </c>
      <c r="B30" s="827"/>
      <c r="C30" s="214" t="s">
        <v>1009</v>
      </c>
      <c r="D30" s="268"/>
      <c r="F30" s="485" t="s">
        <v>1019</v>
      </c>
      <c r="G30" s="1357">
        <f>D27</f>
        <v>0</v>
      </c>
      <c r="H30" s="1352"/>
      <c r="I30" s="1353"/>
    </row>
    <row r="31" spans="1:9" ht="16.899999999999999" customHeight="1">
      <c r="A31" s="55">
        <v>29</v>
      </c>
      <c r="B31" s="480"/>
      <c r="F31" s="486" t="s">
        <v>1020</v>
      </c>
      <c r="G31" s="1354"/>
      <c r="H31" s="1355"/>
      <c r="I31" s="1356"/>
    </row>
    <row r="32" spans="1:9" ht="16.899999999999999" customHeight="1">
      <c r="A32" s="55">
        <v>30</v>
      </c>
      <c r="B32" s="480"/>
      <c r="D32" s="481"/>
      <c r="F32" s="485" t="s">
        <v>1021</v>
      </c>
      <c r="G32" s="1351">
        <f>D28</f>
        <v>0</v>
      </c>
      <c r="H32" s="1352"/>
      <c r="I32" s="1353"/>
    </row>
    <row r="33" spans="1:9" ht="15" customHeight="1">
      <c r="A33" s="55">
        <v>31</v>
      </c>
      <c r="B33" s="1332" t="s">
        <v>1014</v>
      </c>
      <c r="C33" s="211" t="s">
        <v>946</v>
      </c>
      <c r="D33" s="6">
        <v>333</v>
      </c>
      <c r="F33" s="486" t="s">
        <v>1022</v>
      </c>
      <c r="G33" s="1354"/>
      <c r="H33" s="1355"/>
      <c r="I33" s="1356"/>
    </row>
    <row r="34" spans="1:9" ht="15.75">
      <c r="A34" s="55">
        <v>32</v>
      </c>
      <c r="B34" s="1333"/>
      <c r="C34" s="213" t="s">
        <v>1010</v>
      </c>
      <c r="D34" s="269"/>
      <c r="F34" s="484" t="s">
        <v>1023</v>
      </c>
      <c r="G34" s="1364">
        <f>D29</f>
        <v>0</v>
      </c>
      <c r="H34" s="1365"/>
      <c r="I34" s="1366"/>
    </row>
    <row r="35" spans="1:9" ht="15.75">
      <c r="A35" s="55">
        <v>33</v>
      </c>
      <c r="B35" s="1333"/>
      <c r="C35" s="213" t="s">
        <v>1011</v>
      </c>
      <c r="D35" s="269"/>
      <c r="F35" s="822"/>
      <c r="G35" s="822"/>
      <c r="H35" s="822"/>
      <c r="I35" s="822"/>
    </row>
    <row r="36" spans="1:9" ht="15.75">
      <c r="A36" s="55">
        <v>34</v>
      </c>
      <c r="B36" s="1333"/>
      <c r="C36" s="213" t="s">
        <v>1012</v>
      </c>
      <c r="D36" s="269"/>
      <c r="F36" s="484" t="s">
        <v>1024</v>
      </c>
      <c r="G36" s="1117">
        <f>D30</f>
        <v>0</v>
      </c>
      <c r="H36" s="1137"/>
      <c r="I36" s="1118"/>
    </row>
    <row r="37" spans="1:9" ht="16.5" thickBot="1">
      <c r="A37" s="55">
        <v>35</v>
      </c>
      <c r="B37" s="1334"/>
      <c r="C37" s="482" t="s">
        <v>1013</v>
      </c>
      <c r="D37" s="483"/>
      <c r="F37" s="484" t="s">
        <v>1025</v>
      </c>
      <c r="G37" s="457">
        <f>D33</f>
        <v>333</v>
      </c>
      <c r="H37" s="484" t="s">
        <v>1026</v>
      </c>
      <c r="I37" s="487">
        <f>D34</f>
        <v>0</v>
      </c>
    </row>
    <row r="38" spans="1:9" ht="28.5">
      <c r="A38" s="55">
        <v>36</v>
      </c>
      <c r="F38" s="484" t="s">
        <v>1027</v>
      </c>
      <c r="G38" s="457">
        <f>D35</f>
        <v>0</v>
      </c>
      <c r="H38" s="484" t="s">
        <v>1028</v>
      </c>
      <c r="I38" s="488">
        <f>D36</f>
        <v>0</v>
      </c>
    </row>
    <row r="39" spans="1:9" ht="14.25">
      <c r="A39" s="55">
        <v>37</v>
      </c>
      <c r="F39" s="489" t="s">
        <v>1029</v>
      </c>
      <c r="G39" s="490">
        <f>D37</f>
        <v>0</v>
      </c>
      <c r="H39" s="489" t="s">
        <v>1030</v>
      </c>
      <c r="I39" s="491" t="str">
        <f>D33&amp;" (인)"</f>
        <v>333 (인)</v>
      </c>
    </row>
    <row r="40" spans="1:9" ht="14.25">
      <c r="A40" s="55">
        <v>38</v>
      </c>
    </row>
    <row r="41" spans="1:9" ht="14.25">
      <c r="A41" s="55">
        <v>39</v>
      </c>
    </row>
    <row r="42" spans="1:9" ht="14.25">
      <c r="A42" s="55">
        <v>40</v>
      </c>
    </row>
    <row r="43" spans="1:9" ht="14.25">
      <c r="A43" s="55">
        <v>41</v>
      </c>
    </row>
    <row r="44" spans="1:9" ht="14.25">
      <c r="A44" s="55">
        <v>42</v>
      </c>
    </row>
    <row r="45" spans="1:9" ht="14.25">
      <c r="A45" s="55">
        <v>43</v>
      </c>
    </row>
    <row r="46" spans="1:9" ht="14.25">
      <c r="A46" s="55">
        <v>44</v>
      </c>
    </row>
    <row r="47" spans="1:9" ht="14.25">
      <c r="A47" s="55">
        <v>45</v>
      </c>
    </row>
    <row r="48" spans="1:9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32">
    <mergeCell ref="B22:D22"/>
    <mergeCell ref="B24:B30"/>
    <mergeCell ref="B33:B37"/>
    <mergeCell ref="F23:I23"/>
    <mergeCell ref="F24:I24"/>
    <mergeCell ref="G36:I36"/>
    <mergeCell ref="F22:I22"/>
    <mergeCell ref="G25:I25"/>
    <mergeCell ref="F26:I26"/>
    <mergeCell ref="G27:I27"/>
    <mergeCell ref="F29:I29"/>
    <mergeCell ref="G30:I31"/>
    <mergeCell ref="G32:I33"/>
    <mergeCell ref="G34:I34"/>
    <mergeCell ref="G28:I28"/>
    <mergeCell ref="F35:I35"/>
    <mergeCell ref="F15:I15"/>
    <mergeCell ref="G16:I16"/>
    <mergeCell ref="G12:I13"/>
    <mergeCell ref="G10:I11"/>
    <mergeCell ref="B2:D2"/>
    <mergeCell ref="F2:I2"/>
    <mergeCell ref="B4:B10"/>
    <mergeCell ref="B13:B17"/>
    <mergeCell ref="F3:I3"/>
    <mergeCell ref="F4:I4"/>
    <mergeCell ref="G5:I5"/>
    <mergeCell ref="F6:I6"/>
    <mergeCell ref="G7:I7"/>
    <mergeCell ref="G8:I8"/>
    <mergeCell ref="F9:I9"/>
    <mergeCell ref="G14:I14"/>
  </mergeCells>
  <phoneticPr fontId="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82FC3-56CB-49A6-91C4-D84D970E7E52}">
  <sheetPr codeName="Sheet26">
    <tabColor theme="5" tint="0.79998168889431442"/>
  </sheetPr>
  <dimension ref="A1:AL63"/>
  <sheetViews>
    <sheetView workbookViewId="0"/>
  </sheetViews>
  <sheetFormatPr defaultColWidth="9" defaultRowHeight="12.75"/>
  <cols>
    <col min="1" max="1" width="14" style="501" customWidth="1"/>
    <col min="2" max="2" width="19.5703125" style="501" customWidth="1"/>
    <col min="3" max="3" width="19.5703125" style="501" bestFit="1" customWidth="1"/>
    <col min="4" max="4" width="23.140625" style="501" customWidth="1"/>
    <col min="5" max="5" width="9" style="501"/>
    <col min="6" max="6" width="14.85546875" style="501" customWidth="1"/>
    <col min="7" max="8" width="14" style="501" customWidth="1"/>
    <col min="9" max="9" width="13.7109375" style="501" customWidth="1"/>
    <col min="10" max="10" width="39.5703125" style="501" customWidth="1"/>
    <col min="11" max="17" width="31.7109375" style="501" customWidth="1"/>
    <col min="18" max="18" width="18" style="501" bestFit="1" customWidth="1"/>
    <col min="19" max="19" width="6.42578125" style="501" customWidth="1"/>
    <col min="20" max="20" width="11.85546875" style="501" customWidth="1"/>
    <col min="21" max="27" width="9" style="501"/>
    <col min="28" max="29" width="9" style="501" customWidth="1"/>
    <col min="30" max="16384" width="9" style="501"/>
  </cols>
  <sheetData>
    <row r="1" spans="1:38" ht="24">
      <c r="A1" s="52" t="s">
        <v>101</v>
      </c>
      <c r="B1" s="500">
        <v>1</v>
      </c>
      <c r="C1" s="500">
        <v>2</v>
      </c>
      <c r="D1" s="500">
        <v>3</v>
      </c>
      <c r="E1" s="500">
        <v>4</v>
      </c>
      <c r="F1" s="500">
        <v>5</v>
      </c>
      <c r="G1" s="500">
        <v>6</v>
      </c>
      <c r="H1" s="500">
        <v>7</v>
      </c>
      <c r="I1" s="500">
        <v>8</v>
      </c>
      <c r="J1" s="500">
        <v>9</v>
      </c>
      <c r="K1" s="500">
        <v>10</v>
      </c>
      <c r="L1" s="500">
        <v>11</v>
      </c>
      <c r="M1" s="500">
        <v>12</v>
      </c>
      <c r="N1" s="500">
        <v>13</v>
      </c>
      <c r="O1" s="500">
        <v>14</v>
      </c>
      <c r="P1" s="500">
        <v>15</v>
      </c>
      <c r="Q1" s="500">
        <v>16</v>
      </c>
      <c r="R1" s="500">
        <v>17</v>
      </c>
      <c r="S1" s="500">
        <v>18</v>
      </c>
      <c r="T1" s="500">
        <v>19</v>
      </c>
      <c r="U1" s="500">
        <v>20</v>
      </c>
      <c r="V1" s="500">
        <v>21</v>
      </c>
      <c r="W1" s="500">
        <v>22</v>
      </c>
      <c r="X1" s="500">
        <v>23</v>
      </c>
      <c r="Y1" s="500">
        <v>24</v>
      </c>
      <c r="Z1" s="500">
        <v>25</v>
      </c>
      <c r="AA1" s="500">
        <v>26</v>
      </c>
      <c r="AB1" s="500">
        <v>27</v>
      </c>
      <c r="AC1" s="500">
        <v>28</v>
      </c>
      <c r="AD1" s="500">
        <v>29</v>
      </c>
      <c r="AE1" s="500">
        <v>30</v>
      </c>
      <c r="AF1" s="500">
        <v>31</v>
      </c>
      <c r="AG1" s="500">
        <v>32</v>
      </c>
      <c r="AH1" s="500">
        <v>33</v>
      </c>
      <c r="AI1" s="500">
        <v>34</v>
      </c>
      <c r="AJ1" s="500">
        <v>35</v>
      </c>
      <c r="AK1" s="500">
        <v>36</v>
      </c>
      <c r="AL1" s="500">
        <v>37</v>
      </c>
    </row>
    <row r="2" spans="1:38" ht="14.25">
      <c r="A2" s="502">
        <v>0</v>
      </c>
      <c r="B2" s="503" t="s">
        <v>1036</v>
      </c>
      <c r="C2" s="503" t="s">
        <v>1037</v>
      </c>
      <c r="D2" s="503" t="s">
        <v>1038</v>
      </c>
      <c r="E2" s="503" t="s">
        <v>1039</v>
      </c>
      <c r="F2" s="503" t="s">
        <v>1040</v>
      </c>
      <c r="G2" s="503" t="s">
        <v>1041</v>
      </c>
      <c r="H2" s="503" t="s">
        <v>1042</v>
      </c>
      <c r="I2" s="503" t="s">
        <v>1043</v>
      </c>
      <c r="J2" s="503" t="s">
        <v>1044</v>
      </c>
      <c r="K2" s="503" t="s">
        <v>1045</v>
      </c>
      <c r="L2" s="503" t="s">
        <v>1046</v>
      </c>
      <c r="M2" s="503" t="s">
        <v>1047</v>
      </c>
      <c r="N2" s="503" t="s">
        <v>1048</v>
      </c>
      <c r="O2" s="503" t="s">
        <v>1049</v>
      </c>
      <c r="P2" s="503" t="s">
        <v>1050</v>
      </c>
      <c r="Q2" s="503" t="s">
        <v>1051</v>
      </c>
      <c r="R2" s="503" t="s">
        <v>1052</v>
      </c>
    </row>
    <row r="3" spans="1:38" ht="14.25">
      <c r="A3" s="502">
        <v>1</v>
      </c>
    </row>
    <row r="4" spans="1:38" ht="14.25">
      <c r="A4" s="502">
        <v>2</v>
      </c>
    </row>
    <row r="5" spans="1:38" ht="14.25">
      <c r="A5" s="502">
        <v>3</v>
      </c>
    </row>
    <row r="6" spans="1:38" ht="14.25">
      <c r="A6" s="502">
        <v>4</v>
      </c>
    </row>
    <row r="7" spans="1:38" ht="14.25">
      <c r="A7" s="502">
        <v>5</v>
      </c>
    </row>
    <row r="8" spans="1:38" ht="14.25">
      <c r="A8" s="502">
        <v>6</v>
      </c>
    </row>
    <row r="9" spans="1:38" ht="14.25">
      <c r="A9" s="502">
        <v>7</v>
      </c>
    </row>
    <row r="10" spans="1:38" ht="14.25">
      <c r="A10" s="502">
        <v>8</v>
      </c>
    </row>
    <row r="11" spans="1:38" ht="14.25">
      <c r="A11" s="502">
        <v>9</v>
      </c>
    </row>
    <row r="12" spans="1:38" ht="14.25">
      <c r="A12" s="502">
        <v>10</v>
      </c>
    </row>
    <row r="13" spans="1:38" ht="14.25">
      <c r="A13" s="502">
        <v>11</v>
      </c>
    </row>
    <row r="14" spans="1:38" ht="14.25">
      <c r="A14" s="502">
        <v>12</v>
      </c>
    </row>
    <row r="15" spans="1:38" ht="14.25">
      <c r="A15" s="502">
        <v>13</v>
      </c>
    </row>
    <row r="16" spans="1:38" ht="14.25">
      <c r="A16" s="502">
        <v>14</v>
      </c>
    </row>
    <row r="17" spans="1:1" ht="19.149999999999999" customHeight="1">
      <c r="A17" s="502">
        <v>15</v>
      </c>
    </row>
    <row r="18" spans="1:1" ht="19.149999999999999" customHeight="1">
      <c r="A18" s="502">
        <v>16</v>
      </c>
    </row>
    <row r="19" spans="1:1" ht="15" customHeight="1">
      <c r="A19" s="502">
        <v>17</v>
      </c>
    </row>
    <row r="20" spans="1:1" ht="16.899999999999999" customHeight="1">
      <c r="A20" s="502">
        <v>18</v>
      </c>
    </row>
    <row r="21" spans="1:1" ht="16.899999999999999" customHeight="1">
      <c r="A21" s="502">
        <v>19</v>
      </c>
    </row>
    <row r="22" spans="1:1" ht="14.25">
      <c r="A22" s="502">
        <v>20</v>
      </c>
    </row>
    <row r="23" spans="1:1" ht="14.25">
      <c r="A23" s="502">
        <v>21</v>
      </c>
    </row>
    <row r="24" spans="1:1" ht="16.899999999999999" customHeight="1">
      <c r="A24" s="502">
        <v>22</v>
      </c>
    </row>
    <row r="25" spans="1:1" ht="16.899999999999999" customHeight="1">
      <c r="A25" s="502">
        <v>23</v>
      </c>
    </row>
    <row r="26" spans="1:1" ht="16.899999999999999" customHeight="1">
      <c r="A26" s="502">
        <v>24</v>
      </c>
    </row>
    <row r="27" spans="1:1" ht="16.899999999999999" customHeight="1">
      <c r="A27" s="502">
        <v>25</v>
      </c>
    </row>
    <row r="28" spans="1:1" ht="16.899999999999999" customHeight="1">
      <c r="A28" s="502">
        <v>26</v>
      </c>
    </row>
    <row r="29" spans="1:1" ht="16.899999999999999" customHeight="1">
      <c r="A29" s="502">
        <v>27</v>
      </c>
    </row>
    <row r="30" spans="1:1" ht="16.899999999999999" customHeight="1">
      <c r="A30" s="502">
        <v>28</v>
      </c>
    </row>
    <row r="31" spans="1:1" ht="16.899999999999999" customHeight="1">
      <c r="A31" s="502">
        <v>29</v>
      </c>
    </row>
    <row r="32" spans="1:1" ht="16.899999999999999" customHeight="1">
      <c r="A32" s="502">
        <v>30</v>
      </c>
    </row>
    <row r="33" spans="1:1" ht="15" customHeight="1">
      <c r="A33" s="502">
        <v>31</v>
      </c>
    </row>
    <row r="34" spans="1:1" ht="14.25">
      <c r="A34" s="502">
        <v>32</v>
      </c>
    </row>
    <row r="35" spans="1:1" ht="14.25">
      <c r="A35" s="502">
        <v>33</v>
      </c>
    </row>
    <row r="36" spans="1:1" ht="14.25">
      <c r="A36" s="502">
        <v>34</v>
      </c>
    </row>
    <row r="37" spans="1:1" ht="14.25">
      <c r="A37" s="502">
        <v>35</v>
      </c>
    </row>
    <row r="38" spans="1:1" ht="14.25">
      <c r="A38" s="502">
        <v>36</v>
      </c>
    </row>
    <row r="39" spans="1:1" ht="14.25">
      <c r="A39" s="502">
        <v>37</v>
      </c>
    </row>
    <row r="40" spans="1:1" ht="14.25">
      <c r="A40" s="502">
        <v>38</v>
      </c>
    </row>
    <row r="41" spans="1:1" ht="14.25">
      <c r="A41" s="502">
        <v>39</v>
      </c>
    </row>
    <row r="42" spans="1:1" ht="14.25">
      <c r="A42" s="502">
        <v>40</v>
      </c>
    </row>
    <row r="43" spans="1:1" ht="14.25">
      <c r="A43" s="502">
        <v>41</v>
      </c>
    </row>
    <row r="44" spans="1:1" ht="14.25">
      <c r="A44" s="502">
        <v>42</v>
      </c>
    </row>
    <row r="45" spans="1:1" ht="14.25">
      <c r="A45" s="502">
        <v>43</v>
      </c>
    </row>
    <row r="46" spans="1:1" ht="14.25">
      <c r="A46" s="502">
        <v>44</v>
      </c>
    </row>
    <row r="47" spans="1:1" ht="14.25">
      <c r="A47" s="502">
        <v>45</v>
      </c>
    </row>
    <row r="48" spans="1:1" ht="14.25">
      <c r="A48" s="502">
        <v>46</v>
      </c>
    </row>
    <row r="49" spans="1:1" ht="14.25">
      <c r="A49" s="502">
        <v>47</v>
      </c>
    </row>
    <row r="50" spans="1:1" ht="14.25">
      <c r="A50" s="502">
        <v>48</v>
      </c>
    </row>
    <row r="51" spans="1:1" ht="14.25">
      <c r="A51" s="502">
        <v>49</v>
      </c>
    </row>
    <row r="52" spans="1:1" ht="14.25">
      <c r="A52" s="502">
        <v>50</v>
      </c>
    </row>
    <row r="53" spans="1:1" ht="14.25">
      <c r="A53" s="502">
        <v>51</v>
      </c>
    </row>
    <row r="54" spans="1:1" ht="14.25">
      <c r="A54" s="502">
        <v>52</v>
      </c>
    </row>
    <row r="55" spans="1:1" ht="14.25">
      <c r="A55" s="502">
        <v>53</v>
      </c>
    </row>
    <row r="56" spans="1:1" ht="14.25">
      <c r="A56" s="502">
        <v>54</v>
      </c>
    </row>
    <row r="57" spans="1:1" ht="14.25">
      <c r="A57" s="502">
        <v>55</v>
      </c>
    </row>
    <row r="58" spans="1:1" ht="14.25">
      <c r="A58" s="502">
        <v>56</v>
      </c>
    </row>
    <row r="59" spans="1:1" ht="14.25">
      <c r="A59" s="502">
        <v>57</v>
      </c>
    </row>
    <row r="60" spans="1:1" ht="14.25">
      <c r="A60" s="502">
        <v>58</v>
      </c>
    </row>
    <row r="61" spans="1:1" ht="14.25">
      <c r="A61" s="502">
        <v>59</v>
      </c>
    </row>
    <row r="62" spans="1:1" ht="14.25">
      <c r="A62" s="502">
        <v>60</v>
      </c>
    </row>
    <row r="63" spans="1:1" ht="14.25">
      <c r="A63" s="502">
        <v>61</v>
      </c>
    </row>
  </sheetData>
  <phoneticPr fontId="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E2C6-CD93-4725-A9C6-1E8282E22F41}">
  <sheetPr codeName="Sheet28"/>
  <dimension ref="A1:AL63"/>
  <sheetViews>
    <sheetView workbookViewId="0"/>
  </sheetViews>
  <sheetFormatPr defaultColWidth="9" defaultRowHeight="12.75"/>
  <cols>
    <col min="1" max="1" width="14" style="39" customWidth="1"/>
    <col min="2" max="21" width="14.140625" style="39" customWidth="1"/>
    <col min="22" max="27" width="9" style="39"/>
    <col min="28" max="29" width="9" style="39" customWidth="1"/>
    <col min="30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14.25">
      <c r="A2" s="54">
        <v>0</v>
      </c>
      <c r="B2" s="520" t="s">
        <v>1128</v>
      </c>
      <c r="C2" s="520" t="s">
        <v>1134</v>
      </c>
      <c r="D2" s="520" t="s">
        <v>350</v>
      </c>
      <c r="E2" s="520" t="s">
        <v>1129</v>
      </c>
      <c r="F2" s="520" t="s">
        <v>351</v>
      </c>
      <c r="G2" s="520" t="s">
        <v>1080</v>
      </c>
      <c r="H2" s="520" t="s">
        <v>105</v>
      </c>
      <c r="I2" s="520" t="s">
        <v>1130</v>
      </c>
      <c r="J2" s="520" t="s">
        <v>368</v>
      </c>
      <c r="K2" s="520" t="s">
        <v>1132</v>
      </c>
      <c r="L2" s="520" t="s">
        <v>1133</v>
      </c>
      <c r="M2" s="520" t="s">
        <v>1131</v>
      </c>
      <c r="N2" s="520" t="s">
        <v>1136</v>
      </c>
      <c r="O2" s="520" t="s">
        <v>1137</v>
      </c>
      <c r="P2" s="520" t="s">
        <v>1138</v>
      </c>
      <c r="Q2" s="520" t="s">
        <v>1139</v>
      </c>
      <c r="R2" s="520" t="s">
        <v>1135</v>
      </c>
      <c r="S2" s="520" t="s">
        <v>1140</v>
      </c>
      <c r="T2" s="520" t="s">
        <v>1141</v>
      </c>
      <c r="U2" s="520" t="s">
        <v>1142</v>
      </c>
    </row>
    <row r="3" spans="1:38" ht="14.25">
      <c r="A3" s="55">
        <v>1</v>
      </c>
    </row>
    <row r="4" spans="1:38" ht="14.25">
      <c r="A4" s="55">
        <v>2</v>
      </c>
    </row>
    <row r="5" spans="1:38" ht="14.25">
      <c r="A5" s="55">
        <v>3</v>
      </c>
    </row>
    <row r="6" spans="1:38" ht="14.25">
      <c r="A6" s="55">
        <v>4</v>
      </c>
    </row>
    <row r="7" spans="1:38" ht="14.25">
      <c r="A7" s="55">
        <v>5</v>
      </c>
    </row>
    <row r="8" spans="1:38" ht="14.25">
      <c r="A8" s="55">
        <v>6</v>
      </c>
    </row>
    <row r="9" spans="1:38" ht="14.25">
      <c r="A9" s="55">
        <v>7</v>
      </c>
    </row>
    <row r="10" spans="1:38" ht="15" customHeight="1">
      <c r="A10" s="55">
        <v>8</v>
      </c>
    </row>
    <row r="11" spans="1:38" ht="19.149999999999999" customHeight="1">
      <c r="A11" s="55">
        <v>9</v>
      </c>
    </row>
    <row r="12" spans="1:38" ht="14.25">
      <c r="A12" s="55">
        <v>10</v>
      </c>
    </row>
    <row r="13" spans="1:38" ht="19.149999999999999" customHeight="1">
      <c r="A13" s="55">
        <v>11</v>
      </c>
    </row>
    <row r="14" spans="1:38" ht="14.25">
      <c r="A14" s="55">
        <v>12</v>
      </c>
    </row>
    <row r="15" spans="1:38" ht="14.25">
      <c r="A15" s="55">
        <v>13</v>
      </c>
    </row>
    <row r="16" spans="1:38" ht="19.149999999999999" customHeight="1">
      <c r="A16" s="55">
        <v>14</v>
      </c>
    </row>
    <row r="17" spans="1:1" ht="19.149999999999999" customHeight="1">
      <c r="A17" s="55">
        <v>15</v>
      </c>
    </row>
    <row r="18" spans="1:1" ht="19.149999999999999" customHeight="1">
      <c r="A18" s="55">
        <v>16</v>
      </c>
    </row>
    <row r="19" spans="1:1" ht="19.149999999999999" customHeight="1">
      <c r="A19" s="55">
        <v>17</v>
      </c>
    </row>
    <row r="20" spans="1:1" ht="16.899999999999999" customHeight="1">
      <c r="A20" s="55">
        <v>18</v>
      </c>
    </row>
    <row r="21" spans="1:1" ht="16.899999999999999" customHeight="1">
      <c r="A21" s="55">
        <v>19</v>
      </c>
    </row>
    <row r="22" spans="1:1" ht="16.899999999999999" customHeight="1">
      <c r="A22" s="55">
        <v>20</v>
      </c>
    </row>
    <row r="23" spans="1:1" ht="16.899999999999999" customHeight="1">
      <c r="A23" s="55">
        <v>21</v>
      </c>
    </row>
    <row r="24" spans="1:1" ht="16.899999999999999" customHeight="1">
      <c r="A24" s="55">
        <v>22</v>
      </c>
    </row>
    <row r="25" spans="1:1" ht="16.899999999999999" customHeight="1">
      <c r="A25" s="55">
        <v>23</v>
      </c>
    </row>
    <row r="26" spans="1:1" ht="16.899999999999999" customHeight="1">
      <c r="A26" s="55">
        <v>24</v>
      </c>
    </row>
    <row r="27" spans="1:1" ht="16.899999999999999" customHeight="1">
      <c r="A27" s="55">
        <v>25</v>
      </c>
    </row>
    <row r="28" spans="1:1" ht="16.899999999999999" customHeight="1">
      <c r="A28" s="55">
        <v>26</v>
      </c>
    </row>
    <row r="29" spans="1:1" ht="16.899999999999999" customHeight="1">
      <c r="A29" s="55">
        <v>27</v>
      </c>
    </row>
    <row r="30" spans="1:1" ht="16.899999999999999" customHeight="1">
      <c r="A30" s="55">
        <v>28</v>
      </c>
    </row>
    <row r="31" spans="1:1" ht="16.899999999999999" customHeight="1">
      <c r="A31" s="55">
        <v>29</v>
      </c>
    </row>
    <row r="32" spans="1:1" ht="16.899999999999999" customHeight="1">
      <c r="A32" s="55">
        <v>30</v>
      </c>
    </row>
    <row r="33" spans="1:1" ht="16.899999999999999" customHeight="1">
      <c r="A33" s="55">
        <v>31</v>
      </c>
    </row>
    <row r="34" spans="1:1" ht="14.25">
      <c r="A34" s="55">
        <v>32</v>
      </c>
    </row>
    <row r="35" spans="1:1" ht="14.25">
      <c r="A35" s="55">
        <v>33</v>
      </c>
    </row>
    <row r="36" spans="1:1" ht="14.25">
      <c r="A36" s="55">
        <v>34</v>
      </c>
    </row>
    <row r="37" spans="1:1" ht="14.25">
      <c r="A37" s="55">
        <v>35</v>
      </c>
    </row>
    <row r="38" spans="1:1" ht="14.25">
      <c r="A38" s="55">
        <v>36</v>
      </c>
    </row>
    <row r="39" spans="1:1" ht="14.25">
      <c r="A39" s="55">
        <v>37</v>
      </c>
    </row>
    <row r="40" spans="1:1" ht="14.25">
      <c r="A40" s="55">
        <v>38</v>
      </c>
    </row>
    <row r="41" spans="1:1" ht="14.25">
      <c r="A41" s="55">
        <v>39</v>
      </c>
    </row>
    <row r="42" spans="1:1" ht="14.25">
      <c r="A42" s="55">
        <v>40</v>
      </c>
    </row>
    <row r="43" spans="1:1" ht="14.25">
      <c r="A43" s="55">
        <v>41</v>
      </c>
    </row>
    <row r="44" spans="1:1" ht="14.25">
      <c r="A44" s="55">
        <v>42</v>
      </c>
    </row>
    <row r="45" spans="1:1" ht="14.25">
      <c r="A45" s="55">
        <v>43</v>
      </c>
    </row>
    <row r="46" spans="1:1" ht="14.25">
      <c r="A46" s="55">
        <v>44</v>
      </c>
    </row>
    <row r="47" spans="1:1" ht="14.25">
      <c r="A47" s="55">
        <v>45</v>
      </c>
    </row>
    <row r="48" spans="1:1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phoneticPr fontId="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83"/>
  <sheetViews>
    <sheetView workbookViewId="0">
      <selection activeCell="D17" sqref="D17"/>
    </sheetView>
  </sheetViews>
  <sheetFormatPr defaultColWidth="9" defaultRowHeight="16.5" customHeight="1"/>
  <cols>
    <col min="1" max="1" width="14" style="199" customWidth="1"/>
    <col min="2" max="2" width="38.140625" style="199" bestFit="1" customWidth="1"/>
    <col min="3" max="3" width="32.5703125" style="199" bestFit="1" customWidth="1"/>
    <col min="4" max="4" width="49" style="199" bestFit="1" customWidth="1"/>
    <col min="5" max="5" width="18.140625" style="199" bestFit="1" customWidth="1"/>
    <col min="6" max="6" width="4" style="199" customWidth="1"/>
    <col min="7" max="7" width="2.7109375" style="199" customWidth="1"/>
    <col min="8" max="12" width="5.140625" style="199" customWidth="1"/>
    <col min="13" max="16" width="4.7109375" style="199" customWidth="1"/>
    <col min="17" max="25" width="2.85546875" style="199" customWidth="1"/>
    <col min="26" max="30" width="3.42578125" style="199" bestFit="1" customWidth="1"/>
    <col min="31" max="31" width="16.42578125" style="199" bestFit="1" customWidth="1"/>
    <col min="32" max="16384" width="9" style="199"/>
  </cols>
  <sheetData>
    <row r="1" spans="1:38" ht="16.5" customHeight="1">
      <c r="A1" s="52" t="s">
        <v>101</v>
      </c>
      <c r="B1" s="205">
        <v>1</v>
      </c>
      <c r="C1" s="205">
        <v>2</v>
      </c>
      <c r="D1" s="205">
        <v>3</v>
      </c>
      <c r="E1" s="205">
        <v>4</v>
      </c>
      <c r="F1" s="205">
        <v>5</v>
      </c>
      <c r="G1" s="205">
        <v>6</v>
      </c>
      <c r="H1" s="205">
        <v>7</v>
      </c>
      <c r="I1" s="205">
        <v>8</v>
      </c>
      <c r="J1" s="205">
        <v>9</v>
      </c>
      <c r="K1" s="205">
        <v>10</v>
      </c>
      <c r="L1" s="205">
        <v>11</v>
      </c>
      <c r="M1" s="205">
        <v>12</v>
      </c>
      <c r="N1" s="205">
        <v>13</v>
      </c>
      <c r="O1" s="205">
        <v>14</v>
      </c>
      <c r="P1" s="205">
        <v>15</v>
      </c>
      <c r="Q1" s="205">
        <v>16</v>
      </c>
      <c r="R1" s="205">
        <v>17</v>
      </c>
      <c r="S1" s="205">
        <v>18</v>
      </c>
      <c r="T1" s="205">
        <v>19</v>
      </c>
      <c r="U1" s="205">
        <v>20</v>
      </c>
      <c r="V1" s="205">
        <v>21</v>
      </c>
      <c r="W1" s="205">
        <v>22</v>
      </c>
      <c r="X1" s="205">
        <v>23</v>
      </c>
      <c r="Y1" s="205">
        <v>24</v>
      </c>
      <c r="Z1" s="205">
        <v>25</v>
      </c>
      <c r="AA1" s="205">
        <v>26</v>
      </c>
      <c r="AB1" s="205">
        <v>27</v>
      </c>
      <c r="AC1" s="205">
        <v>28</v>
      </c>
      <c r="AD1" s="205">
        <v>29</v>
      </c>
      <c r="AE1" s="205">
        <v>30</v>
      </c>
      <c r="AF1" s="205">
        <v>31</v>
      </c>
      <c r="AG1" s="205">
        <v>32</v>
      </c>
      <c r="AH1" s="205">
        <v>33</v>
      </c>
      <c r="AI1" s="205">
        <v>34</v>
      </c>
      <c r="AJ1" s="205">
        <v>35</v>
      </c>
      <c r="AK1" s="205">
        <v>36</v>
      </c>
      <c r="AL1" s="205">
        <v>37</v>
      </c>
    </row>
    <row r="2" spans="1:38" ht="25.5" customHeight="1">
      <c r="A2" s="54">
        <v>0</v>
      </c>
      <c r="B2" s="1463" t="s">
        <v>615</v>
      </c>
      <c r="C2" s="1464"/>
      <c r="D2" s="1464"/>
      <c r="E2" s="1464"/>
      <c r="H2" s="1433" t="s">
        <v>616</v>
      </c>
      <c r="I2" s="1433"/>
      <c r="J2" s="1433"/>
      <c r="K2" s="1433"/>
      <c r="L2" s="1433"/>
      <c r="M2" s="1433"/>
      <c r="N2" s="1433"/>
      <c r="O2" s="1433"/>
      <c r="P2" s="1433"/>
      <c r="Q2" s="1433"/>
      <c r="R2" s="1433"/>
      <c r="S2" s="1433"/>
      <c r="T2" s="1433"/>
      <c r="U2" s="1433"/>
      <c r="V2" s="1433"/>
      <c r="W2" s="1433"/>
      <c r="X2" s="1433"/>
      <c r="Y2" s="1433"/>
      <c r="Z2" s="1433"/>
      <c r="AA2" s="1433"/>
      <c r="AB2" s="1433"/>
      <c r="AC2" s="1433"/>
      <c r="AD2" s="1433"/>
      <c r="AE2" s="1433"/>
    </row>
    <row r="3" spans="1:38" ht="16.5" customHeight="1" thickBot="1">
      <c r="A3" s="55">
        <v>1</v>
      </c>
      <c r="B3" s="254" t="s">
        <v>617</v>
      </c>
      <c r="C3" s="254" t="s">
        <v>618</v>
      </c>
      <c r="D3" s="1483" t="s">
        <v>619</v>
      </c>
      <c r="E3" s="1484"/>
      <c r="H3" s="1434" t="s">
        <v>620</v>
      </c>
      <c r="I3" s="1434"/>
      <c r="J3" s="1434"/>
      <c r="K3" s="1434"/>
      <c r="L3" s="1434"/>
      <c r="M3" s="1434"/>
      <c r="N3" s="1434"/>
      <c r="O3" s="1434"/>
      <c r="P3" s="1434"/>
      <c r="Q3" s="1434"/>
      <c r="R3" s="1434"/>
      <c r="S3" s="1434"/>
      <c r="T3" s="1435"/>
      <c r="U3" s="1436" t="s">
        <v>621</v>
      </c>
      <c r="V3" s="1437"/>
      <c r="W3" s="1437"/>
      <c r="X3" s="1437"/>
      <c r="Y3" s="1437"/>
      <c r="Z3" s="1437"/>
      <c r="AA3" s="1437"/>
      <c r="AB3" s="1438"/>
      <c r="AC3" s="1438"/>
      <c r="AD3" s="1438"/>
      <c r="AE3" s="1438"/>
    </row>
    <row r="4" spans="1:38" ht="16.5" customHeight="1" thickTop="1">
      <c r="A4" s="55">
        <v>2</v>
      </c>
      <c r="B4" s="1430" t="s">
        <v>622</v>
      </c>
      <c r="C4" s="215" t="s">
        <v>480</v>
      </c>
      <c r="D4" s="203" t="e">
        <f>#REF!</f>
        <v>#REF!</v>
      </c>
      <c r="E4" s="200"/>
      <c r="H4" s="1439"/>
      <c r="I4" s="1439"/>
      <c r="J4" s="1439"/>
      <c r="K4" s="1439"/>
      <c r="L4" s="1439"/>
      <c r="M4" s="1439"/>
      <c r="N4" s="1439"/>
      <c r="O4" s="1439"/>
      <c r="P4" s="1439"/>
      <c r="Q4" s="1439"/>
      <c r="R4" s="1439"/>
      <c r="S4" s="1439"/>
      <c r="T4" s="1439"/>
      <c r="U4" s="1439"/>
      <c r="V4" s="1439"/>
      <c r="W4" s="1439"/>
      <c r="X4" s="1439"/>
      <c r="Y4" s="1439"/>
      <c r="Z4" s="1439"/>
      <c r="AA4" s="1439"/>
      <c r="AB4" s="1439"/>
      <c r="AC4" s="1439"/>
      <c r="AD4" s="1439"/>
      <c r="AE4" s="1439"/>
    </row>
    <row r="5" spans="1:38" ht="16.5" customHeight="1">
      <c r="A5" s="55">
        <v>3</v>
      </c>
      <c r="B5" s="1431"/>
      <c r="C5" s="216" t="s">
        <v>481</v>
      </c>
      <c r="D5" s="203" t="e">
        <f>#REF!</f>
        <v>#REF!</v>
      </c>
      <c r="E5" s="200"/>
      <c r="H5" s="1440" t="s">
        <v>623</v>
      </c>
      <c r="I5" s="1440"/>
      <c r="J5" s="1440"/>
      <c r="K5" s="1440"/>
      <c r="L5" s="1441"/>
      <c r="M5" s="1442" t="e">
        <f>D4</f>
        <v>#REF!</v>
      </c>
      <c r="N5" s="1443"/>
      <c r="O5" s="1443"/>
      <c r="P5" s="1443"/>
      <c r="Q5" s="1443"/>
      <c r="R5" s="1443"/>
      <c r="S5" s="1443"/>
      <c r="T5" s="1444"/>
      <c r="U5" s="1445" t="s">
        <v>624</v>
      </c>
      <c r="V5" s="1440"/>
      <c r="W5" s="1440"/>
      <c r="X5" s="1440"/>
      <c r="Y5" s="1440"/>
      <c r="Z5" s="1440"/>
      <c r="AA5" s="1441"/>
      <c r="AB5" s="1442" t="e">
        <f>D5</f>
        <v>#REF!</v>
      </c>
      <c r="AC5" s="1443"/>
      <c r="AD5" s="1443"/>
      <c r="AE5" s="1443"/>
    </row>
    <row r="6" spans="1:38" ht="31.5">
      <c r="A6" s="55">
        <v>4</v>
      </c>
      <c r="B6" s="1431"/>
      <c r="C6" s="217" t="s">
        <v>482</v>
      </c>
      <c r="D6" s="203" t="e">
        <f>#REF! &amp; "(" &amp;#REF! &amp; ")"</f>
        <v>#REF!</v>
      </c>
      <c r="E6" s="200"/>
      <c r="H6" s="1446" t="s">
        <v>625</v>
      </c>
      <c r="I6" s="1446"/>
      <c r="J6" s="1446"/>
      <c r="K6" s="1446"/>
      <c r="L6" s="1447"/>
      <c r="M6" s="1448" t="e">
        <f>D6</f>
        <v>#REF!</v>
      </c>
      <c r="N6" s="1449"/>
      <c r="O6" s="1449"/>
      <c r="P6" s="1449"/>
      <c r="Q6" s="1449"/>
      <c r="R6" s="1449"/>
      <c r="S6" s="1449"/>
      <c r="T6" s="1450"/>
      <c r="U6" s="1454" t="s">
        <v>626</v>
      </c>
      <c r="V6" s="1446"/>
      <c r="W6" s="1446"/>
      <c r="X6" s="1446"/>
      <c r="Y6" s="1446"/>
      <c r="Z6" s="1446"/>
      <c r="AA6" s="1447"/>
      <c r="AB6" s="1448" t="e">
        <f>D7</f>
        <v>#REF!</v>
      </c>
      <c r="AC6" s="1449"/>
      <c r="AD6" s="1449"/>
      <c r="AE6" s="1449"/>
    </row>
    <row r="7" spans="1:38" ht="16.5" customHeight="1">
      <c r="A7" s="55">
        <v>5</v>
      </c>
      <c r="B7" s="1431"/>
      <c r="C7" s="216" t="s">
        <v>483</v>
      </c>
      <c r="D7" s="203" t="e">
        <f>#REF!</f>
        <v>#REF!</v>
      </c>
      <c r="E7" s="200"/>
      <c r="H7" s="1455" t="s">
        <v>627</v>
      </c>
      <c r="I7" s="1455"/>
      <c r="J7" s="1455"/>
      <c r="K7" s="1455"/>
      <c r="L7" s="1456"/>
      <c r="M7" s="1451"/>
      <c r="N7" s="1452"/>
      <c r="O7" s="1452"/>
      <c r="P7" s="1452"/>
      <c r="Q7" s="1452"/>
      <c r="R7" s="1452"/>
      <c r="S7" s="1452"/>
      <c r="T7" s="1453"/>
      <c r="U7" s="1457" t="s">
        <v>628</v>
      </c>
      <c r="V7" s="1455"/>
      <c r="W7" s="1455"/>
      <c r="X7" s="1455"/>
      <c r="Y7" s="1455"/>
      <c r="Z7" s="1455"/>
      <c r="AA7" s="1456"/>
      <c r="AB7" s="1451"/>
      <c r="AC7" s="1452"/>
      <c r="AD7" s="1452"/>
      <c r="AE7" s="1452"/>
    </row>
    <row r="8" spans="1:38" ht="16.5" customHeight="1">
      <c r="A8" s="55">
        <v>6</v>
      </c>
      <c r="B8" s="1431"/>
      <c r="C8" s="216" t="s">
        <v>484</v>
      </c>
      <c r="D8" s="203" t="e">
        <f>#REF!</f>
        <v>#REF!</v>
      </c>
      <c r="E8" s="200"/>
      <c r="H8" s="1458" t="s">
        <v>629</v>
      </c>
      <c r="I8" s="1458"/>
      <c r="J8" s="1458"/>
      <c r="K8" s="1458"/>
      <c r="L8" s="1459"/>
      <c r="M8" s="1418" t="e">
        <f>D8</f>
        <v>#REF!</v>
      </c>
      <c r="N8" s="1415"/>
      <c r="O8" s="1415"/>
      <c r="P8" s="1415"/>
      <c r="Q8" s="1415"/>
      <c r="R8" s="1415"/>
      <c r="S8" s="1415"/>
      <c r="T8" s="1415"/>
      <c r="U8" s="1415"/>
      <c r="V8" s="1415"/>
      <c r="W8" s="1415"/>
      <c r="X8" s="1415"/>
      <c r="Y8" s="1415"/>
      <c r="Z8" s="1415"/>
      <c r="AA8" s="1415"/>
      <c r="AB8" s="1415"/>
      <c r="AC8" s="1415"/>
      <c r="AD8" s="1415"/>
      <c r="AE8" s="1415"/>
      <c r="AF8" s="198" t="s">
        <v>630</v>
      </c>
    </row>
    <row r="9" spans="1:38" ht="16.5" customHeight="1">
      <c r="A9" s="55">
        <v>7</v>
      </c>
      <c r="B9" s="1431"/>
      <c r="C9" s="216" t="s">
        <v>485</v>
      </c>
      <c r="D9" s="203" t="e">
        <f>#REF!</f>
        <v>#REF!</v>
      </c>
      <c r="E9" s="200"/>
      <c r="H9" s="1446" t="s">
        <v>631</v>
      </c>
      <c r="I9" s="1446"/>
      <c r="J9" s="1446"/>
      <c r="K9" s="1446"/>
      <c r="L9" s="1447"/>
      <c r="M9" s="1462" t="s">
        <v>632</v>
      </c>
      <c r="N9" s="1459"/>
      <c r="O9" s="1418" t="e">
        <f>D9</f>
        <v>#REF!</v>
      </c>
      <c r="P9" s="1415"/>
      <c r="Q9" s="1415"/>
      <c r="R9" s="1415"/>
      <c r="S9" s="1415"/>
      <c r="T9" s="1415"/>
      <c r="U9" s="1415"/>
      <c r="V9" s="1415"/>
      <c r="W9" s="1416"/>
      <c r="X9" s="1462" t="s">
        <v>633</v>
      </c>
      <c r="Y9" s="1458"/>
      <c r="Z9" s="1458"/>
      <c r="AA9" s="1458"/>
      <c r="AB9" s="1459"/>
      <c r="AC9" s="1418" t="e">
        <f>D10</f>
        <v>#REF!</v>
      </c>
      <c r="AD9" s="1415"/>
      <c r="AE9" s="1415"/>
    </row>
    <row r="10" spans="1:38" ht="16.5" customHeight="1">
      <c r="A10" s="55">
        <v>8</v>
      </c>
      <c r="B10" s="1431"/>
      <c r="C10" s="216" t="s">
        <v>486</v>
      </c>
      <c r="D10" s="203" t="e">
        <f>#REF!</f>
        <v>#REF!</v>
      </c>
      <c r="E10" s="200"/>
      <c r="F10" s="198"/>
      <c r="H10" s="1460"/>
      <c r="I10" s="1460"/>
      <c r="J10" s="1460"/>
      <c r="K10" s="1460"/>
      <c r="L10" s="1461"/>
      <c r="M10" s="1467" t="s">
        <v>634</v>
      </c>
      <c r="N10" s="1468"/>
      <c r="O10" s="1469" t="e">
        <f>D11</f>
        <v>#REF!</v>
      </c>
      <c r="P10" s="1470"/>
      <c r="Q10" s="1470"/>
      <c r="R10" s="1470"/>
      <c r="S10" s="1470"/>
      <c r="T10" s="1470"/>
      <c r="U10" s="1470"/>
      <c r="V10" s="1470"/>
      <c r="W10" s="1471"/>
      <c r="X10" s="1467" t="s">
        <v>635</v>
      </c>
      <c r="Y10" s="1472"/>
      <c r="Z10" s="1472"/>
      <c r="AA10" s="1472"/>
      <c r="AB10" s="1468"/>
      <c r="AC10" s="1473" t="e">
        <f>D12</f>
        <v>#REF!</v>
      </c>
      <c r="AD10" s="1474"/>
      <c r="AE10" s="1474"/>
    </row>
    <row r="11" spans="1:38" ht="16.5" customHeight="1">
      <c r="A11" s="55">
        <v>9</v>
      </c>
      <c r="B11" s="1431"/>
      <c r="C11" s="216" t="s">
        <v>487</v>
      </c>
      <c r="D11" s="203" t="e">
        <f>#REF!</f>
        <v>#REF!</v>
      </c>
      <c r="E11" s="200"/>
      <c r="H11" s="1475"/>
      <c r="I11" s="1475"/>
      <c r="J11" s="1475"/>
      <c r="K11" s="1475"/>
      <c r="L11" s="1475"/>
      <c r="M11" s="1475"/>
      <c r="N11" s="1475"/>
      <c r="O11" s="1475"/>
      <c r="P11" s="1475"/>
      <c r="Q11" s="1475"/>
      <c r="R11" s="1475"/>
      <c r="S11" s="1475"/>
      <c r="T11" s="1475"/>
      <c r="U11" s="1475"/>
      <c r="V11" s="1475"/>
      <c r="W11" s="1475"/>
      <c r="X11" s="1475"/>
      <c r="Y11" s="1475"/>
      <c r="Z11" s="1475"/>
      <c r="AA11" s="1475"/>
      <c r="AB11" s="1475"/>
      <c r="AC11" s="1475"/>
      <c r="AD11" s="1475"/>
      <c r="AE11" s="1475"/>
    </row>
    <row r="12" spans="1:38" ht="16.5" customHeight="1">
      <c r="A12" s="55">
        <v>10</v>
      </c>
      <c r="B12" s="1431"/>
      <c r="C12" s="216" t="s">
        <v>488</v>
      </c>
      <c r="D12" s="203" t="e">
        <f>#REF!</f>
        <v>#REF!</v>
      </c>
      <c r="E12" s="200"/>
      <c r="H12" s="1476" t="s">
        <v>636</v>
      </c>
      <c r="I12" s="1476"/>
      <c r="J12" s="1476"/>
      <c r="K12" s="1476"/>
      <c r="L12" s="1477"/>
      <c r="M12" s="1478"/>
      <c r="N12" s="1479"/>
      <c r="O12" s="1479"/>
      <c r="P12" s="1479"/>
      <c r="Q12" s="1479"/>
      <c r="R12" s="1479"/>
      <c r="S12" s="1479"/>
      <c r="T12" s="1479"/>
      <c r="U12" s="1479"/>
      <c r="V12" s="1479"/>
      <c r="W12" s="1479"/>
      <c r="X12" s="1479"/>
      <c r="Y12" s="1479"/>
      <c r="Z12" s="1479"/>
      <c r="AA12" s="1479"/>
      <c r="AB12" s="1479"/>
      <c r="AC12" s="1479"/>
      <c r="AD12" s="1479"/>
      <c r="AE12" s="1479"/>
    </row>
    <row r="13" spans="1:38" ht="16.5" customHeight="1">
      <c r="A13" s="55">
        <v>11</v>
      </c>
      <c r="B13" s="1431"/>
      <c r="C13" s="216" t="s">
        <v>489</v>
      </c>
      <c r="D13" s="196" t="e">
        <f>#REF!</f>
        <v>#REF!</v>
      </c>
      <c r="E13" s="202"/>
      <c r="H13" s="1480" t="s">
        <v>637</v>
      </c>
      <c r="I13" s="1480"/>
      <c r="J13" s="1480"/>
      <c r="K13" s="1480"/>
      <c r="L13" s="1481"/>
      <c r="M13" s="1482" t="s">
        <v>638</v>
      </c>
      <c r="N13" s="1480"/>
      <c r="O13" s="1480"/>
      <c r="P13" s="1481"/>
      <c r="Q13" s="1482" t="s">
        <v>639</v>
      </c>
      <c r="R13" s="1480"/>
      <c r="S13" s="1480"/>
      <c r="T13" s="1480"/>
      <c r="U13" s="1480"/>
      <c r="V13" s="1480"/>
      <c r="W13" s="1480"/>
      <c r="X13" s="1480"/>
      <c r="Y13" s="1480"/>
      <c r="Z13" s="1480"/>
      <c r="AA13" s="1480"/>
      <c r="AB13" s="1480"/>
      <c r="AC13" s="1480"/>
      <c r="AD13" s="1481"/>
      <c r="AE13" s="255" t="s">
        <v>640</v>
      </c>
    </row>
    <row r="14" spans="1:38" ht="16.5" customHeight="1">
      <c r="A14" s="55">
        <v>12</v>
      </c>
      <c r="B14" s="1431"/>
      <c r="C14" s="218" t="s">
        <v>490</v>
      </c>
      <c r="D14" s="203" t="e">
        <f>#REF!</f>
        <v>#REF!</v>
      </c>
      <c r="E14" s="200"/>
      <c r="H14" s="1428" t="s">
        <v>641</v>
      </c>
      <c r="I14" s="1428"/>
      <c r="J14" s="1428"/>
      <c r="K14" s="1428"/>
      <c r="L14" s="1429"/>
      <c r="M14" s="1427" t="s">
        <v>642</v>
      </c>
      <c r="N14" s="1428"/>
      <c r="O14" s="1428"/>
      <c r="P14" s="1429"/>
      <c r="Q14" s="1427" t="s">
        <v>643</v>
      </c>
      <c r="R14" s="1428"/>
      <c r="S14" s="1428"/>
      <c r="T14" s="1428"/>
      <c r="U14" s="1428"/>
      <c r="V14" s="1428"/>
      <c r="W14" s="1428"/>
      <c r="X14" s="1428"/>
      <c r="Y14" s="1428"/>
      <c r="Z14" s="1428"/>
      <c r="AA14" s="1428"/>
      <c r="AB14" s="1428"/>
      <c r="AC14" s="1428"/>
      <c r="AD14" s="1429"/>
      <c r="AE14" s="256" t="s">
        <v>644</v>
      </c>
    </row>
    <row r="15" spans="1:38" ht="16.5" customHeight="1">
      <c r="A15" s="55">
        <v>13</v>
      </c>
      <c r="B15" s="1431"/>
      <c r="C15" s="216" t="s">
        <v>491</v>
      </c>
      <c r="D15" s="203" t="e">
        <f>#REF!</f>
        <v>#REF!</v>
      </c>
      <c r="E15" s="200"/>
      <c r="H15" s="1415" t="str">
        <f>B21</f>
        <v>이민수(900699-1254973)</v>
      </c>
      <c r="I15" s="1415"/>
      <c r="J15" s="1415"/>
      <c r="K15" s="1415"/>
      <c r="L15" s="1416"/>
      <c r="M15" s="1417" t="e">
        <f>C21</f>
        <v>#REF!</v>
      </c>
      <c r="N15" s="1415"/>
      <c r="O15" s="1415"/>
      <c r="P15" s="1416"/>
      <c r="Q15" s="1418" t="e">
        <f>D21</f>
        <v>#REF!</v>
      </c>
      <c r="R15" s="1415"/>
      <c r="S15" s="1415"/>
      <c r="T15" s="1415"/>
      <c r="U15" s="1415"/>
      <c r="V15" s="1415"/>
      <c r="W15" s="1415"/>
      <c r="X15" s="1415"/>
      <c r="Y15" s="1415"/>
      <c r="Z15" s="1415"/>
      <c r="AA15" s="1415"/>
      <c r="AB15" s="1415"/>
      <c r="AC15" s="1415"/>
      <c r="AD15" s="1416"/>
      <c r="AE15" s="237" t="str">
        <f>E21</f>
        <v>기입</v>
      </c>
      <c r="AH15" s="199" t="s">
        <v>475</v>
      </c>
    </row>
    <row r="16" spans="1:38" ht="16.5" customHeight="1" thickBot="1">
      <c r="A16" s="55">
        <v>14</v>
      </c>
      <c r="B16" s="1432"/>
      <c r="C16" s="219" t="s">
        <v>492</v>
      </c>
      <c r="D16" s="204" t="e">
        <f>#REF!</f>
        <v>#REF!</v>
      </c>
      <c r="E16" s="201"/>
      <c r="H16" s="1415" t="str">
        <f t="shared" ref="H16:H24" si="0">B22</f>
        <v>정지우(950499-2978157)</v>
      </c>
      <c r="I16" s="1415"/>
      <c r="J16" s="1415"/>
      <c r="K16" s="1415"/>
      <c r="L16" s="1416"/>
      <c r="M16" s="1417" t="e">
        <f t="shared" ref="M16:M24" si="1">C22</f>
        <v>#REF!</v>
      </c>
      <c r="N16" s="1415"/>
      <c r="O16" s="1415"/>
      <c r="P16" s="1416"/>
      <c r="Q16" s="1418" t="e">
        <f t="shared" ref="Q16:Q24" si="2">D22</f>
        <v>#REF!</v>
      </c>
      <c r="R16" s="1415"/>
      <c r="S16" s="1415"/>
      <c r="T16" s="1415"/>
      <c r="U16" s="1415"/>
      <c r="V16" s="1415"/>
      <c r="W16" s="1415"/>
      <c r="X16" s="1415"/>
      <c r="Y16" s="1415"/>
      <c r="Z16" s="1415"/>
      <c r="AA16" s="1415"/>
      <c r="AB16" s="1415"/>
      <c r="AC16" s="1415"/>
      <c r="AD16" s="1416"/>
      <c r="AE16" s="237" t="str">
        <f t="shared" ref="AE16:AE24" si="3">E22</f>
        <v>기입</v>
      </c>
    </row>
    <row r="17" spans="1:31" ht="16.5" customHeight="1">
      <c r="A17" s="55">
        <v>15</v>
      </c>
      <c r="H17" s="1415" t="str">
        <f t="shared" si="0"/>
        <v>박지우(960399-2963832)</v>
      </c>
      <c r="I17" s="1415"/>
      <c r="J17" s="1415"/>
      <c r="K17" s="1415"/>
      <c r="L17" s="1416"/>
      <c r="M17" s="1417" t="e">
        <f t="shared" si="1"/>
        <v>#REF!</v>
      </c>
      <c r="N17" s="1415"/>
      <c r="O17" s="1415"/>
      <c r="P17" s="1416"/>
      <c r="Q17" s="1418" t="e">
        <f t="shared" si="2"/>
        <v>#REF!</v>
      </c>
      <c r="R17" s="1415"/>
      <c r="S17" s="1415"/>
      <c r="T17" s="1415"/>
      <c r="U17" s="1415"/>
      <c r="V17" s="1415"/>
      <c r="W17" s="1415"/>
      <c r="X17" s="1415"/>
      <c r="Y17" s="1415"/>
      <c r="Z17" s="1415"/>
      <c r="AA17" s="1415"/>
      <c r="AB17" s="1415"/>
      <c r="AC17" s="1415"/>
      <c r="AD17" s="1416"/>
      <c r="AE17" s="237" t="str">
        <f t="shared" si="3"/>
        <v>기입</v>
      </c>
    </row>
    <row r="18" spans="1:31" ht="16.5" customHeight="1">
      <c r="A18" s="55">
        <v>16</v>
      </c>
      <c r="B18" s="1120" t="s">
        <v>565</v>
      </c>
      <c r="C18" s="1121"/>
      <c r="D18" s="1121"/>
      <c r="E18" s="1121"/>
      <c r="H18" s="1415" t="str">
        <f t="shared" si="0"/>
        <v>김예은(930699-1258129)</v>
      </c>
      <c r="I18" s="1415"/>
      <c r="J18" s="1415"/>
      <c r="K18" s="1415"/>
      <c r="L18" s="1416"/>
      <c r="M18" s="1417" t="e">
        <f t="shared" si="1"/>
        <v>#REF!</v>
      </c>
      <c r="N18" s="1415"/>
      <c r="O18" s="1415"/>
      <c r="P18" s="1416"/>
      <c r="Q18" s="1418" t="e">
        <f t="shared" si="2"/>
        <v>#REF!</v>
      </c>
      <c r="R18" s="1415"/>
      <c r="S18" s="1415"/>
      <c r="T18" s="1415"/>
      <c r="U18" s="1415"/>
      <c r="V18" s="1415"/>
      <c r="W18" s="1415"/>
      <c r="X18" s="1415"/>
      <c r="Y18" s="1415"/>
      <c r="Z18" s="1415"/>
      <c r="AA18" s="1415"/>
      <c r="AB18" s="1415"/>
      <c r="AC18" s="1415"/>
      <c r="AD18" s="1416"/>
      <c r="AE18" s="237" t="str">
        <f t="shared" si="3"/>
        <v>기입</v>
      </c>
    </row>
    <row r="19" spans="1:31" ht="16.5" customHeight="1" thickBot="1">
      <c r="A19" s="55">
        <v>17</v>
      </c>
      <c r="B19" s="1122"/>
      <c r="C19" s="1123"/>
      <c r="D19" s="1123"/>
      <c r="E19" s="1123"/>
      <c r="H19" s="1415" t="str">
        <f t="shared" si="0"/>
        <v>이민수(020699-3626178)</v>
      </c>
      <c r="I19" s="1415"/>
      <c r="J19" s="1415"/>
      <c r="K19" s="1415"/>
      <c r="L19" s="1416"/>
      <c r="M19" s="1417" t="e">
        <f t="shared" si="1"/>
        <v>#REF!</v>
      </c>
      <c r="N19" s="1415"/>
      <c r="O19" s="1415"/>
      <c r="P19" s="1416"/>
      <c r="Q19" s="1418" t="e">
        <f t="shared" si="2"/>
        <v>#REF!</v>
      </c>
      <c r="R19" s="1415"/>
      <c r="S19" s="1415"/>
      <c r="T19" s="1415"/>
      <c r="U19" s="1415"/>
      <c r="V19" s="1415"/>
      <c r="W19" s="1415"/>
      <c r="X19" s="1415"/>
      <c r="Y19" s="1415"/>
      <c r="Z19" s="1415"/>
      <c r="AA19" s="1415"/>
      <c r="AB19" s="1415"/>
      <c r="AC19" s="1415"/>
      <c r="AD19" s="1416"/>
      <c r="AE19" s="237" t="str">
        <f t="shared" si="3"/>
        <v>기입</v>
      </c>
    </row>
    <row r="20" spans="1:31" ht="16.5" customHeight="1" thickTop="1">
      <c r="A20" s="55">
        <v>18</v>
      </c>
      <c r="B20" s="206" t="s">
        <v>493</v>
      </c>
      <c r="C20" s="206" t="s">
        <v>494</v>
      </c>
      <c r="D20" s="206" t="s">
        <v>495</v>
      </c>
      <c r="E20" s="207" t="s">
        <v>496</v>
      </c>
      <c r="H20" s="1415" t="str">
        <f t="shared" si="0"/>
        <v>박현우(930899-1736570)</v>
      </c>
      <c r="I20" s="1415"/>
      <c r="J20" s="1415"/>
      <c r="K20" s="1415"/>
      <c r="L20" s="1416"/>
      <c r="M20" s="1417" t="e">
        <f t="shared" si="1"/>
        <v>#REF!</v>
      </c>
      <c r="N20" s="1415"/>
      <c r="O20" s="1415"/>
      <c r="P20" s="1416"/>
      <c r="Q20" s="1418" t="e">
        <f t="shared" si="2"/>
        <v>#REF!</v>
      </c>
      <c r="R20" s="1415"/>
      <c r="S20" s="1415"/>
      <c r="T20" s="1415"/>
      <c r="U20" s="1415"/>
      <c r="V20" s="1415"/>
      <c r="W20" s="1415"/>
      <c r="X20" s="1415"/>
      <c r="Y20" s="1415"/>
      <c r="Z20" s="1415"/>
      <c r="AA20" s="1415"/>
      <c r="AB20" s="1415"/>
      <c r="AC20" s="1415"/>
      <c r="AD20" s="1416"/>
      <c r="AE20" s="237" t="str">
        <f t="shared" si="3"/>
        <v>기입</v>
      </c>
    </row>
    <row r="21" spans="1:31" ht="16.5" customHeight="1">
      <c r="A21" s="55">
        <v>19</v>
      </c>
      <c r="B21" s="229" t="str">
        <f>참여자명단!G3 &amp; "(" &amp;참여자명단!H3 &amp; ")"</f>
        <v>이민수(900699-1254973)</v>
      </c>
      <c r="C21" s="232" t="e">
        <f>TEXT(LEFT(#REF!, 4), "0000") &amp; "년 " &amp; TEXT(MID(#REF!, 6, 2), "0") &amp; "월 " &amp; TEXT(RIGHT(#REF!, 2), "0") &amp; "일"</f>
        <v>#REF!</v>
      </c>
      <c r="D21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1" s="257" t="s">
        <v>645</v>
      </c>
      <c r="H21" s="1415" t="str">
        <f t="shared" si="0"/>
        <v>이현우(001199-3301932)</v>
      </c>
      <c r="I21" s="1415"/>
      <c r="J21" s="1415"/>
      <c r="K21" s="1415"/>
      <c r="L21" s="1416"/>
      <c r="M21" s="1417" t="e">
        <f t="shared" si="1"/>
        <v>#REF!</v>
      </c>
      <c r="N21" s="1415"/>
      <c r="O21" s="1415"/>
      <c r="P21" s="1416"/>
      <c r="Q21" s="1418" t="e">
        <f t="shared" si="2"/>
        <v>#REF!</v>
      </c>
      <c r="R21" s="1415"/>
      <c r="S21" s="1415"/>
      <c r="T21" s="1415"/>
      <c r="U21" s="1415"/>
      <c r="V21" s="1415"/>
      <c r="W21" s="1415"/>
      <c r="X21" s="1415"/>
      <c r="Y21" s="1415"/>
      <c r="Z21" s="1415"/>
      <c r="AA21" s="1415"/>
      <c r="AB21" s="1415"/>
      <c r="AC21" s="1415"/>
      <c r="AD21" s="1416"/>
      <c r="AE21" s="237" t="str">
        <f t="shared" si="3"/>
        <v>기입</v>
      </c>
    </row>
    <row r="22" spans="1:31" ht="16.5" customHeight="1">
      <c r="A22" s="55">
        <v>20</v>
      </c>
      <c r="B22" s="229" t="str">
        <f>참여자명단!G4 &amp; "(" &amp;참여자명단!H4 &amp; ")"</f>
        <v>정지우(950499-2978157)</v>
      </c>
      <c r="C22" s="232" t="e">
        <f>TEXT(LEFT(#REF!, 4), "0000") &amp; "년 " &amp; TEXT(MID(#REF!, 6, 2), "0") &amp; "월 " &amp; TEXT(RIGHT(#REF!, 2), "0") &amp; "일"</f>
        <v>#REF!</v>
      </c>
      <c r="D22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2" s="257" t="s">
        <v>645</v>
      </c>
      <c r="H22" s="1415" t="str">
        <f t="shared" si="0"/>
        <v>김지우(920699-1184953)</v>
      </c>
      <c r="I22" s="1415"/>
      <c r="J22" s="1415"/>
      <c r="K22" s="1415"/>
      <c r="L22" s="1416"/>
      <c r="M22" s="1417" t="e">
        <f t="shared" si="1"/>
        <v>#REF!</v>
      </c>
      <c r="N22" s="1415"/>
      <c r="O22" s="1415"/>
      <c r="P22" s="1416"/>
      <c r="Q22" s="1418" t="e">
        <f t="shared" si="2"/>
        <v>#REF!</v>
      </c>
      <c r="R22" s="1415"/>
      <c r="S22" s="1415"/>
      <c r="T22" s="1415"/>
      <c r="U22" s="1415"/>
      <c r="V22" s="1415"/>
      <c r="W22" s="1415"/>
      <c r="X22" s="1415"/>
      <c r="Y22" s="1415"/>
      <c r="Z22" s="1415"/>
      <c r="AA22" s="1415"/>
      <c r="AB22" s="1415"/>
      <c r="AC22" s="1415"/>
      <c r="AD22" s="1416"/>
      <c r="AE22" s="237" t="str">
        <f t="shared" si="3"/>
        <v>기입</v>
      </c>
    </row>
    <row r="23" spans="1:31" ht="16.5" customHeight="1">
      <c r="A23" s="55">
        <v>21</v>
      </c>
      <c r="B23" s="229" t="str">
        <f>참여자명단!G5 &amp; "(" &amp;참여자명단!H5 &amp; ")"</f>
        <v>박지우(960399-2963832)</v>
      </c>
      <c r="C23" s="232" t="e">
        <f>TEXT(LEFT(#REF!, 4), "0000") &amp; "년 " &amp; TEXT(MID(#REF!, 6, 2), "0") &amp; "월 " &amp; TEXT(RIGHT(#REF!, 2), "0") &amp; "일"</f>
        <v>#REF!</v>
      </c>
      <c r="D23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3" s="257" t="s">
        <v>645</v>
      </c>
      <c r="H23" s="1415" t="str">
        <f t="shared" si="0"/>
        <v>박현우(900699-2193659)</v>
      </c>
      <c r="I23" s="1415"/>
      <c r="J23" s="1415"/>
      <c r="K23" s="1415"/>
      <c r="L23" s="1416"/>
      <c r="M23" s="1417" t="e">
        <f t="shared" si="1"/>
        <v>#REF!</v>
      </c>
      <c r="N23" s="1415"/>
      <c r="O23" s="1415"/>
      <c r="P23" s="1416"/>
      <c r="Q23" s="1418" t="e">
        <f t="shared" si="2"/>
        <v>#REF!</v>
      </c>
      <c r="R23" s="1415"/>
      <c r="S23" s="1415"/>
      <c r="T23" s="1415"/>
      <c r="U23" s="1415"/>
      <c r="V23" s="1415"/>
      <c r="W23" s="1415"/>
      <c r="X23" s="1415"/>
      <c r="Y23" s="1415"/>
      <c r="Z23" s="1415"/>
      <c r="AA23" s="1415"/>
      <c r="AB23" s="1415"/>
      <c r="AC23" s="1415"/>
      <c r="AD23" s="1416"/>
      <c r="AE23" s="237" t="str">
        <f t="shared" si="3"/>
        <v>기입</v>
      </c>
    </row>
    <row r="24" spans="1:31" ht="16.5" customHeight="1">
      <c r="A24" s="55">
        <v>22</v>
      </c>
      <c r="B24" s="229" t="str">
        <f>참여자명단!G6 &amp; "(" &amp;참여자명단!H6 &amp; ")"</f>
        <v>김예은(930699-1258129)</v>
      </c>
      <c r="C24" s="232" t="e">
        <f>TEXT(LEFT(#REF!, 4), "0000") &amp; "년 " &amp; TEXT(MID(#REF!, 6, 2), "0") &amp; "월 " &amp; TEXT(RIGHT(#REF!, 2), "0") &amp; "일"</f>
        <v>#REF!</v>
      </c>
      <c r="D24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4" s="257" t="s">
        <v>645</v>
      </c>
      <c r="H24" s="1415" t="str">
        <f t="shared" si="0"/>
        <v>김현우(900799-1246303)</v>
      </c>
      <c r="I24" s="1415"/>
      <c r="J24" s="1415"/>
      <c r="K24" s="1415"/>
      <c r="L24" s="1416"/>
      <c r="M24" s="1417" t="e">
        <f t="shared" si="1"/>
        <v>#REF!</v>
      </c>
      <c r="N24" s="1415"/>
      <c r="O24" s="1415"/>
      <c r="P24" s="1416"/>
      <c r="Q24" s="1418" t="e">
        <f t="shared" si="2"/>
        <v>#REF!</v>
      </c>
      <c r="R24" s="1415"/>
      <c r="S24" s="1415"/>
      <c r="T24" s="1415"/>
      <c r="U24" s="1415"/>
      <c r="V24" s="1415"/>
      <c r="W24" s="1415"/>
      <c r="X24" s="1415"/>
      <c r="Y24" s="1415"/>
      <c r="Z24" s="1415"/>
      <c r="AA24" s="1415"/>
      <c r="AB24" s="1415"/>
      <c r="AC24" s="1415"/>
      <c r="AD24" s="1416"/>
      <c r="AE24" s="237" t="str">
        <f t="shared" si="3"/>
        <v>기입</v>
      </c>
    </row>
    <row r="25" spans="1:31" ht="16.5" customHeight="1">
      <c r="A25" s="55">
        <v>23</v>
      </c>
      <c r="B25" s="229" t="str">
        <f>참여자명단!G7 &amp; "(" &amp;참여자명단!H7 &amp; ")"</f>
        <v>이민수(020699-3626178)</v>
      </c>
      <c r="C25" s="232" t="e">
        <f>TEXT(LEFT(#REF!, 4), "0000") &amp; "년 " &amp; TEXT(MID(#REF!, 6, 2), "0") &amp; "월 " &amp; TEXT(RIGHT(#REF!, 2), "0") &amp; "일"</f>
        <v>#REF!</v>
      </c>
      <c r="D25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5" s="257" t="s">
        <v>645</v>
      </c>
      <c r="H25" s="1419" t="s">
        <v>646</v>
      </c>
      <c r="I25" s="1419"/>
      <c r="J25" s="1419"/>
      <c r="K25" s="1419"/>
      <c r="L25" s="1419"/>
      <c r="M25" s="1419"/>
      <c r="N25" s="1419"/>
      <c r="O25" s="1419"/>
      <c r="P25" s="1419" t="s">
        <v>647</v>
      </c>
      <c r="Q25" s="1419"/>
      <c r="R25" s="1419"/>
      <c r="S25" s="1419"/>
      <c r="T25" s="1419"/>
      <c r="U25" s="1419"/>
      <c r="V25" s="1419"/>
      <c r="W25" s="1419" t="s">
        <v>648</v>
      </c>
      <c r="X25" s="1419"/>
      <c r="Y25" s="1419"/>
      <c r="Z25" s="1419"/>
      <c r="AA25" s="1419" t="s">
        <v>649</v>
      </c>
      <c r="AB25" s="1419"/>
      <c r="AC25" s="1419"/>
      <c r="AD25" s="1419"/>
      <c r="AE25" s="1419"/>
    </row>
    <row r="26" spans="1:31" ht="16.5" customHeight="1">
      <c r="A26" s="55">
        <v>24</v>
      </c>
      <c r="B26" s="229" t="str">
        <f>참여자명단!G8 &amp; "(" &amp;참여자명단!H8 &amp; ")"</f>
        <v>박현우(930899-1736570)</v>
      </c>
      <c r="C26" s="232" t="e">
        <f>TEXT(LEFT(#REF!, 4), "0000") &amp; "년 " &amp; TEXT(MID(#REF!, 6, 2), "0") &amp; "월 " &amp; TEXT(RIGHT(#REF!, 2), "0") &amp; "일"</f>
        <v>#REF!</v>
      </c>
      <c r="D26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6" s="257" t="s">
        <v>645</v>
      </c>
      <c r="H26" s="1420"/>
      <c r="I26" s="1420"/>
      <c r="J26" s="1420"/>
      <c r="K26" s="1420"/>
      <c r="L26" s="1420"/>
      <c r="M26" s="1420"/>
      <c r="N26" s="1420"/>
      <c r="O26" s="1420"/>
      <c r="P26" s="1420"/>
      <c r="Q26" s="1420"/>
      <c r="R26" s="1420"/>
      <c r="S26" s="1420"/>
      <c r="T26" s="1420"/>
      <c r="U26" s="1420"/>
      <c r="V26" s="1420"/>
      <c r="W26" s="1420"/>
      <c r="X26" s="1420"/>
      <c r="Y26" s="1420"/>
      <c r="Z26" s="1420"/>
      <c r="AA26" s="1420"/>
      <c r="AB26" s="1420"/>
      <c r="AC26" s="1420"/>
      <c r="AD26" s="1420"/>
      <c r="AE26" s="1420"/>
    </row>
    <row r="27" spans="1:31" ht="16.5" customHeight="1">
      <c r="A27" s="55">
        <v>25</v>
      </c>
      <c r="B27" s="229" t="str">
        <f>참여자명단!G9 &amp; "(" &amp;참여자명단!H9 &amp; ")"</f>
        <v>이현우(001199-3301932)</v>
      </c>
      <c r="C27" s="232" t="e">
        <f>TEXT(LEFT(#REF!, 4), "0000") &amp; "년 " &amp; TEXT(MID(#REF!, 6, 2), "0") &amp; "월 " &amp; TEXT(RIGHT(#REF!, 2), "0") &amp; "일"</f>
        <v>#REF!</v>
      </c>
      <c r="D27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7" s="257" t="s">
        <v>645</v>
      </c>
      <c r="H27" s="1421" t="s">
        <v>650</v>
      </c>
      <c r="I27" s="1421"/>
      <c r="J27" s="1421"/>
      <c r="K27" s="1421"/>
      <c r="L27" s="1422"/>
      <c r="M27" s="1423" t="e">
        <f>"(" &amp; D56 &amp; ")" &amp; "은행"</f>
        <v>#REF!</v>
      </c>
      <c r="N27" s="1424"/>
      <c r="O27" s="1424"/>
      <c r="P27" s="1424"/>
      <c r="Q27" s="1424"/>
      <c r="R27" s="1424"/>
      <c r="S27" s="1425" t="e">
        <f>D15</f>
        <v>#REF!</v>
      </c>
      <c r="T27" s="1425"/>
      <c r="U27" s="1425"/>
      <c r="V27" s="1425"/>
      <c r="W27" s="1425"/>
      <c r="X27" s="1425"/>
      <c r="Y27" s="1425"/>
      <c r="Z27" s="1425"/>
      <c r="AA27" s="1425"/>
      <c r="AB27" s="1425"/>
      <c r="AC27" s="1426" t="e">
        <f xml:space="preserve"> "(예금주 :" &amp; D58 &amp; ")"</f>
        <v>#REF!</v>
      </c>
      <c r="AD27" s="1426"/>
      <c r="AE27" s="1426"/>
    </row>
    <row r="28" spans="1:31" ht="16.5" customHeight="1">
      <c r="A28" s="55">
        <v>26</v>
      </c>
      <c r="B28" s="229" t="str">
        <f>참여자명단!G10 &amp; "(" &amp;참여자명단!H10 &amp; ")"</f>
        <v>김지우(920699-1184953)</v>
      </c>
      <c r="C28" s="232" t="e">
        <f>TEXT(LEFT(#REF!, 4), "0000") &amp; "년 " &amp; TEXT(MID(#REF!, 6, 2), "0") &amp; "월 " &amp; TEXT(RIGHT(#REF!, 2), "0") &amp; "일"</f>
        <v>#REF!</v>
      </c>
      <c r="D28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8" s="257" t="s">
        <v>645</v>
      </c>
      <c r="H28" s="1406"/>
      <c r="I28" s="1406"/>
      <c r="J28" s="1406"/>
      <c r="K28" s="1406"/>
      <c r="L28" s="1406"/>
      <c r="M28" s="1406"/>
      <c r="N28" s="1406"/>
      <c r="O28" s="1406"/>
      <c r="P28" s="1406"/>
      <c r="Q28" s="1406"/>
      <c r="R28" s="1406"/>
      <c r="S28" s="1406"/>
      <c r="T28" s="1406"/>
      <c r="U28" s="1406"/>
      <c r="V28" s="1406"/>
      <c r="W28" s="1406"/>
      <c r="X28" s="1406"/>
      <c r="Y28" s="1406"/>
      <c r="Z28" s="1406"/>
      <c r="AA28" s="1406"/>
      <c r="AB28" s="1406"/>
      <c r="AC28" s="1406"/>
      <c r="AD28" s="1406"/>
      <c r="AE28" s="1406"/>
    </row>
    <row r="29" spans="1:31" ht="16.5" customHeight="1">
      <c r="A29" s="55">
        <v>27</v>
      </c>
      <c r="B29" s="229" t="str">
        <f>참여자명단!G11 &amp; "(" &amp;참여자명단!H11 &amp; ")"</f>
        <v>박현우(900699-2193659)</v>
      </c>
      <c r="C29" s="232" t="e">
        <f>TEXT(LEFT(#REF!, 4), "0000") &amp; "년 " &amp; TEXT(MID(#REF!, 6, 2), "0") &amp; "월 " &amp; TEXT(RIGHT(#REF!, 2), "0") &amp; "일"</f>
        <v>#REF!</v>
      </c>
      <c r="D29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9" s="257" t="s">
        <v>645</v>
      </c>
      <c r="H29" s="1407" t="s">
        <v>651</v>
      </c>
      <c r="I29" s="1407"/>
      <c r="J29" s="1407"/>
      <c r="K29" s="1407"/>
      <c r="L29" s="1407"/>
      <c r="M29" s="1407"/>
      <c r="N29" s="1407"/>
      <c r="O29" s="1407"/>
      <c r="P29" s="1407"/>
      <c r="Q29" s="1407"/>
      <c r="R29" s="1407"/>
      <c r="S29" s="1407"/>
      <c r="T29" s="1407"/>
      <c r="U29" s="1407"/>
      <c r="V29" s="1407"/>
      <c r="W29" s="1407"/>
      <c r="X29" s="1407"/>
      <c r="Y29" s="1407"/>
      <c r="Z29" s="1407"/>
      <c r="AA29" s="1407"/>
      <c r="AB29" s="1407"/>
      <c r="AC29" s="1407"/>
      <c r="AD29" s="1407"/>
      <c r="AE29" s="1407"/>
    </row>
    <row r="30" spans="1:31" ht="16.5" customHeight="1" thickBot="1">
      <c r="A30" s="55">
        <v>28</v>
      </c>
      <c r="B30" s="230" t="str">
        <f>참여자명단!G12 &amp; "(" &amp;참여자명단!H12 &amp; ")"</f>
        <v>김현우(900799-1246303)</v>
      </c>
      <c r="C30" s="233" t="e">
        <f>TEXT(LEFT(#REF!, 4), "0000") &amp; "년 " &amp; TEXT(MID(#REF!, 6, 2), "0") &amp; "월 " &amp; TEXT(RIGHT(#REF!, 2), "0") &amp; "일"</f>
        <v>#REF!</v>
      </c>
      <c r="D30" s="230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30" s="258" t="s">
        <v>645</v>
      </c>
      <c r="H30" s="1408" t="s">
        <v>652</v>
      </c>
      <c r="I30" s="1408"/>
      <c r="J30" s="1408"/>
      <c r="K30" s="1408"/>
      <c r="L30" s="1408"/>
      <c r="M30" s="1408"/>
      <c r="N30" s="1408"/>
      <c r="O30" s="1408"/>
      <c r="P30" s="1408"/>
      <c r="Q30" s="1408"/>
      <c r="R30" s="1408"/>
      <c r="S30" s="1408"/>
      <c r="T30" s="1408"/>
      <c r="U30" s="1408"/>
      <c r="V30" s="1408"/>
      <c r="W30" s="1408"/>
      <c r="X30" s="1408"/>
      <c r="Y30" s="1408"/>
      <c r="Z30" s="1408"/>
      <c r="AA30" s="1408"/>
      <c r="AB30" s="1408"/>
      <c r="AC30" s="1408"/>
      <c r="AD30" s="1408"/>
      <c r="AE30" s="1408"/>
    </row>
    <row r="31" spans="1:31" ht="16.5" customHeight="1">
      <c r="A31" s="55">
        <v>29</v>
      </c>
      <c r="B31" s="39"/>
      <c r="C31" s="39"/>
      <c r="D31" s="39"/>
      <c r="E31" s="39"/>
      <c r="H31" s="1409"/>
      <c r="I31" s="1409"/>
      <c r="J31" s="1409"/>
      <c r="K31" s="1409"/>
      <c r="L31" s="1409"/>
      <c r="M31" s="1409"/>
      <c r="N31" s="1409"/>
      <c r="O31" s="1409"/>
      <c r="P31" s="1409"/>
      <c r="Q31" s="1409"/>
      <c r="R31" s="1409"/>
      <c r="S31" s="1409"/>
      <c r="T31" s="1410" t="s">
        <v>653</v>
      </c>
      <c r="U31" s="1410"/>
      <c r="V31" s="1410"/>
      <c r="W31" s="1410"/>
      <c r="X31" s="1410"/>
      <c r="Y31" s="1410"/>
      <c r="Z31" s="1411" t="e">
        <f>D5</f>
        <v>#REF!</v>
      </c>
      <c r="AA31" s="1411"/>
      <c r="AB31" s="1411"/>
      <c r="AC31" s="1411"/>
      <c r="AD31" s="1411"/>
      <c r="AE31" s="259" t="s">
        <v>654</v>
      </c>
    </row>
    <row r="32" spans="1:31" ht="16.5" customHeight="1" thickBot="1">
      <c r="A32" s="55">
        <v>30</v>
      </c>
      <c r="B32" s="39"/>
      <c r="C32" s="39"/>
      <c r="D32" s="39"/>
      <c r="E32" s="39"/>
      <c r="H32" s="1412" t="s">
        <v>655</v>
      </c>
      <c r="I32" s="1412"/>
      <c r="J32" s="1412"/>
      <c r="K32" s="1412"/>
      <c r="L32" s="1412"/>
      <c r="M32" s="1412"/>
      <c r="N32" s="1412"/>
      <c r="O32" s="1412"/>
      <c r="P32" s="1412"/>
      <c r="Q32" s="1412"/>
      <c r="R32" s="1412"/>
      <c r="S32" s="1412"/>
      <c r="T32" s="1412"/>
      <c r="U32" s="1412"/>
      <c r="V32" s="1412"/>
      <c r="W32" s="1412"/>
      <c r="X32" s="1412"/>
      <c r="Y32" s="1412"/>
      <c r="Z32" s="1412"/>
      <c r="AA32" s="1413" t="s">
        <v>656</v>
      </c>
      <c r="AB32" s="1413"/>
      <c r="AC32" s="1413"/>
      <c r="AD32" s="1413"/>
      <c r="AE32" s="1413"/>
    </row>
    <row r="33" spans="1:31" ht="16.5" customHeight="1" thickTop="1">
      <c r="A33" s="55">
        <v>31</v>
      </c>
      <c r="B33" s="39"/>
      <c r="C33" s="39"/>
      <c r="D33" s="39"/>
      <c r="E33" s="39"/>
      <c r="H33" s="1414"/>
      <c r="I33" s="1414"/>
      <c r="J33" s="1414"/>
      <c r="K33" s="1414"/>
      <c r="L33" s="1414"/>
      <c r="M33" s="1414"/>
      <c r="N33" s="1414"/>
      <c r="O33" s="1414"/>
      <c r="P33" s="1414"/>
      <c r="Q33" s="1414"/>
      <c r="R33" s="1414"/>
      <c r="S33" s="1414"/>
      <c r="T33" s="1414"/>
      <c r="U33" s="1414"/>
      <c r="V33" s="1414"/>
      <c r="W33" s="1414"/>
      <c r="X33" s="1414"/>
      <c r="Y33" s="1414"/>
      <c r="Z33" s="1414"/>
      <c r="AA33" s="1414"/>
      <c r="AB33" s="1414"/>
      <c r="AC33" s="1414"/>
      <c r="AD33" s="1414"/>
      <c r="AE33" s="1414"/>
    </row>
    <row r="34" spans="1:31" ht="16.5" customHeight="1">
      <c r="A34" s="55">
        <v>32</v>
      </c>
      <c r="B34" s="39"/>
      <c r="C34" s="39"/>
      <c r="D34" s="39"/>
      <c r="E34" s="39"/>
      <c r="H34" s="1388" t="s">
        <v>657</v>
      </c>
      <c r="I34" s="1388"/>
      <c r="J34" s="1389"/>
      <c r="K34" s="1392" t="s">
        <v>658</v>
      </c>
      <c r="L34" s="1393"/>
      <c r="M34" s="1393"/>
      <c r="N34" s="1393"/>
      <c r="O34" s="1393"/>
      <c r="P34" s="1393"/>
      <c r="Q34" s="1393"/>
      <c r="R34" s="1393"/>
      <c r="S34" s="1393"/>
      <c r="T34" s="1393"/>
      <c r="U34" s="1393"/>
      <c r="V34" s="1393"/>
      <c r="W34" s="1393"/>
      <c r="X34" s="1393"/>
      <c r="Y34" s="1393"/>
      <c r="Z34" s="1393"/>
      <c r="AA34" s="1393"/>
      <c r="AB34" s="1393"/>
      <c r="AC34" s="1393"/>
      <c r="AD34" s="1393"/>
      <c r="AE34" s="1393"/>
    </row>
    <row r="35" spans="1:31" ht="16.5" customHeight="1" thickBot="1">
      <c r="A35" s="55">
        <v>33</v>
      </c>
      <c r="B35" s="39"/>
      <c r="C35" s="39"/>
      <c r="D35" s="39"/>
      <c r="E35" s="39"/>
      <c r="H35" s="1390"/>
      <c r="I35" s="1390"/>
      <c r="J35" s="1391"/>
      <c r="K35" s="1394" t="s">
        <v>659</v>
      </c>
      <c r="L35" s="1395"/>
      <c r="M35" s="1395"/>
      <c r="N35" s="1395"/>
      <c r="O35" s="1395"/>
      <c r="P35" s="1395"/>
      <c r="Q35" s="1395"/>
      <c r="R35" s="1395"/>
      <c r="S35" s="1395"/>
      <c r="T35" s="1395"/>
      <c r="U35" s="1395"/>
      <c r="V35" s="1395"/>
      <c r="W35" s="1395"/>
      <c r="X35" s="1395"/>
      <c r="Y35" s="1395"/>
      <c r="Z35" s="1395"/>
      <c r="AA35" s="1395"/>
      <c r="AB35" s="1395"/>
      <c r="AC35" s="1395"/>
      <c r="AD35" s="1395"/>
      <c r="AE35" s="1395"/>
    </row>
    <row r="36" spans="1:31" ht="16.5" customHeight="1" thickBot="1">
      <c r="A36" s="55">
        <v>34</v>
      </c>
      <c r="H36" s="1396" t="s">
        <v>660</v>
      </c>
      <c r="I36" s="1396"/>
      <c r="J36" s="1396"/>
      <c r="K36" s="1396"/>
      <c r="L36" s="1396"/>
      <c r="M36" s="1396"/>
      <c r="N36" s="1396"/>
      <c r="O36" s="1396"/>
      <c r="P36" s="1396"/>
      <c r="Q36" s="1396"/>
      <c r="R36" s="1396"/>
      <c r="S36" s="1396"/>
      <c r="T36" s="1396"/>
      <c r="U36" s="1396"/>
      <c r="V36" s="1396"/>
      <c r="W36" s="1396"/>
      <c r="X36" s="1396"/>
      <c r="Y36" s="1396"/>
      <c r="Z36" s="1396"/>
      <c r="AA36" s="1396"/>
      <c r="AB36" s="1396"/>
      <c r="AC36" s="1396"/>
      <c r="AD36" s="1396"/>
      <c r="AE36" s="1396"/>
    </row>
    <row r="37" spans="1:31" ht="16.5" customHeight="1">
      <c r="A37" s="55">
        <v>35</v>
      </c>
      <c r="H37" s="1397" t="s">
        <v>661</v>
      </c>
      <c r="I37" s="1399" t="s">
        <v>662</v>
      </c>
      <c r="J37" s="1400"/>
      <c r="K37" s="1400"/>
      <c r="L37" s="1400"/>
      <c r="M37" s="1400"/>
      <c r="N37" s="1400"/>
      <c r="O37" s="1400"/>
      <c r="P37" s="1400"/>
      <c r="Q37" s="1401"/>
      <c r="R37" s="1399" t="s">
        <v>620</v>
      </c>
      <c r="S37" s="1400"/>
      <c r="T37" s="1400"/>
      <c r="U37" s="1400"/>
      <c r="V37" s="1400"/>
      <c r="W37" s="1400"/>
      <c r="X37" s="1401"/>
      <c r="Y37" s="1399" t="s">
        <v>663</v>
      </c>
      <c r="Z37" s="1400"/>
      <c r="AA37" s="1400"/>
      <c r="AB37" s="1400"/>
      <c r="AC37" s="1400"/>
      <c r="AD37" s="1400"/>
      <c r="AE37" s="1400"/>
    </row>
    <row r="38" spans="1:31" ht="16.5" customHeight="1">
      <c r="A38" s="55">
        <v>36</v>
      </c>
      <c r="H38" s="1398"/>
      <c r="I38" s="1384"/>
      <c r="J38" s="1385"/>
      <c r="K38" s="1385"/>
      <c r="L38" s="1385"/>
      <c r="M38" s="1385"/>
      <c r="N38" s="1385"/>
      <c r="O38" s="1385"/>
      <c r="P38" s="1385"/>
      <c r="Q38" s="1402"/>
      <c r="R38" s="1403"/>
      <c r="S38" s="1404"/>
      <c r="T38" s="1404"/>
      <c r="U38" s="1404"/>
      <c r="V38" s="1404"/>
      <c r="W38" s="1404"/>
      <c r="X38" s="1405"/>
      <c r="Y38" s="1384"/>
      <c r="Z38" s="1385"/>
      <c r="AA38" s="1385"/>
      <c r="AB38" s="1385"/>
      <c r="AC38" s="1385"/>
      <c r="AD38" s="1385"/>
      <c r="AE38" s="1385"/>
    </row>
    <row r="39" spans="1:31" ht="16.5" customHeight="1">
      <c r="A39" s="55">
        <v>37</v>
      </c>
      <c r="F39" s="197"/>
      <c r="H39" s="1370" t="s">
        <v>664</v>
      </c>
      <c r="I39" s="1372" t="s">
        <v>665</v>
      </c>
      <c r="J39" s="1373"/>
      <c r="K39" s="1374"/>
      <c r="L39" s="1372"/>
      <c r="M39" s="1374"/>
      <c r="N39" s="1372" t="s">
        <v>666</v>
      </c>
      <c r="O39" s="1373"/>
      <c r="P39" s="1373"/>
      <c r="Q39" s="1374"/>
      <c r="R39" s="1372"/>
      <c r="S39" s="1373"/>
      <c r="T39" s="1373"/>
      <c r="U39" s="1374"/>
      <c r="V39" s="1372" t="s">
        <v>667</v>
      </c>
      <c r="W39" s="1373"/>
      <c r="X39" s="1374"/>
      <c r="Y39" s="1378"/>
      <c r="Z39" s="1379"/>
      <c r="AA39" s="1379"/>
      <c r="AB39" s="1379"/>
      <c r="AC39" s="1380"/>
      <c r="AD39" s="1384" t="s">
        <v>668</v>
      </c>
      <c r="AE39" s="1385"/>
    </row>
    <row r="40" spans="1:31" ht="16.5" customHeight="1" thickBot="1">
      <c r="A40" s="55">
        <v>38</v>
      </c>
      <c r="F40" s="197"/>
      <c r="H40" s="1371"/>
      <c r="I40" s="1375"/>
      <c r="J40" s="1376"/>
      <c r="K40" s="1377"/>
      <c r="L40" s="1375"/>
      <c r="M40" s="1377"/>
      <c r="N40" s="1375"/>
      <c r="O40" s="1376"/>
      <c r="P40" s="1376"/>
      <c r="Q40" s="1377"/>
      <c r="R40" s="1375"/>
      <c r="S40" s="1376"/>
      <c r="T40" s="1376"/>
      <c r="U40" s="1377"/>
      <c r="V40" s="1375"/>
      <c r="W40" s="1376"/>
      <c r="X40" s="1377"/>
      <c r="Y40" s="1381"/>
      <c r="Z40" s="1382"/>
      <c r="AA40" s="1382"/>
      <c r="AB40" s="1382"/>
      <c r="AC40" s="1383"/>
      <c r="AD40" s="1386" t="s">
        <v>227</v>
      </c>
      <c r="AE40" s="1387"/>
    </row>
    <row r="41" spans="1:31" ht="16.5" customHeight="1">
      <c r="A41" s="55">
        <v>39</v>
      </c>
      <c r="F41" s="197"/>
    </row>
    <row r="42" spans="1:31" ht="16.5" customHeight="1">
      <c r="A42" s="55">
        <v>40</v>
      </c>
      <c r="F42" s="197"/>
    </row>
    <row r="43" spans="1:31" ht="16.5" customHeight="1">
      <c r="A43" s="55">
        <v>41</v>
      </c>
    </row>
    <row r="44" spans="1:31" ht="26.25">
      <c r="A44" s="55">
        <v>42</v>
      </c>
      <c r="B44" s="1463" t="s">
        <v>669</v>
      </c>
      <c r="C44" s="1464"/>
      <c r="D44" s="1464"/>
      <c r="E44" s="1464"/>
      <c r="H44" s="1433" t="s">
        <v>670</v>
      </c>
      <c r="I44" s="1433"/>
      <c r="J44" s="1433"/>
      <c r="K44" s="1433"/>
      <c r="L44" s="1433"/>
      <c r="M44" s="1433"/>
      <c r="N44" s="1433"/>
      <c r="O44" s="1433"/>
      <c r="P44" s="1433"/>
      <c r="Q44" s="1433"/>
      <c r="R44" s="1433"/>
      <c r="S44" s="1433"/>
      <c r="T44" s="1433"/>
      <c r="U44" s="1433"/>
      <c r="V44" s="1433"/>
      <c r="W44" s="1433"/>
      <c r="X44" s="1433"/>
      <c r="Y44" s="1433"/>
      <c r="Z44" s="1433"/>
      <c r="AA44" s="1433"/>
      <c r="AB44" s="1433"/>
      <c r="AC44" s="1433"/>
      <c r="AD44" s="1433"/>
      <c r="AE44" s="1433"/>
    </row>
    <row r="45" spans="1:31" ht="16.5" customHeight="1" thickBot="1">
      <c r="A45" s="55">
        <v>43</v>
      </c>
      <c r="B45" s="254" t="s">
        <v>617</v>
      </c>
      <c r="C45" s="254" t="s">
        <v>618</v>
      </c>
      <c r="D45" s="1465" t="s">
        <v>619</v>
      </c>
      <c r="E45" s="1466"/>
      <c r="H45" s="1434" t="s">
        <v>620</v>
      </c>
      <c r="I45" s="1434"/>
      <c r="J45" s="1434"/>
      <c r="K45" s="1434"/>
      <c r="L45" s="1434"/>
      <c r="M45" s="1434"/>
      <c r="N45" s="1434"/>
      <c r="O45" s="1434"/>
      <c r="P45" s="1434"/>
      <c r="Q45" s="1434"/>
      <c r="R45" s="1434"/>
      <c r="S45" s="1434"/>
      <c r="T45" s="1435"/>
      <c r="U45" s="1436" t="s">
        <v>621</v>
      </c>
      <c r="V45" s="1437"/>
      <c r="W45" s="1437"/>
      <c r="X45" s="1437"/>
      <c r="Y45" s="1437"/>
      <c r="Z45" s="1437"/>
      <c r="AA45" s="1437"/>
      <c r="AB45" s="1438"/>
      <c r="AC45" s="1438"/>
      <c r="AD45" s="1438"/>
      <c r="AE45" s="1438"/>
    </row>
    <row r="46" spans="1:31" ht="16.5" customHeight="1" thickTop="1">
      <c r="A46" s="55">
        <v>44</v>
      </c>
      <c r="B46" s="1430" t="s">
        <v>622</v>
      </c>
      <c r="C46" s="220" t="s">
        <v>480</v>
      </c>
      <c r="D46" s="203" t="e">
        <f>#REF!</f>
        <v>#REF!</v>
      </c>
      <c r="E46" s="200"/>
      <c r="H46" s="1439"/>
      <c r="I46" s="1439"/>
      <c r="J46" s="1439"/>
      <c r="K46" s="1439"/>
      <c r="L46" s="1439"/>
      <c r="M46" s="1439"/>
      <c r="N46" s="1439"/>
      <c r="O46" s="1439"/>
      <c r="P46" s="1439"/>
      <c r="Q46" s="1439"/>
      <c r="R46" s="1439"/>
      <c r="S46" s="1439"/>
      <c r="T46" s="1439"/>
      <c r="U46" s="1439"/>
      <c r="V46" s="1439"/>
      <c r="W46" s="1439"/>
      <c r="X46" s="1439"/>
      <c r="Y46" s="1439"/>
      <c r="Z46" s="1439"/>
      <c r="AA46" s="1439"/>
      <c r="AB46" s="1439"/>
      <c r="AC46" s="1439"/>
      <c r="AD46" s="1439"/>
      <c r="AE46" s="1439"/>
    </row>
    <row r="47" spans="1:31" ht="16.5" customHeight="1">
      <c r="A47" s="55">
        <v>45</v>
      </c>
      <c r="B47" s="1431"/>
      <c r="C47" s="221" t="s">
        <v>481</v>
      </c>
      <c r="D47" s="203" t="e">
        <f>#REF!</f>
        <v>#REF!</v>
      </c>
      <c r="E47" s="200"/>
      <c r="H47" s="1440" t="s">
        <v>623</v>
      </c>
      <c r="I47" s="1440"/>
      <c r="J47" s="1440"/>
      <c r="K47" s="1440"/>
      <c r="L47" s="1441"/>
      <c r="M47" s="1442" t="e">
        <f>D46</f>
        <v>#REF!</v>
      </c>
      <c r="N47" s="1443"/>
      <c r="O47" s="1443"/>
      <c r="P47" s="1443"/>
      <c r="Q47" s="1443"/>
      <c r="R47" s="1443"/>
      <c r="S47" s="1443"/>
      <c r="T47" s="1444"/>
      <c r="U47" s="1445" t="s">
        <v>624</v>
      </c>
      <c r="V47" s="1440"/>
      <c r="W47" s="1440"/>
      <c r="X47" s="1440"/>
      <c r="Y47" s="1440"/>
      <c r="Z47" s="1440"/>
      <c r="AA47" s="1441"/>
      <c r="AB47" s="1442" t="e">
        <f>D47</f>
        <v>#REF!</v>
      </c>
      <c r="AC47" s="1443"/>
      <c r="AD47" s="1443"/>
      <c r="AE47" s="1443"/>
    </row>
    <row r="48" spans="1:31" ht="31.5">
      <c r="A48" s="55">
        <v>46</v>
      </c>
      <c r="B48" s="1431"/>
      <c r="C48" s="222" t="s">
        <v>482</v>
      </c>
      <c r="D48" s="203" t="e">
        <f>#REF! &amp; "(" &amp;#REF! &amp; ")"</f>
        <v>#REF!</v>
      </c>
      <c r="E48" s="200"/>
      <c r="H48" s="1446" t="s">
        <v>625</v>
      </c>
      <c r="I48" s="1446"/>
      <c r="J48" s="1446"/>
      <c r="K48" s="1446"/>
      <c r="L48" s="1447"/>
      <c r="M48" s="1448" t="e">
        <f>D48</f>
        <v>#REF!</v>
      </c>
      <c r="N48" s="1449"/>
      <c r="O48" s="1449"/>
      <c r="P48" s="1449"/>
      <c r="Q48" s="1449"/>
      <c r="R48" s="1449"/>
      <c r="S48" s="1449"/>
      <c r="T48" s="1450"/>
      <c r="U48" s="1454" t="s">
        <v>626</v>
      </c>
      <c r="V48" s="1446"/>
      <c r="W48" s="1446"/>
      <c r="X48" s="1446"/>
      <c r="Y48" s="1446"/>
      <c r="Z48" s="1446"/>
      <c r="AA48" s="1447"/>
      <c r="AB48" s="1448" t="e">
        <f>D49</f>
        <v>#REF!</v>
      </c>
      <c r="AC48" s="1449"/>
      <c r="AD48" s="1449"/>
      <c r="AE48" s="1449"/>
    </row>
    <row r="49" spans="1:31" ht="16.5" customHeight="1">
      <c r="A49" s="55">
        <v>47</v>
      </c>
      <c r="B49" s="1431"/>
      <c r="C49" s="221" t="s">
        <v>483</v>
      </c>
      <c r="D49" s="203" t="e">
        <f>#REF!</f>
        <v>#REF!</v>
      </c>
      <c r="E49" s="200"/>
      <c r="H49" s="1455" t="s">
        <v>627</v>
      </c>
      <c r="I49" s="1455"/>
      <c r="J49" s="1455"/>
      <c r="K49" s="1455"/>
      <c r="L49" s="1456"/>
      <c r="M49" s="1451"/>
      <c r="N49" s="1452"/>
      <c r="O49" s="1452"/>
      <c r="P49" s="1452"/>
      <c r="Q49" s="1452"/>
      <c r="R49" s="1452"/>
      <c r="S49" s="1452"/>
      <c r="T49" s="1453"/>
      <c r="U49" s="1457" t="s">
        <v>628</v>
      </c>
      <c r="V49" s="1455"/>
      <c r="W49" s="1455"/>
      <c r="X49" s="1455"/>
      <c r="Y49" s="1455"/>
      <c r="Z49" s="1455"/>
      <c r="AA49" s="1456"/>
      <c r="AB49" s="1451"/>
      <c r="AC49" s="1452"/>
      <c r="AD49" s="1452"/>
      <c r="AE49" s="1452"/>
    </row>
    <row r="50" spans="1:31" ht="16.5" customHeight="1">
      <c r="A50" s="55">
        <v>48</v>
      </c>
      <c r="B50" s="1431"/>
      <c r="C50" s="221" t="s">
        <v>484</v>
      </c>
      <c r="D50" s="203" t="e">
        <f>#REF!</f>
        <v>#REF!</v>
      </c>
      <c r="E50" s="200"/>
      <c r="H50" s="1458" t="s">
        <v>629</v>
      </c>
      <c r="I50" s="1458"/>
      <c r="J50" s="1458"/>
      <c r="K50" s="1458"/>
      <c r="L50" s="1459"/>
      <c r="M50" s="1418" t="e">
        <f>D50</f>
        <v>#REF!</v>
      </c>
      <c r="N50" s="1415"/>
      <c r="O50" s="1415"/>
      <c r="P50" s="1415"/>
      <c r="Q50" s="1415"/>
      <c r="R50" s="1415"/>
      <c r="S50" s="1415"/>
      <c r="T50" s="1415"/>
      <c r="U50" s="1415"/>
      <c r="V50" s="1415"/>
      <c r="W50" s="1415"/>
      <c r="X50" s="1415"/>
      <c r="Y50" s="1415"/>
      <c r="Z50" s="1415"/>
      <c r="AA50" s="1415"/>
      <c r="AB50" s="1415"/>
      <c r="AC50" s="1415"/>
      <c r="AD50" s="1415"/>
      <c r="AE50" s="1415"/>
    </row>
    <row r="51" spans="1:31" ht="16.5" customHeight="1">
      <c r="A51" s="55">
        <v>49</v>
      </c>
      <c r="B51" s="1431"/>
      <c r="C51" s="221" t="s">
        <v>485</v>
      </c>
      <c r="D51" s="203" t="e">
        <f>#REF!</f>
        <v>#REF!</v>
      </c>
      <c r="E51" s="200"/>
      <c r="H51" s="1446" t="s">
        <v>631</v>
      </c>
      <c r="I51" s="1446"/>
      <c r="J51" s="1446"/>
      <c r="K51" s="1446"/>
      <c r="L51" s="1447"/>
      <c r="M51" s="1462" t="s">
        <v>632</v>
      </c>
      <c r="N51" s="1459"/>
      <c r="O51" s="1418" t="e">
        <f>D51</f>
        <v>#REF!</v>
      </c>
      <c r="P51" s="1415"/>
      <c r="Q51" s="1415"/>
      <c r="R51" s="1415"/>
      <c r="S51" s="1415"/>
      <c r="T51" s="1415"/>
      <c r="U51" s="1415"/>
      <c r="V51" s="1415"/>
      <c r="W51" s="1416"/>
      <c r="X51" s="1462" t="s">
        <v>633</v>
      </c>
      <c r="Y51" s="1458"/>
      <c r="Z51" s="1458"/>
      <c r="AA51" s="1458"/>
      <c r="AB51" s="1459"/>
      <c r="AC51" s="1418" t="e">
        <f>D52</f>
        <v>#REF!</v>
      </c>
      <c r="AD51" s="1415"/>
      <c r="AE51" s="1415"/>
    </row>
    <row r="52" spans="1:31" ht="16.5" customHeight="1">
      <c r="A52" s="55">
        <v>50</v>
      </c>
      <c r="B52" s="1431"/>
      <c r="C52" s="221" t="s">
        <v>486</v>
      </c>
      <c r="D52" s="203" t="e">
        <f>#REF!</f>
        <v>#REF!</v>
      </c>
      <c r="E52" s="200"/>
      <c r="H52" s="1460"/>
      <c r="I52" s="1460"/>
      <c r="J52" s="1460"/>
      <c r="K52" s="1460"/>
      <c r="L52" s="1461"/>
      <c r="M52" s="1467" t="s">
        <v>634</v>
      </c>
      <c r="N52" s="1468"/>
      <c r="O52" s="1469" t="e">
        <f>D53</f>
        <v>#REF!</v>
      </c>
      <c r="P52" s="1470"/>
      <c r="Q52" s="1470"/>
      <c r="R52" s="1470"/>
      <c r="S52" s="1470"/>
      <c r="T52" s="1470"/>
      <c r="U52" s="1470"/>
      <c r="V52" s="1470"/>
      <c r="W52" s="1471"/>
      <c r="X52" s="1467" t="s">
        <v>635</v>
      </c>
      <c r="Y52" s="1472"/>
      <c r="Z52" s="1472"/>
      <c r="AA52" s="1472"/>
      <c r="AB52" s="1468"/>
      <c r="AC52" s="1473" t="e">
        <f>D54</f>
        <v>#REF!</v>
      </c>
      <c r="AD52" s="1474"/>
      <c r="AE52" s="1474"/>
    </row>
    <row r="53" spans="1:31" ht="16.5" customHeight="1">
      <c r="A53" s="55">
        <v>51</v>
      </c>
      <c r="B53" s="1431"/>
      <c r="C53" s="221" t="s">
        <v>487</v>
      </c>
      <c r="D53" s="203" t="e">
        <f>#REF!</f>
        <v>#REF!</v>
      </c>
      <c r="E53" s="200"/>
      <c r="H53" s="1475"/>
      <c r="I53" s="1475"/>
      <c r="J53" s="1475"/>
      <c r="K53" s="1475"/>
      <c r="L53" s="1475"/>
      <c r="M53" s="1475"/>
      <c r="N53" s="1475"/>
      <c r="O53" s="1475"/>
      <c r="P53" s="1475"/>
      <c r="Q53" s="1475"/>
      <c r="R53" s="1475"/>
      <c r="S53" s="1475"/>
      <c r="T53" s="1475"/>
      <c r="U53" s="1475"/>
      <c r="V53" s="1475"/>
      <c r="W53" s="1475"/>
      <c r="X53" s="1475"/>
      <c r="Y53" s="1475"/>
      <c r="Z53" s="1475"/>
      <c r="AA53" s="1475"/>
      <c r="AB53" s="1475"/>
      <c r="AC53" s="1475"/>
      <c r="AD53" s="1475"/>
      <c r="AE53" s="1475"/>
    </row>
    <row r="54" spans="1:31" ht="16.5" customHeight="1">
      <c r="A54" s="55">
        <v>52</v>
      </c>
      <c r="B54" s="1431"/>
      <c r="C54" s="221" t="s">
        <v>488</v>
      </c>
      <c r="D54" s="203" t="e">
        <f>#REF!</f>
        <v>#REF!</v>
      </c>
      <c r="E54" s="200"/>
      <c r="H54" s="1476" t="s">
        <v>636</v>
      </c>
      <c r="I54" s="1476"/>
      <c r="J54" s="1476"/>
      <c r="K54" s="1476"/>
      <c r="L54" s="1477"/>
      <c r="M54" s="1478"/>
      <c r="N54" s="1479"/>
      <c r="O54" s="1479"/>
      <c r="P54" s="1479"/>
      <c r="Q54" s="1479"/>
      <c r="R54" s="1479"/>
      <c r="S54" s="1479"/>
      <c r="T54" s="1479"/>
      <c r="U54" s="1479"/>
      <c r="V54" s="1479"/>
      <c r="W54" s="1479"/>
      <c r="X54" s="1479"/>
      <c r="Y54" s="1479"/>
      <c r="Z54" s="1479"/>
      <c r="AA54" s="1479"/>
      <c r="AB54" s="1479"/>
      <c r="AC54" s="1479"/>
      <c r="AD54" s="1479"/>
      <c r="AE54" s="1479"/>
    </row>
    <row r="55" spans="1:31" ht="16.5" customHeight="1">
      <c r="A55" s="55">
        <v>53</v>
      </c>
      <c r="B55" s="1431"/>
      <c r="C55" s="221" t="s">
        <v>489</v>
      </c>
      <c r="D55" s="223" t="e">
        <f>#REF!</f>
        <v>#REF!</v>
      </c>
      <c r="E55" s="200"/>
      <c r="H55" s="1480" t="s">
        <v>637</v>
      </c>
      <c r="I55" s="1480"/>
      <c r="J55" s="1480"/>
      <c r="K55" s="1480"/>
      <c r="L55" s="1481"/>
      <c r="M55" s="1482" t="s">
        <v>638</v>
      </c>
      <c r="N55" s="1480"/>
      <c r="O55" s="1480"/>
      <c r="P55" s="1481"/>
      <c r="Q55" s="1482" t="s">
        <v>639</v>
      </c>
      <c r="R55" s="1480"/>
      <c r="S55" s="1480"/>
      <c r="T55" s="1480"/>
      <c r="U55" s="1480"/>
      <c r="V55" s="1480"/>
      <c r="W55" s="1480"/>
      <c r="X55" s="1480"/>
      <c r="Y55" s="1480"/>
      <c r="Z55" s="1480"/>
      <c r="AA55" s="1480"/>
      <c r="AB55" s="1480"/>
      <c r="AC55" s="1480"/>
      <c r="AD55" s="1481"/>
      <c r="AE55" s="255" t="s">
        <v>640</v>
      </c>
    </row>
    <row r="56" spans="1:31" ht="16.5" customHeight="1">
      <c r="A56" s="55">
        <v>54</v>
      </c>
      <c r="B56" s="1431"/>
      <c r="C56" s="224" t="s">
        <v>490</v>
      </c>
      <c r="D56" s="212" t="e">
        <f>#REF!</f>
        <v>#REF!</v>
      </c>
      <c r="E56" s="202"/>
      <c r="H56" s="1428" t="s">
        <v>641</v>
      </c>
      <c r="I56" s="1428"/>
      <c r="J56" s="1428"/>
      <c r="K56" s="1428"/>
      <c r="L56" s="1429"/>
      <c r="M56" s="1427" t="s">
        <v>642</v>
      </c>
      <c r="N56" s="1428"/>
      <c r="O56" s="1428"/>
      <c r="P56" s="1429"/>
      <c r="Q56" s="1427" t="s">
        <v>643</v>
      </c>
      <c r="R56" s="1428"/>
      <c r="S56" s="1428"/>
      <c r="T56" s="1428"/>
      <c r="U56" s="1428"/>
      <c r="V56" s="1428"/>
      <c r="W56" s="1428"/>
      <c r="X56" s="1428"/>
      <c r="Y56" s="1428"/>
      <c r="Z56" s="1428"/>
      <c r="AA56" s="1428"/>
      <c r="AB56" s="1428"/>
      <c r="AC56" s="1428"/>
      <c r="AD56" s="1429"/>
      <c r="AE56" s="256" t="s">
        <v>644</v>
      </c>
    </row>
    <row r="57" spans="1:31" ht="16.5" customHeight="1">
      <c r="A57" s="55">
        <v>55</v>
      </c>
      <c r="B57" s="1431"/>
      <c r="C57" s="221" t="s">
        <v>491</v>
      </c>
      <c r="D57" s="212" t="e">
        <f>#REF!</f>
        <v>#REF!</v>
      </c>
      <c r="E57" s="202"/>
      <c r="H57" s="1415" t="str">
        <f t="shared" ref="H57:H66" si="4">B63</f>
        <v>정지우(910699-1891360)</v>
      </c>
      <c r="I57" s="1415"/>
      <c r="J57" s="1415"/>
      <c r="K57" s="1415"/>
      <c r="L57" s="1416"/>
      <c r="M57" s="1417" t="e">
        <f>C63</f>
        <v>#REF!</v>
      </c>
      <c r="N57" s="1415"/>
      <c r="O57" s="1415"/>
      <c r="P57" s="1416"/>
      <c r="Q57" s="1418" t="e">
        <f>D63</f>
        <v>#REF!</v>
      </c>
      <c r="R57" s="1415"/>
      <c r="S57" s="1415"/>
      <c r="T57" s="1415"/>
      <c r="U57" s="1415"/>
      <c r="V57" s="1415"/>
      <c r="W57" s="1415"/>
      <c r="X57" s="1415"/>
      <c r="Y57" s="1415"/>
      <c r="Z57" s="1415"/>
      <c r="AA57" s="1415"/>
      <c r="AB57" s="1415"/>
      <c r="AC57" s="1415"/>
      <c r="AD57" s="1416"/>
      <c r="AE57" s="237"/>
    </row>
    <row r="58" spans="1:31" ht="16.5" customHeight="1" thickBot="1">
      <c r="A58" s="55">
        <v>56</v>
      </c>
      <c r="B58" s="1432"/>
      <c r="C58" s="225" t="s">
        <v>492</v>
      </c>
      <c r="D58" s="204" t="e">
        <f>#REF!</f>
        <v>#REF!</v>
      </c>
      <c r="E58" s="201"/>
      <c r="H58" s="1415" t="str">
        <f t="shared" si="4"/>
        <v>박예은(000899-4865061)</v>
      </c>
      <c r="I58" s="1415"/>
      <c r="J58" s="1415"/>
      <c r="K58" s="1415"/>
      <c r="L58" s="1416"/>
      <c r="M58" s="1417" t="e">
        <f t="shared" ref="M58:M66" si="5">C64</f>
        <v>#REF!</v>
      </c>
      <c r="N58" s="1415"/>
      <c r="O58" s="1415"/>
      <c r="P58" s="1416"/>
      <c r="Q58" s="1418" t="e">
        <f t="shared" ref="Q58:Q66" si="6">D64</f>
        <v>#REF!</v>
      </c>
      <c r="R58" s="1415"/>
      <c r="S58" s="1415"/>
      <c r="T58" s="1415"/>
      <c r="U58" s="1415"/>
      <c r="V58" s="1415"/>
      <c r="W58" s="1415"/>
      <c r="X58" s="1415"/>
      <c r="Y58" s="1415"/>
      <c r="Z58" s="1415"/>
      <c r="AA58" s="1415"/>
      <c r="AB58" s="1415"/>
      <c r="AC58" s="1415"/>
      <c r="AD58" s="1416"/>
      <c r="AE58" s="237"/>
    </row>
    <row r="59" spans="1:31" ht="16.5" customHeight="1">
      <c r="A59" s="55">
        <v>57</v>
      </c>
      <c r="H59" s="1415" t="str">
        <f t="shared" si="4"/>
        <v>최현우(921299-2639872)</v>
      </c>
      <c r="I59" s="1415"/>
      <c r="J59" s="1415"/>
      <c r="K59" s="1415"/>
      <c r="L59" s="1416"/>
      <c r="M59" s="1417" t="e">
        <f t="shared" si="5"/>
        <v>#REF!</v>
      </c>
      <c r="N59" s="1415"/>
      <c r="O59" s="1415"/>
      <c r="P59" s="1416"/>
      <c r="Q59" s="1418" t="e">
        <f t="shared" si="6"/>
        <v>#REF!</v>
      </c>
      <c r="R59" s="1415"/>
      <c r="S59" s="1415"/>
      <c r="T59" s="1415"/>
      <c r="U59" s="1415"/>
      <c r="V59" s="1415"/>
      <c r="W59" s="1415"/>
      <c r="X59" s="1415"/>
      <c r="Y59" s="1415"/>
      <c r="Z59" s="1415"/>
      <c r="AA59" s="1415"/>
      <c r="AB59" s="1415"/>
      <c r="AC59" s="1415"/>
      <c r="AD59" s="1416"/>
      <c r="AE59" s="237"/>
    </row>
    <row r="60" spans="1:31" ht="16.5" customHeight="1">
      <c r="A60" s="55">
        <v>58</v>
      </c>
      <c r="B60" s="1120" t="s">
        <v>565</v>
      </c>
      <c r="C60" s="1121"/>
      <c r="D60" s="1121"/>
      <c r="E60" s="1121"/>
      <c r="H60" s="1415" t="str">
        <f t="shared" si="4"/>
        <v>이현우(901199-1109002)</v>
      </c>
      <c r="I60" s="1415"/>
      <c r="J60" s="1415"/>
      <c r="K60" s="1415"/>
      <c r="L60" s="1416"/>
      <c r="M60" s="1417" t="e">
        <f t="shared" si="5"/>
        <v>#REF!</v>
      </c>
      <c r="N60" s="1415"/>
      <c r="O60" s="1415"/>
      <c r="P60" s="1416"/>
      <c r="Q60" s="1418" t="e">
        <f t="shared" si="6"/>
        <v>#REF!</v>
      </c>
      <c r="R60" s="1415"/>
      <c r="S60" s="1415"/>
      <c r="T60" s="1415"/>
      <c r="U60" s="1415"/>
      <c r="V60" s="1415"/>
      <c r="W60" s="1415"/>
      <c r="X60" s="1415"/>
      <c r="Y60" s="1415"/>
      <c r="Z60" s="1415"/>
      <c r="AA60" s="1415"/>
      <c r="AB60" s="1415"/>
      <c r="AC60" s="1415"/>
      <c r="AD60" s="1416"/>
      <c r="AE60" s="237"/>
    </row>
    <row r="61" spans="1:31" ht="16.5" customHeight="1" thickBot="1">
      <c r="A61" s="55">
        <v>59</v>
      </c>
      <c r="B61" s="1122"/>
      <c r="C61" s="1123"/>
      <c r="D61" s="1123"/>
      <c r="E61" s="1123"/>
      <c r="H61" s="1415" t="str">
        <f t="shared" si="4"/>
        <v>최예은(941099-1190164)</v>
      </c>
      <c r="I61" s="1415"/>
      <c r="J61" s="1415"/>
      <c r="K61" s="1415"/>
      <c r="L61" s="1416"/>
      <c r="M61" s="1417" t="e">
        <f t="shared" si="5"/>
        <v>#REF!</v>
      </c>
      <c r="N61" s="1415"/>
      <c r="O61" s="1415"/>
      <c r="P61" s="1416"/>
      <c r="Q61" s="1418" t="e">
        <f t="shared" si="6"/>
        <v>#REF!</v>
      </c>
      <c r="R61" s="1415"/>
      <c r="S61" s="1415"/>
      <c r="T61" s="1415"/>
      <c r="U61" s="1415"/>
      <c r="V61" s="1415"/>
      <c r="W61" s="1415"/>
      <c r="X61" s="1415"/>
      <c r="Y61" s="1415"/>
      <c r="Z61" s="1415"/>
      <c r="AA61" s="1415"/>
      <c r="AB61" s="1415"/>
      <c r="AC61" s="1415"/>
      <c r="AD61" s="1416"/>
      <c r="AE61" s="237"/>
    </row>
    <row r="62" spans="1:31" ht="16.5" customHeight="1" thickTop="1">
      <c r="A62" s="55">
        <v>60</v>
      </c>
      <c r="B62" s="206" t="s">
        <v>493</v>
      </c>
      <c r="C62" s="206" t="s">
        <v>494</v>
      </c>
      <c r="D62" s="206" t="s">
        <v>495</v>
      </c>
      <c r="E62" s="207" t="s">
        <v>496</v>
      </c>
      <c r="H62" s="1415" t="str">
        <f t="shared" si="4"/>
        <v>()</v>
      </c>
      <c r="I62" s="1415"/>
      <c r="J62" s="1415"/>
      <c r="K62" s="1415"/>
      <c r="L62" s="1416"/>
      <c r="M62" s="1417" t="e">
        <f t="shared" si="5"/>
        <v>#REF!</v>
      </c>
      <c r="N62" s="1415"/>
      <c r="O62" s="1415"/>
      <c r="P62" s="1416"/>
      <c r="Q62" s="1418" t="e">
        <f t="shared" si="6"/>
        <v>#REF!</v>
      </c>
      <c r="R62" s="1415"/>
      <c r="S62" s="1415"/>
      <c r="T62" s="1415"/>
      <c r="U62" s="1415"/>
      <c r="V62" s="1415"/>
      <c r="W62" s="1415"/>
      <c r="X62" s="1415"/>
      <c r="Y62" s="1415"/>
      <c r="Z62" s="1415"/>
      <c r="AA62" s="1415"/>
      <c r="AB62" s="1415"/>
      <c r="AC62" s="1415"/>
      <c r="AD62" s="1416"/>
      <c r="AE62" s="237"/>
    </row>
    <row r="63" spans="1:31" ht="16.5" customHeight="1">
      <c r="A63" s="55">
        <v>61</v>
      </c>
      <c r="B63" s="228" t="str">
        <f>참여자명단!G13 &amp;"(" &amp; 참여자명단!H13 &amp; ")"</f>
        <v>정지우(910699-1891360)</v>
      </c>
      <c r="C63" s="208" t="e">
        <f>TEXT(LEFT(#REF!, 4), "0000") &amp; "년 " &amp; TEXT(MID(#REF!, 6, 2), "0") &amp; "월 " &amp; TEXT(RIGHT(#REF!, 2), "0") &amp; "일"</f>
        <v>#REF!</v>
      </c>
      <c r="D63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3" s="209"/>
      <c r="H63" s="1415" t="str">
        <f t="shared" si="4"/>
        <v>()</v>
      </c>
      <c r="I63" s="1415"/>
      <c r="J63" s="1415"/>
      <c r="K63" s="1415"/>
      <c r="L63" s="1416"/>
      <c r="M63" s="1417" t="e">
        <f t="shared" si="5"/>
        <v>#REF!</v>
      </c>
      <c r="N63" s="1415"/>
      <c r="O63" s="1415"/>
      <c r="P63" s="1416"/>
      <c r="Q63" s="1418" t="e">
        <f t="shared" si="6"/>
        <v>#REF!</v>
      </c>
      <c r="R63" s="1415"/>
      <c r="S63" s="1415"/>
      <c r="T63" s="1415"/>
      <c r="U63" s="1415"/>
      <c r="V63" s="1415"/>
      <c r="W63" s="1415"/>
      <c r="X63" s="1415"/>
      <c r="Y63" s="1415"/>
      <c r="Z63" s="1415"/>
      <c r="AA63" s="1415"/>
      <c r="AB63" s="1415"/>
      <c r="AC63" s="1415"/>
      <c r="AD63" s="1416"/>
      <c r="AE63" s="237"/>
    </row>
    <row r="64" spans="1:31" ht="16.5" customHeight="1">
      <c r="A64" s="55">
        <v>62</v>
      </c>
      <c r="B64" s="228" t="str">
        <f>참여자명단!G14 &amp;"(" &amp; 참여자명단!H14 &amp; ")"</f>
        <v>박예은(000899-4865061)</v>
      </c>
      <c r="C64" s="208" t="e">
        <f>TEXT(LEFT(#REF!, 4), "0000") &amp; "년 " &amp; TEXT(MID(#REF!, 6, 2), "0") &amp; "월 " &amp; TEXT(RIGHT(#REF!, 2), "0") &amp; "일"</f>
        <v>#REF!</v>
      </c>
      <c r="D64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4" s="209"/>
      <c r="H64" s="1415" t="str">
        <f t="shared" si="4"/>
        <v>()</v>
      </c>
      <c r="I64" s="1415"/>
      <c r="J64" s="1415"/>
      <c r="K64" s="1415"/>
      <c r="L64" s="1416"/>
      <c r="M64" s="1417" t="e">
        <f t="shared" si="5"/>
        <v>#REF!</v>
      </c>
      <c r="N64" s="1415"/>
      <c r="O64" s="1415"/>
      <c r="P64" s="1416"/>
      <c r="Q64" s="1418" t="e">
        <f t="shared" si="6"/>
        <v>#REF!</v>
      </c>
      <c r="R64" s="1415"/>
      <c r="S64" s="1415"/>
      <c r="T64" s="1415"/>
      <c r="U64" s="1415"/>
      <c r="V64" s="1415"/>
      <c r="W64" s="1415"/>
      <c r="X64" s="1415"/>
      <c r="Y64" s="1415"/>
      <c r="Z64" s="1415"/>
      <c r="AA64" s="1415"/>
      <c r="AB64" s="1415"/>
      <c r="AC64" s="1415"/>
      <c r="AD64" s="1416"/>
      <c r="AE64" s="237"/>
    </row>
    <row r="65" spans="1:31" ht="16.5" customHeight="1">
      <c r="A65" s="55">
        <v>63</v>
      </c>
      <c r="B65" s="228" t="str">
        <f>참여자명단!G15 &amp;"(" &amp; 참여자명단!H15 &amp; ")"</f>
        <v>최현우(921299-2639872)</v>
      </c>
      <c r="C65" s="208" t="e">
        <f>TEXT(LEFT(#REF!, 4), "0000") &amp; "년 " &amp; TEXT(MID(#REF!, 6, 2), "0") &amp; "월 " &amp; TEXT(RIGHT(#REF!, 2), "0") &amp; "일"</f>
        <v>#REF!</v>
      </c>
      <c r="D65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5" s="209"/>
      <c r="H65" s="1415" t="str">
        <f t="shared" si="4"/>
        <v>()</v>
      </c>
      <c r="I65" s="1415"/>
      <c r="J65" s="1415"/>
      <c r="K65" s="1415"/>
      <c r="L65" s="1416"/>
      <c r="M65" s="1417" t="e">
        <f t="shared" si="5"/>
        <v>#REF!</v>
      </c>
      <c r="N65" s="1415"/>
      <c r="O65" s="1415"/>
      <c r="P65" s="1416"/>
      <c r="Q65" s="1418" t="e">
        <f t="shared" si="6"/>
        <v>#REF!</v>
      </c>
      <c r="R65" s="1415"/>
      <c r="S65" s="1415"/>
      <c r="T65" s="1415"/>
      <c r="U65" s="1415"/>
      <c r="V65" s="1415"/>
      <c r="W65" s="1415"/>
      <c r="X65" s="1415"/>
      <c r="Y65" s="1415"/>
      <c r="Z65" s="1415"/>
      <c r="AA65" s="1415"/>
      <c r="AB65" s="1415"/>
      <c r="AC65" s="1415"/>
      <c r="AD65" s="1416"/>
      <c r="AE65" s="237"/>
    </row>
    <row r="66" spans="1:31" ht="16.5" customHeight="1">
      <c r="A66" s="55">
        <v>64</v>
      </c>
      <c r="B66" s="228" t="str">
        <f>참여자명단!G16 &amp;"(" &amp; 참여자명단!H16 &amp; ")"</f>
        <v>이현우(901199-1109002)</v>
      </c>
      <c r="C66" s="208" t="e">
        <f>TEXT(LEFT(#REF!, 4), "0000") &amp; "년 " &amp; TEXT(MID(#REF!, 6, 2), "0") &amp; "월 " &amp; TEXT(RIGHT(#REF!, 2), "0") &amp; "일"</f>
        <v>#REF!</v>
      </c>
      <c r="D66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6" s="209"/>
      <c r="H66" s="1415" t="str">
        <f t="shared" si="4"/>
        <v>()</v>
      </c>
      <c r="I66" s="1415"/>
      <c r="J66" s="1415"/>
      <c r="K66" s="1415"/>
      <c r="L66" s="1416"/>
      <c r="M66" s="1417" t="e">
        <f t="shared" si="5"/>
        <v>#REF!</v>
      </c>
      <c r="N66" s="1415"/>
      <c r="O66" s="1415"/>
      <c r="P66" s="1416"/>
      <c r="Q66" s="1418" t="e">
        <f t="shared" si="6"/>
        <v>#REF!</v>
      </c>
      <c r="R66" s="1415"/>
      <c r="S66" s="1415"/>
      <c r="T66" s="1415"/>
      <c r="U66" s="1415"/>
      <c r="V66" s="1415"/>
      <c r="W66" s="1415"/>
      <c r="X66" s="1415"/>
      <c r="Y66" s="1415"/>
      <c r="Z66" s="1415"/>
      <c r="AA66" s="1415"/>
      <c r="AB66" s="1415"/>
      <c r="AC66" s="1415"/>
      <c r="AD66" s="1416"/>
      <c r="AE66" s="237"/>
    </row>
    <row r="67" spans="1:31" ht="16.5" customHeight="1">
      <c r="A67" s="55">
        <v>65</v>
      </c>
      <c r="B67" s="228" t="str">
        <f>참여자명단!G17 &amp;"(" &amp; 참여자명단!H17 &amp; ")"</f>
        <v>최예은(941099-1190164)</v>
      </c>
      <c r="C67" s="208" t="e">
        <f>TEXT(LEFT(#REF!, 4), "0000") &amp; "년 " &amp; TEXT(MID(#REF!, 6, 2), "0") &amp; "월 " &amp; TEXT(RIGHT(#REF!, 2), "0") &amp; "일"</f>
        <v>#REF!</v>
      </c>
      <c r="D67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7" s="209"/>
      <c r="H67" s="1419" t="s">
        <v>646</v>
      </c>
      <c r="I67" s="1419"/>
      <c r="J67" s="1419"/>
      <c r="K67" s="1419"/>
      <c r="L67" s="1419"/>
      <c r="M67" s="1419"/>
      <c r="N67" s="1419"/>
      <c r="O67" s="1419"/>
      <c r="P67" s="1419" t="s">
        <v>671</v>
      </c>
      <c r="Q67" s="1419"/>
      <c r="R67" s="1419"/>
      <c r="S67" s="1419"/>
      <c r="T67" s="1419"/>
      <c r="U67" s="1419"/>
      <c r="V67" s="1419"/>
      <c r="W67" s="1419" t="s">
        <v>648</v>
      </c>
      <c r="X67" s="1419"/>
      <c r="Y67" s="1419"/>
      <c r="Z67" s="1419"/>
      <c r="AA67" s="1419" t="s">
        <v>672</v>
      </c>
      <c r="AB67" s="1419"/>
      <c r="AC67" s="1419"/>
      <c r="AD67" s="1419"/>
      <c r="AE67" s="1419"/>
    </row>
    <row r="68" spans="1:31" ht="16.5" customHeight="1">
      <c r="A68" s="55">
        <v>66</v>
      </c>
      <c r="B68" s="228" t="str">
        <f>참여자명단!F18 &amp;"(" &amp; 참여자명단!G18 &amp; ")"</f>
        <v>()</v>
      </c>
      <c r="C68" s="208" t="e">
        <f>TEXT(LEFT(#REF!, 4), "0000") &amp; "년 " &amp; TEXT(MID(#REF!, 6, 2), "0") &amp; "월 " &amp; TEXT(RIGHT(#REF!, 2), "0") &amp; "일"</f>
        <v>#REF!</v>
      </c>
      <c r="D68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8" s="209"/>
      <c r="H68" s="1420"/>
      <c r="I68" s="1420"/>
      <c r="J68" s="1420"/>
      <c r="K68" s="1420"/>
      <c r="L68" s="1420"/>
      <c r="M68" s="1420"/>
      <c r="N68" s="1420"/>
      <c r="O68" s="1420"/>
      <c r="P68" s="1420"/>
      <c r="Q68" s="1420"/>
      <c r="R68" s="1420"/>
      <c r="S68" s="1420"/>
      <c r="T68" s="1420"/>
      <c r="U68" s="1420"/>
      <c r="V68" s="1420"/>
      <c r="W68" s="1420"/>
      <c r="X68" s="1420"/>
      <c r="Y68" s="1420"/>
      <c r="Z68" s="1420"/>
      <c r="AA68" s="1420"/>
      <c r="AB68" s="1420"/>
      <c r="AC68" s="1420"/>
      <c r="AD68" s="1420"/>
      <c r="AE68" s="1420"/>
    </row>
    <row r="69" spans="1:31" ht="16.5" customHeight="1">
      <c r="A69" s="55">
        <v>67</v>
      </c>
      <c r="B69" s="228" t="str">
        <f>참여자명단!F19 &amp;"(" &amp; 참여자명단!G19 &amp; ")"</f>
        <v>()</v>
      </c>
      <c r="C69" s="208" t="e">
        <f>TEXT(LEFT(#REF!, 4), "0000") &amp; "년 " &amp; TEXT(MID(#REF!, 6, 2), "0") &amp; "월 " &amp; TEXT(RIGHT(#REF!, 2), "0") &amp; "일"</f>
        <v>#REF!</v>
      </c>
      <c r="D69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9" s="209"/>
      <c r="H69" s="1421" t="s">
        <v>650</v>
      </c>
      <c r="I69" s="1421"/>
      <c r="J69" s="1421"/>
      <c r="K69" s="1421"/>
      <c r="L69" s="1422"/>
      <c r="M69" s="1423" t="e">
        <f>"(" &amp; D56 &amp; ")" &amp; "은행"</f>
        <v>#REF!</v>
      </c>
      <c r="N69" s="1424"/>
      <c r="O69" s="1424"/>
      <c r="P69" s="1424"/>
      <c r="Q69" s="1424"/>
      <c r="R69" s="1424"/>
      <c r="S69" s="1425" t="e">
        <f>D57</f>
        <v>#REF!</v>
      </c>
      <c r="T69" s="1425"/>
      <c r="U69" s="1425"/>
      <c r="V69" s="1425"/>
      <c r="W69" s="1425"/>
      <c r="X69" s="1425"/>
      <c r="Y69" s="1425"/>
      <c r="Z69" s="1425"/>
      <c r="AA69" s="1425"/>
      <c r="AB69" s="1425"/>
      <c r="AC69" s="1426" t="e">
        <f xml:space="preserve"> "(예금주 :" &amp; D58 &amp; ")"</f>
        <v>#REF!</v>
      </c>
      <c r="AD69" s="1426"/>
      <c r="AE69" s="1426"/>
    </row>
    <row r="70" spans="1:31" ht="16.5" customHeight="1">
      <c r="A70" s="55">
        <v>68</v>
      </c>
      <c r="B70" s="228" t="str">
        <f>참여자명단!F20 &amp;"(" &amp; 참여자명단!G20 &amp; ")"</f>
        <v>()</v>
      </c>
      <c r="C70" s="208" t="e">
        <f>TEXT(LEFT(#REF!, 4), "0000") &amp; "년 " &amp; TEXT(MID(#REF!, 6, 2), "0") &amp; "월 " &amp; TEXT(RIGHT(#REF!, 2), "0") &amp; "일"</f>
        <v>#REF!</v>
      </c>
      <c r="D70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0" s="209"/>
      <c r="H70" s="1406"/>
      <c r="I70" s="1406"/>
      <c r="J70" s="1406"/>
      <c r="K70" s="1406"/>
      <c r="L70" s="1406"/>
      <c r="M70" s="1406"/>
      <c r="N70" s="1406"/>
      <c r="O70" s="1406"/>
      <c r="P70" s="1406"/>
      <c r="Q70" s="1406"/>
      <c r="R70" s="1406"/>
      <c r="S70" s="1406"/>
      <c r="T70" s="1406"/>
      <c r="U70" s="1406"/>
      <c r="V70" s="1406"/>
      <c r="W70" s="1406"/>
      <c r="X70" s="1406"/>
      <c r="Y70" s="1406"/>
      <c r="Z70" s="1406"/>
      <c r="AA70" s="1406"/>
      <c r="AB70" s="1406"/>
      <c r="AC70" s="1406"/>
      <c r="AD70" s="1406"/>
      <c r="AE70" s="1406"/>
    </row>
    <row r="71" spans="1:31" ht="16.5" customHeight="1">
      <c r="A71" s="55">
        <v>69</v>
      </c>
      <c r="B71" s="228" t="str">
        <f>참여자명단!F21 &amp;"(" &amp; 참여자명단!G21 &amp; ")"</f>
        <v>()</v>
      </c>
      <c r="C71" s="208" t="e">
        <f>TEXT(LEFT(#REF!, 4), "0000") &amp; "년 " &amp; TEXT(MID(#REF!, 6, 2), "0") &amp; "월 " &amp; TEXT(RIGHT(#REF!, 2), "0") &amp; "일"</f>
        <v>#REF!</v>
      </c>
      <c r="D71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1" s="209"/>
      <c r="H71" s="1407" t="s">
        <v>651</v>
      </c>
      <c r="I71" s="1407"/>
      <c r="J71" s="1407"/>
      <c r="K71" s="1407"/>
      <c r="L71" s="1407"/>
      <c r="M71" s="1407"/>
      <c r="N71" s="1407"/>
      <c r="O71" s="1407"/>
      <c r="P71" s="1407"/>
      <c r="Q71" s="1407"/>
      <c r="R71" s="1407"/>
      <c r="S71" s="1407"/>
      <c r="T71" s="1407"/>
      <c r="U71" s="1407"/>
      <c r="V71" s="1407"/>
      <c r="W71" s="1407"/>
      <c r="X71" s="1407"/>
      <c r="Y71" s="1407"/>
      <c r="Z71" s="1407"/>
      <c r="AA71" s="1407"/>
      <c r="AB71" s="1407"/>
      <c r="AC71" s="1407"/>
      <c r="AD71" s="1407"/>
      <c r="AE71" s="1407"/>
    </row>
    <row r="72" spans="1:31" ht="15.75" thickBot="1">
      <c r="A72" s="55">
        <v>70</v>
      </c>
      <c r="B72" s="231" t="str">
        <f>참여자명단!F22 &amp;"(" &amp; 참여자명단!G22 &amp; ")"</f>
        <v>()</v>
      </c>
      <c r="C72" s="226" t="e">
        <f>TEXT(LEFT(#REF!, 4), "0000") &amp; "년 " &amp; TEXT(MID(#REF!, 6, 2), "0") &amp; "월 " &amp; TEXT(RIGHT(#REF!, 2), "0") &amp; "일"</f>
        <v>#REF!</v>
      </c>
      <c r="D72" s="230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2" s="227"/>
      <c r="H72" s="1408" t="s">
        <v>652</v>
      </c>
      <c r="I72" s="1408"/>
      <c r="J72" s="1408"/>
      <c r="K72" s="1408"/>
      <c r="L72" s="1408"/>
      <c r="M72" s="1408"/>
      <c r="N72" s="1408"/>
      <c r="O72" s="1408"/>
      <c r="P72" s="1408"/>
      <c r="Q72" s="1408"/>
      <c r="R72" s="1408"/>
      <c r="S72" s="1408"/>
      <c r="T72" s="1408"/>
      <c r="U72" s="1408"/>
      <c r="V72" s="1408"/>
      <c r="W72" s="1408"/>
      <c r="X72" s="1408"/>
      <c r="Y72" s="1408"/>
      <c r="Z72" s="1408"/>
      <c r="AA72" s="1408"/>
      <c r="AB72" s="1408"/>
      <c r="AC72" s="1408"/>
      <c r="AD72" s="1408"/>
      <c r="AE72" s="1408"/>
    </row>
    <row r="73" spans="1:31" ht="15.75">
      <c r="A73" s="55">
        <v>71</v>
      </c>
      <c r="B73" s="39"/>
      <c r="C73" s="39"/>
      <c r="D73" s="39"/>
      <c r="E73" s="39"/>
      <c r="H73" s="1409"/>
      <c r="I73" s="1409"/>
      <c r="J73" s="1409"/>
      <c r="K73" s="1409"/>
      <c r="L73" s="1409"/>
      <c r="M73" s="1409"/>
      <c r="N73" s="1409"/>
      <c r="O73" s="1409"/>
      <c r="P73" s="1409"/>
      <c r="Q73" s="1409"/>
      <c r="R73" s="1409"/>
      <c r="S73" s="1409"/>
      <c r="T73" s="1410" t="s">
        <v>653</v>
      </c>
      <c r="U73" s="1410"/>
      <c r="V73" s="1410"/>
      <c r="W73" s="1410"/>
      <c r="X73" s="1410"/>
      <c r="Y73" s="1410"/>
      <c r="Z73" s="1411" t="e">
        <f>D48</f>
        <v>#REF!</v>
      </c>
      <c r="AA73" s="1411"/>
      <c r="AB73" s="1411"/>
      <c r="AC73" s="1411"/>
      <c r="AD73" s="1411"/>
      <c r="AE73" s="259" t="s">
        <v>654</v>
      </c>
    </row>
    <row r="74" spans="1:31" ht="16.5" customHeight="1" thickBot="1">
      <c r="A74" s="55">
        <v>72</v>
      </c>
      <c r="B74" s="39"/>
      <c r="C74" s="39"/>
      <c r="D74" s="39"/>
      <c r="E74" s="39"/>
      <c r="H74" s="1412" t="s">
        <v>655</v>
      </c>
      <c r="I74" s="1412"/>
      <c r="J74" s="1412"/>
      <c r="K74" s="1412"/>
      <c r="L74" s="1412"/>
      <c r="M74" s="1412"/>
      <c r="N74" s="1412"/>
      <c r="O74" s="1412"/>
      <c r="P74" s="1412"/>
      <c r="Q74" s="1412"/>
      <c r="R74" s="1412"/>
      <c r="S74" s="1412"/>
      <c r="T74" s="1412"/>
      <c r="U74" s="1412"/>
      <c r="V74" s="1412"/>
      <c r="W74" s="1412"/>
      <c r="X74" s="1412"/>
      <c r="Y74" s="1412"/>
      <c r="Z74" s="1412"/>
      <c r="AA74" s="1413" t="s">
        <v>656</v>
      </c>
      <c r="AB74" s="1413"/>
      <c r="AC74" s="1413"/>
      <c r="AD74" s="1413"/>
      <c r="AE74" s="1413"/>
    </row>
    <row r="75" spans="1:31" ht="16.5" customHeight="1" thickTop="1">
      <c r="A75" s="55">
        <v>73</v>
      </c>
      <c r="B75" s="39"/>
      <c r="C75" s="39"/>
      <c r="D75" s="39"/>
      <c r="E75" s="39"/>
      <c r="H75" s="1414"/>
      <c r="I75" s="1414"/>
      <c r="J75" s="1414"/>
      <c r="K75" s="1414"/>
      <c r="L75" s="1414"/>
      <c r="M75" s="1414"/>
      <c r="N75" s="1414"/>
      <c r="O75" s="1414"/>
      <c r="P75" s="1414"/>
      <c r="Q75" s="1414"/>
      <c r="R75" s="1414"/>
      <c r="S75" s="1414"/>
      <c r="T75" s="1414"/>
      <c r="U75" s="1414"/>
      <c r="V75" s="1414"/>
      <c r="W75" s="1414"/>
      <c r="X75" s="1414"/>
      <c r="Y75" s="1414"/>
      <c r="Z75" s="1414"/>
      <c r="AA75" s="1414"/>
      <c r="AB75" s="1414"/>
      <c r="AC75" s="1414"/>
      <c r="AD75" s="1414"/>
      <c r="AE75" s="1414"/>
    </row>
    <row r="76" spans="1:31" ht="16.5" customHeight="1">
      <c r="A76" s="55">
        <v>74</v>
      </c>
      <c r="B76" s="39"/>
      <c r="C76" s="39"/>
      <c r="D76" s="39"/>
      <c r="E76" s="39"/>
      <c r="H76" s="1388" t="s">
        <v>657</v>
      </c>
      <c r="I76" s="1388"/>
      <c r="J76" s="1389"/>
      <c r="K76" s="1392" t="s">
        <v>658</v>
      </c>
      <c r="L76" s="1393"/>
      <c r="M76" s="1393"/>
      <c r="N76" s="1393"/>
      <c r="O76" s="1393"/>
      <c r="P76" s="1393"/>
      <c r="Q76" s="1393"/>
      <c r="R76" s="1393"/>
      <c r="S76" s="1393"/>
      <c r="T76" s="1393"/>
      <c r="U76" s="1393"/>
      <c r="V76" s="1393"/>
      <c r="W76" s="1393"/>
      <c r="X76" s="1393"/>
      <c r="Y76" s="1393"/>
      <c r="Z76" s="1393"/>
      <c r="AA76" s="1393"/>
      <c r="AB76" s="1393"/>
      <c r="AC76" s="1393"/>
      <c r="AD76" s="1393"/>
      <c r="AE76" s="1393"/>
    </row>
    <row r="77" spans="1:31" ht="16.5" customHeight="1" thickBot="1">
      <c r="A77" s="55">
        <v>75</v>
      </c>
      <c r="B77" s="39"/>
      <c r="C77" s="39"/>
      <c r="D77" s="39"/>
      <c r="E77" s="39"/>
      <c r="H77" s="1390"/>
      <c r="I77" s="1390"/>
      <c r="J77" s="1391"/>
      <c r="K77" s="1394" t="s">
        <v>659</v>
      </c>
      <c r="L77" s="1395"/>
      <c r="M77" s="1395"/>
      <c r="N77" s="1395"/>
      <c r="O77" s="1395"/>
      <c r="P77" s="1395"/>
      <c r="Q77" s="1395"/>
      <c r="R77" s="1395"/>
      <c r="S77" s="1395"/>
      <c r="T77" s="1395"/>
      <c r="U77" s="1395"/>
      <c r="V77" s="1395"/>
      <c r="W77" s="1395"/>
      <c r="X77" s="1395"/>
      <c r="Y77" s="1395"/>
      <c r="Z77" s="1395"/>
      <c r="AA77" s="1395"/>
      <c r="AB77" s="1395"/>
      <c r="AC77" s="1395"/>
      <c r="AD77" s="1395"/>
      <c r="AE77" s="1395"/>
    </row>
    <row r="78" spans="1:31" ht="16.5" customHeight="1" thickBot="1">
      <c r="A78" s="55">
        <v>76</v>
      </c>
      <c r="H78" s="1396" t="s">
        <v>660</v>
      </c>
      <c r="I78" s="1396"/>
      <c r="J78" s="1396"/>
      <c r="K78" s="1396"/>
      <c r="L78" s="1396"/>
      <c r="M78" s="1396"/>
      <c r="N78" s="1396"/>
      <c r="O78" s="1396"/>
      <c r="P78" s="1396"/>
      <c r="Q78" s="1396"/>
      <c r="R78" s="1396"/>
      <c r="S78" s="1396"/>
      <c r="T78" s="1396"/>
      <c r="U78" s="1396"/>
      <c r="V78" s="1396"/>
      <c r="W78" s="1396"/>
      <c r="X78" s="1396"/>
      <c r="Y78" s="1396"/>
      <c r="Z78" s="1396"/>
      <c r="AA78" s="1396"/>
      <c r="AB78" s="1396"/>
      <c r="AC78" s="1396"/>
      <c r="AD78" s="1396"/>
      <c r="AE78" s="1396"/>
    </row>
    <row r="79" spans="1:31" ht="16.5" customHeight="1">
      <c r="A79" s="55">
        <v>77</v>
      </c>
      <c r="H79" s="1397" t="s">
        <v>661</v>
      </c>
      <c r="I79" s="1399" t="s">
        <v>662</v>
      </c>
      <c r="J79" s="1400"/>
      <c r="K79" s="1400"/>
      <c r="L79" s="1400"/>
      <c r="M79" s="1400"/>
      <c r="N79" s="1400"/>
      <c r="O79" s="1400"/>
      <c r="P79" s="1400"/>
      <c r="Q79" s="1401"/>
      <c r="R79" s="1399" t="s">
        <v>620</v>
      </c>
      <c r="S79" s="1400"/>
      <c r="T79" s="1400"/>
      <c r="U79" s="1400"/>
      <c r="V79" s="1400"/>
      <c r="W79" s="1400"/>
      <c r="X79" s="1401"/>
      <c r="Y79" s="1399" t="s">
        <v>663</v>
      </c>
      <c r="Z79" s="1400"/>
      <c r="AA79" s="1400"/>
      <c r="AB79" s="1400"/>
      <c r="AC79" s="1400"/>
      <c r="AD79" s="1400"/>
      <c r="AE79" s="1400"/>
    </row>
    <row r="80" spans="1:31" ht="16.5" customHeight="1">
      <c r="A80" s="55">
        <v>78</v>
      </c>
      <c r="H80" s="1398"/>
      <c r="I80" s="1384"/>
      <c r="J80" s="1385"/>
      <c r="K80" s="1385"/>
      <c r="L80" s="1385"/>
      <c r="M80" s="1385"/>
      <c r="N80" s="1385"/>
      <c r="O80" s="1385"/>
      <c r="P80" s="1385"/>
      <c r="Q80" s="1402"/>
      <c r="R80" s="1403"/>
      <c r="S80" s="1404"/>
      <c r="T80" s="1404"/>
      <c r="U80" s="1404"/>
      <c r="V80" s="1404"/>
      <c r="W80" s="1404"/>
      <c r="X80" s="1405"/>
      <c r="Y80" s="1384"/>
      <c r="Z80" s="1385"/>
      <c r="AA80" s="1385"/>
      <c r="AB80" s="1385"/>
      <c r="AC80" s="1385"/>
      <c r="AD80" s="1385"/>
      <c r="AE80" s="1385"/>
    </row>
    <row r="81" spans="1:31" ht="16.5" customHeight="1">
      <c r="A81" s="55">
        <v>79</v>
      </c>
      <c r="H81" s="1370" t="s">
        <v>664</v>
      </c>
      <c r="I81" s="1372" t="s">
        <v>665</v>
      </c>
      <c r="J81" s="1373"/>
      <c r="K81" s="1374"/>
      <c r="L81" s="1372"/>
      <c r="M81" s="1374"/>
      <c r="N81" s="1372" t="s">
        <v>666</v>
      </c>
      <c r="O81" s="1373"/>
      <c r="P81" s="1373"/>
      <c r="Q81" s="1374"/>
      <c r="R81" s="1372"/>
      <c r="S81" s="1373"/>
      <c r="T81" s="1373"/>
      <c r="U81" s="1374"/>
      <c r="V81" s="1372" t="s">
        <v>667</v>
      </c>
      <c r="W81" s="1373"/>
      <c r="X81" s="1374"/>
      <c r="Y81" s="1378"/>
      <c r="Z81" s="1379"/>
      <c r="AA81" s="1379"/>
      <c r="AB81" s="1379"/>
      <c r="AC81" s="1380"/>
      <c r="AD81" s="1384" t="s">
        <v>668</v>
      </c>
      <c r="AE81" s="1385"/>
    </row>
    <row r="82" spans="1:31" ht="16.5" customHeight="1" thickBot="1">
      <c r="A82" s="55">
        <v>80</v>
      </c>
      <c r="H82" s="1371"/>
      <c r="I82" s="1375"/>
      <c r="J82" s="1376"/>
      <c r="K82" s="1377"/>
      <c r="L82" s="1375"/>
      <c r="M82" s="1377"/>
      <c r="N82" s="1375"/>
      <c r="O82" s="1376"/>
      <c r="P82" s="1376"/>
      <c r="Q82" s="1377"/>
      <c r="R82" s="1375"/>
      <c r="S82" s="1376"/>
      <c r="T82" s="1376"/>
      <c r="U82" s="1377"/>
      <c r="V82" s="1375"/>
      <c r="W82" s="1376"/>
      <c r="X82" s="1377"/>
      <c r="Y82" s="1381"/>
      <c r="Z82" s="1382"/>
      <c r="AA82" s="1382"/>
      <c r="AB82" s="1382"/>
      <c r="AC82" s="1383"/>
      <c r="AD82" s="1386" t="s">
        <v>227</v>
      </c>
      <c r="AE82" s="1387"/>
    </row>
    <row r="83" spans="1:31" ht="16.5" customHeight="1">
      <c r="A83" s="55">
        <v>81</v>
      </c>
    </row>
  </sheetData>
  <sheetProtection algorithmName="SHA-512" hashValue="qHoEC+VBAJHtum6iYEi8P1q2hjSR8itYMqkR3QOZIbeHQZP0uGleEKxSGmMUVykCB6kDf/5Nf2yMRHh+/Z+ifQ==" saltValue="IRea8NO3Oe3G7moqPnf/vA==" spinCount="100000" sheet="1" objects="1" scenarios="1"/>
  <mergeCells count="214">
    <mergeCell ref="H14:L14"/>
    <mergeCell ref="M13:P13"/>
    <mergeCell ref="M14:P14"/>
    <mergeCell ref="Q13:AD13"/>
    <mergeCell ref="Q14:AD14"/>
    <mergeCell ref="AB3:AE3"/>
    <mergeCell ref="M10:N10"/>
    <mergeCell ref="O10:W10"/>
    <mergeCell ref="X10:AB10"/>
    <mergeCell ref="AC10:AE10"/>
    <mergeCell ref="H11:AE11"/>
    <mergeCell ref="H12:L12"/>
    <mergeCell ref="M12:AE12"/>
    <mergeCell ref="H13:L13"/>
    <mergeCell ref="B18:E19"/>
    <mergeCell ref="B2:E2"/>
    <mergeCell ref="D3:E3"/>
    <mergeCell ref="U7:AA7"/>
    <mergeCell ref="H4:AE4"/>
    <mergeCell ref="H5:L5"/>
    <mergeCell ref="M5:T5"/>
    <mergeCell ref="U5:AA5"/>
    <mergeCell ref="AB5:AE5"/>
    <mergeCell ref="AB6:AE7"/>
    <mergeCell ref="H6:L6"/>
    <mergeCell ref="H7:L7"/>
    <mergeCell ref="M6:T7"/>
    <mergeCell ref="U6:AA6"/>
    <mergeCell ref="H2:AE2"/>
    <mergeCell ref="U3:AA3"/>
    <mergeCell ref="H8:L8"/>
    <mergeCell ref="M8:AE8"/>
    <mergeCell ref="H9:L10"/>
    <mergeCell ref="M9:N9"/>
    <mergeCell ref="O9:W9"/>
    <mergeCell ref="X9:AB9"/>
    <mergeCell ref="AC9:AE9"/>
    <mergeCell ref="H3:T3"/>
    <mergeCell ref="H15:L15"/>
    <mergeCell ref="M15:P15"/>
    <mergeCell ref="Q15:AD15"/>
    <mergeCell ref="H16:L16"/>
    <mergeCell ref="M16:P16"/>
    <mergeCell ref="Q16:AD16"/>
    <mergeCell ref="H20:L20"/>
    <mergeCell ref="M20:P20"/>
    <mergeCell ref="Q20:AD20"/>
    <mergeCell ref="H17:L17"/>
    <mergeCell ref="H18:L18"/>
    <mergeCell ref="H19:L19"/>
    <mergeCell ref="M17:P17"/>
    <mergeCell ref="M18:P18"/>
    <mergeCell ref="M19:P19"/>
    <mergeCell ref="Q17:AD17"/>
    <mergeCell ref="Q18:AD18"/>
    <mergeCell ref="Q19:AD19"/>
    <mergeCell ref="H21:L21"/>
    <mergeCell ref="M21:P21"/>
    <mergeCell ref="Q21:AD21"/>
    <mergeCell ref="H22:L22"/>
    <mergeCell ref="M22:P22"/>
    <mergeCell ref="Q22:AD22"/>
    <mergeCell ref="H23:L23"/>
    <mergeCell ref="M23:P23"/>
    <mergeCell ref="Q23:AD23"/>
    <mergeCell ref="H24:L24"/>
    <mergeCell ref="M24:P24"/>
    <mergeCell ref="Q24:AD24"/>
    <mergeCell ref="H25:O25"/>
    <mergeCell ref="P25:V25"/>
    <mergeCell ref="W25:Z25"/>
    <mergeCell ref="AA25:AE25"/>
    <mergeCell ref="H26:AE26"/>
    <mergeCell ref="H27:L27"/>
    <mergeCell ref="M27:R27"/>
    <mergeCell ref="S27:AB27"/>
    <mergeCell ref="AC27:AE27"/>
    <mergeCell ref="H28:AE28"/>
    <mergeCell ref="H29:AE29"/>
    <mergeCell ref="H30:AE30"/>
    <mergeCell ref="H31:S31"/>
    <mergeCell ref="T31:Y31"/>
    <mergeCell ref="Z31:AD31"/>
    <mergeCell ref="H32:Z32"/>
    <mergeCell ref="AA32:AE32"/>
    <mergeCell ref="H33:AE33"/>
    <mergeCell ref="H34:J35"/>
    <mergeCell ref="K34:AE34"/>
    <mergeCell ref="K35:AE35"/>
    <mergeCell ref="H36:AE36"/>
    <mergeCell ref="H37:H38"/>
    <mergeCell ref="I37:Q37"/>
    <mergeCell ref="R37:X37"/>
    <mergeCell ref="Y37:AE37"/>
    <mergeCell ref="I38:Q38"/>
    <mergeCell ref="R38:X38"/>
    <mergeCell ref="Y38:AE38"/>
    <mergeCell ref="B44:E44"/>
    <mergeCell ref="D45:E45"/>
    <mergeCell ref="B60:E61"/>
    <mergeCell ref="V39:X40"/>
    <mergeCell ref="Y39:AC40"/>
    <mergeCell ref="AD39:AE39"/>
    <mergeCell ref="AD40:AE40"/>
    <mergeCell ref="H39:H40"/>
    <mergeCell ref="I39:K40"/>
    <mergeCell ref="L39:M40"/>
    <mergeCell ref="N39:Q40"/>
    <mergeCell ref="R39:U40"/>
    <mergeCell ref="M52:N52"/>
    <mergeCell ref="O52:W52"/>
    <mergeCell ref="X52:AB52"/>
    <mergeCell ref="AC52:AE52"/>
    <mergeCell ref="H53:AE53"/>
    <mergeCell ref="H54:L54"/>
    <mergeCell ref="M54:AE54"/>
    <mergeCell ref="H55:L55"/>
    <mergeCell ref="M55:P55"/>
    <mergeCell ref="Q55:AD55"/>
    <mergeCell ref="H56:L56"/>
    <mergeCell ref="M56:P56"/>
    <mergeCell ref="B4:B16"/>
    <mergeCell ref="B46:B58"/>
    <mergeCell ref="H44:AE44"/>
    <mergeCell ref="H45:T45"/>
    <mergeCell ref="U45:AA45"/>
    <mergeCell ref="AB45:AE45"/>
    <mergeCell ref="H46:AE46"/>
    <mergeCell ref="H47:L47"/>
    <mergeCell ref="M47:T47"/>
    <mergeCell ref="U47:AA47"/>
    <mergeCell ref="AB47:AE47"/>
    <mergeCell ref="H48:L48"/>
    <mergeCell ref="M48:T49"/>
    <mergeCell ref="U48:AA48"/>
    <mergeCell ref="AB48:AE49"/>
    <mergeCell ref="H49:L49"/>
    <mergeCell ref="U49:AA49"/>
    <mergeCell ref="H50:L50"/>
    <mergeCell ref="M50:AE50"/>
    <mergeCell ref="H51:L52"/>
    <mergeCell ref="M51:N51"/>
    <mergeCell ref="O51:W51"/>
    <mergeCell ref="X51:AB51"/>
    <mergeCell ref="AC51:AE51"/>
    <mergeCell ref="Q56:AD56"/>
    <mergeCell ref="H57:L57"/>
    <mergeCell ref="M57:P57"/>
    <mergeCell ref="Q57:AD57"/>
    <mergeCell ref="H58:L58"/>
    <mergeCell ref="M58:P58"/>
    <mergeCell ref="Q58:AD58"/>
    <mergeCell ref="H59:L59"/>
    <mergeCell ref="M59:P59"/>
    <mergeCell ref="Q59:AD59"/>
    <mergeCell ref="H60:L60"/>
    <mergeCell ref="M60:P60"/>
    <mergeCell ref="Q60:AD60"/>
    <mergeCell ref="H61:L61"/>
    <mergeCell ref="M61:P61"/>
    <mergeCell ref="Q61:AD61"/>
    <mergeCell ref="H62:L62"/>
    <mergeCell ref="M62:P62"/>
    <mergeCell ref="Q62:AD62"/>
    <mergeCell ref="H63:L63"/>
    <mergeCell ref="M63:P63"/>
    <mergeCell ref="Q63:AD63"/>
    <mergeCell ref="H64:L64"/>
    <mergeCell ref="M64:P64"/>
    <mergeCell ref="Q64:AD64"/>
    <mergeCell ref="H65:L65"/>
    <mergeCell ref="M65:P65"/>
    <mergeCell ref="Q65:AD65"/>
    <mergeCell ref="H66:L66"/>
    <mergeCell ref="M66:P66"/>
    <mergeCell ref="Q66:AD66"/>
    <mergeCell ref="H67:O67"/>
    <mergeCell ref="P67:V67"/>
    <mergeCell ref="W67:Z67"/>
    <mergeCell ref="AA67:AE67"/>
    <mergeCell ref="H68:AE68"/>
    <mergeCell ref="H69:L69"/>
    <mergeCell ref="M69:R69"/>
    <mergeCell ref="S69:AB69"/>
    <mergeCell ref="AC69:AE69"/>
    <mergeCell ref="H70:AE70"/>
    <mergeCell ref="H71:AE71"/>
    <mergeCell ref="H72:AE72"/>
    <mergeCell ref="H73:S73"/>
    <mergeCell ref="T73:Y73"/>
    <mergeCell ref="Z73:AD73"/>
    <mergeCell ref="H74:Z74"/>
    <mergeCell ref="AA74:AE74"/>
    <mergeCell ref="H75:AE75"/>
    <mergeCell ref="H76:J77"/>
    <mergeCell ref="K76:AE76"/>
    <mergeCell ref="K77:AE77"/>
    <mergeCell ref="H78:AE78"/>
    <mergeCell ref="H79:H80"/>
    <mergeCell ref="I79:Q79"/>
    <mergeCell ref="R79:X79"/>
    <mergeCell ref="Y79:AE79"/>
    <mergeCell ref="I80:Q80"/>
    <mergeCell ref="R80:X80"/>
    <mergeCell ref="Y80:AE80"/>
    <mergeCell ref="H81:H82"/>
    <mergeCell ref="I81:K82"/>
    <mergeCell ref="L81:M82"/>
    <mergeCell ref="N81:Q82"/>
    <mergeCell ref="R81:U82"/>
    <mergeCell ref="V81:X82"/>
    <mergeCell ref="Y81:AC82"/>
    <mergeCell ref="AD81:AE81"/>
    <mergeCell ref="AD82:AE82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31</xdr:col>
                    <xdr:colOff>552450</xdr:colOff>
                    <xdr:row>1</xdr:row>
                    <xdr:rowOff>38100</xdr:rowOff>
                  </from>
                  <to>
                    <xdr:col>35</xdr:col>
                    <xdr:colOff>295275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E650A-2D6D-4A43-B159-512ABA1039B9}">
  <sheetPr codeName="Sheet13"/>
  <dimension ref="A1:AL83"/>
  <sheetViews>
    <sheetView workbookViewId="0"/>
  </sheetViews>
  <sheetFormatPr defaultColWidth="8.7109375" defaultRowHeight="12.75"/>
  <cols>
    <col min="1" max="1" width="14" style="39" customWidth="1"/>
    <col min="2" max="2" width="27.5703125" style="39" customWidth="1"/>
    <col min="3" max="3" width="15.5703125" style="39" customWidth="1"/>
    <col min="4" max="4" width="13.140625" style="39" customWidth="1"/>
    <col min="5" max="5" width="18" style="39" customWidth="1"/>
    <col min="6" max="6" width="10.5703125" style="39" customWidth="1"/>
    <col min="7" max="8" width="8.7109375" style="39"/>
    <col min="9" max="9" width="8.42578125" style="39" bestFit="1" customWidth="1"/>
    <col min="10" max="10" width="12.85546875" style="39" bestFit="1" customWidth="1"/>
    <col min="11" max="11" width="8" style="39" bestFit="1" customWidth="1"/>
    <col min="12" max="16" width="3.42578125" style="39" bestFit="1" customWidth="1"/>
    <col min="17" max="17" width="4.140625" style="39" bestFit="1" customWidth="1"/>
    <col min="18" max="28" width="3.42578125" style="39" bestFit="1" customWidth="1"/>
    <col min="29" max="29" width="6.85546875" style="39" bestFit="1" customWidth="1"/>
    <col min="30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31.5">
      <c r="A2" s="54">
        <v>0</v>
      </c>
      <c r="B2" s="1582" t="s">
        <v>992</v>
      </c>
      <c r="C2" s="1583"/>
      <c r="D2" s="1583"/>
      <c r="E2" s="1583"/>
      <c r="F2" s="1583"/>
      <c r="G2" s="1583"/>
      <c r="H2" s="1583"/>
      <c r="I2" s="1583"/>
      <c r="K2" s="1309" t="str">
        <f>"("&amp; E13 &amp; ")월 인턴형 일경험 결과보고_(1)"</f>
        <v>(12)월 인턴형 일경험 결과보고_(1)</v>
      </c>
      <c r="L2" s="1309"/>
      <c r="M2" s="1309"/>
      <c r="N2" s="1309"/>
      <c r="O2" s="1309"/>
      <c r="P2" s="1309"/>
      <c r="Q2" s="1309"/>
      <c r="R2" s="1309"/>
      <c r="S2" s="1309"/>
      <c r="T2" s="1309"/>
      <c r="U2" s="1309"/>
      <c r="V2" s="1309"/>
      <c r="W2" s="1309"/>
      <c r="X2" s="1309"/>
      <c r="Y2" s="1309"/>
      <c r="Z2" s="1309"/>
      <c r="AA2" s="1309"/>
      <c r="AB2" s="1309"/>
      <c r="AC2" s="1309"/>
    </row>
    <row r="3" spans="1:38" ht="21" thickBot="1">
      <c r="A3" s="55">
        <v>1</v>
      </c>
      <c r="B3" s="240" t="s">
        <v>576</v>
      </c>
      <c r="C3" s="1343" t="s">
        <v>577</v>
      </c>
      <c r="D3" s="1343"/>
      <c r="E3" s="1344" t="s">
        <v>578</v>
      </c>
      <c r="F3" s="1586"/>
      <c r="G3" s="476" t="s">
        <v>990</v>
      </c>
      <c r="H3" s="1587" t="s">
        <v>991</v>
      </c>
      <c r="I3" s="1588"/>
      <c r="K3" s="396" t="s">
        <v>831</v>
      </c>
      <c r="L3" s="1556" t="s">
        <v>0</v>
      </c>
      <c r="M3" s="1557"/>
      <c r="N3" s="1557"/>
      <c r="O3" s="1558"/>
      <c r="P3" s="1559">
        <f>E4</f>
        <v>0</v>
      </c>
      <c r="Q3" s="1560"/>
      <c r="R3" s="1560"/>
      <c r="S3" s="1560"/>
      <c r="T3" s="1561"/>
      <c r="U3" s="1556" t="s">
        <v>1</v>
      </c>
      <c r="V3" s="1557"/>
      <c r="W3" s="1557"/>
      <c r="X3" s="1558"/>
      <c r="Y3" s="1559">
        <f>E5</f>
        <v>0</v>
      </c>
      <c r="Z3" s="1560"/>
      <c r="AA3" s="1560"/>
      <c r="AB3" s="1560"/>
      <c r="AC3" s="1560"/>
    </row>
    <row r="4" spans="1:38" ht="17.649999999999999" customHeight="1" thickTop="1">
      <c r="A4" s="55">
        <v>2</v>
      </c>
      <c r="B4" s="1345" t="s">
        <v>530</v>
      </c>
      <c r="C4" s="1576" t="s">
        <v>480</v>
      </c>
      <c r="D4" s="1576"/>
      <c r="E4" s="1584"/>
      <c r="F4" s="1585"/>
      <c r="G4" s="392"/>
      <c r="H4" s="1584"/>
      <c r="I4" s="1585"/>
      <c r="K4" s="397" t="s">
        <v>832</v>
      </c>
      <c r="L4" s="1562" t="s">
        <v>5</v>
      </c>
      <c r="M4" s="1563"/>
      <c r="N4" s="1563"/>
      <c r="O4" s="1564"/>
      <c r="P4" s="1565">
        <f>E6</f>
        <v>0</v>
      </c>
      <c r="Q4" s="1566"/>
      <c r="R4" s="1566"/>
      <c r="S4" s="1566"/>
      <c r="T4" s="1566"/>
      <c r="U4" s="1566"/>
      <c r="V4" s="1566"/>
      <c r="W4" s="1566"/>
      <c r="X4" s="1566"/>
      <c r="Y4" s="1566"/>
      <c r="Z4" s="1566"/>
      <c r="AA4" s="1566"/>
      <c r="AB4" s="1566"/>
      <c r="AC4" s="1566"/>
    </row>
    <row r="5" spans="1:38" ht="16.899999999999999" customHeight="1">
      <c r="A5" s="55">
        <v>3</v>
      </c>
      <c r="B5" s="1333"/>
      <c r="C5" s="1579" t="s">
        <v>854</v>
      </c>
      <c r="D5" s="1579"/>
      <c r="E5" s="1336"/>
      <c r="F5" s="1337"/>
      <c r="G5" s="391"/>
      <c r="H5" s="1336"/>
      <c r="I5" s="1337"/>
      <c r="K5" s="398"/>
      <c r="L5" s="1550" t="s">
        <v>833</v>
      </c>
      <c r="M5" s="1551"/>
      <c r="N5" s="1551"/>
      <c r="O5" s="1552"/>
      <c r="P5" s="1553">
        <f>E7</f>
        <v>0</v>
      </c>
      <c r="Q5" s="1554"/>
      <c r="R5" s="1554"/>
      <c r="S5" s="1554"/>
      <c r="T5" s="1555"/>
      <c r="U5" s="1550" t="s">
        <v>834</v>
      </c>
      <c r="V5" s="1551"/>
      <c r="W5" s="1551"/>
      <c r="X5" s="1552"/>
      <c r="Y5" s="1553">
        <f>E8</f>
        <v>0</v>
      </c>
      <c r="Z5" s="1554"/>
      <c r="AA5" s="1554"/>
      <c r="AB5" s="1554"/>
      <c r="AC5" s="1554"/>
    </row>
    <row r="6" spans="1:38" ht="16.899999999999999" customHeight="1">
      <c r="A6" s="55">
        <v>4</v>
      </c>
      <c r="B6" s="1333"/>
      <c r="C6" s="1579" t="s">
        <v>484</v>
      </c>
      <c r="D6" s="1579"/>
      <c r="E6" s="1336"/>
      <c r="F6" s="1337"/>
      <c r="G6" s="391"/>
      <c r="H6" s="1336"/>
      <c r="I6" s="1337"/>
      <c r="K6" s="396" t="s">
        <v>220</v>
      </c>
      <c r="L6" s="1550" t="s">
        <v>9</v>
      </c>
      <c r="M6" s="1551"/>
      <c r="N6" s="1551"/>
      <c r="O6" s="1552"/>
      <c r="P6" s="1553">
        <f>E10</f>
        <v>0</v>
      </c>
      <c r="Q6" s="1554"/>
      <c r="R6" s="1554"/>
      <c r="S6" s="1554"/>
      <c r="T6" s="1555"/>
      <c r="U6" s="1550" t="s">
        <v>10</v>
      </c>
      <c r="V6" s="1551"/>
      <c r="W6" s="1551"/>
      <c r="X6" s="1552"/>
      <c r="Y6" s="1553">
        <f>E9</f>
        <v>0</v>
      </c>
      <c r="Z6" s="1554"/>
      <c r="AA6" s="1554"/>
      <c r="AB6" s="1554"/>
      <c r="AC6" s="1554"/>
    </row>
    <row r="7" spans="1:38" ht="16.899999999999999" customHeight="1">
      <c r="A7" s="55">
        <v>5</v>
      </c>
      <c r="B7" s="1333"/>
      <c r="C7" s="1579" t="s">
        <v>697</v>
      </c>
      <c r="D7" s="1579"/>
      <c r="E7" s="1336"/>
      <c r="F7" s="1337"/>
      <c r="G7" s="391"/>
      <c r="H7" s="1336"/>
      <c r="I7" s="1337"/>
      <c r="K7" s="397" t="s">
        <v>835</v>
      </c>
      <c r="L7" s="1538" t="s">
        <v>221</v>
      </c>
      <c r="M7" s="1539"/>
      <c r="N7" s="1539"/>
      <c r="O7" s="1540"/>
      <c r="P7" s="1543">
        <f>E11</f>
        <v>0</v>
      </c>
      <c r="Q7" s="1544"/>
      <c r="R7" s="1544"/>
      <c r="S7" s="1544"/>
      <c r="T7" s="1545"/>
      <c r="U7" s="1538" t="s">
        <v>11</v>
      </c>
      <c r="V7" s="1539"/>
      <c r="W7" s="1539"/>
      <c r="X7" s="1540"/>
      <c r="Y7" s="1543">
        <f>E13</f>
        <v>12</v>
      </c>
      <c r="Z7" s="1544"/>
      <c r="AA7" s="1544"/>
      <c r="AB7" s="1544"/>
      <c r="AC7" s="1544"/>
    </row>
    <row r="8" spans="1:38" ht="16.899999999999999" customHeight="1" thickBot="1">
      <c r="A8" s="55">
        <v>6</v>
      </c>
      <c r="B8" s="1333"/>
      <c r="C8" s="1579" t="s">
        <v>855</v>
      </c>
      <c r="D8" s="1579"/>
      <c r="E8" s="1336"/>
      <c r="F8" s="1337"/>
      <c r="G8" s="391"/>
      <c r="H8" s="1336"/>
      <c r="I8" s="1337"/>
      <c r="K8" s="399"/>
      <c r="L8" s="1541" t="s">
        <v>836</v>
      </c>
      <c r="M8" s="1533"/>
      <c r="N8" s="1533"/>
      <c r="O8" s="1542"/>
      <c r="P8" s="1546"/>
      <c r="Q8" s="1547"/>
      <c r="R8" s="1547"/>
      <c r="S8" s="1547"/>
      <c r="T8" s="1548"/>
      <c r="U8" s="1541"/>
      <c r="V8" s="1533"/>
      <c r="W8" s="1533"/>
      <c r="X8" s="1542"/>
      <c r="Y8" s="1546"/>
      <c r="Z8" s="1547"/>
      <c r="AA8" s="1547"/>
      <c r="AB8" s="1547"/>
      <c r="AC8" s="1547"/>
    </row>
    <row r="9" spans="1:38" ht="17.25" customHeight="1">
      <c r="A9" s="55">
        <v>7</v>
      </c>
      <c r="B9" s="1333"/>
      <c r="C9" s="1578" t="s">
        <v>699</v>
      </c>
      <c r="D9" s="1579"/>
      <c r="E9" s="1336"/>
      <c r="F9" s="1337"/>
      <c r="G9" s="407"/>
      <c r="H9" s="1336"/>
      <c r="I9" s="1337"/>
      <c r="K9" s="1549" t="s">
        <v>837</v>
      </c>
      <c r="L9" s="1549"/>
      <c r="M9" s="1549"/>
      <c r="N9" s="1549"/>
      <c r="O9" s="1549"/>
      <c r="P9" s="1549"/>
      <c r="Q9" s="1549"/>
      <c r="R9" s="1549"/>
      <c r="S9" s="1549"/>
      <c r="T9" s="1549"/>
      <c r="U9" s="1549"/>
      <c r="V9" s="1549"/>
      <c r="W9" s="1549"/>
      <c r="X9" s="1549"/>
      <c r="Y9" s="1549"/>
      <c r="Z9" s="1549"/>
      <c r="AA9" s="1549"/>
      <c r="AB9" s="1549"/>
      <c r="AC9" s="1549"/>
    </row>
    <row r="10" spans="1:38" ht="17.25" customHeight="1" thickBot="1">
      <c r="A10" s="55">
        <v>8</v>
      </c>
      <c r="B10" s="1333"/>
      <c r="C10" s="1578" t="s">
        <v>376</v>
      </c>
      <c r="D10" s="1579"/>
      <c r="E10" s="1336"/>
      <c r="F10" s="1337"/>
      <c r="G10" s="407"/>
      <c r="H10" s="1336"/>
      <c r="I10" s="1337"/>
      <c r="K10" s="1533" t="s">
        <v>838</v>
      </c>
      <c r="L10" s="1533"/>
      <c r="M10" s="1533"/>
      <c r="N10" s="1533"/>
      <c r="O10" s="1533"/>
      <c r="P10" s="1533"/>
      <c r="Q10" s="1533"/>
      <c r="R10" s="1533"/>
      <c r="S10" s="1533"/>
      <c r="T10" s="1533"/>
      <c r="U10" s="1533"/>
      <c r="V10" s="1533"/>
      <c r="W10" s="1533"/>
      <c r="X10" s="1533"/>
      <c r="Y10" s="1533"/>
      <c r="Z10" s="1533"/>
      <c r="AA10" s="1533"/>
      <c r="AB10" s="1533"/>
      <c r="AC10" s="1533"/>
    </row>
    <row r="11" spans="1:38" ht="19.899999999999999" customHeight="1" thickBot="1">
      <c r="A11" s="55">
        <v>9</v>
      </c>
      <c r="B11" s="1333"/>
      <c r="C11" s="1580" t="s">
        <v>856</v>
      </c>
      <c r="D11" s="1579"/>
      <c r="E11" s="1336"/>
      <c r="F11" s="1337"/>
      <c r="G11" s="408"/>
      <c r="H11" s="1336"/>
      <c r="I11" s="1337"/>
      <c r="K11" s="1534" t="s">
        <v>802</v>
      </c>
      <c r="L11" s="1530" t="s">
        <v>82</v>
      </c>
      <c r="M11" s="1514"/>
      <c r="N11" s="1514"/>
      <c r="O11" s="1531"/>
      <c r="P11" s="1532">
        <f>E16</f>
        <v>0</v>
      </c>
      <c r="Q11" s="1512"/>
      <c r="R11" s="1512"/>
      <c r="S11" s="1512"/>
      <c r="T11" s="1537"/>
      <c r="U11" s="1530" t="s">
        <v>745</v>
      </c>
      <c r="V11" s="1514"/>
      <c r="W11" s="1514"/>
      <c r="X11" s="1531"/>
      <c r="Y11" s="1532">
        <f>E17</f>
        <v>0</v>
      </c>
      <c r="Z11" s="1512"/>
      <c r="AA11" s="1512"/>
      <c r="AB11" s="1512"/>
      <c r="AC11" s="1512"/>
    </row>
    <row r="12" spans="1:38" ht="17.25" customHeight="1" thickBot="1">
      <c r="A12" s="55">
        <v>10</v>
      </c>
      <c r="B12" s="1333"/>
      <c r="C12" s="1579" t="s">
        <v>857</v>
      </c>
      <c r="D12" s="1579"/>
      <c r="E12" s="1337"/>
      <c r="F12" s="1574"/>
      <c r="G12" s="391"/>
      <c r="H12" s="1337"/>
      <c r="I12" s="1574"/>
      <c r="K12" s="1535"/>
      <c r="L12" s="1530" t="s">
        <v>30</v>
      </c>
      <c r="M12" s="1514"/>
      <c r="N12" s="1514"/>
      <c r="O12" s="1531"/>
      <c r="P12" s="1532">
        <f>E18</f>
        <v>0</v>
      </c>
      <c r="Q12" s="1512"/>
      <c r="R12" s="1512"/>
      <c r="S12" s="1512"/>
      <c r="T12" s="1512"/>
      <c r="U12" s="1512"/>
      <c r="V12" s="1512"/>
      <c r="W12" s="1512"/>
      <c r="X12" s="1512"/>
      <c r="Y12" s="1512"/>
      <c r="Z12" s="1512"/>
      <c r="AA12" s="1512"/>
      <c r="AB12" s="1512"/>
      <c r="AC12" s="1512"/>
    </row>
    <row r="13" spans="1:38" ht="17.25" customHeight="1" thickBot="1">
      <c r="A13" s="55">
        <v>11</v>
      </c>
      <c r="B13" s="1333"/>
      <c r="C13" s="1579" t="s">
        <v>858</v>
      </c>
      <c r="D13" s="1579"/>
      <c r="E13" s="1581">
        <v>12</v>
      </c>
      <c r="F13" s="1574"/>
      <c r="G13" s="391"/>
      <c r="H13" s="1337"/>
      <c r="I13" s="1574"/>
      <c r="K13" s="1535"/>
      <c r="L13" s="1530" t="s">
        <v>839</v>
      </c>
      <c r="M13" s="1514"/>
      <c r="N13" s="1514"/>
      <c r="O13" s="1531"/>
      <c r="P13" s="1532">
        <f>E19</f>
        <v>0</v>
      </c>
      <c r="Q13" s="1512"/>
      <c r="R13" s="1512"/>
      <c r="S13" s="1537"/>
      <c r="T13" s="1530" t="str">
        <f>"("&amp;E13&amp;")월 편성시간(A)"</f>
        <v>(12)월 편성시간(A)</v>
      </c>
      <c r="U13" s="1514"/>
      <c r="V13" s="1514"/>
      <c r="W13" s="1514"/>
      <c r="X13" s="1514"/>
      <c r="Y13" s="1514"/>
      <c r="Z13" s="1514"/>
      <c r="AA13" s="1531"/>
      <c r="AB13" s="1532">
        <f>E20</f>
        <v>0</v>
      </c>
      <c r="AC13" s="1512"/>
    </row>
    <row r="14" spans="1:38" ht="15" customHeight="1" thickBot="1">
      <c r="A14" s="55">
        <v>12</v>
      </c>
      <c r="B14" s="1334"/>
      <c r="C14" s="1575" t="s">
        <v>489</v>
      </c>
      <c r="D14" s="1575"/>
      <c r="E14" s="1349" t="s">
        <v>853</v>
      </c>
      <c r="F14" s="1341"/>
      <c r="G14" s="393"/>
      <c r="H14" s="1349"/>
      <c r="I14" s="1341"/>
      <c r="K14" s="1535"/>
      <c r="L14" s="1530" t="s">
        <v>804</v>
      </c>
      <c r="M14" s="1514"/>
      <c r="N14" s="1514"/>
      <c r="O14" s="1531"/>
      <c r="P14" s="1532">
        <f>E21</f>
        <v>0</v>
      </c>
      <c r="Q14" s="1512"/>
      <c r="R14" s="1512"/>
      <c r="S14" s="1512"/>
      <c r="T14" s="1512"/>
      <c r="U14" s="1512"/>
      <c r="V14" s="1512"/>
      <c r="W14" s="1512"/>
      <c r="X14" s="1512"/>
      <c r="Y14" s="1512"/>
      <c r="Z14" s="1512"/>
      <c r="AA14" s="1512"/>
      <c r="AB14" s="1512"/>
      <c r="AC14" s="1512"/>
    </row>
    <row r="15" spans="1:38" ht="17.25" customHeight="1" thickBot="1">
      <c r="A15" s="55">
        <v>13</v>
      </c>
      <c r="K15" s="1536"/>
      <c r="L15" s="1530" t="s">
        <v>805</v>
      </c>
      <c r="M15" s="1514"/>
      <c r="N15" s="1514"/>
      <c r="O15" s="1531"/>
      <c r="P15" s="1532">
        <f>E22</f>
        <v>0</v>
      </c>
      <c r="Q15" s="1512"/>
      <c r="R15" s="1512"/>
      <c r="S15" s="1512"/>
      <c r="T15" s="1512"/>
      <c r="U15" s="1512"/>
      <c r="V15" s="1512"/>
      <c r="W15" s="1512"/>
      <c r="X15" s="1512"/>
      <c r="Y15" s="1512"/>
      <c r="Z15" s="1512"/>
      <c r="AA15" s="1512"/>
      <c r="AB15" s="1512"/>
      <c r="AC15" s="1512"/>
    </row>
    <row r="16" spans="1:38" ht="16.899999999999999" customHeight="1" thickBot="1">
      <c r="A16" s="55">
        <v>14</v>
      </c>
      <c r="B16" s="1567" t="s">
        <v>803</v>
      </c>
      <c r="C16" s="1579" t="s">
        <v>806</v>
      </c>
      <c r="D16" s="1579"/>
      <c r="E16" s="1336"/>
      <c r="F16" s="1337"/>
      <c r="G16" s="391"/>
      <c r="H16" s="1336"/>
      <c r="I16" s="1337"/>
      <c r="K16" s="1529"/>
      <c r="L16" s="1529"/>
      <c r="M16" s="1529"/>
      <c r="N16" s="1529"/>
      <c r="O16" s="1529"/>
      <c r="P16" s="1529"/>
      <c r="Q16" s="1529"/>
      <c r="R16" s="1529"/>
      <c r="S16" s="1529"/>
      <c r="T16" s="1529"/>
      <c r="U16" s="1529"/>
      <c r="V16" s="1529"/>
      <c r="W16" s="1529"/>
      <c r="X16" s="1529"/>
      <c r="Y16" s="1529"/>
      <c r="Z16" s="1529"/>
      <c r="AA16" s="1529"/>
      <c r="AB16" s="1529"/>
      <c r="AC16" s="1529"/>
    </row>
    <row r="17" spans="1:29" ht="16.899999999999999" customHeight="1" thickBot="1">
      <c r="A17" s="55">
        <v>15</v>
      </c>
      <c r="B17" s="1568"/>
      <c r="C17" s="1576" t="s">
        <v>807</v>
      </c>
      <c r="D17" s="1576"/>
      <c r="E17" s="1336"/>
      <c r="F17" s="1337"/>
      <c r="G17" s="391"/>
      <c r="H17" s="1336"/>
      <c r="I17" s="1337"/>
      <c r="K17" s="1514" t="s">
        <v>812</v>
      </c>
      <c r="L17" s="1514"/>
      <c r="M17" s="1510"/>
      <c r="N17" s="1509" t="s">
        <v>814</v>
      </c>
      <c r="O17" s="1510"/>
      <c r="P17" s="1511">
        <f>D24</f>
        <v>0</v>
      </c>
      <c r="Q17" s="1512"/>
      <c r="R17" s="1512"/>
      <c r="S17" s="1513"/>
      <c r="T17" s="1509" t="s">
        <v>816</v>
      </c>
      <c r="U17" s="1514"/>
      <c r="V17" s="1514"/>
      <c r="W17" s="1514"/>
      <c r="X17" s="1514"/>
      <c r="Y17" s="1510"/>
      <c r="Z17" s="1511">
        <f>H24</f>
        <v>0</v>
      </c>
      <c r="AA17" s="1512"/>
      <c r="AB17" s="1512"/>
      <c r="AC17" s="1512"/>
    </row>
    <row r="18" spans="1:29" ht="16.899999999999999" customHeight="1" thickBot="1">
      <c r="A18" s="55">
        <v>16</v>
      </c>
      <c r="B18" s="1568"/>
      <c r="C18" s="1576" t="s">
        <v>808</v>
      </c>
      <c r="D18" s="1576"/>
      <c r="E18" s="1336"/>
      <c r="F18" s="1337"/>
      <c r="G18" s="407"/>
      <c r="H18" s="1336"/>
      <c r="I18" s="1337"/>
      <c r="K18" s="1514" t="s">
        <v>813</v>
      </c>
      <c r="L18" s="1514"/>
      <c r="M18" s="1510"/>
      <c r="N18" s="1509" t="s">
        <v>814</v>
      </c>
      <c r="O18" s="1510"/>
      <c r="P18" s="1511">
        <f>D25</f>
        <v>0</v>
      </c>
      <c r="Q18" s="1512"/>
      <c r="R18" s="1512"/>
      <c r="S18" s="1513"/>
      <c r="T18" s="1509" t="s">
        <v>816</v>
      </c>
      <c r="U18" s="1514"/>
      <c r="V18" s="1514"/>
      <c r="W18" s="1514"/>
      <c r="X18" s="1514"/>
      <c r="Y18" s="1510"/>
      <c r="Z18" s="1511">
        <f>H25</f>
        <v>0</v>
      </c>
      <c r="AA18" s="1512"/>
      <c r="AB18" s="1512"/>
      <c r="AC18" s="1512"/>
    </row>
    <row r="19" spans="1:29" ht="16.899999999999999" customHeight="1" thickBot="1">
      <c r="A19" s="55">
        <v>17</v>
      </c>
      <c r="B19" s="1568"/>
      <c r="C19" s="1576" t="s">
        <v>809</v>
      </c>
      <c r="D19" s="1576"/>
      <c r="E19" s="1336"/>
      <c r="F19" s="1337"/>
      <c r="G19" s="407"/>
      <c r="H19" s="1336"/>
      <c r="I19" s="1337"/>
      <c r="K19" s="1515" t="s">
        <v>841</v>
      </c>
      <c r="L19" s="1515"/>
      <c r="M19" s="1515"/>
      <c r="N19" s="1515"/>
      <c r="O19" s="1515"/>
      <c r="P19" s="1515"/>
      <c r="Q19" s="1515"/>
      <c r="R19" s="1515"/>
      <c r="S19" s="1515"/>
      <c r="T19" s="1515"/>
      <c r="U19" s="1515"/>
      <c r="V19" s="1515"/>
      <c r="W19" s="1515"/>
      <c r="X19" s="1515"/>
      <c r="Y19" s="1515"/>
      <c r="Z19" s="1515"/>
      <c r="AA19" s="1515"/>
      <c r="AB19" s="1515"/>
      <c r="AC19" s="1515"/>
    </row>
    <row r="20" spans="1:29" ht="17.25" customHeight="1">
      <c r="A20" s="55">
        <v>18</v>
      </c>
      <c r="B20" s="1568"/>
      <c r="C20" s="1572" t="s">
        <v>993</v>
      </c>
      <c r="D20" s="1573"/>
      <c r="E20" s="1337"/>
      <c r="F20" s="1574"/>
      <c r="G20" s="408"/>
      <c r="H20" s="1336"/>
      <c r="I20" s="1337"/>
      <c r="K20" s="400" t="s">
        <v>842</v>
      </c>
      <c r="L20" s="1516" t="s">
        <v>83</v>
      </c>
      <c r="M20" s="1517"/>
      <c r="N20" s="1518"/>
      <c r="O20" s="1516" t="s">
        <v>844</v>
      </c>
      <c r="P20" s="1518"/>
      <c r="Q20" s="1522" t="s">
        <v>94</v>
      </c>
      <c r="R20" s="1516" t="s">
        <v>822</v>
      </c>
      <c r="S20" s="1518"/>
      <c r="T20" s="1516" t="s">
        <v>846</v>
      </c>
      <c r="U20" s="1518"/>
      <c r="V20" s="1516" t="s">
        <v>824</v>
      </c>
      <c r="W20" s="1517"/>
      <c r="X20" s="1518"/>
      <c r="Y20" s="1524" t="s">
        <v>815</v>
      </c>
      <c r="Z20" s="1525"/>
      <c r="AA20" s="1525"/>
      <c r="AB20" s="1525"/>
      <c r="AC20" s="1525"/>
    </row>
    <row r="21" spans="1:29" ht="16.899999999999999" customHeight="1">
      <c r="A21" s="55">
        <v>19</v>
      </c>
      <c r="B21" s="1568"/>
      <c r="C21" s="1572" t="s">
        <v>810</v>
      </c>
      <c r="D21" s="1573"/>
      <c r="E21" s="1337"/>
      <c r="F21" s="1574"/>
      <c r="G21" s="391"/>
      <c r="H21" s="1336"/>
      <c r="I21" s="1337"/>
      <c r="K21" s="401" t="s">
        <v>843</v>
      </c>
      <c r="L21" s="1519"/>
      <c r="M21" s="1520"/>
      <c r="N21" s="1521"/>
      <c r="O21" s="1519" t="s">
        <v>845</v>
      </c>
      <c r="P21" s="1521"/>
      <c r="Q21" s="1523"/>
      <c r="R21" s="1519"/>
      <c r="S21" s="1521"/>
      <c r="T21" s="1519"/>
      <c r="U21" s="1521"/>
      <c r="V21" s="1519"/>
      <c r="W21" s="1520"/>
      <c r="X21" s="1521"/>
      <c r="Y21" s="1526" t="s">
        <v>826</v>
      </c>
      <c r="Z21" s="1527"/>
      <c r="AA21" s="1527"/>
      <c r="AB21" s="1528"/>
      <c r="AC21" s="403" t="s">
        <v>828</v>
      </c>
    </row>
    <row r="22" spans="1:29" ht="17.25" customHeight="1" thickBot="1">
      <c r="A22" s="55">
        <v>20</v>
      </c>
      <c r="B22" s="1569"/>
      <c r="C22" s="1575" t="s">
        <v>811</v>
      </c>
      <c r="D22" s="1575"/>
      <c r="E22" s="1340"/>
      <c r="F22" s="1341"/>
      <c r="G22" s="391"/>
      <c r="H22" s="1336"/>
      <c r="I22" s="1337"/>
      <c r="K22" s="402"/>
      <c r="L22" s="1505">
        <f t="shared" ref="L22:L31" si="0">B29</f>
        <v>0</v>
      </c>
      <c r="M22" s="1506"/>
      <c r="N22" s="1507"/>
      <c r="O22" s="1508">
        <f t="shared" ref="O22:O31" si="1">C29</f>
        <v>0</v>
      </c>
      <c r="P22" s="1507"/>
      <c r="Q22" s="405">
        <f t="shared" ref="Q22:Q31" si="2">D29</f>
        <v>0</v>
      </c>
      <c r="R22" s="1508">
        <f t="shared" ref="R22:R31" si="3">E29</f>
        <v>0</v>
      </c>
      <c r="S22" s="1507"/>
      <c r="T22" s="1505">
        <f t="shared" ref="T22:T31" si="4">F29</f>
        <v>0</v>
      </c>
      <c r="U22" s="1507"/>
      <c r="V22" s="1508" t="e">
        <f>#REF!</f>
        <v>#REF!</v>
      </c>
      <c r="W22" s="1506"/>
      <c r="X22" s="1507"/>
      <c r="Y22" s="1508" t="e">
        <f>#REF!</f>
        <v>#REF!</v>
      </c>
      <c r="Z22" s="1506"/>
      <c r="AA22" s="1506"/>
      <c r="AB22" s="1507"/>
      <c r="AC22" s="404" t="e">
        <f>#REF!</f>
        <v>#REF!</v>
      </c>
    </row>
    <row r="23" spans="1:29" ht="24.75" customHeight="1">
      <c r="A23" s="55">
        <v>21</v>
      </c>
      <c r="K23" s="402"/>
      <c r="L23" s="1505">
        <f t="shared" si="0"/>
        <v>0</v>
      </c>
      <c r="M23" s="1506"/>
      <c r="N23" s="1507"/>
      <c r="O23" s="1508">
        <f t="shared" si="1"/>
        <v>0</v>
      </c>
      <c r="P23" s="1507"/>
      <c r="Q23" s="405">
        <f t="shared" si="2"/>
        <v>0</v>
      </c>
      <c r="R23" s="1508">
        <f t="shared" si="3"/>
        <v>0</v>
      </c>
      <c r="S23" s="1507"/>
      <c r="T23" s="1505">
        <f t="shared" si="4"/>
        <v>0</v>
      </c>
      <c r="U23" s="1507"/>
      <c r="V23" s="1508">
        <f t="shared" ref="V23:V31" si="5">G29</f>
        <v>0</v>
      </c>
      <c r="W23" s="1506"/>
      <c r="X23" s="1507"/>
      <c r="Y23" s="1508">
        <f t="shared" ref="Y23:Y31" si="6">H29</f>
        <v>0</v>
      </c>
      <c r="Z23" s="1506"/>
      <c r="AA23" s="1506"/>
      <c r="AB23" s="1507"/>
      <c r="AC23" s="404">
        <f t="shared" ref="AC23:AC31" si="7">I29</f>
        <v>0</v>
      </c>
    </row>
    <row r="24" spans="1:29" ht="24.75" customHeight="1">
      <c r="A24" s="55">
        <v>22</v>
      </c>
      <c r="B24" s="1570" t="s">
        <v>821</v>
      </c>
      <c r="C24" s="1579" t="s">
        <v>819</v>
      </c>
      <c r="D24" s="1579"/>
      <c r="E24" s="28"/>
      <c r="F24" s="1579" t="s">
        <v>817</v>
      </c>
      <c r="G24" s="1579"/>
      <c r="H24" s="1591"/>
      <c r="I24" s="1592"/>
      <c r="K24" s="402"/>
      <c r="L24" s="1505">
        <f t="shared" si="0"/>
        <v>0</v>
      </c>
      <c r="M24" s="1506"/>
      <c r="N24" s="1507"/>
      <c r="O24" s="1508">
        <f t="shared" si="1"/>
        <v>0</v>
      </c>
      <c r="P24" s="1507"/>
      <c r="Q24" s="405">
        <f t="shared" si="2"/>
        <v>0</v>
      </c>
      <c r="R24" s="1508">
        <f t="shared" si="3"/>
        <v>0</v>
      </c>
      <c r="S24" s="1507"/>
      <c r="T24" s="1505">
        <f t="shared" si="4"/>
        <v>0</v>
      </c>
      <c r="U24" s="1507"/>
      <c r="V24" s="1508">
        <f t="shared" si="5"/>
        <v>0</v>
      </c>
      <c r="W24" s="1506"/>
      <c r="X24" s="1507"/>
      <c r="Y24" s="1508">
        <f t="shared" si="6"/>
        <v>0</v>
      </c>
      <c r="Z24" s="1506"/>
      <c r="AA24" s="1506"/>
      <c r="AB24" s="1507"/>
      <c r="AC24" s="404">
        <f t="shared" si="7"/>
        <v>0</v>
      </c>
    </row>
    <row r="25" spans="1:29" ht="16.5" thickBot="1">
      <c r="A25" s="55">
        <v>23</v>
      </c>
      <c r="B25" s="1571"/>
      <c r="C25" s="1575" t="s">
        <v>820</v>
      </c>
      <c r="D25" s="1575"/>
      <c r="E25" s="477"/>
      <c r="F25" s="1575" t="s">
        <v>817</v>
      </c>
      <c r="G25" s="1575"/>
      <c r="H25" s="1593"/>
      <c r="I25" s="1594"/>
      <c r="K25" s="402"/>
      <c r="L25" s="1505">
        <f t="shared" si="0"/>
        <v>0</v>
      </c>
      <c r="M25" s="1506"/>
      <c r="N25" s="1507"/>
      <c r="O25" s="1508">
        <f t="shared" si="1"/>
        <v>0</v>
      </c>
      <c r="P25" s="1507"/>
      <c r="Q25" s="405">
        <f t="shared" si="2"/>
        <v>0</v>
      </c>
      <c r="R25" s="1508">
        <f t="shared" si="3"/>
        <v>0</v>
      </c>
      <c r="S25" s="1507"/>
      <c r="T25" s="1505">
        <f t="shared" si="4"/>
        <v>0</v>
      </c>
      <c r="U25" s="1507"/>
      <c r="V25" s="1508">
        <f t="shared" si="5"/>
        <v>0</v>
      </c>
      <c r="W25" s="1506"/>
      <c r="X25" s="1507"/>
      <c r="Y25" s="1508">
        <f t="shared" si="6"/>
        <v>0</v>
      </c>
      <c r="Z25" s="1506"/>
      <c r="AA25" s="1506"/>
      <c r="AB25" s="1507"/>
      <c r="AC25" s="404">
        <f t="shared" si="7"/>
        <v>0</v>
      </c>
    </row>
    <row r="26" spans="1:29" ht="14.25">
      <c r="A26" s="55">
        <v>24</v>
      </c>
      <c r="K26" s="402"/>
      <c r="L26" s="1505">
        <f t="shared" si="0"/>
        <v>0</v>
      </c>
      <c r="M26" s="1506"/>
      <c r="N26" s="1507"/>
      <c r="O26" s="1508">
        <f t="shared" si="1"/>
        <v>0</v>
      </c>
      <c r="P26" s="1507"/>
      <c r="Q26" s="405">
        <f t="shared" si="2"/>
        <v>0</v>
      </c>
      <c r="R26" s="1508">
        <f t="shared" si="3"/>
        <v>0</v>
      </c>
      <c r="S26" s="1507"/>
      <c r="T26" s="1505">
        <f t="shared" si="4"/>
        <v>0</v>
      </c>
      <c r="U26" s="1507"/>
      <c r="V26" s="1508">
        <f t="shared" si="5"/>
        <v>0</v>
      </c>
      <c r="W26" s="1506"/>
      <c r="X26" s="1507"/>
      <c r="Y26" s="1508">
        <f t="shared" si="6"/>
        <v>0</v>
      </c>
      <c r="Z26" s="1506"/>
      <c r="AA26" s="1506"/>
      <c r="AB26" s="1507"/>
      <c r="AC26" s="404">
        <f t="shared" si="7"/>
        <v>0</v>
      </c>
    </row>
    <row r="27" spans="1:29" ht="26.25" thickBot="1">
      <c r="A27" s="55">
        <v>25</v>
      </c>
      <c r="B27" s="1589" t="s">
        <v>538</v>
      </c>
      <c r="C27" s="1590"/>
      <c r="D27" s="1590"/>
      <c r="E27" s="1590"/>
      <c r="F27" s="1590"/>
      <c r="G27" s="1590"/>
      <c r="H27" s="1590"/>
      <c r="I27" s="1590"/>
      <c r="K27" s="402"/>
      <c r="L27" s="1505">
        <f t="shared" si="0"/>
        <v>0</v>
      </c>
      <c r="M27" s="1506"/>
      <c r="N27" s="1507"/>
      <c r="O27" s="1508">
        <f t="shared" si="1"/>
        <v>0</v>
      </c>
      <c r="P27" s="1507"/>
      <c r="Q27" s="405">
        <f t="shared" si="2"/>
        <v>0</v>
      </c>
      <c r="R27" s="1508">
        <f t="shared" si="3"/>
        <v>0</v>
      </c>
      <c r="S27" s="1507"/>
      <c r="T27" s="1505">
        <f t="shared" si="4"/>
        <v>0</v>
      </c>
      <c r="U27" s="1507"/>
      <c r="V27" s="1508">
        <f t="shared" si="5"/>
        <v>0</v>
      </c>
      <c r="W27" s="1506"/>
      <c r="X27" s="1507"/>
      <c r="Y27" s="1508">
        <f t="shared" si="6"/>
        <v>0</v>
      </c>
      <c r="Z27" s="1506"/>
      <c r="AA27" s="1506"/>
      <c r="AB27" s="1507"/>
      <c r="AC27" s="404">
        <f t="shared" si="7"/>
        <v>0</v>
      </c>
    </row>
    <row r="28" spans="1:29" ht="18" thickTop="1">
      <c r="A28" s="55">
        <v>26</v>
      </c>
      <c r="B28" s="392" t="s">
        <v>829</v>
      </c>
      <c r="C28" s="394" t="s">
        <v>106</v>
      </c>
      <c r="D28" s="392" t="s">
        <v>76</v>
      </c>
      <c r="E28" s="394" t="s">
        <v>823</v>
      </c>
      <c r="F28" s="395" t="s">
        <v>830</v>
      </c>
      <c r="G28" s="392" t="s">
        <v>825</v>
      </c>
      <c r="H28" s="394" t="s">
        <v>827</v>
      </c>
      <c r="I28" s="392" t="s">
        <v>111</v>
      </c>
      <c r="K28" s="402"/>
      <c r="L28" s="1505">
        <f t="shared" si="0"/>
        <v>0</v>
      </c>
      <c r="M28" s="1506"/>
      <c r="N28" s="1507"/>
      <c r="O28" s="1508">
        <f t="shared" si="1"/>
        <v>0</v>
      </c>
      <c r="P28" s="1507"/>
      <c r="Q28" s="405">
        <f t="shared" si="2"/>
        <v>0</v>
      </c>
      <c r="R28" s="1508">
        <f t="shared" si="3"/>
        <v>0</v>
      </c>
      <c r="S28" s="1507"/>
      <c r="T28" s="1505">
        <f t="shared" si="4"/>
        <v>0</v>
      </c>
      <c r="U28" s="1507"/>
      <c r="V28" s="1508">
        <f t="shared" si="5"/>
        <v>0</v>
      </c>
      <c r="W28" s="1506"/>
      <c r="X28" s="1507"/>
      <c r="Y28" s="1508">
        <f t="shared" si="6"/>
        <v>0</v>
      </c>
      <c r="Z28" s="1506"/>
      <c r="AA28" s="1506"/>
      <c r="AB28" s="1507"/>
      <c r="AC28" s="404">
        <f t="shared" si="7"/>
        <v>0</v>
      </c>
    </row>
    <row r="29" spans="1:29" ht="14.25">
      <c r="A29" s="55">
        <v>27</v>
      </c>
      <c r="B29" s="262"/>
      <c r="F29" s="262"/>
      <c r="K29" s="402"/>
      <c r="L29" s="1505">
        <f t="shared" si="0"/>
        <v>0</v>
      </c>
      <c r="M29" s="1506"/>
      <c r="N29" s="1507"/>
      <c r="O29" s="1508">
        <f t="shared" si="1"/>
        <v>0</v>
      </c>
      <c r="P29" s="1507"/>
      <c r="Q29" s="405">
        <f t="shared" si="2"/>
        <v>0</v>
      </c>
      <c r="R29" s="1508">
        <f t="shared" si="3"/>
        <v>0</v>
      </c>
      <c r="S29" s="1507"/>
      <c r="T29" s="1505">
        <f t="shared" si="4"/>
        <v>0</v>
      </c>
      <c r="U29" s="1507"/>
      <c r="V29" s="1508">
        <f t="shared" si="5"/>
        <v>0</v>
      </c>
      <c r="W29" s="1506"/>
      <c r="X29" s="1507"/>
      <c r="Y29" s="1508">
        <f t="shared" si="6"/>
        <v>0</v>
      </c>
      <c r="Z29" s="1506"/>
      <c r="AA29" s="1506"/>
      <c r="AB29" s="1507"/>
      <c r="AC29" s="404">
        <f t="shared" si="7"/>
        <v>0</v>
      </c>
    </row>
    <row r="30" spans="1:29" ht="14.25">
      <c r="A30" s="55">
        <v>28</v>
      </c>
      <c r="B30" s="262"/>
      <c r="F30" s="262"/>
      <c r="K30" s="402"/>
      <c r="L30" s="1505">
        <f t="shared" si="0"/>
        <v>0</v>
      </c>
      <c r="M30" s="1506"/>
      <c r="N30" s="1507"/>
      <c r="O30" s="1508">
        <f t="shared" si="1"/>
        <v>0</v>
      </c>
      <c r="P30" s="1507"/>
      <c r="Q30" s="405">
        <f t="shared" si="2"/>
        <v>0</v>
      </c>
      <c r="R30" s="1508">
        <f t="shared" si="3"/>
        <v>0</v>
      </c>
      <c r="S30" s="1507"/>
      <c r="T30" s="1505">
        <f t="shared" si="4"/>
        <v>0</v>
      </c>
      <c r="U30" s="1507"/>
      <c r="V30" s="1508">
        <f t="shared" si="5"/>
        <v>0</v>
      </c>
      <c r="W30" s="1506"/>
      <c r="X30" s="1507"/>
      <c r="Y30" s="1508">
        <f t="shared" si="6"/>
        <v>0</v>
      </c>
      <c r="Z30" s="1506"/>
      <c r="AA30" s="1506"/>
      <c r="AB30" s="1507"/>
      <c r="AC30" s="404">
        <f t="shared" si="7"/>
        <v>0</v>
      </c>
    </row>
    <row r="31" spans="1:29" ht="14.25">
      <c r="A31" s="55">
        <v>29</v>
      </c>
      <c r="B31" s="262"/>
      <c r="F31" s="262"/>
      <c r="K31" s="398"/>
      <c r="L31" s="1505">
        <f t="shared" si="0"/>
        <v>0</v>
      </c>
      <c r="M31" s="1506"/>
      <c r="N31" s="1507"/>
      <c r="O31" s="1508">
        <f t="shared" si="1"/>
        <v>0</v>
      </c>
      <c r="P31" s="1507"/>
      <c r="Q31" s="405">
        <f t="shared" si="2"/>
        <v>0</v>
      </c>
      <c r="R31" s="1508">
        <f t="shared" si="3"/>
        <v>0</v>
      </c>
      <c r="S31" s="1507"/>
      <c r="T31" s="1505">
        <f t="shared" si="4"/>
        <v>0</v>
      </c>
      <c r="U31" s="1507"/>
      <c r="V31" s="1508">
        <f t="shared" si="5"/>
        <v>0</v>
      </c>
      <c r="W31" s="1506"/>
      <c r="X31" s="1507"/>
      <c r="Y31" s="1508">
        <f t="shared" si="6"/>
        <v>0</v>
      </c>
      <c r="Z31" s="1506"/>
      <c r="AA31" s="1506"/>
      <c r="AB31" s="1507"/>
      <c r="AC31" s="404">
        <f t="shared" si="7"/>
        <v>0</v>
      </c>
    </row>
    <row r="32" spans="1:29" ht="13.9" customHeight="1">
      <c r="A32" s="55">
        <v>30</v>
      </c>
      <c r="B32" s="262"/>
      <c r="F32" s="262"/>
      <c r="K32" s="1539" t="s">
        <v>847</v>
      </c>
      <c r="L32" s="1539"/>
      <c r="M32" s="1539"/>
      <c r="N32" s="1539"/>
      <c r="O32" s="1539"/>
      <c r="P32" s="1539"/>
      <c r="Q32" s="1539"/>
      <c r="R32" s="1539"/>
      <c r="S32" s="1539"/>
      <c r="T32" s="1539"/>
      <c r="U32" s="1539"/>
      <c r="V32" s="1539"/>
      <c r="W32" s="1539"/>
      <c r="X32" s="1539"/>
      <c r="Y32" s="1539"/>
      <c r="Z32" s="1539"/>
      <c r="AA32" s="1539"/>
      <c r="AB32" s="1539"/>
      <c r="AC32" s="1539"/>
    </row>
    <row r="33" spans="1:29" ht="14.25">
      <c r="A33" s="55">
        <v>31</v>
      </c>
      <c r="B33" s="262"/>
      <c r="F33" s="262"/>
      <c r="K33" s="1577" t="str">
        <f>"위와 같이 2024년 ("&amp;E13&amp;")월 『청년 일경험 지원사업(인턴형 일경험)』의 실시결과를"</f>
        <v>위와 같이 2024년 (12)월 『청년 일경험 지원사업(인턴형 일경험)』의 실시결과를</v>
      </c>
      <c r="L33" s="1577"/>
      <c r="M33" s="1577"/>
      <c r="N33" s="1577"/>
      <c r="O33" s="1577"/>
      <c r="P33" s="1577"/>
      <c r="Q33" s="1577"/>
      <c r="R33" s="1577"/>
      <c r="S33" s="1577"/>
      <c r="T33" s="1577"/>
      <c r="U33" s="1577"/>
      <c r="V33" s="1577"/>
      <c r="W33" s="1577"/>
      <c r="X33" s="1577"/>
      <c r="Y33" s="1577"/>
      <c r="Z33" s="1577"/>
      <c r="AA33" s="1577"/>
      <c r="AB33" s="1577"/>
      <c r="AC33" s="1577"/>
    </row>
    <row r="34" spans="1:29" ht="14.25">
      <c r="A34" s="55">
        <v>32</v>
      </c>
      <c r="B34" s="262"/>
      <c r="F34" s="262"/>
      <c r="K34" s="1577" t="s">
        <v>848</v>
      </c>
      <c r="L34" s="1577"/>
      <c r="M34" s="1577"/>
      <c r="N34" s="1577"/>
      <c r="O34" s="1577"/>
      <c r="P34" s="1577"/>
      <c r="Q34" s="1577"/>
      <c r="R34" s="1577"/>
      <c r="S34" s="1577"/>
      <c r="T34" s="1577"/>
      <c r="U34" s="1577"/>
      <c r="V34" s="1577"/>
      <c r="W34" s="1577"/>
      <c r="X34" s="1577"/>
      <c r="Y34" s="1577"/>
      <c r="Z34" s="1577"/>
      <c r="AA34" s="1577"/>
      <c r="AB34" s="1577"/>
      <c r="AC34" s="1577"/>
    </row>
    <row r="35" spans="1:29" ht="14.25">
      <c r="A35" s="55">
        <v>33</v>
      </c>
      <c r="B35" s="262"/>
      <c r="F35" s="262"/>
      <c r="K35" s="1498" t="str">
        <f>E14</f>
        <v>0000년 0월 0일</v>
      </c>
      <c r="L35" s="1499"/>
      <c r="M35" s="1499"/>
      <c r="N35" s="1499"/>
      <c r="O35" s="1499"/>
      <c r="P35" s="1499"/>
      <c r="Q35" s="1499"/>
      <c r="R35" s="1499"/>
      <c r="S35" s="1499"/>
      <c r="T35" s="1499"/>
      <c r="U35" s="1499"/>
      <c r="V35" s="1499"/>
      <c r="W35" s="1499"/>
      <c r="X35" s="1499"/>
      <c r="Y35" s="1499"/>
      <c r="Z35" s="1499"/>
      <c r="AA35" s="1499"/>
      <c r="AB35" s="1499"/>
      <c r="AC35" s="1499"/>
    </row>
    <row r="36" spans="1:29" ht="14.25">
      <c r="A36" s="55">
        <v>34</v>
      </c>
      <c r="B36" s="262"/>
      <c r="F36" s="262"/>
      <c r="K36" s="958"/>
      <c r="L36" s="958"/>
      <c r="M36" s="958"/>
      <c r="N36" s="958"/>
      <c r="O36" s="958"/>
      <c r="P36" s="958"/>
      <c r="Q36" s="958"/>
      <c r="R36" s="958"/>
      <c r="S36" s="1500" t="s">
        <v>222</v>
      </c>
      <c r="T36" s="1500"/>
      <c r="U36" s="1500"/>
      <c r="V36" s="1500"/>
      <c r="W36" s="1501">
        <f>E5</f>
        <v>0</v>
      </c>
      <c r="X36" s="1501"/>
      <c r="Y36" s="1501"/>
      <c r="Z36" s="1501"/>
      <c r="AA36" s="1502" t="s">
        <v>223</v>
      </c>
      <c r="AB36" s="1502"/>
      <c r="AC36" s="1502"/>
    </row>
    <row r="37" spans="1:29" ht="15" thickBot="1">
      <c r="A37" s="55">
        <v>35</v>
      </c>
      <c r="B37" s="262"/>
      <c r="F37" s="262"/>
      <c r="K37" s="1503" t="s">
        <v>224</v>
      </c>
      <c r="L37" s="1503"/>
      <c r="M37" s="1503"/>
      <c r="N37" s="1503"/>
      <c r="O37" s="1503"/>
      <c r="P37" s="1503"/>
      <c r="Q37" s="1503"/>
      <c r="R37" s="1503"/>
      <c r="S37" s="1503"/>
      <c r="T37" s="1503"/>
      <c r="U37" s="1503"/>
      <c r="V37" s="1503"/>
      <c r="W37" s="1503"/>
      <c r="X37" s="1504" t="s">
        <v>225</v>
      </c>
      <c r="Y37" s="1504"/>
      <c r="Z37" s="1504"/>
      <c r="AA37" s="1504"/>
      <c r="AB37" s="1504"/>
      <c r="AC37" s="1504"/>
    </row>
    <row r="38" spans="1:29" ht="15" thickTop="1">
      <c r="A38" s="55">
        <v>36</v>
      </c>
      <c r="B38" s="262"/>
      <c r="F38" s="262"/>
      <c r="K38" s="1485"/>
      <c r="L38" s="1485"/>
      <c r="M38" s="1485"/>
      <c r="N38" s="1485"/>
      <c r="O38" s="1485"/>
      <c r="P38" s="1485"/>
      <c r="Q38" s="1485"/>
      <c r="R38" s="1485"/>
      <c r="S38" s="1485"/>
      <c r="T38" s="1485"/>
      <c r="U38" s="1485"/>
      <c r="V38" s="1485"/>
      <c r="W38" s="1485"/>
      <c r="X38" s="1485"/>
      <c r="Y38" s="1485"/>
      <c r="Z38" s="1485"/>
      <c r="AA38" s="1485"/>
      <c r="AB38" s="1485"/>
      <c r="AC38" s="1485"/>
    </row>
    <row r="39" spans="1:29" ht="14.25">
      <c r="A39" s="55">
        <v>37</v>
      </c>
      <c r="B39" s="262"/>
      <c r="K39" s="1486" t="s">
        <v>226</v>
      </c>
      <c r="L39" s="1487"/>
      <c r="M39" s="1492" t="s">
        <v>850</v>
      </c>
      <c r="N39" s="1493"/>
      <c r="O39" s="1493"/>
      <c r="P39" s="1493"/>
      <c r="Q39" s="1493"/>
      <c r="R39" s="1493"/>
      <c r="S39" s="1493"/>
      <c r="T39" s="1493"/>
      <c r="U39" s="1493"/>
      <c r="V39" s="1493"/>
      <c r="W39" s="1493"/>
      <c r="X39" s="1493"/>
      <c r="Y39" s="1493"/>
      <c r="Z39" s="1493"/>
      <c r="AA39" s="1493"/>
      <c r="AB39" s="1493"/>
      <c r="AC39" s="1493"/>
    </row>
    <row r="40" spans="1:29" ht="14.25">
      <c r="A40" s="55">
        <v>38</v>
      </c>
      <c r="B40" s="262"/>
      <c r="K40" s="1488"/>
      <c r="L40" s="1489"/>
      <c r="M40" s="1494" t="s">
        <v>851</v>
      </c>
      <c r="N40" s="1495"/>
      <c r="O40" s="1495"/>
      <c r="P40" s="1495"/>
      <c r="Q40" s="1495"/>
      <c r="R40" s="1495"/>
      <c r="S40" s="1495"/>
      <c r="T40" s="1495"/>
      <c r="U40" s="1495"/>
      <c r="V40" s="1495"/>
      <c r="W40" s="1495"/>
      <c r="X40" s="1495"/>
      <c r="Y40" s="1495"/>
      <c r="Z40" s="1495"/>
      <c r="AA40" s="1495"/>
      <c r="AB40" s="1495"/>
      <c r="AC40" s="1495"/>
    </row>
    <row r="41" spans="1:29" ht="14.25">
      <c r="A41" s="55">
        <v>39</v>
      </c>
      <c r="B41"/>
      <c r="C41"/>
      <c r="D41"/>
      <c r="E41"/>
      <c r="F41"/>
      <c r="K41" s="1490"/>
      <c r="L41" s="1491"/>
      <c r="M41" s="1496" t="s">
        <v>852</v>
      </c>
      <c r="N41" s="1497"/>
      <c r="O41" s="1497"/>
      <c r="P41" s="1497"/>
      <c r="Q41" s="1497"/>
      <c r="R41" s="1497"/>
      <c r="S41" s="1497"/>
      <c r="T41" s="1497"/>
      <c r="U41" s="1497"/>
      <c r="V41" s="1497"/>
      <c r="W41" s="1497"/>
      <c r="X41" s="1497"/>
      <c r="Y41" s="1497"/>
      <c r="Z41" s="1497"/>
      <c r="AA41" s="1497"/>
      <c r="AB41" s="1497"/>
      <c r="AC41" s="1497"/>
    </row>
    <row r="42" spans="1:29" ht="14.25">
      <c r="A42" s="55">
        <v>40</v>
      </c>
      <c r="B42"/>
      <c r="C42"/>
      <c r="D42"/>
      <c r="E42"/>
      <c r="F42"/>
    </row>
    <row r="43" spans="1:29" ht="14.25">
      <c r="A43" s="55">
        <v>41</v>
      </c>
      <c r="B43"/>
      <c r="C43"/>
      <c r="D43"/>
      <c r="E43"/>
      <c r="F43"/>
    </row>
    <row r="44" spans="1:29" ht="31.5">
      <c r="A44" s="55">
        <v>42</v>
      </c>
      <c r="B44" s="1582" t="s">
        <v>994</v>
      </c>
      <c r="C44" s="1583"/>
      <c r="D44" s="1583"/>
      <c r="E44" s="1583"/>
      <c r="F44" s="1583"/>
      <c r="G44" s="1583"/>
      <c r="H44" s="1583"/>
      <c r="I44" s="1583"/>
      <c r="K44" s="1309" t="str">
        <f>"("&amp; E55 &amp; ")월 인턴형 일경험 결과보고_(2)"</f>
        <v>(12)월 인턴형 일경험 결과보고_(2)</v>
      </c>
      <c r="L44" s="1309"/>
      <c r="M44" s="1309"/>
      <c r="N44" s="1309"/>
      <c r="O44" s="1309"/>
      <c r="P44" s="1309"/>
      <c r="Q44" s="1309"/>
      <c r="R44" s="1309"/>
      <c r="S44" s="1309"/>
      <c r="T44" s="1309"/>
      <c r="U44" s="1309"/>
      <c r="V44" s="1309"/>
      <c r="W44" s="1309"/>
      <c r="X44" s="1309"/>
      <c r="Y44" s="1309"/>
      <c r="Z44" s="1309"/>
      <c r="AA44" s="1309"/>
      <c r="AB44" s="1309"/>
      <c r="AC44" s="1309"/>
    </row>
    <row r="45" spans="1:29" ht="16.899999999999999" customHeight="1" thickBot="1">
      <c r="A45" s="55">
        <v>43</v>
      </c>
      <c r="B45" s="240" t="s">
        <v>576</v>
      </c>
      <c r="C45" s="1343" t="s">
        <v>577</v>
      </c>
      <c r="D45" s="1343"/>
      <c r="E45" s="1344" t="s">
        <v>578</v>
      </c>
      <c r="F45" s="1586"/>
      <c r="G45" s="476" t="s">
        <v>990</v>
      </c>
      <c r="H45" s="1587" t="s">
        <v>991</v>
      </c>
      <c r="I45" s="1588"/>
      <c r="K45" s="396" t="s">
        <v>831</v>
      </c>
      <c r="L45" s="1556" t="s">
        <v>0</v>
      </c>
      <c r="M45" s="1557"/>
      <c r="N45" s="1557"/>
      <c r="O45" s="1558"/>
      <c r="P45" s="1559">
        <f>E46</f>
        <v>0</v>
      </c>
      <c r="Q45" s="1560"/>
      <c r="R45" s="1560"/>
      <c r="S45" s="1560"/>
      <c r="T45" s="1561"/>
      <c r="U45" s="1556" t="s">
        <v>1</v>
      </c>
      <c r="V45" s="1557"/>
      <c r="W45" s="1557"/>
      <c r="X45" s="1558"/>
      <c r="Y45" s="1559">
        <f>E47</f>
        <v>0</v>
      </c>
      <c r="Z45" s="1560"/>
      <c r="AA45" s="1560"/>
      <c r="AB45" s="1560"/>
      <c r="AC45" s="1560"/>
    </row>
    <row r="46" spans="1:29" ht="16.5" customHeight="1" thickTop="1">
      <c r="A46" s="55">
        <v>44</v>
      </c>
      <c r="B46" s="1345" t="s">
        <v>530</v>
      </c>
      <c r="C46" s="1576" t="s">
        <v>480</v>
      </c>
      <c r="D46" s="1576"/>
      <c r="E46" s="1584"/>
      <c r="F46" s="1585"/>
      <c r="G46" s="392"/>
      <c r="H46" s="1584"/>
      <c r="I46" s="1585"/>
      <c r="K46" s="397" t="s">
        <v>832</v>
      </c>
      <c r="L46" s="1562" t="s">
        <v>5</v>
      </c>
      <c r="M46" s="1563"/>
      <c r="N46" s="1563"/>
      <c r="O46" s="1564"/>
      <c r="P46" s="1565">
        <f>E48</f>
        <v>0</v>
      </c>
      <c r="Q46" s="1566"/>
      <c r="R46" s="1566"/>
      <c r="S46" s="1566"/>
      <c r="T46" s="1566"/>
      <c r="U46" s="1566"/>
      <c r="V46" s="1566"/>
      <c r="W46" s="1566"/>
      <c r="X46" s="1566"/>
      <c r="Y46" s="1566"/>
      <c r="Z46" s="1566"/>
      <c r="AA46" s="1566"/>
      <c r="AB46" s="1566"/>
      <c r="AC46" s="1566"/>
    </row>
    <row r="47" spans="1:29" ht="16.5" customHeight="1">
      <c r="A47" s="55">
        <v>45</v>
      </c>
      <c r="B47" s="1333"/>
      <c r="C47" s="1579" t="s">
        <v>854</v>
      </c>
      <c r="D47" s="1579"/>
      <c r="E47" s="1336"/>
      <c r="F47" s="1337"/>
      <c r="G47" s="391"/>
      <c r="H47" s="1336"/>
      <c r="I47" s="1337"/>
      <c r="K47" s="398"/>
      <c r="L47" s="1550" t="s">
        <v>833</v>
      </c>
      <c r="M47" s="1551"/>
      <c r="N47" s="1551"/>
      <c r="O47" s="1552"/>
      <c r="P47" s="1553">
        <f>E49</f>
        <v>0</v>
      </c>
      <c r="Q47" s="1554"/>
      <c r="R47" s="1554"/>
      <c r="S47" s="1554"/>
      <c r="T47" s="1555"/>
      <c r="U47" s="1550" t="s">
        <v>834</v>
      </c>
      <c r="V47" s="1551"/>
      <c r="W47" s="1551"/>
      <c r="X47" s="1552"/>
      <c r="Y47" s="1553">
        <f>E50</f>
        <v>0</v>
      </c>
      <c r="Z47" s="1554"/>
      <c r="AA47" s="1554"/>
      <c r="AB47" s="1554"/>
      <c r="AC47" s="1554"/>
    </row>
    <row r="48" spans="1:29" ht="16.5" customHeight="1">
      <c r="A48" s="55">
        <v>46</v>
      </c>
      <c r="B48" s="1333"/>
      <c r="C48" s="1579" t="s">
        <v>484</v>
      </c>
      <c r="D48" s="1579"/>
      <c r="E48" s="1336"/>
      <c r="F48" s="1337"/>
      <c r="G48" s="391"/>
      <c r="H48" s="1336"/>
      <c r="I48" s="1337"/>
      <c r="K48" s="396" t="s">
        <v>220</v>
      </c>
      <c r="L48" s="1550" t="s">
        <v>9</v>
      </c>
      <c r="M48" s="1551"/>
      <c r="N48" s="1551"/>
      <c r="O48" s="1552"/>
      <c r="P48" s="1553">
        <f>E52</f>
        <v>0</v>
      </c>
      <c r="Q48" s="1554"/>
      <c r="R48" s="1554"/>
      <c r="S48" s="1554"/>
      <c r="T48" s="1555"/>
      <c r="U48" s="1550" t="s">
        <v>10</v>
      </c>
      <c r="V48" s="1551"/>
      <c r="W48" s="1551"/>
      <c r="X48" s="1552"/>
      <c r="Y48" s="1553">
        <f>E51</f>
        <v>0</v>
      </c>
      <c r="Z48" s="1554"/>
      <c r="AA48" s="1554"/>
      <c r="AB48" s="1554"/>
      <c r="AC48" s="1554"/>
    </row>
    <row r="49" spans="1:29" ht="16.5" customHeight="1">
      <c r="A49" s="55">
        <v>47</v>
      </c>
      <c r="B49" s="1333"/>
      <c r="C49" s="1579" t="s">
        <v>697</v>
      </c>
      <c r="D49" s="1579"/>
      <c r="E49" s="1336"/>
      <c r="F49" s="1337"/>
      <c r="G49" s="391"/>
      <c r="H49" s="1336"/>
      <c r="I49" s="1337"/>
      <c r="K49" s="397" t="s">
        <v>835</v>
      </c>
      <c r="L49" s="1538" t="s">
        <v>221</v>
      </c>
      <c r="M49" s="1539"/>
      <c r="N49" s="1539"/>
      <c r="O49" s="1540"/>
      <c r="P49" s="1543">
        <f>E53</f>
        <v>0</v>
      </c>
      <c r="Q49" s="1544"/>
      <c r="R49" s="1544"/>
      <c r="S49" s="1544"/>
      <c r="T49" s="1545"/>
      <c r="U49" s="1538" t="s">
        <v>11</v>
      </c>
      <c r="V49" s="1539"/>
      <c r="W49" s="1539"/>
      <c r="X49" s="1540"/>
      <c r="Y49" s="1543">
        <f>E55</f>
        <v>12</v>
      </c>
      <c r="Z49" s="1544"/>
      <c r="AA49" s="1544"/>
      <c r="AB49" s="1544"/>
      <c r="AC49" s="1544"/>
    </row>
    <row r="50" spans="1:29" ht="19.149999999999999" customHeight="1" thickBot="1">
      <c r="A50" s="55">
        <v>48</v>
      </c>
      <c r="B50" s="1333"/>
      <c r="C50" s="1579" t="s">
        <v>855</v>
      </c>
      <c r="D50" s="1579"/>
      <c r="E50" s="1336"/>
      <c r="F50" s="1337"/>
      <c r="G50" s="391"/>
      <c r="H50" s="1336"/>
      <c r="I50" s="1337"/>
      <c r="K50" s="399"/>
      <c r="L50" s="1541" t="s">
        <v>836</v>
      </c>
      <c r="M50" s="1533"/>
      <c r="N50" s="1533"/>
      <c r="O50" s="1542"/>
      <c r="P50" s="1546"/>
      <c r="Q50" s="1547"/>
      <c r="R50" s="1547"/>
      <c r="S50" s="1547"/>
      <c r="T50" s="1548"/>
      <c r="U50" s="1541"/>
      <c r="V50" s="1533"/>
      <c r="W50" s="1533"/>
      <c r="X50" s="1542"/>
      <c r="Y50" s="1546"/>
      <c r="Z50" s="1547"/>
      <c r="AA50" s="1547"/>
      <c r="AB50" s="1547"/>
      <c r="AC50" s="1547"/>
    </row>
    <row r="51" spans="1:29" ht="19.149999999999999" customHeight="1">
      <c r="A51" s="55">
        <v>49</v>
      </c>
      <c r="B51" s="1333"/>
      <c r="C51" s="1578" t="s">
        <v>699</v>
      </c>
      <c r="D51" s="1579"/>
      <c r="E51" s="1336"/>
      <c r="F51" s="1337"/>
      <c r="G51" s="407"/>
      <c r="H51" s="1336"/>
      <c r="I51" s="1337"/>
      <c r="K51" s="1549" t="s">
        <v>837</v>
      </c>
      <c r="L51" s="1549"/>
      <c r="M51" s="1549"/>
      <c r="N51" s="1549"/>
      <c r="O51" s="1549"/>
      <c r="P51" s="1549"/>
      <c r="Q51" s="1549"/>
      <c r="R51" s="1549"/>
      <c r="S51" s="1549"/>
      <c r="T51" s="1549"/>
      <c r="U51" s="1549"/>
      <c r="V51" s="1549"/>
      <c r="W51" s="1549"/>
      <c r="X51" s="1549"/>
      <c r="Y51" s="1549"/>
      <c r="Z51" s="1549"/>
      <c r="AA51" s="1549"/>
      <c r="AB51" s="1549"/>
      <c r="AC51" s="1549"/>
    </row>
    <row r="52" spans="1:29" ht="19.149999999999999" customHeight="1" thickBot="1">
      <c r="A52" s="55">
        <v>50</v>
      </c>
      <c r="B52" s="1333"/>
      <c r="C52" s="1578" t="s">
        <v>376</v>
      </c>
      <c r="D52" s="1579"/>
      <c r="E52" s="1336"/>
      <c r="F52" s="1337"/>
      <c r="G52" s="407"/>
      <c r="H52" s="1336"/>
      <c r="I52" s="1337"/>
      <c r="K52" s="1533" t="s">
        <v>838</v>
      </c>
      <c r="L52" s="1533"/>
      <c r="M52" s="1533"/>
      <c r="N52" s="1533"/>
      <c r="O52" s="1533"/>
      <c r="P52" s="1533"/>
      <c r="Q52" s="1533"/>
      <c r="R52" s="1533"/>
      <c r="S52" s="1533"/>
      <c r="T52" s="1533"/>
      <c r="U52" s="1533"/>
      <c r="V52" s="1533"/>
      <c r="W52" s="1533"/>
      <c r="X52" s="1533"/>
      <c r="Y52" s="1533"/>
      <c r="Z52" s="1533"/>
      <c r="AA52" s="1533"/>
      <c r="AB52" s="1533"/>
      <c r="AC52" s="1533"/>
    </row>
    <row r="53" spans="1:29" ht="16.5" customHeight="1" thickBot="1">
      <c r="A53" s="55">
        <v>51</v>
      </c>
      <c r="B53" s="1333"/>
      <c r="C53" s="1580" t="s">
        <v>856</v>
      </c>
      <c r="D53" s="1579"/>
      <c r="E53" s="1336"/>
      <c r="F53" s="1337"/>
      <c r="G53" s="408"/>
      <c r="H53" s="1336"/>
      <c r="I53" s="1337"/>
      <c r="K53" s="1534" t="s">
        <v>802</v>
      </c>
      <c r="L53" s="1530" t="s">
        <v>82</v>
      </c>
      <c r="M53" s="1514"/>
      <c r="N53" s="1514"/>
      <c r="O53" s="1531"/>
      <c r="P53" s="1532">
        <f>E58</f>
        <v>0</v>
      </c>
      <c r="Q53" s="1512"/>
      <c r="R53" s="1512"/>
      <c r="S53" s="1512"/>
      <c r="T53" s="1537"/>
      <c r="U53" s="1530" t="s">
        <v>745</v>
      </c>
      <c r="V53" s="1514"/>
      <c r="W53" s="1514"/>
      <c r="X53" s="1531"/>
      <c r="Y53" s="1532">
        <f>E59</f>
        <v>0</v>
      </c>
      <c r="Z53" s="1512"/>
      <c r="AA53" s="1512"/>
      <c r="AB53" s="1512"/>
      <c r="AC53" s="1512"/>
    </row>
    <row r="54" spans="1:29" ht="16.899999999999999" customHeight="1" thickBot="1">
      <c r="A54" s="55">
        <v>52</v>
      </c>
      <c r="B54" s="1333"/>
      <c r="C54" s="1579" t="s">
        <v>857</v>
      </c>
      <c r="D54" s="1579"/>
      <c r="E54" s="1337"/>
      <c r="F54" s="1574"/>
      <c r="G54" s="391"/>
      <c r="H54" s="1337"/>
      <c r="I54" s="1574"/>
      <c r="K54" s="1535"/>
      <c r="L54" s="1530" t="s">
        <v>30</v>
      </c>
      <c r="M54" s="1514"/>
      <c r="N54" s="1514"/>
      <c r="O54" s="1531"/>
      <c r="P54" s="1532">
        <f>E60</f>
        <v>0</v>
      </c>
      <c r="Q54" s="1512"/>
      <c r="R54" s="1512"/>
      <c r="S54" s="1512"/>
      <c r="T54" s="1512"/>
      <c r="U54" s="1512"/>
      <c r="V54" s="1512"/>
      <c r="W54" s="1512"/>
      <c r="X54" s="1512"/>
      <c r="Y54" s="1512"/>
      <c r="Z54" s="1512"/>
      <c r="AA54" s="1512"/>
      <c r="AB54" s="1512"/>
      <c r="AC54" s="1512"/>
    </row>
    <row r="55" spans="1:29" ht="17.25" customHeight="1" thickBot="1">
      <c r="A55" s="55">
        <v>53</v>
      </c>
      <c r="B55" s="1333"/>
      <c r="C55" s="1579" t="s">
        <v>858</v>
      </c>
      <c r="D55" s="1579"/>
      <c r="E55" s="1581">
        <v>12</v>
      </c>
      <c r="F55" s="1574"/>
      <c r="G55" s="391"/>
      <c r="H55" s="1337"/>
      <c r="I55" s="1574"/>
      <c r="K55" s="1535"/>
      <c r="L55" s="1530" t="s">
        <v>839</v>
      </c>
      <c r="M55" s="1514"/>
      <c r="N55" s="1514"/>
      <c r="O55" s="1531"/>
      <c r="P55" s="1532">
        <f>E61</f>
        <v>0</v>
      </c>
      <c r="Q55" s="1512"/>
      <c r="R55" s="1512"/>
      <c r="S55" s="1537"/>
      <c r="T55" s="1530" t="str">
        <f>"("&amp;E55&amp;")월 편성시간(A)"</f>
        <v>(12)월 편성시간(A)</v>
      </c>
      <c r="U55" s="1514"/>
      <c r="V55" s="1514"/>
      <c r="W55" s="1514"/>
      <c r="X55" s="1514"/>
      <c r="Y55" s="1514"/>
      <c r="Z55" s="1514"/>
      <c r="AA55" s="1531"/>
      <c r="AB55" s="1532">
        <f>E62</f>
        <v>0</v>
      </c>
      <c r="AC55" s="1512"/>
    </row>
    <row r="56" spans="1:29" ht="17.25" customHeight="1" thickBot="1">
      <c r="A56" s="55">
        <v>54</v>
      </c>
      <c r="B56" s="1334"/>
      <c r="C56" s="1575" t="s">
        <v>489</v>
      </c>
      <c r="D56" s="1575"/>
      <c r="E56" s="1349" t="s">
        <v>853</v>
      </c>
      <c r="F56" s="1341"/>
      <c r="G56" s="393"/>
      <c r="H56" s="1349"/>
      <c r="I56" s="1341"/>
      <c r="K56" s="1535"/>
      <c r="L56" s="1530" t="s">
        <v>804</v>
      </c>
      <c r="M56" s="1514"/>
      <c r="N56" s="1514"/>
      <c r="O56" s="1531"/>
      <c r="P56" s="1532">
        <f>E63</f>
        <v>0</v>
      </c>
      <c r="Q56" s="1512"/>
      <c r="R56" s="1512"/>
      <c r="S56" s="1512"/>
      <c r="T56" s="1512"/>
      <c r="U56" s="1512"/>
      <c r="V56" s="1512"/>
      <c r="W56" s="1512"/>
      <c r="X56" s="1512"/>
      <c r="Y56" s="1512"/>
      <c r="Z56" s="1512"/>
      <c r="AA56" s="1512"/>
      <c r="AB56" s="1512"/>
      <c r="AC56" s="1512"/>
    </row>
    <row r="57" spans="1:29" ht="16.5" customHeight="1" thickBot="1">
      <c r="A57" s="55">
        <v>55</v>
      </c>
      <c r="K57" s="1536"/>
      <c r="L57" s="1530" t="s">
        <v>805</v>
      </c>
      <c r="M57" s="1514"/>
      <c r="N57" s="1514"/>
      <c r="O57" s="1531"/>
      <c r="P57" s="1532">
        <f>E64</f>
        <v>0</v>
      </c>
      <c r="Q57" s="1512"/>
      <c r="R57" s="1512"/>
      <c r="S57" s="1512"/>
      <c r="T57" s="1512"/>
      <c r="U57" s="1512"/>
      <c r="V57" s="1512"/>
      <c r="W57" s="1512"/>
      <c r="X57" s="1512"/>
      <c r="Y57" s="1512"/>
      <c r="Z57" s="1512"/>
      <c r="AA57" s="1512"/>
      <c r="AB57" s="1512"/>
      <c r="AC57" s="1512"/>
    </row>
    <row r="58" spans="1:29" ht="16.5" customHeight="1" thickBot="1">
      <c r="A58" s="55">
        <v>56</v>
      </c>
      <c r="B58" s="1567" t="s">
        <v>803</v>
      </c>
      <c r="C58" s="1579" t="s">
        <v>806</v>
      </c>
      <c r="D58" s="1579"/>
      <c r="E58" s="1336"/>
      <c r="F58" s="1337"/>
      <c r="G58" s="391"/>
      <c r="H58" s="1336"/>
      <c r="I58" s="1337"/>
      <c r="K58" s="1529"/>
      <c r="L58" s="1529"/>
      <c r="M58" s="1529"/>
      <c r="N58" s="1529"/>
      <c r="O58" s="1529"/>
      <c r="P58" s="1529"/>
      <c r="Q58" s="1529"/>
      <c r="R58" s="1529"/>
      <c r="S58" s="1529"/>
      <c r="T58" s="1529"/>
      <c r="U58" s="1529"/>
      <c r="V58" s="1529"/>
      <c r="W58" s="1529"/>
      <c r="X58" s="1529"/>
      <c r="Y58" s="1529"/>
      <c r="Z58" s="1529"/>
      <c r="AA58" s="1529"/>
      <c r="AB58" s="1529"/>
      <c r="AC58" s="1529"/>
    </row>
    <row r="59" spans="1:29" ht="16.5" customHeight="1" thickBot="1">
      <c r="A59" s="55">
        <v>57</v>
      </c>
      <c r="B59" s="1568"/>
      <c r="C59" s="1576" t="s">
        <v>807</v>
      </c>
      <c r="D59" s="1576"/>
      <c r="E59" s="1336"/>
      <c r="F59" s="1337"/>
      <c r="G59" s="391"/>
      <c r="H59" s="1336"/>
      <c r="I59" s="1337"/>
      <c r="K59" s="1514" t="s">
        <v>812</v>
      </c>
      <c r="L59" s="1514"/>
      <c r="M59" s="1510"/>
      <c r="N59" s="1509" t="s">
        <v>814</v>
      </c>
      <c r="O59" s="1510"/>
      <c r="P59" s="1511">
        <f>D66</f>
        <v>0</v>
      </c>
      <c r="Q59" s="1512"/>
      <c r="R59" s="1512"/>
      <c r="S59" s="1513"/>
      <c r="T59" s="1509" t="s">
        <v>816</v>
      </c>
      <c r="U59" s="1514"/>
      <c r="V59" s="1514"/>
      <c r="W59" s="1514"/>
      <c r="X59" s="1514"/>
      <c r="Y59" s="1510"/>
      <c r="Z59" s="1511">
        <f>H66</f>
        <v>0</v>
      </c>
      <c r="AA59" s="1512"/>
      <c r="AB59" s="1512"/>
      <c r="AC59" s="1512"/>
    </row>
    <row r="60" spans="1:29" ht="16.5" customHeight="1" thickBot="1">
      <c r="A60" s="55">
        <v>58</v>
      </c>
      <c r="B60" s="1568"/>
      <c r="C60" s="1576" t="s">
        <v>808</v>
      </c>
      <c r="D60" s="1576"/>
      <c r="E60" s="1336"/>
      <c r="F60" s="1337"/>
      <c r="G60" s="407"/>
      <c r="H60" s="1336"/>
      <c r="I60" s="1337"/>
      <c r="K60" s="1514" t="s">
        <v>813</v>
      </c>
      <c r="L60" s="1514"/>
      <c r="M60" s="1510"/>
      <c r="N60" s="1509" t="s">
        <v>814</v>
      </c>
      <c r="O60" s="1510"/>
      <c r="P60" s="1511">
        <f>D67</f>
        <v>0</v>
      </c>
      <c r="Q60" s="1512"/>
      <c r="R60" s="1512"/>
      <c r="S60" s="1513"/>
      <c r="T60" s="1509" t="s">
        <v>816</v>
      </c>
      <c r="U60" s="1514"/>
      <c r="V60" s="1514"/>
      <c r="W60" s="1514"/>
      <c r="X60" s="1514"/>
      <c r="Y60" s="1510"/>
      <c r="Z60" s="1511">
        <f>H67</f>
        <v>0</v>
      </c>
      <c r="AA60" s="1512"/>
      <c r="AB60" s="1512"/>
      <c r="AC60" s="1512"/>
    </row>
    <row r="61" spans="1:29" ht="16.5" customHeight="1" thickBot="1">
      <c r="A61" s="55">
        <v>59</v>
      </c>
      <c r="B61" s="1568"/>
      <c r="C61" s="1576" t="s">
        <v>809</v>
      </c>
      <c r="D61" s="1576"/>
      <c r="E61" s="1336"/>
      <c r="F61" s="1337"/>
      <c r="G61" s="407"/>
      <c r="H61" s="1336"/>
      <c r="I61" s="1337"/>
      <c r="K61" s="1515" t="s">
        <v>841</v>
      </c>
      <c r="L61" s="1515"/>
      <c r="M61" s="1515"/>
      <c r="N61" s="1515"/>
      <c r="O61" s="1515"/>
      <c r="P61" s="1515"/>
      <c r="Q61" s="1515"/>
      <c r="R61" s="1515"/>
      <c r="S61" s="1515"/>
      <c r="T61" s="1515"/>
      <c r="U61" s="1515"/>
      <c r="V61" s="1515"/>
      <c r="W61" s="1515"/>
      <c r="X61" s="1515"/>
      <c r="Y61" s="1515"/>
      <c r="Z61" s="1515"/>
      <c r="AA61" s="1515"/>
      <c r="AB61" s="1515"/>
      <c r="AC61" s="1515"/>
    </row>
    <row r="62" spans="1:29" ht="16.5" customHeight="1">
      <c r="A62" s="55">
        <v>60</v>
      </c>
      <c r="B62" s="1568"/>
      <c r="C62" s="1572" t="s">
        <v>993</v>
      </c>
      <c r="D62" s="1573"/>
      <c r="E62" s="1337"/>
      <c r="F62" s="1574"/>
      <c r="G62" s="408"/>
      <c r="H62" s="1336"/>
      <c r="I62" s="1337"/>
      <c r="K62" s="400" t="s">
        <v>842</v>
      </c>
      <c r="L62" s="1516" t="s">
        <v>83</v>
      </c>
      <c r="M62" s="1517"/>
      <c r="N62" s="1518"/>
      <c r="O62" s="1516" t="s">
        <v>844</v>
      </c>
      <c r="P62" s="1518"/>
      <c r="Q62" s="1522" t="s">
        <v>94</v>
      </c>
      <c r="R62" s="1516" t="s">
        <v>822</v>
      </c>
      <c r="S62" s="1518"/>
      <c r="T62" s="1516" t="s">
        <v>846</v>
      </c>
      <c r="U62" s="1518"/>
      <c r="V62" s="1516" t="s">
        <v>824</v>
      </c>
      <c r="W62" s="1517"/>
      <c r="X62" s="1518"/>
      <c r="Y62" s="1524" t="s">
        <v>815</v>
      </c>
      <c r="Z62" s="1525"/>
      <c r="AA62" s="1525"/>
      <c r="AB62" s="1525"/>
      <c r="AC62" s="1525"/>
    </row>
    <row r="63" spans="1:29" ht="16.899999999999999" customHeight="1">
      <c r="A63" s="55">
        <v>61</v>
      </c>
      <c r="B63" s="1568"/>
      <c r="C63" s="1572" t="s">
        <v>810</v>
      </c>
      <c r="D63" s="1573"/>
      <c r="E63" s="1337"/>
      <c r="F63" s="1574"/>
      <c r="G63" s="391"/>
      <c r="H63" s="1336"/>
      <c r="I63" s="1337"/>
      <c r="K63" s="401" t="s">
        <v>843</v>
      </c>
      <c r="L63" s="1519"/>
      <c r="M63" s="1520"/>
      <c r="N63" s="1521"/>
      <c r="O63" s="1519" t="s">
        <v>845</v>
      </c>
      <c r="P63" s="1521"/>
      <c r="Q63" s="1523"/>
      <c r="R63" s="1519"/>
      <c r="S63" s="1521"/>
      <c r="T63" s="1519"/>
      <c r="U63" s="1521"/>
      <c r="V63" s="1519"/>
      <c r="W63" s="1520"/>
      <c r="X63" s="1521"/>
      <c r="Y63" s="1526" t="s">
        <v>826</v>
      </c>
      <c r="Z63" s="1527"/>
      <c r="AA63" s="1527"/>
      <c r="AB63" s="1528"/>
      <c r="AC63" s="403" t="s">
        <v>828</v>
      </c>
    </row>
    <row r="64" spans="1:29" ht="16.899999999999999" customHeight="1" thickBot="1">
      <c r="A64" s="55">
        <v>62</v>
      </c>
      <c r="B64" s="1569"/>
      <c r="C64" s="1575" t="s">
        <v>811</v>
      </c>
      <c r="D64" s="1575"/>
      <c r="E64" s="1340"/>
      <c r="F64" s="1341"/>
      <c r="G64" s="391"/>
      <c r="H64" s="1336"/>
      <c r="I64" s="1337"/>
      <c r="K64" s="402"/>
      <c r="L64" s="1505">
        <f t="shared" ref="L64:L73" si="8">B71</f>
        <v>0</v>
      </c>
      <c r="M64" s="1506"/>
      <c r="N64" s="1507"/>
      <c r="O64" s="1508">
        <f t="shared" ref="O64:O73" si="9">C71</f>
        <v>0</v>
      </c>
      <c r="P64" s="1507"/>
      <c r="Q64" s="405">
        <f t="shared" ref="Q64:Q73" si="10">D71</f>
        <v>0</v>
      </c>
      <c r="R64" s="1508">
        <f t="shared" ref="R64:R73" si="11">E71</f>
        <v>0</v>
      </c>
      <c r="S64" s="1507"/>
      <c r="T64" s="1505">
        <f t="shared" ref="T64:T73" si="12">F71</f>
        <v>0</v>
      </c>
      <c r="U64" s="1507"/>
      <c r="V64" s="1508" t="e">
        <f>#REF!</f>
        <v>#REF!</v>
      </c>
      <c r="W64" s="1506"/>
      <c r="X64" s="1507"/>
      <c r="Y64" s="1508" t="e">
        <f>#REF!</f>
        <v>#REF!</v>
      </c>
      <c r="Z64" s="1506"/>
      <c r="AA64" s="1506"/>
      <c r="AB64" s="1507"/>
      <c r="AC64" s="404" t="e">
        <f>#REF!</f>
        <v>#REF!</v>
      </c>
    </row>
    <row r="65" spans="1:29" ht="14.25">
      <c r="A65" s="55">
        <v>63</v>
      </c>
      <c r="K65" s="402"/>
      <c r="L65" s="1505">
        <f t="shared" si="8"/>
        <v>0</v>
      </c>
      <c r="M65" s="1506"/>
      <c r="N65" s="1507"/>
      <c r="O65" s="1508">
        <f t="shared" si="9"/>
        <v>0</v>
      </c>
      <c r="P65" s="1507"/>
      <c r="Q65" s="405">
        <f t="shared" si="10"/>
        <v>0</v>
      </c>
      <c r="R65" s="1508">
        <f t="shared" si="11"/>
        <v>0</v>
      </c>
      <c r="S65" s="1507"/>
      <c r="T65" s="1505">
        <f t="shared" si="12"/>
        <v>0</v>
      </c>
      <c r="U65" s="1507"/>
      <c r="V65" s="1508">
        <f t="shared" ref="V65:V73" si="13">G71</f>
        <v>0</v>
      </c>
      <c r="W65" s="1506"/>
      <c r="X65" s="1507"/>
      <c r="Y65" s="1508">
        <f t="shared" ref="Y65:Y73" si="14">H71</f>
        <v>0</v>
      </c>
      <c r="Z65" s="1506"/>
      <c r="AA65" s="1506"/>
      <c r="AB65" s="1507"/>
      <c r="AC65" s="404">
        <f t="shared" ref="AC65:AC73" si="15">I71</f>
        <v>0</v>
      </c>
    </row>
    <row r="66" spans="1:29" ht="15" customHeight="1">
      <c r="A66" s="55">
        <v>64</v>
      </c>
      <c r="B66" s="1570" t="s">
        <v>821</v>
      </c>
      <c r="C66" s="1579" t="s">
        <v>819</v>
      </c>
      <c r="D66" s="1579"/>
      <c r="E66" s="28"/>
      <c r="F66" s="1579" t="s">
        <v>817</v>
      </c>
      <c r="G66" s="1579"/>
      <c r="H66" s="1591"/>
      <c r="I66" s="1592"/>
      <c r="K66" s="402"/>
      <c r="L66" s="1505">
        <f t="shared" si="8"/>
        <v>0</v>
      </c>
      <c r="M66" s="1506"/>
      <c r="N66" s="1507"/>
      <c r="O66" s="1508">
        <f t="shared" si="9"/>
        <v>0</v>
      </c>
      <c r="P66" s="1507"/>
      <c r="Q66" s="405">
        <f t="shared" si="10"/>
        <v>0</v>
      </c>
      <c r="R66" s="1508">
        <f t="shared" si="11"/>
        <v>0</v>
      </c>
      <c r="S66" s="1507"/>
      <c r="T66" s="1505">
        <f t="shared" si="12"/>
        <v>0</v>
      </c>
      <c r="U66" s="1507"/>
      <c r="V66" s="1508">
        <f t="shared" si="13"/>
        <v>0</v>
      </c>
      <c r="W66" s="1506"/>
      <c r="X66" s="1507"/>
      <c r="Y66" s="1508">
        <f t="shared" si="14"/>
        <v>0</v>
      </c>
      <c r="Z66" s="1506"/>
      <c r="AA66" s="1506"/>
      <c r="AB66" s="1507"/>
      <c r="AC66" s="404">
        <f t="shared" si="15"/>
        <v>0</v>
      </c>
    </row>
    <row r="67" spans="1:29" ht="15.4" customHeight="1" thickBot="1">
      <c r="A67" s="55">
        <v>65</v>
      </c>
      <c r="B67" s="1571"/>
      <c r="C67" s="1575" t="s">
        <v>820</v>
      </c>
      <c r="D67" s="1575"/>
      <c r="E67" s="477"/>
      <c r="F67" s="1575" t="s">
        <v>817</v>
      </c>
      <c r="G67" s="1575"/>
      <c r="H67" s="1593"/>
      <c r="I67" s="1594"/>
      <c r="K67" s="402"/>
      <c r="L67" s="1505">
        <f t="shared" si="8"/>
        <v>0</v>
      </c>
      <c r="M67" s="1506"/>
      <c r="N67" s="1507"/>
      <c r="O67" s="1508">
        <f t="shared" si="9"/>
        <v>0</v>
      </c>
      <c r="P67" s="1507"/>
      <c r="Q67" s="405">
        <f t="shared" si="10"/>
        <v>0</v>
      </c>
      <c r="R67" s="1508">
        <f t="shared" si="11"/>
        <v>0</v>
      </c>
      <c r="S67" s="1507"/>
      <c r="T67" s="1505">
        <f t="shared" si="12"/>
        <v>0</v>
      </c>
      <c r="U67" s="1507"/>
      <c r="V67" s="1508">
        <f t="shared" si="13"/>
        <v>0</v>
      </c>
      <c r="W67" s="1506"/>
      <c r="X67" s="1507"/>
      <c r="Y67" s="1508">
        <f t="shared" si="14"/>
        <v>0</v>
      </c>
      <c r="Z67" s="1506"/>
      <c r="AA67" s="1506"/>
      <c r="AB67" s="1507"/>
      <c r="AC67" s="404">
        <f t="shared" si="15"/>
        <v>0</v>
      </c>
    </row>
    <row r="68" spans="1:29" ht="14.25">
      <c r="A68" s="55">
        <v>66</v>
      </c>
      <c r="K68" s="402"/>
      <c r="L68" s="1505">
        <f t="shared" si="8"/>
        <v>0</v>
      </c>
      <c r="M68" s="1506"/>
      <c r="N68" s="1507"/>
      <c r="O68" s="1508">
        <f t="shared" si="9"/>
        <v>0</v>
      </c>
      <c r="P68" s="1507"/>
      <c r="Q68" s="405">
        <f t="shared" si="10"/>
        <v>0</v>
      </c>
      <c r="R68" s="1508">
        <f t="shared" si="11"/>
        <v>0</v>
      </c>
      <c r="S68" s="1507"/>
      <c r="T68" s="1505">
        <f t="shared" si="12"/>
        <v>0</v>
      </c>
      <c r="U68" s="1507"/>
      <c r="V68" s="1508">
        <f t="shared" si="13"/>
        <v>0</v>
      </c>
      <c r="W68" s="1506"/>
      <c r="X68" s="1507"/>
      <c r="Y68" s="1508">
        <f t="shared" si="14"/>
        <v>0</v>
      </c>
      <c r="Z68" s="1506"/>
      <c r="AA68" s="1506"/>
      <c r="AB68" s="1507"/>
      <c r="AC68" s="404">
        <f t="shared" si="15"/>
        <v>0</v>
      </c>
    </row>
    <row r="69" spans="1:29" ht="26.25" thickBot="1">
      <c r="A69" s="55">
        <v>67</v>
      </c>
      <c r="B69" s="1589" t="s">
        <v>538</v>
      </c>
      <c r="C69" s="1590"/>
      <c r="D69" s="1590"/>
      <c r="E69" s="1590"/>
      <c r="F69" s="1590"/>
      <c r="G69" s="1590"/>
      <c r="H69" s="1590"/>
      <c r="I69" s="1590"/>
      <c r="K69" s="402"/>
      <c r="L69" s="1505">
        <f t="shared" si="8"/>
        <v>0</v>
      </c>
      <c r="M69" s="1506"/>
      <c r="N69" s="1507"/>
      <c r="O69" s="1508">
        <f t="shared" si="9"/>
        <v>0</v>
      </c>
      <c r="P69" s="1507"/>
      <c r="Q69" s="405">
        <f t="shared" si="10"/>
        <v>0</v>
      </c>
      <c r="R69" s="1508">
        <f t="shared" si="11"/>
        <v>0</v>
      </c>
      <c r="S69" s="1507"/>
      <c r="T69" s="1505">
        <f t="shared" si="12"/>
        <v>0</v>
      </c>
      <c r="U69" s="1507"/>
      <c r="V69" s="1508">
        <f t="shared" si="13"/>
        <v>0</v>
      </c>
      <c r="W69" s="1506"/>
      <c r="X69" s="1507"/>
      <c r="Y69" s="1508">
        <f t="shared" si="14"/>
        <v>0</v>
      </c>
      <c r="Z69" s="1506"/>
      <c r="AA69" s="1506"/>
      <c r="AB69" s="1507"/>
      <c r="AC69" s="404">
        <f t="shared" si="15"/>
        <v>0</v>
      </c>
    </row>
    <row r="70" spans="1:29" ht="18" thickTop="1">
      <c r="A70" s="55">
        <v>68</v>
      </c>
      <c r="B70" s="392" t="s">
        <v>829</v>
      </c>
      <c r="C70" s="394" t="s">
        <v>106</v>
      </c>
      <c r="D70" s="392" t="s">
        <v>76</v>
      </c>
      <c r="E70" s="394" t="s">
        <v>823</v>
      </c>
      <c r="F70" s="395" t="s">
        <v>830</v>
      </c>
      <c r="G70" s="392" t="s">
        <v>825</v>
      </c>
      <c r="H70" s="394" t="s">
        <v>827</v>
      </c>
      <c r="I70" s="392" t="s">
        <v>111</v>
      </c>
      <c r="K70" s="402"/>
      <c r="L70" s="1505">
        <f t="shared" si="8"/>
        <v>0</v>
      </c>
      <c r="M70" s="1506"/>
      <c r="N70" s="1507"/>
      <c r="O70" s="1508">
        <f t="shared" si="9"/>
        <v>0</v>
      </c>
      <c r="P70" s="1507"/>
      <c r="Q70" s="405">
        <f t="shared" si="10"/>
        <v>0</v>
      </c>
      <c r="R70" s="1508">
        <f t="shared" si="11"/>
        <v>0</v>
      </c>
      <c r="S70" s="1507"/>
      <c r="T70" s="1505">
        <f t="shared" si="12"/>
        <v>0</v>
      </c>
      <c r="U70" s="1507"/>
      <c r="V70" s="1508">
        <f t="shared" si="13"/>
        <v>0</v>
      </c>
      <c r="W70" s="1506"/>
      <c r="X70" s="1507"/>
      <c r="Y70" s="1508">
        <f t="shared" si="14"/>
        <v>0</v>
      </c>
      <c r="Z70" s="1506"/>
      <c r="AA70" s="1506"/>
      <c r="AB70" s="1507"/>
      <c r="AC70" s="404">
        <f t="shared" si="15"/>
        <v>0</v>
      </c>
    </row>
    <row r="71" spans="1:29" ht="14.25">
      <c r="A71" s="55">
        <v>69</v>
      </c>
      <c r="K71" s="402"/>
      <c r="L71" s="1505">
        <f t="shared" si="8"/>
        <v>0</v>
      </c>
      <c r="M71" s="1506"/>
      <c r="N71" s="1507"/>
      <c r="O71" s="1508">
        <f t="shared" si="9"/>
        <v>0</v>
      </c>
      <c r="P71" s="1507"/>
      <c r="Q71" s="405">
        <f t="shared" si="10"/>
        <v>0</v>
      </c>
      <c r="R71" s="1508">
        <f t="shared" si="11"/>
        <v>0</v>
      </c>
      <c r="S71" s="1507"/>
      <c r="T71" s="1505">
        <f t="shared" si="12"/>
        <v>0</v>
      </c>
      <c r="U71" s="1507"/>
      <c r="V71" s="1508">
        <f t="shared" si="13"/>
        <v>0</v>
      </c>
      <c r="W71" s="1506"/>
      <c r="X71" s="1507"/>
      <c r="Y71" s="1508">
        <f t="shared" si="14"/>
        <v>0</v>
      </c>
      <c r="Z71" s="1506"/>
      <c r="AA71" s="1506"/>
      <c r="AB71" s="1507"/>
      <c r="AC71" s="404">
        <f t="shared" si="15"/>
        <v>0</v>
      </c>
    </row>
    <row r="72" spans="1:29" ht="14.25">
      <c r="A72" s="55">
        <v>70</v>
      </c>
      <c r="K72" s="402"/>
      <c r="L72" s="1505">
        <f t="shared" si="8"/>
        <v>0</v>
      </c>
      <c r="M72" s="1506"/>
      <c r="N72" s="1507"/>
      <c r="O72" s="1508">
        <f t="shared" si="9"/>
        <v>0</v>
      </c>
      <c r="P72" s="1507"/>
      <c r="Q72" s="405">
        <f t="shared" si="10"/>
        <v>0</v>
      </c>
      <c r="R72" s="1508">
        <f t="shared" si="11"/>
        <v>0</v>
      </c>
      <c r="S72" s="1507"/>
      <c r="T72" s="1505">
        <f t="shared" si="12"/>
        <v>0</v>
      </c>
      <c r="U72" s="1507"/>
      <c r="V72" s="1508">
        <f t="shared" si="13"/>
        <v>0</v>
      </c>
      <c r="W72" s="1506"/>
      <c r="X72" s="1507"/>
      <c r="Y72" s="1508">
        <f t="shared" si="14"/>
        <v>0</v>
      </c>
      <c r="Z72" s="1506"/>
      <c r="AA72" s="1506"/>
      <c r="AB72" s="1507"/>
      <c r="AC72" s="404">
        <f t="shared" si="15"/>
        <v>0</v>
      </c>
    </row>
    <row r="73" spans="1:29" ht="14.25">
      <c r="A73" s="55">
        <v>71</v>
      </c>
      <c r="K73" s="398"/>
      <c r="L73" s="1505">
        <f t="shared" si="8"/>
        <v>0</v>
      </c>
      <c r="M73" s="1506"/>
      <c r="N73" s="1507"/>
      <c r="O73" s="1508">
        <f t="shared" si="9"/>
        <v>0</v>
      </c>
      <c r="P73" s="1507"/>
      <c r="Q73" s="405">
        <f t="shared" si="10"/>
        <v>0</v>
      </c>
      <c r="R73" s="1508">
        <f t="shared" si="11"/>
        <v>0</v>
      </c>
      <c r="S73" s="1507"/>
      <c r="T73" s="1505">
        <f t="shared" si="12"/>
        <v>0</v>
      </c>
      <c r="U73" s="1507"/>
      <c r="V73" s="1508">
        <f t="shared" si="13"/>
        <v>0</v>
      </c>
      <c r="W73" s="1506"/>
      <c r="X73" s="1507"/>
      <c r="Y73" s="1508">
        <f t="shared" si="14"/>
        <v>0</v>
      </c>
      <c r="Z73" s="1506"/>
      <c r="AA73" s="1506"/>
      <c r="AB73" s="1507"/>
      <c r="AC73" s="404">
        <f t="shared" si="15"/>
        <v>0</v>
      </c>
    </row>
    <row r="74" spans="1:29" ht="13.5" customHeight="1">
      <c r="A74" s="55">
        <v>72</v>
      </c>
      <c r="K74" s="1539" t="s">
        <v>847</v>
      </c>
      <c r="L74" s="1539"/>
      <c r="M74" s="1539"/>
      <c r="N74" s="1539"/>
      <c r="O74" s="1539"/>
      <c r="P74" s="1539"/>
      <c r="Q74" s="1539"/>
      <c r="R74" s="1539"/>
      <c r="S74" s="1539"/>
      <c r="T74" s="1539"/>
      <c r="U74" s="1539"/>
      <c r="V74" s="1539"/>
      <c r="W74" s="1539"/>
      <c r="X74" s="1539"/>
      <c r="Y74" s="1539"/>
      <c r="Z74" s="1539"/>
      <c r="AA74" s="1539"/>
      <c r="AB74" s="1539"/>
      <c r="AC74" s="1539"/>
    </row>
    <row r="75" spans="1:29" ht="13.5" customHeight="1">
      <c r="A75" s="55">
        <v>73</v>
      </c>
      <c r="K75" s="1577" t="str">
        <f>"위와 같이 2024년 ("&amp;E55&amp;")월 『청년 일경험 지원사업(인턴형 일경험)』의 실시결과를"</f>
        <v>위와 같이 2024년 (12)월 『청년 일경험 지원사업(인턴형 일경험)』의 실시결과를</v>
      </c>
      <c r="L75" s="1577"/>
      <c r="M75" s="1577"/>
      <c r="N75" s="1577"/>
      <c r="O75" s="1577"/>
      <c r="P75" s="1577"/>
      <c r="Q75" s="1577"/>
      <c r="R75" s="1577"/>
      <c r="S75" s="1577"/>
      <c r="T75" s="1577"/>
      <c r="U75" s="1577"/>
      <c r="V75" s="1577"/>
      <c r="W75" s="1577"/>
      <c r="X75" s="1577"/>
      <c r="Y75" s="1577"/>
      <c r="Z75" s="1577"/>
      <c r="AA75" s="1577"/>
      <c r="AB75" s="1577"/>
      <c r="AC75" s="1577"/>
    </row>
    <row r="76" spans="1:29" ht="13.5" customHeight="1">
      <c r="A76" s="55">
        <v>74</v>
      </c>
      <c r="K76" s="1577" t="s">
        <v>848</v>
      </c>
      <c r="L76" s="1577"/>
      <c r="M76" s="1577"/>
      <c r="N76" s="1577"/>
      <c r="O76" s="1577"/>
      <c r="P76" s="1577"/>
      <c r="Q76" s="1577"/>
      <c r="R76" s="1577"/>
      <c r="S76" s="1577"/>
      <c r="T76" s="1577"/>
      <c r="U76" s="1577"/>
      <c r="V76" s="1577"/>
      <c r="W76" s="1577"/>
      <c r="X76" s="1577"/>
      <c r="Y76" s="1577"/>
      <c r="Z76" s="1577"/>
      <c r="AA76" s="1577"/>
      <c r="AB76" s="1577"/>
      <c r="AC76" s="1577"/>
    </row>
    <row r="77" spans="1:29" ht="13.5" customHeight="1">
      <c r="A77" s="55">
        <v>75</v>
      </c>
      <c r="K77" s="1498" t="str">
        <f>E56</f>
        <v>0000년 0월 0일</v>
      </c>
      <c r="L77" s="1499"/>
      <c r="M77" s="1499"/>
      <c r="N77" s="1499"/>
      <c r="O77" s="1499"/>
      <c r="P77" s="1499"/>
      <c r="Q77" s="1499"/>
      <c r="R77" s="1499"/>
      <c r="S77" s="1499"/>
      <c r="T77" s="1499"/>
      <c r="U77" s="1499"/>
      <c r="V77" s="1499"/>
      <c r="W77" s="1499"/>
      <c r="X77" s="1499"/>
      <c r="Y77" s="1499"/>
      <c r="Z77" s="1499"/>
      <c r="AA77" s="1499"/>
      <c r="AB77" s="1499"/>
      <c r="AC77" s="1499"/>
    </row>
    <row r="78" spans="1:29" ht="13.5" customHeight="1">
      <c r="A78" s="55">
        <v>76</v>
      </c>
      <c r="K78" s="958"/>
      <c r="L78" s="958"/>
      <c r="M78" s="958"/>
      <c r="N78" s="958"/>
      <c r="O78" s="958"/>
      <c r="P78" s="958"/>
      <c r="Q78" s="958"/>
      <c r="R78" s="958"/>
      <c r="S78" s="1500" t="s">
        <v>222</v>
      </c>
      <c r="T78" s="1500"/>
      <c r="U78" s="1500"/>
      <c r="V78" s="1500"/>
      <c r="W78" s="1501">
        <f>E47</f>
        <v>0</v>
      </c>
      <c r="X78" s="1501"/>
      <c r="Y78" s="1501"/>
      <c r="Z78" s="1501"/>
      <c r="AA78" s="1502" t="s">
        <v>223</v>
      </c>
      <c r="AB78" s="1502"/>
      <c r="AC78" s="1502"/>
    </row>
    <row r="79" spans="1:29" ht="13.9" customHeight="1" thickBot="1">
      <c r="A79" s="55">
        <v>77</v>
      </c>
      <c r="K79" s="1503" t="s">
        <v>224</v>
      </c>
      <c r="L79" s="1503"/>
      <c r="M79" s="1503"/>
      <c r="N79" s="1503"/>
      <c r="O79" s="1503"/>
      <c r="P79" s="1503"/>
      <c r="Q79" s="1503"/>
      <c r="R79" s="1503"/>
      <c r="S79" s="1503"/>
      <c r="T79" s="1503"/>
      <c r="U79" s="1503"/>
      <c r="V79" s="1503"/>
      <c r="W79" s="1503"/>
      <c r="X79" s="1504" t="s">
        <v>225</v>
      </c>
      <c r="Y79" s="1504"/>
      <c r="Z79" s="1504"/>
      <c r="AA79" s="1504"/>
      <c r="AB79" s="1504"/>
      <c r="AC79" s="1504"/>
    </row>
    <row r="80" spans="1:29" ht="15" thickTop="1">
      <c r="A80" s="55">
        <v>78</v>
      </c>
      <c r="K80" s="1485"/>
      <c r="L80" s="1485"/>
      <c r="M80" s="1485"/>
      <c r="N80" s="1485"/>
      <c r="O80" s="1485"/>
      <c r="P80" s="1485"/>
      <c r="Q80" s="1485"/>
      <c r="R80" s="1485"/>
      <c r="S80" s="1485"/>
      <c r="T80" s="1485"/>
      <c r="U80" s="1485"/>
      <c r="V80" s="1485"/>
      <c r="W80" s="1485"/>
      <c r="X80" s="1485"/>
      <c r="Y80" s="1485"/>
      <c r="Z80" s="1485"/>
      <c r="AA80" s="1485"/>
      <c r="AB80" s="1485"/>
      <c r="AC80" s="1485"/>
    </row>
    <row r="81" spans="1:29" ht="13.5" customHeight="1">
      <c r="A81" s="55">
        <v>79</v>
      </c>
      <c r="K81" s="1486" t="s">
        <v>226</v>
      </c>
      <c r="L81" s="1487"/>
      <c r="M81" s="1492" t="s">
        <v>850</v>
      </c>
      <c r="N81" s="1493"/>
      <c r="O81" s="1493"/>
      <c r="P81" s="1493"/>
      <c r="Q81" s="1493"/>
      <c r="R81" s="1493"/>
      <c r="S81" s="1493"/>
      <c r="T81" s="1493"/>
      <c r="U81" s="1493"/>
      <c r="V81" s="1493"/>
      <c r="W81" s="1493"/>
      <c r="X81" s="1493"/>
      <c r="Y81" s="1493"/>
      <c r="Z81" s="1493"/>
      <c r="AA81" s="1493"/>
      <c r="AB81" s="1493"/>
      <c r="AC81" s="1493"/>
    </row>
    <row r="82" spans="1:29" ht="13.5" customHeight="1">
      <c r="A82" s="55">
        <v>80</v>
      </c>
      <c r="K82" s="1488"/>
      <c r="L82" s="1489"/>
      <c r="M82" s="1494" t="s">
        <v>851</v>
      </c>
      <c r="N82" s="1495"/>
      <c r="O82" s="1495"/>
      <c r="P82" s="1495"/>
      <c r="Q82" s="1495"/>
      <c r="R82" s="1495"/>
      <c r="S82" s="1495"/>
      <c r="T82" s="1495"/>
      <c r="U82" s="1495"/>
      <c r="V82" s="1495"/>
      <c r="W82" s="1495"/>
      <c r="X82" s="1495"/>
      <c r="Y82" s="1495"/>
      <c r="Z82" s="1495"/>
      <c r="AA82" s="1495"/>
      <c r="AB82" s="1495"/>
      <c r="AC82" s="1495"/>
    </row>
    <row r="83" spans="1:29" ht="13.5" customHeight="1">
      <c r="A83" s="55">
        <v>81</v>
      </c>
      <c r="K83" s="1490"/>
      <c r="L83" s="1491"/>
      <c r="M83" s="1496" t="s">
        <v>852</v>
      </c>
      <c r="N83" s="1497"/>
      <c r="O83" s="1497"/>
      <c r="P83" s="1497"/>
      <c r="Q83" s="1497"/>
      <c r="R83" s="1497"/>
      <c r="S83" s="1497"/>
      <c r="T83" s="1497"/>
      <c r="U83" s="1497"/>
      <c r="V83" s="1497"/>
      <c r="W83" s="1497"/>
      <c r="X83" s="1497"/>
      <c r="Y83" s="1497"/>
      <c r="Z83" s="1497"/>
      <c r="AA83" s="1497"/>
      <c r="AB83" s="1497"/>
      <c r="AC83" s="1497"/>
    </row>
  </sheetData>
  <mergeCells count="402">
    <mergeCell ref="C66:D66"/>
    <mergeCell ref="F66:G66"/>
    <mergeCell ref="C67:D67"/>
    <mergeCell ref="F67:G67"/>
    <mergeCell ref="B69:I69"/>
    <mergeCell ref="B27:I27"/>
    <mergeCell ref="H24:I24"/>
    <mergeCell ref="H25:I25"/>
    <mergeCell ref="H66:I66"/>
    <mergeCell ref="H67:I67"/>
    <mergeCell ref="C24:D24"/>
    <mergeCell ref="C25:D25"/>
    <mergeCell ref="F24:G24"/>
    <mergeCell ref="F25:G25"/>
    <mergeCell ref="H45:I45"/>
    <mergeCell ref="H46:I46"/>
    <mergeCell ref="H47:I47"/>
    <mergeCell ref="H48:I48"/>
    <mergeCell ref="H49:I49"/>
    <mergeCell ref="B44:I44"/>
    <mergeCell ref="B46:B56"/>
    <mergeCell ref="C56:D56"/>
    <mergeCell ref="E56:F56"/>
    <mergeCell ref="B58:B64"/>
    <mergeCell ref="K80:AC80"/>
    <mergeCell ref="K81:L83"/>
    <mergeCell ref="M81:AC81"/>
    <mergeCell ref="M82:AC82"/>
    <mergeCell ref="M83:AC83"/>
    <mergeCell ref="E3:F3"/>
    <mergeCell ref="H3:I3"/>
    <mergeCell ref="H4:I4"/>
    <mergeCell ref="H5:I5"/>
    <mergeCell ref="H6:I6"/>
    <mergeCell ref="H7:I7"/>
    <mergeCell ref="H8:I8"/>
    <mergeCell ref="K74:AC74"/>
    <mergeCell ref="K75:AC75"/>
    <mergeCell ref="K76:AC76"/>
    <mergeCell ref="K77:AC77"/>
    <mergeCell ref="K78:R78"/>
    <mergeCell ref="S78:V78"/>
    <mergeCell ref="W78:Z78"/>
    <mergeCell ref="AA78:AC78"/>
    <mergeCell ref="K79:W79"/>
    <mergeCell ref="X79:AC79"/>
    <mergeCell ref="L72:N72"/>
    <mergeCell ref="O72:P72"/>
    <mergeCell ref="R72:S72"/>
    <mergeCell ref="T72:U72"/>
    <mergeCell ref="V72:X72"/>
    <mergeCell ref="Y72:AB72"/>
    <mergeCell ref="L73:N73"/>
    <mergeCell ref="O73:P73"/>
    <mergeCell ref="R73:S73"/>
    <mergeCell ref="T73:U73"/>
    <mergeCell ref="V73:X73"/>
    <mergeCell ref="Y73:AB73"/>
    <mergeCell ref="L70:N70"/>
    <mergeCell ref="O70:P70"/>
    <mergeCell ref="R70:S70"/>
    <mergeCell ref="T70:U70"/>
    <mergeCell ref="V70:X70"/>
    <mergeCell ref="Y70:AB70"/>
    <mergeCell ref="L71:N71"/>
    <mergeCell ref="O71:P71"/>
    <mergeCell ref="R71:S71"/>
    <mergeCell ref="T71:U71"/>
    <mergeCell ref="V71:X71"/>
    <mergeCell ref="Y71:AB71"/>
    <mergeCell ref="L68:N68"/>
    <mergeCell ref="O68:P68"/>
    <mergeCell ref="R68:S68"/>
    <mergeCell ref="T68:U68"/>
    <mergeCell ref="V68:X68"/>
    <mergeCell ref="Y68:AB68"/>
    <mergeCell ref="L69:N69"/>
    <mergeCell ref="O69:P69"/>
    <mergeCell ref="R69:S69"/>
    <mergeCell ref="T69:U69"/>
    <mergeCell ref="V69:X69"/>
    <mergeCell ref="Y69:AB69"/>
    <mergeCell ref="L66:N66"/>
    <mergeCell ref="O66:P66"/>
    <mergeCell ref="R66:S66"/>
    <mergeCell ref="T66:U66"/>
    <mergeCell ref="V66:X66"/>
    <mergeCell ref="Y66:AB66"/>
    <mergeCell ref="L67:N67"/>
    <mergeCell ref="O67:P67"/>
    <mergeCell ref="R67:S67"/>
    <mergeCell ref="T67:U67"/>
    <mergeCell ref="V67:X67"/>
    <mergeCell ref="Y67:AB67"/>
    <mergeCell ref="L64:N64"/>
    <mergeCell ref="O64:P64"/>
    <mergeCell ref="R64:S64"/>
    <mergeCell ref="T64:U64"/>
    <mergeCell ref="V64:X64"/>
    <mergeCell ref="Y64:AB64"/>
    <mergeCell ref="L65:N65"/>
    <mergeCell ref="O65:P65"/>
    <mergeCell ref="R65:S65"/>
    <mergeCell ref="T65:U65"/>
    <mergeCell ref="V65:X65"/>
    <mergeCell ref="Y65:AB65"/>
    <mergeCell ref="K61:AC61"/>
    <mergeCell ref="L62:N63"/>
    <mergeCell ref="O62:P62"/>
    <mergeCell ref="Q62:Q63"/>
    <mergeCell ref="R62:S63"/>
    <mergeCell ref="T62:U63"/>
    <mergeCell ref="V62:X63"/>
    <mergeCell ref="Y62:AC62"/>
    <mergeCell ref="O63:P63"/>
    <mergeCell ref="Y63:AB63"/>
    <mergeCell ref="K58:AC58"/>
    <mergeCell ref="K59:M59"/>
    <mergeCell ref="N59:O59"/>
    <mergeCell ref="P59:S59"/>
    <mergeCell ref="T59:Y59"/>
    <mergeCell ref="Z59:AC59"/>
    <mergeCell ref="K60:M60"/>
    <mergeCell ref="N60:O60"/>
    <mergeCell ref="P60:S60"/>
    <mergeCell ref="T60:Y60"/>
    <mergeCell ref="Z60:AC60"/>
    <mergeCell ref="K51:AC51"/>
    <mergeCell ref="K52:AC52"/>
    <mergeCell ref="K53:K57"/>
    <mergeCell ref="L53:O53"/>
    <mergeCell ref="P53:T53"/>
    <mergeCell ref="U53:X53"/>
    <mergeCell ref="Y53:AC53"/>
    <mergeCell ref="L54:O54"/>
    <mergeCell ref="P54:AC54"/>
    <mergeCell ref="L55:O55"/>
    <mergeCell ref="P55:S55"/>
    <mergeCell ref="T55:AA55"/>
    <mergeCell ref="AB55:AC55"/>
    <mergeCell ref="L56:O56"/>
    <mergeCell ref="P56:AC56"/>
    <mergeCell ref="L57:O57"/>
    <mergeCell ref="P57:AC57"/>
    <mergeCell ref="L48:O48"/>
    <mergeCell ref="P48:T48"/>
    <mergeCell ref="U48:X48"/>
    <mergeCell ref="Y48:AC48"/>
    <mergeCell ref="L49:O49"/>
    <mergeCell ref="P49:T50"/>
    <mergeCell ref="U49:X50"/>
    <mergeCell ref="Y49:AC50"/>
    <mergeCell ref="L50:O50"/>
    <mergeCell ref="K44:AC44"/>
    <mergeCell ref="L45:O45"/>
    <mergeCell ref="P45:T45"/>
    <mergeCell ref="U45:X45"/>
    <mergeCell ref="Y45:AC45"/>
    <mergeCell ref="L46:O46"/>
    <mergeCell ref="P46:AC46"/>
    <mergeCell ref="L47:O47"/>
    <mergeCell ref="P47:T47"/>
    <mergeCell ref="U47:X47"/>
    <mergeCell ref="Y47:AC47"/>
    <mergeCell ref="C64:D64"/>
    <mergeCell ref="E64:F64"/>
    <mergeCell ref="B66:B67"/>
    <mergeCell ref="H50:I50"/>
    <mergeCell ref="H51:I51"/>
    <mergeCell ref="H52:I52"/>
    <mergeCell ref="H53:I53"/>
    <mergeCell ref="H54:I54"/>
    <mergeCell ref="H55:I55"/>
    <mergeCell ref="H56:I56"/>
    <mergeCell ref="H58:I58"/>
    <mergeCell ref="H59:I59"/>
    <mergeCell ref="H60:I60"/>
    <mergeCell ref="H61:I61"/>
    <mergeCell ref="H62:I62"/>
    <mergeCell ref="H63:I63"/>
    <mergeCell ref="H64:I64"/>
    <mergeCell ref="E55:F55"/>
    <mergeCell ref="C58:D58"/>
    <mergeCell ref="E58:F58"/>
    <mergeCell ref="C59:D59"/>
    <mergeCell ref="E59:F59"/>
    <mergeCell ref="C60:D60"/>
    <mergeCell ref="E60:F60"/>
    <mergeCell ref="C61:D61"/>
    <mergeCell ref="E61:F61"/>
    <mergeCell ref="C62:D62"/>
    <mergeCell ref="E62:F62"/>
    <mergeCell ref="C63:D63"/>
    <mergeCell ref="E63:F63"/>
    <mergeCell ref="C45:D45"/>
    <mergeCell ref="E45:F45"/>
    <mergeCell ref="C46:D46"/>
    <mergeCell ref="E46:F46"/>
    <mergeCell ref="C47:D47"/>
    <mergeCell ref="E47:F47"/>
    <mergeCell ref="C48:D48"/>
    <mergeCell ref="E48:F48"/>
    <mergeCell ref="C49:D49"/>
    <mergeCell ref="E49:F49"/>
    <mergeCell ref="C50:D50"/>
    <mergeCell ref="E50:F50"/>
    <mergeCell ref="C51:D51"/>
    <mergeCell ref="E51:F51"/>
    <mergeCell ref="C52:D52"/>
    <mergeCell ref="E52:F52"/>
    <mergeCell ref="C53:D53"/>
    <mergeCell ref="E53:F53"/>
    <mergeCell ref="C54:D54"/>
    <mergeCell ref="E54:F54"/>
    <mergeCell ref="C55:D55"/>
    <mergeCell ref="C4:D4"/>
    <mergeCell ref="E4:F4"/>
    <mergeCell ref="C5:D5"/>
    <mergeCell ref="E5:F5"/>
    <mergeCell ref="C6:D6"/>
    <mergeCell ref="C3:D3"/>
    <mergeCell ref="B2:I2"/>
    <mergeCell ref="H9:I9"/>
    <mergeCell ref="H10:I10"/>
    <mergeCell ref="H11:I11"/>
    <mergeCell ref="H12:I12"/>
    <mergeCell ref="H13:I13"/>
    <mergeCell ref="H14:I14"/>
    <mergeCell ref="H16:I16"/>
    <mergeCell ref="H17:I17"/>
    <mergeCell ref="E6:F6"/>
    <mergeCell ref="C7:D7"/>
    <mergeCell ref="E7:F7"/>
    <mergeCell ref="B4:B14"/>
    <mergeCell ref="H18:I18"/>
    <mergeCell ref="H19:I19"/>
    <mergeCell ref="H20:I20"/>
    <mergeCell ref="H21:I21"/>
    <mergeCell ref="H22:I22"/>
    <mergeCell ref="E8:F8"/>
    <mergeCell ref="C9:D9"/>
    <mergeCell ref="E9:F9"/>
    <mergeCell ref="C10:D10"/>
    <mergeCell ref="E10:F10"/>
    <mergeCell ref="C8:D8"/>
    <mergeCell ref="E14:F14"/>
    <mergeCell ref="C16:D16"/>
    <mergeCell ref="E16:F16"/>
    <mergeCell ref="C17:D17"/>
    <mergeCell ref="E17:F17"/>
    <mergeCell ref="C11:D11"/>
    <mergeCell ref="E11:F11"/>
    <mergeCell ref="C12:D12"/>
    <mergeCell ref="E13:F13"/>
    <mergeCell ref="C14:D14"/>
    <mergeCell ref="E12:F12"/>
    <mergeCell ref="C13:D13"/>
    <mergeCell ref="K32:AC32"/>
    <mergeCell ref="K33:AC33"/>
    <mergeCell ref="K34:AC34"/>
    <mergeCell ref="L28:N28"/>
    <mergeCell ref="O28:P28"/>
    <mergeCell ref="R28:S28"/>
    <mergeCell ref="T28:U28"/>
    <mergeCell ref="L26:N26"/>
    <mergeCell ref="O26:P26"/>
    <mergeCell ref="R26:S26"/>
    <mergeCell ref="T26:U26"/>
    <mergeCell ref="V26:X26"/>
    <mergeCell ref="Y26:AB26"/>
    <mergeCell ref="L27:N27"/>
    <mergeCell ref="O27:P27"/>
    <mergeCell ref="R27:S27"/>
    <mergeCell ref="T27:U27"/>
    <mergeCell ref="V27:X27"/>
    <mergeCell ref="Y27:AB27"/>
    <mergeCell ref="R30:S30"/>
    <mergeCell ref="T30:U30"/>
    <mergeCell ref="V30:X30"/>
    <mergeCell ref="Y30:AB30"/>
    <mergeCell ref="Y28:AB28"/>
    <mergeCell ref="L3:O3"/>
    <mergeCell ref="P3:T3"/>
    <mergeCell ref="U3:X3"/>
    <mergeCell ref="Y3:AC3"/>
    <mergeCell ref="L4:O4"/>
    <mergeCell ref="P4:AC4"/>
    <mergeCell ref="B16:B22"/>
    <mergeCell ref="B24:B25"/>
    <mergeCell ref="C20:D20"/>
    <mergeCell ref="C21:D21"/>
    <mergeCell ref="E20:F20"/>
    <mergeCell ref="E21:F21"/>
    <mergeCell ref="T20:U21"/>
    <mergeCell ref="L24:N24"/>
    <mergeCell ref="O24:P24"/>
    <mergeCell ref="R24:S24"/>
    <mergeCell ref="T24:U24"/>
    <mergeCell ref="C22:D22"/>
    <mergeCell ref="E22:F22"/>
    <mergeCell ref="C19:D19"/>
    <mergeCell ref="E19:F19"/>
    <mergeCell ref="K18:M18"/>
    <mergeCell ref="C18:D18"/>
    <mergeCell ref="E18:F18"/>
    <mergeCell ref="L7:O7"/>
    <mergeCell ref="L8:O8"/>
    <mergeCell ref="P7:T8"/>
    <mergeCell ref="U7:X8"/>
    <mergeCell ref="Y7:AC8"/>
    <mergeCell ref="K9:AC9"/>
    <mergeCell ref="L5:O5"/>
    <mergeCell ref="P5:T5"/>
    <mergeCell ref="U5:X5"/>
    <mergeCell ref="Y5:AC5"/>
    <mergeCell ref="L6:O6"/>
    <mergeCell ref="P6:T6"/>
    <mergeCell ref="U6:X6"/>
    <mergeCell ref="Y6:AC6"/>
    <mergeCell ref="K10:AC10"/>
    <mergeCell ref="K11:K15"/>
    <mergeCell ref="L11:O11"/>
    <mergeCell ref="P11:T11"/>
    <mergeCell ref="U11:X11"/>
    <mergeCell ref="Y11:AC11"/>
    <mergeCell ref="L12:O12"/>
    <mergeCell ref="P12:AC12"/>
    <mergeCell ref="L13:O13"/>
    <mergeCell ref="P13:S13"/>
    <mergeCell ref="K16:AC16"/>
    <mergeCell ref="K17:M17"/>
    <mergeCell ref="N17:O17"/>
    <mergeCell ref="P17:S17"/>
    <mergeCell ref="T17:Y17"/>
    <mergeCell ref="Z17:AC17"/>
    <mergeCell ref="T13:AA13"/>
    <mergeCell ref="AB13:AC13"/>
    <mergeCell ref="L14:O14"/>
    <mergeCell ref="P14:AC14"/>
    <mergeCell ref="L15:O15"/>
    <mergeCell ref="P15:AC15"/>
    <mergeCell ref="N18:O18"/>
    <mergeCell ref="P18:S18"/>
    <mergeCell ref="T18:Y18"/>
    <mergeCell ref="Z18:AC18"/>
    <mergeCell ref="K19:AC19"/>
    <mergeCell ref="L20:N21"/>
    <mergeCell ref="O20:P20"/>
    <mergeCell ref="O21:P21"/>
    <mergeCell ref="Q20:Q21"/>
    <mergeCell ref="R20:S21"/>
    <mergeCell ref="V20:X21"/>
    <mergeCell ref="Y20:AC20"/>
    <mergeCell ref="Y21:AB21"/>
    <mergeCell ref="L22:N22"/>
    <mergeCell ref="O22:P22"/>
    <mergeCell ref="R22:S22"/>
    <mergeCell ref="T22:U22"/>
    <mergeCell ref="V22:X22"/>
    <mergeCell ref="Y22:AB22"/>
    <mergeCell ref="L29:N29"/>
    <mergeCell ref="O29:P29"/>
    <mergeCell ref="R29:S29"/>
    <mergeCell ref="T29:U29"/>
    <mergeCell ref="V29:X29"/>
    <mergeCell ref="Y29:AB29"/>
    <mergeCell ref="L23:N23"/>
    <mergeCell ref="O23:P23"/>
    <mergeCell ref="R23:S23"/>
    <mergeCell ref="T23:U23"/>
    <mergeCell ref="V23:X23"/>
    <mergeCell ref="Y23:AB23"/>
    <mergeCell ref="O25:P25"/>
    <mergeCell ref="R25:S25"/>
    <mergeCell ref="T25:U25"/>
    <mergeCell ref="V25:X25"/>
    <mergeCell ref="Y25:AB25"/>
    <mergeCell ref="V28:X28"/>
    <mergeCell ref="K38:AC38"/>
    <mergeCell ref="K39:L41"/>
    <mergeCell ref="M39:AC39"/>
    <mergeCell ref="M40:AC40"/>
    <mergeCell ref="M41:AC41"/>
    <mergeCell ref="K2:AC2"/>
    <mergeCell ref="K35:AC35"/>
    <mergeCell ref="K36:R36"/>
    <mergeCell ref="S36:V36"/>
    <mergeCell ref="W36:Z36"/>
    <mergeCell ref="AA36:AC36"/>
    <mergeCell ref="K37:W37"/>
    <mergeCell ref="X37:AC37"/>
    <mergeCell ref="L31:N31"/>
    <mergeCell ref="O31:P31"/>
    <mergeCell ref="R31:S31"/>
    <mergeCell ref="T31:U31"/>
    <mergeCell ref="V31:X31"/>
    <mergeCell ref="Y31:AB31"/>
    <mergeCell ref="L30:N30"/>
    <mergeCell ref="O30:P30"/>
    <mergeCell ref="V24:X24"/>
    <mergeCell ref="Y24:AB24"/>
    <mergeCell ref="L25:N25"/>
  </mergeCells>
  <phoneticPr fontId="9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9F66-190D-4BFC-A758-6011575859E2}">
  <sheetPr codeName="Sheet22"/>
  <dimension ref="A1:AL63"/>
  <sheetViews>
    <sheetView workbookViewId="0">
      <selection activeCell="B37" sqref="B37:W38"/>
    </sheetView>
  </sheetViews>
  <sheetFormatPr defaultColWidth="8.7109375" defaultRowHeight="12.75"/>
  <cols>
    <col min="1" max="1" width="14" style="39" customWidth="1"/>
    <col min="2" max="2" width="27.5703125" style="39" customWidth="1"/>
    <col min="3" max="3" width="15.5703125" style="39" customWidth="1"/>
    <col min="4" max="4" width="13.140625" style="39" customWidth="1"/>
    <col min="5" max="5" width="18" style="39" customWidth="1"/>
    <col min="6" max="6" width="13.140625" style="39" customWidth="1"/>
    <col min="7" max="8" width="8.7109375" style="39"/>
    <col min="9" max="9" width="8.42578125" style="39" bestFit="1" customWidth="1"/>
    <col min="10" max="10" width="12.85546875" style="39" bestFit="1" customWidth="1"/>
    <col min="11" max="11" width="8.42578125" style="39" bestFit="1" customWidth="1"/>
    <col min="12" max="14" width="3.28515625" style="39" bestFit="1" customWidth="1"/>
    <col min="15" max="16" width="6.28515625" style="39" customWidth="1"/>
    <col min="17" max="19" width="3.28515625" style="39" bestFit="1" customWidth="1"/>
    <col min="20" max="20" width="12.42578125" style="39" bestFit="1" customWidth="1"/>
    <col min="21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6.25">
      <c r="A2" s="54">
        <v>0</v>
      </c>
      <c r="B2" s="823" t="s">
        <v>884</v>
      </c>
      <c r="C2" s="824"/>
      <c r="D2" s="824"/>
      <c r="E2" s="824"/>
      <c r="F2" s="824"/>
      <c r="G2" s="824"/>
      <c r="H2" s="824"/>
      <c r="I2" s="824"/>
      <c r="K2" s="1596" t="s">
        <v>883</v>
      </c>
      <c r="L2" s="1597"/>
      <c r="M2" s="1597"/>
      <c r="N2" s="1597"/>
      <c r="O2" s="1597"/>
      <c r="P2" s="1597"/>
      <c r="Q2" s="1597"/>
      <c r="R2" s="1597"/>
      <c r="S2" s="1597"/>
      <c r="T2" s="1597"/>
      <c r="U2" s="1597"/>
      <c r="V2" s="1597"/>
      <c r="W2" s="1597"/>
      <c r="X2" s="1597"/>
      <c r="Y2" s="1597"/>
      <c r="Z2" s="1597"/>
      <c r="AA2" s="1597"/>
      <c r="AB2" s="1597"/>
      <c r="AC2" s="1597"/>
      <c r="AD2" s="1597"/>
      <c r="AE2" s="1597"/>
      <c r="AF2" s="1597"/>
    </row>
    <row r="3" spans="1:38" ht="18.75" thickBot="1">
      <c r="A3" s="55">
        <v>1</v>
      </c>
      <c r="B3" s="240" t="s">
        <v>576</v>
      </c>
      <c r="C3" s="1343" t="s">
        <v>577</v>
      </c>
      <c r="D3" s="1343"/>
      <c r="E3" s="1344" t="s">
        <v>578</v>
      </c>
      <c r="F3" s="1637"/>
      <c r="G3" s="1637"/>
      <c r="H3" s="1637"/>
      <c r="I3" s="1637"/>
      <c r="K3" s="396" t="s">
        <v>859</v>
      </c>
      <c r="L3" s="1556" t="s">
        <v>788</v>
      </c>
      <c r="M3" s="1557"/>
      <c r="N3" s="1557"/>
      <c r="O3" s="1558"/>
      <c r="P3" s="1649" t="s">
        <v>861</v>
      </c>
      <c r="Q3" s="1650"/>
      <c r="R3" s="1650"/>
      <c r="S3" s="1650"/>
      <c r="T3" s="1650"/>
      <c r="U3" s="1650"/>
      <c r="V3" s="1651"/>
      <c r="W3" s="1652" t="s">
        <v>1</v>
      </c>
      <c r="X3" s="1653"/>
      <c r="Y3" s="1653"/>
      <c r="Z3" s="1653"/>
      <c r="AA3" s="1653"/>
      <c r="AB3" s="1653"/>
      <c r="AC3" s="1654"/>
      <c r="AD3" s="1649" t="s">
        <v>1</v>
      </c>
      <c r="AE3" s="1650"/>
      <c r="AF3" s="1650"/>
    </row>
    <row r="4" spans="1:38" ht="17.649999999999999" customHeight="1" thickTop="1" thickBot="1">
      <c r="A4" s="55">
        <v>2</v>
      </c>
      <c r="B4" s="1345" t="s">
        <v>530</v>
      </c>
      <c r="C4" s="1633" t="s">
        <v>114</v>
      </c>
      <c r="D4" s="1634"/>
      <c r="E4" s="1584"/>
      <c r="F4" s="1585"/>
      <c r="K4" s="406" t="s">
        <v>860</v>
      </c>
      <c r="L4" s="1562" t="s">
        <v>862</v>
      </c>
      <c r="M4" s="1563"/>
      <c r="N4" s="1563"/>
      <c r="O4" s="1564"/>
      <c r="P4" s="1655" t="s">
        <v>862</v>
      </c>
      <c r="Q4" s="1656"/>
      <c r="R4" s="1656"/>
      <c r="S4" s="1656"/>
      <c r="T4" s="1656"/>
      <c r="U4" s="1656"/>
      <c r="V4" s="1657"/>
      <c r="W4" s="1658" t="s">
        <v>863</v>
      </c>
      <c r="X4" s="1659"/>
      <c r="Y4" s="1659"/>
      <c r="Z4" s="1659"/>
      <c r="AA4" s="1659"/>
      <c r="AB4" s="1659"/>
      <c r="AC4" s="1660"/>
      <c r="AD4" s="1655" t="s">
        <v>864</v>
      </c>
      <c r="AE4" s="1656"/>
      <c r="AF4" s="1656"/>
    </row>
    <row r="5" spans="1:38" ht="16.899999999999999" customHeight="1">
      <c r="A5" s="55">
        <v>3</v>
      </c>
      <c r="B5" s="1333"/>
      <c r="C5" s="1640" t="s">
        <v>854</v>
      </c>
      <c r="D5" s="1640"/>
      <c r="E5" s="1336"/>
      <c r="F5" s="1337"/>
      <c r="K5" s="396" t="s">
        <v>831</v>
      </c>
      <c r="L5" s="1556" t="s">
        <v>0</v>
      </c>
      <c r="M5" s="1557"/>
      <c r="N5" s="1557"/>
      <c r="O5" s="1558"/>
      <c r="P5" s="1649" t="s">
        <v>865</v>
      </c>
      <c r="Q5" s="1650"/>
      <c r="R5" s="1650"/>
      <c r="S5" s="1650"/>
      <c r="T5" s="1650"/>
      <c r="U5" s="1650"/>
      <c r="V5" s="1651"/>
      <c r="W5" s="1652" t="s">
        <v>1</v>
      </c>
      <c r="X5" s="1653"/>
      <c r="Y5" s="1653"/>
      <c r="Z5" s="1653"/>
      <c r="AA5" s="1653"/>
      <c r="AB5" s="1653"/>
      <c r="AC5" s="1654"/>
      <c r="AD5" s="1649" t="s">
        <v>1</v>
      </c>
      <c r="AE5" s="1650"/>
      <c r="AF5" s="1650"/>
    </row>
    <row r="6" spans="1:38" ht="16.899999999999999" customHeight="1">
      <c r="A6" s="55">
        <v>4</v>
      </c>
      <c r="B6" s="1333"/>
      <c r="C6" s="1641" t="s">
        <v>885</v>
      </c>
      <c r="D6" s="1640"/>
      <c r="E6" s="1336"/>
      <c r="F6" s="1337"/>
      <c r="K6" s="397" t="s">
        <v>832</v>
      </c>
      <c r="L6" s="1562" t="s">
        <v>5</v>
      </c>
      <c r="M6" s="1563"/>
      <c r="N6" s="1563"/>
      <c r="O6" s="1564"/>
      <c r="P6" s="1655" t="s">
        <v>5</v>
      </c>
      <c r="Q6" s="1656"/>
      <c r="R6" s="1656"/>
      <c r="S6" s="1656"/>
      <c r="T6" s="1656"/>
      <c r="U6" s="1656"/>
      <c r="V6" s="1656"/>
      <c r="W6" s="1656"/>
      <c r="X6" s="1656"/>
      <c r="Y6" s="1656"/>
      <c r="Z6" s="1656"/>
      <c r="AA6" s="1656"/>
      <c r="AB6" s="1656"/>
      <c r="AC6" s="1656"/>
      <c r="AD6" s="1656"/>
      <c r="AE6" s="1656"/>
      <c r="AF6" s="1656"/>
    </row>
    <row r="7" spans="1:38" ht="16.899999999999999" customHeight="1" thickBot="1">
      <c r="A7" s="55">
        <v>5</v>
      </c>
      <c r="B7" s="1333"/>
      <c r="C7" s="1641" t="s">
        <v>886</v>
      </c>
      <c r="D7" s="1640"/>
      <c r="E7" s="1336"/>
      <c r="F7" s="1337"/>
      <c r="K7" s="399"/>
      <c r="L7" s="1661" t="s">
        <v>833</v>
      </c>
      <c r="M7" s="1662"/>
      <c r="N7" s="1662"/>
      <c r="O7" s="1663"/>
      <c r="P7" s="1664" t="s">
        <v>833</v>
      </c>
      <c r="Q7" s="1665"/>
      <c r="R7" s="1665"/>
      <c r="S7" s="1665"/>
      <c r="T7" s="1665"/>
      <c r="U7" s="1665"/>
      <c r="V7" s="1666"/>
      <c r="W7" s="1667" t="s">
        <v>834</v>
      </c>
      <c r="X7" s="1668"/>
      <c r="Y7" s="1668"/>
      <c r="Z7" s="1668"/>
      <c r="AA7" s="1668"/>
      <c r="AB7" s="1668"/>
      <c r="AC7" s="1669"/>
      <c r="AD7" s="1664" t="s">
        <v>834</v>
      </c>
      <c r="AE7" s="1665"/>
      <c r="AF7" s="1665"/>
    </row>
    <row r="8" spans="1:38" ht="16.899999999999999" customHeight="1" thickBot="1">
      <c r="A8" s="55">
        <v>6</v>
      </c>
      <c r="B8" s="1333"/>
      <c r="C8" s="1641" t="s">
        <v>124</v>
      </c>
      <c r="D8" s="1640"/>
      <c r="E8" s="1336"/>
      <c r="F8" s="1337"/>
      <c r="K8" s="1670"/>
      <c r="L8" s="1670"/>
      <c r="M8" s="1670"/>
      <c r="N8" s="1670"/>
      <c r="O8" s="1670"/>
      <c r="P8" s="1670"/>
      <c r="Q8" s="1670"/>
      <c r="R8" s="1670"/>
      <c r="S8" s="1670"/>
      <c r="T8" s="1670"/>
      <c r="U8" s="1670"/>
      <c r="V8" s="1670"/>
      <c r="W8" s="1670"/>
      <c r="X8" s="1670"/>
      <c r="Y8" s="1670"/>
      <c r="Z8" s="1670"/>
      <c r="AA8" s="1670"/>
      <c r="AB8" s="1670"/>
      <c r="AC8" s="1670"/>
      <c r="AD8" s="1670"/>
      <c r="AE8" s="1670"/>
      <c r="AF8" s="1670"/>
    </row>
    <row r="9" spans="1:38" ht="17.25" customHeight="1" thickBot="1">
      <c r="A9" s="55">
        <v>7</v>
      </c>
      <c r="B9" s="1333"/>
      <c r="C9" s="1641" t="s">
        <v>125</v>
      </c>
      <c r="D9" s="1640"/>
      <c r="E9" s="1336"/>
      <c r="F9" s="1337"/>
      <c r="K9" s="1534" t="s">
        <v>802</v>
      </c>
      <c r="L9" s="1530" t="s">
        <v>82</v>
      </c>
      <c r="M9" s="1514"/>
      <c r="N9" s="1514"/>
      <c r="O9" s="1531"/>
      <c r="P9" s="1532" t="s">
        <v>82</v>
      </c>
      <c r="Q9" s="1512"/>
      <c r="R9" s="1512"/>
      <c r="S9" s="1512"/>
      <c r="T9" s="1512"/>
      <c r="U9" s="1512"/>
      <c r="V9" s="1537"/>
      <c r="W9" s="1530" t="s">
        <v>745</v>
      </c>
      <c r="X9" s="1514"/>
      <c r="Y9" s="1514"/>
      <c r="Z9" s="1514"/>
      <c r="AA9" s="1514"/>
      <c r="AB9" s="1514"/>
      <c r="AC9" s="1531"/>
      <c r="AD9" s="1532" t="s">
        <v>745</v>
      </c>
      <c r="AE9" s="1512"/>
      <c r="AF9" s="1512"/>
    </row>
    <row r="10" spans="1:38" ht="17.25" customHeight="1" thickBot="1">
      <c r="A10" s="55">
        <v>8</v>
      </c>
      <c r="B10" s="1333"/>
      <c r="C10" s="1641" t="s">
        <v>126</v>
      </c>
      <c r="D10" s="1640"/>
      <c r="E10" s="1336"/>
      <c r="F10" s="1337"/>
      <c r="K10" s="1535"/>
      <c r="L10" s="1530" t="s">
        <v>839</v>
      </c>
      <c r="M10" s="1514"/>
      <c r="N10" s="1514"/>
      <c r="O10" s="1531"/>
      <c r="P10" s="1532" t="s">
        <v>840</v>
      </c>
      <c r="Q10" s="1512"/>
      <c r="R10" s="1512"/>
      <c r="S10" s="1512"/>
      <c r="T10" s="1512"/>
      <c r="U10" s="1512"/>
      <c r="V10" s="1512"/>
      <c r="W10" s="1512"/>
      <c r="X10" s="1512"/>
      <c r="Y10" s="1512"/>
      <c r="Z10" s="1512"/>
      <c r="AA10" s="1512"/>
      <c r="AB10" s="1512"/>
      <c r="AC10" s="1512"/>
      <c r="AD10" s="1512"/>
      <c r="AE10" s="1512"/>
      <c r="AF10" s="1512"/>
    </row>
    <row r="11" spans="1:38" ht="19.899999999999999" customHeight="1" thickBot="1">
      <c r="A11" s="55">
        <v>9</v>
      </c>
      <c r="B11" s="1333"/>
      <c r="C11" s="1638" t="s">
        <v>348</v>
      </c>
      <c r="D11" s="1639"/>
      <c r="E11" s="1337"/>
      <c r="F11" s="1574"/>
      <c r="K11" s="1535"/>
      <c r="L11" s="1530" t="s">
        <v>862</v>
      </c>
      <c r="M11" s="1514"/>
      <c r="N11" s="1514"/>
      <c r="O11" s="1531"/>
      <c r="P11" s="1642" t="s">
        <v>862</v>
      </c>
      <c r="Q11" s="1643"/>
      <c r="R11" s="1644"/>
      <c r="S11" s="1530" t="s">
        <v>805</v>
      </c>
      <c r="T11" s="1514"/>
      <c r="U11" s="1514"/>
      <c r="V11" s="1531"/>
      <c r="W11" s="1642" t="s">
        <v>805</v>
      </c>
      <c r="X11" s="1643"/>
      <c r="Y11" s="1643"/>
      <c r="Z11" s="1643"/>
      <c r="AA11" s="1644"/>
      <c r="AB11" s="1530" t="s">
        <v>866</v>
      </c>
      <c r="AC11" s="1514"/>
      <c r="AD11" s="1514"/>
      <c r="AE11" s="1531"/>
      <c r="AF11" s="409" t="s">
        <v>866</v>
      </c>
    </row>
    <row r="12" spans="1:38" ht="17.25" customHeight="1" thickBot="1">
      <c r="A12" s="55">
        <v>10</v>
      </c>
      <c r="B12" s="1333"/>
      <c r="C12" s="1647" t="s">
        <v>887</v>
      </c>
      <c r="D12" s="1648"/>
      <c r="E12" s="1337"/>
      <c r="F12" s="1574"/>
      <c r="K12" s="1535"/>
      <c r="L12" s="1611" t="s">
        <v>818</v>
      </c>
      <c r="M12" s="1534"/>
      <c r="N12" s="1620" t="s">
        <v>868</v>
      </c>
      <c r="O12" s="1621"/>
      <c r="P12" s="1621"/>
      <c r="Q12" s="1622"/>
      <c r="R12" s="1611" t="s">
        <v>869</v>
      </c>
      <c r="S12" s="1612"/>
      <c r="T12" s="1534"/>
      <c r="U12" s="1530" t="s">
        <v>871</v>
      </c>
      <c r="V12" s="1514"/>
      <c r="W12" s="1514"/>
      <c r="X12" s="1531"/>
      <c r="Y12" s="1532" t="s">
        <v>871</v>
      </c>
      <c r="Z12" s="1512"/>
      <c r="AA12" s="1537"/>
      <c r="AB12" s="1611" t="s">
        <v>872</v>
      </c>
      <c r="AC12" s="1612"/>
      <c r="AD12" s="1612"/>
      <c r="AE12" s="1534"/>
      <c r="AF12" s="1620" t="s">
        <v>874</v>
      </c>
    </row>
    <row r="13" spans="1:38" ht="17.25" customHeight="1" thickBot="1">
      <c r="A13" s="55">
        <v>11</v>
      </c>
      <c r="B13" s="1334"/>
      <c r="C13" s="1645" t="s">
        <v>899</v>
      </c>
      <c r="D13" s="1646"/>
      <c r="E13" s="1341"/>
      <c r="F13" s="1632"/>
      <c r="K13" s="1535"/>
      <c r="L13" s="1613" t="s">
        <v>867</v>
      </c>
      <c r="M13" s="1535"/>
      <c r="N13" s="1623"/>
      <c r="O13" s="1624"/>
      <c r="P13" s="1624"/>
      <c r="Q13" s="1625"/>
      <c r="R13" s="1613" t="s">
        <v>870</v>
      </c>
      <c r="S13" s="1500"/>
      <c r="T13" s="1535"/>
      <c r="U13" s="1530" t="s">
        <v>875</v>
      </c>
      <c r="V13" s="1514"/>
      <c r="W13" s="1514"/>
      <c r="X13" s="1531"/>
      <c r="Y13" s="1532" t="s">
        <v>875</v>
      </c>
      <c r="Z13" s="1512"/>
      <c r="AA13" s="1537"/>
      <c r="AB13" s="1613" t="s">
        <v>873</v>
      </c>
      <c r="AC13" s="1500"/>
      <c r="AD13" s="1500"/>
      <c r="AE13" s="1535"/>
      <c r="AF13" s="1623"/>
    </row>
    <row r="14" spans="1:38" ht="15" customHeight="1" thickBot="1">
      <c r="A14" s="55">
        <v>12</v>
      </c>
      <c r="C14" s="608"/>
      <c r="D14" s="608"/>
      <c r="K14" s="1536"/>
      <c r="L14" s="1614"/>
      <c r="M14" s="1616"/>
      <c r="N14" s="1626"/>
      <c r="O14" s="1627"/>
      <c r="P14" s="1627"/>
      <c r="Q14" s="1628"/>
      <c r="R14" s="1614"/>
      <c r="S14" s="1615"/>
      <c r="T14" s="1616"/>
      <c r="U14" s="1530" t="s">
        <v>876</v>
      </c>
      <c r="V14" s="1514"/>
      <c r="W14" s="1514"/>
      <c r="X14" s="1531"/>
      <c r="Y14" s="1532" t="s">
        <v>876</v>
      </c>
      <c r="Z14" s="1512"/>
      <c r="AA14" s="1537"/>
      <c r="AB14" s="1614"/>
      <c r="AC14" s="1615"/>
      <c r="AD14" s="1615"/>
      <c r="AE14" s="1616"/>
      <c r="AF14" s="1626"/>
    </row>
    <row r="15" spans="1:38" ht="17.25" customHeight="1" thickBot="1">
      <c r="A15" s="55">
        <v>13</v>
      </c>
      <c r="B15" s="1567" t="s">
        <v>803</v>
      </c>
      <c r="C15" s="1640" t="s">
        <v>806</v>
      </c>
      <c r="D15" s="1640"/>
      <c r="E15" s="1336"/>
      <c r="F15" s="1337"/>
      <c r="K15" s="1529"/>
      <c r="L15" s="1529"/>
      <c r="M15" s="1529"/>
      <c r="N15" s="1529"/>
      <c r="O15" s="1529"/>
      <c r="P15" s="1529"/>
      <c r="Q15" s="1529"/>
      <c r="R15" s="1529"/>
      <c r="S15" s="1529"/>
      <c r="T15" s="1529"/>
      <c r="U15" s="1529"/>
      <c r="V15" s="1529"/>
      <c r="W15" s="1529"/>
      <c r="X15" s="1529"/>
      <c r="Y15" s="1529"/>
      <c r="Z15" s="1529"/>
      <c r="AA15" s="1529"/>
      <c r="AB15" s="1529"/>
      <c r="AC15" s="1529"/>
      <c r="AD15" s="1529"/>
      <c r="AE15" s="1529"/>
      <c r="AF15" s="1529"/>
    </row>
    <row r="16" spans="1:38" ht="16.899999999999999" customHeight="1">
      <c r="A16" s="55">
        <v>14</v>
      </c>
      <c r="B16" s="1568"/>
      <c r="C16" s="1634" t="s">
        <v>807</v>
      </c>
      <c r="D16" s="1634"/>
      <c r="E16" s="1336"/>
      <c r="F16" s="1337"/>
      <c r="K16" s="400" t="s">
        <v>842</v>
      </c>
      <c r="L16" s="410" t="s">
        <v>83</v>
      </c>
      <c r="M16" s="1617" t="s">
        <v>95</v>
      </c>
      <c r="N16" s="1618"/>
      <c r="O16" s="1618"/>
      <c r="P16" s="1619"/>
      <c r="Q16" s="1617" t="s">
        <v>94</v>
      </c>
      <c r="R16" s="1618"/>
      <c r="S16" s="1619"/>
      <c r="T16" s="1617" t="s">
        <v>407</v>
      </c>
      <c r="U16" s="1618"/>
      <c r="V16" s="1618"/>
      <c r="W16" s="1619"/>
      <c r="X16" s="1617" t="s">
        <v>877</v>
      </c>
      <c r="Y16" s="1618"/>
      <c r="Z16" s="1619"/>
      <c r="AA16" s="1617" t="s">
        <v>824</v>
      </c>
      <c r="AB16" s="1618"/>
      <c r="AC16" s="1618"/>
      <c r="AD16" s="1619"/>
      <c r="AE16" s="1617" t="s">
        <v>878</v>
      </c>
      <c r="AF16" s="1618"/>
    </row>
    <row r="17" spans="1:32" ht="16.899999999999999" customHeight="1">
      <c r="A17" s="55">
        <v>15</v>
      </c>
      <c r="B17" s="1568"/>
      <c r="C17" s="1633" t="s">
        <v>888</v>
      </c>
      <c r="D17" s="1634"/>
      <c r="E17" s="1336"/>
      <c r="F17" s="1337"/>
      <c r="K17" s="401" t="s">
        <v>843</v>
      </c>
      <c r="L17" s="411" t="s">
        <v>83</v>
      </c>
      <c r="M17" s="1606" t="s">
        <v>95</v>
      </c>
      <c r="N17" s="1607"/>
      <c r="O17" s="1607"/>
      <c r="P17" s="1608"/>
      <c r="Q17" s="1606" t="s">
        <v>94</v>
      </c>
      <c r="R17" s="1607"/>
      <c r="S17" s="1608"/>
      <c r="T17" s="1606" t="s">
        <v>407</v>
      </c>
      <c r="U17" s="1607"/>
      <c r="V17" s="1607"/>
      <c r="W17" s="1608"/>
      <c r="X17" s="1606" t="s">
        <v>877</v>
      </c>
      <c r="Y17" s="1607"/>
      <c r="Z17" s="1608"/>
      <c r="AA17" s="1606" t="s">
        <v>824</v>
      </c>
      <c r="AB17" s="1607"/>
      <c r="AC17" s="1607"/>
      <c r="AD17" s="1608"/>
      <c r="AE17" s="1609"/>
      <c r="AF17" s="1610"/>
    </row>
    <row r="18" spans="1:32" ht="16.899999999999999" customHeight="1">
      <c r="A18" s="55">
        <v>16</v>
      </c>
      <c r="B18" s="1568"/>
      <c r="C18" s="1633" t="s">
        <v>885</v>
      </c>
      <c r="D18" s="1634"/>
      <c r="E18" s="1336"/>
      <c r="F18" s="1337"/>
      <c r="K18" s="402"/>
      <c r="L18" s="411" t="s">
        <v>83</v>
      </c>
      <c r="M18" s="1606" t="s">
        <v>95</v>
      </c>
      <c r="N18" s="1607"/>
      <c r="O18" s="1607"/>
      <c r="P18" s="1608"/>
      <c r="Q18" s="1606" t="s">
        <v>94</v>
      </c>
      <c r="R18" s="1607"/>
      <c r="S18" s="1608"/>
      <c r="T18" s="1606" t="s">
        <v>407</v>
      </c>
      <c r="U18" s="1607"/>
      <c r="V18" s="1607"/>
      <c r="W18" s="1608"/>
      <c r="X18" s="1606" t="s">
        <v>877</v>
      </c>
      <c r="Y18" s="1607"/>
      <c r="Z18" s="1608"/>
      <c r="AA18" s="1606" t="s">
        <v>824</v>
      </c>
      <c r="AB18" s="1607"/>
      <c r="AC18" s="1607"/>
      <c r="AD18" s="1608"/>
      <c r="AE18" s="1609"/>
      <c r="AF18" s="1610"/>
    </row>
    <row r="19" spans="1:32" ht="16.899999999999999" customHeight="1">
      <c r="A19" s="55">
        <v>17</v>
      </c>
      <c r="B19" s="1568"/>
      <c r="C19" s="1635" t="s">
        <v>112</v>
      </c>
      <c r="D19" s="1636"/>
      <c r="E19" s="1337"/>
      <c r="F19" s="1574"/>
      <c r="K19" s="402"/>
      <c r="L19" s="411" t="s">
        <v>83</v>
      </c>
      <c r="M19" s="1606" t="s">
        <v>95</v>
      </c>
      <c r="N19" s="1607"/>
      <c r="O19" s="1607"/>
      <c r="P19" s="1608"/>
      <c r="Q19" s="1606" t="s">
        <v>94</v>
      </c>
      <c r="R19" s="1607"/>
      <c r="S19" s="1608"/>
      <c r="T19" s="1606" t="s">
        <v>407</v>
      </c>
      <c r="U19" s="1607"/>
      <c r="V19" s="1607"/>
      <c r="W19" s="1608"/>
      <c r="X19" s="1606" t="s">
        <v>877</v>
      </c>
      <c r="Y19" s="1607"/>
      <c r="Z19" s="1608"/>
      <c r="AA19" s="1606" t="s">
        <v>824</v>
      </c>
      <c r="AB19" s="1607"/>
      <c r="AC19" s="1607"/>
      <c r="AD19" s="1608"/>
      <c r="AE19" s="1609"/>
      <c r="AF19" s="1610"/>
    </row>
    <row r="20" spans="1:32" ht="17.25" customHeight="1" thickBot="1">
      <c r="A20" s="55">
        <v>18</v>
      </c>
      <c r="B20" s="1569"/>
      <c r="C20" s="1630" t="s">
        <v>889</v>
      </c>
      <c r="D20" s="1631"/>
      <c r="E20" s="1341"/>
      <c r="F20" s="1632"/>
      <c r="K20" s="402"/>
      <c r="L20" s="411" t="s">
        <v>83</v>
      </c>
      <c r="M20" s="1606" t="s">
        <v>95</v>
      </c>
      <c r="N20" s="1607"/>
      <c r="O20" s="1607"/>
      <c r="P20" s="1608"/>
      <c r="Q20" s="1606" t="s">
        <v>94</v>
      </c>
      <c r="R20" s="1607"/>
      <c r="S20" s="1608"/>
      <c r="T20" s="1606" t="s">
        <v>407</v>
      </c>
      <c r="U20" s="1607"/>
      <c r="V20" s="1607"/>
      <c r="W20" s="1608"/>
      <c r="X20" s="1606" t="s">
        <v>877</v>
      </c>
      <c r="Y20" s="1607"/>
      <c r="Z20" s="1608"/>
      <c r="AA20" s="1606" t="s">
        <v>824</v>
      </c>
      <c r="AB20" s="1607"/>
      <c r="AC20" s="1607"/>
      <c r="AD20" s="1608"/>
      <c r="AE20" s="1609"/>
      <c r="AF20" s="1610"/>
    </row>
    <row r="21" spans="1:32" ht="16.899999999999999" customHeight="1">
      <c r="A21" s="55">
        <v>19</v>
      </c>
      <c r="K21" s="402"/>
      <c r="L21" s="411" t="s">
        <v>83</v>
      </c>
      <c r="M21" s="1606" t="s">
        <v>95</v>
      </c>
      <c r="N21" s="1607"/>
      <c r="O21" s="1607"/>
      <c r="P21" s="1608"/>
      <c r="Q21" s="1606" t="s">
        <v>94</v>
      </c>
      <c r="R21" s="1607"/>
      <c r="S21" s="1608"/>
      <c r="T21" s="1606" t="s">
        <v>407</v>
      </c>
      <c r="U21" s="1607"/>
      <c r="V21" s="1607"/>
      <c r="W21" s="1608"/>
      <c r="X21" s="1606" t="s">
        <v>877</v>
      </c>
      <c r="Y21" s="1607"/>
      <c r="Z21" s="1608"/>
      <c r="AA21" s="1606" t="s">
        <v>824</v>
      </c>
      <c r="AB21" s="1607"/>
      <c r="AC21" s="1607"/>
      <c r="AD21" s="1608"/>
      <c r="AE21" s="1609"/>
      <c r="AF21" s="1610"/>
    </row>
    <row r="22" spans="1:32" ht="17.25" customHeight="1">
      <c r="A22" s="55">
        <v>20</v>
      </c>
      <c r="B22" s="1598" t="s">
        <v>821</v>
      </c>
      <c r="C22" s="216" t="s">
        <v>890</v>
      </c>
      <c r="D22" s="609"/>
      <c r="E22" s="216" t="s">
        <v>891</v>
      </c>
      <c r="F22" s="413"/>
      <c r="K22" s="402"/>
      <c r="L22" s="411" t="s">
        <v>83</v>
      </c>
      <c r="M22" s="1606" t="s">
        <v>95</v>
      </c>
      <c r="N22" s="1607"/>
      <c r="O22" s="1607"/>
      <c r="P22" s="1608"/>
      <c r="Q22" s="1606" t="s">
        <v>94</v>
      </c>
      <c r="R22" s="1607"/>
      <c r="S22" s="1608"/>
      <c r="T22" s="1606" t="s">
        <v>407</v>
      </c>
      <c r="U22" s="1607"/>
      <c r="V22" s="1607"/>
      <c r="W22" s="1608"/>
      <c r="X22" s="1606" t="s">
        <v>877</v>
      </c>
      <c r="Y22" s="1607"/>
      <c r="Z22" s="1608"/>
      <c r="AA22" s="1606" t="s">
        <v>824</v>
      </c>
      <c r="AB22" s="1607"/>
      <c r="AC22" s="1607"/>
      <c r="AD22" s="1608"/>
      <c r="AE22" s="1609"/>
      <c r="AF22" s="1610"/>
    </row>
    <row r="23" spans="1:32" ht="24.75" customHeight="1">
      <c r="A23" s="55">
        <v>21</v>
      </c>
      <c r="B23" s="1599"/>
      <c r="C23" s="216" t="s">
        <v>892</v>
      </c>
      <c r="D23" s="610"/>
      <c r="E23" s="218"/>
      <c r="F23" s="414"/>
      <c r="K23" s="402"/>
      <c r="L23" s="411" t="s">
        <v>83</v>
      </c>
      <c r="M23" s="1606" t="s">
        <v>95</v>
      </c>
      <c r="N23" s="1607"/>
      <c r="O23" s="1607"/>
      <c r="P23" s="1608"/>
      <c r="Q23" s="1606" t="s">
        <v>94</v>
      </c>
      <c r="R23" s="1607"/>
      <c r="S23" s="1608"/>
      <c r="T23" s="1606" t="s">
        <v>407</v>
      </c>
      <c r="U23" s="1607"/>
      <c r="V23" s="1607"/>
      <c r="W23" s="1608"/>
      <c r="X23" s="1606" t="s">
        <v>877</v>
      </c>
      <c r="Y23" s="1607"/>
      <c r="Z23" s="1608"/>
      <c r="AA23" s="1606" t="s">
        <v>824</v>
      </c>
      <c r="AB23" s="1607"/>
      <c r="AC23" s="1607"/>
      <c r="AD23" s="1608"/>
      <c r="AE23" s="1609"/>
      <c r="AF23" s="1610"/>
    </row>
    <row r="24" spans="1:32" ht="24.75" customHeight="1">
      <c r="A24" s="55">
        <v>22</v>
      </c>
      <c r="B24" s="1599"/>
      <c r="C24" s="216" t="s">
        <v>893</v>
      </c>
      <c r="D24" s="608"/>
      <c r="E24" s="218"/>
      <c r="F24" s="414"/>
      <c r="K24" s="402"/>
      <c r="L24" s="411" t="s">
        <v>83</v>
      </c>
      <c r="M24" s="1606" t="s">
        <v>95</v>
      </c>
      <c r="N24" s="1607"/>
      <c r="O24" s="1607"/>
      <c r="P24" s="1608"/>
      <c r="Q24" s="1606" t="s">
        <v>94</v>
      </c>
      <c r="R24" s="1607"/>
      <c r="S24" s="1608"/>
      <c r="T24" s="1606" t="s">
        <v>407</v>
      </c>
      <c r="U24" s="1607"/>
      <c r="V24" s="1607"/>
      <c r="W24" s="1608"/>
      <c r="X24" s="1606" t="s">
        <v>877</v>
      </c>
      <c r="Y24" s="1607"/>
      <c r="Z24" s="1608"/>
      <c r="AA24" s="1606" t="s">
        <v>824</v>
      </c>
      <c r="AB24" s="1607"/>
      <c r="AC24" s="1607"/>
      <c r="AD24" s="1608"/>
      <c r="AE24" s="1609"/>
      <c r="AF24" s="1610"/>
    </row>
    <row r="25" spans="1:32" ht="23.25" thickBot="1">
      <c r="A25" s="55">
        <v>23</v>
      </c>
      <c r="B25" s="1600"/>
      <c r="C25" s="219" t="s">
        <v>894</v>
      </c>
      <c r="D25" s="611"/>
      <c r="E25" s="526"/>
      <c r="F25" s="415"/>
      <c r="K25" s="402"/>
      <c r="L25" s="411" t="s">
        <v>83</v>
      </c>
      <c r="M25" s="1606" t="s">
        <v>95</v>
      </c>
      <c r="N25" s="1607"/>
      <c r="O25" s="1607"/>
      <c r="P25" s="1608"/>
      <c r="Q25" s="1606" t="s">
        <v>94</v>
      </c>
      <c r="R25" s="1607"/>
      <c r="S25" s="1608"/>
      <c r="T25" s="1606" t="s">
        <v>407</v>
      </c>
      <c r="U25" s="1607"/>
      <c r="V25" s="1607"/>
      <c r="W25" s="1608"/>
      <c r="X25" s="1606" t="s">
        <v>877</v>
      </c>
      <c r="Y25" s="1607"/>
      <c r="Z25" s="1608"/>
      <c r="AA25" s="1606" t="s">
        <v>824</v>
      </c>
      <c r="AB25" s="1607"/>
      <c r="AC25" s="1607"/>
      <c r="AD25" s="1608"/>
      <c r="AE25" s="1609"/>
      <c r="AF25" s="1610"/>
    </row>
    <row r="26" spans="1:32" ht="26.25" thickBot="1">
      <c r="A26" s="55">
        <v>24</v>
      </c>
      <c r="I26" s="418"/>
      <c r="K26" s="399"/>
      <c r="L26" s="412" t="s">
        <v>83</v>
      </c>
      <c r="M26" s="1601" t="s">
        <v>95</v>
      </c>
      <c r="N26" s="1602"/>
      <c r="O26" s="1602"/>
      <c r="P26" s="1603"/>
      <c r="Q26" s="1601" t="s">
        <v>94</v>
      </c>
      <c r="R26" s="1602"/>
      <c r="S26" s="1603"/>
      <c r="T26" s="1601" t="s">
        <v>407</v>
      </c>
      <c r="U26" s="1602"/>
      <c r="V26" s="1602"/>
      <c r="W26" s="1603"/>
      <c r="X26" s="1601" t="s">
        <v>877</v>
      </c>
      <c r="Y26" s="1602"/>
      <c r="Z26" s="1603"/>
      <c r="AA26" s="1601" t="s">
        <v>824</v>
      </c>
      <c r="AB26" s="1602"/>
      <c r="AC26" s="1602"/>
      <c r="AD26" s="1603"/>
      <c r="AE26" s="1604"/>
      <c r="AF26" s="1605"/>
    </row>
    <row r="27" spans="1:32" ht="26.25" thickBot="1">
      <c r="A27" s="55">
        <v>25</v>
      </c>
      <c r="B27" s="1589" t="s">
        <v>538</v>
      </c>
      <c r="C27" s="1590"/>
      <c r="D27" s="1590"/>
      <c r="E27" s="1590"/>
      <c r="F27" s="1590"/>
      <c r="G27" s="1590"/>
      <c r="H27" s="1590"/>
      <c r="I27" s="419"/>
      <c r="K27" s="1277"/>
      <c r="L27" s="1277"/>
      <c r="M27" s="1277"/>
      <c r="N27" s="1277"/>
      <c r="O27" s="1277"/>
      <c r="P27" s="1277"/>
      <c r="Q27" s="1277"/>
      <c r="R27" s="1277"/>
      <c r="S27" s="1277"/>
      <c r="T27" s="1277"/>
      <c r="U27" s="1277"/>
      <c r="V27" s="1277"/>
      <c r="W27" s="1277"/>
      <c r="X27" s="1277"/>
      <c r="Y27" s="1277"/>
      <c r="Z27" s="1277"/>
      <c r="AA27" s="1277"/>
      <c r="AB27" s="1277"/>
      <c r="AC27" s="1277"/>
      <c r="AD27" s="1277"/>
      <c r="AE27" s="1277"/>
      <c r="AF27" s="1277"/>
    </row>
    <row r="28" spans="1:32" ht="18" thickTop="1">
      <c r="A28" s="55">
        <v>26</v>
      </c>
      <c r="B28" s="392" t="s">
        <v>829</v>
      </c>
      <c r="C28" s="394" t="s">
        <v>75</v>
      </c>
      <c r="D28" s="392" t="s">
        <v>76</v>
      </c>
      <c r="E28" s="394" t="s">
        <v>895</v>
      </c>
      <c r="F28" s="416" t="s">
        <v>896</v>
      </c>
      <c r="G28" s="392" t="s">
        <v>825</v>
      </c>
      <c r="H28" s="417" t="s">
        <v>897</v>
      </c>
      <c r="K28" s="1577" t="s">
        <v>879</v>
      </c>
      <c r="L28" s="1577"/>
      <c r="M28" s="1577"/>
      <c r="N28" s="1577"/>
      <c r="O28" s="1577"/>
      <c r="P28" s="1577"/>
      <c r="Q28" s="1577"/>
      <c r="R28" s="1577"/>
      <c r="S28" s="1577"/>
      <c r="T28" s="1577"/>
      <c r="U28" s="1577"/>
      <c r="V28" s="1577"/>
      <c r="W28" s="1577"/>
      <c r="X28" s="1577"/>
      <c r="Y28" s="1577"/>
      <c r="Z28" s="1577"/>
      <c r="AA28" s="1577"/>
      <c r="AB28" s="1577"/>
      <c r="AC28" s="1577"/>
      <c r="AD28" s="1577"/>
      <c r="AE28" s="1577"/>
      <c r="AF28" s="1577"/>
    </row>
    <row r="29" spans="1:32" ht="14.25">
      <c r="A29" s="55">
        <v>27</v>
      </c>
      <c r="B29" s="262"/>
      <c r="F29" s="262"/>
      <c r="K29" s="1499" t="s">
        <v>849</v>
      </c>
      <c r="L29" s="1499"/>
      <c r="M29" s="1499"/>
      <c r="N29" s="1499"/>
      <c r="O29" s="1499"/>
      <c r="P29" s="1499"/>
      <c r="Q29" s="1499"/>
      <c r="R29" s="1499"/>
      <c r="S29" s="1499"/>
      <c r="T29" s="1499"/>
      <c r="U29" s="1499"/>
      <c r="V29" s="1499"/>
      <c r="W29" s="1499"/>
      <c r="X29" s="1499"/>
      <c r="Y29" s="1499"/>
      <c r="Z29" s="1499"/>
      <c r="AA29" s="1499"/>
      <c r="AB29" s="1499"/>
      <c r="AC29" s="1499"/>
      <c r="AD29" s="1499"/>
      <c r="AE29" s="1499"/>
      <c r="AF29" s="1499"/>
    </row>
    <row r="30" spans="1:32" ht="14.25">
      <c r="A30" s="55">
        <v>28</v>
      </c>
      <c r="B30" s="262" t="s">
        <v>898</v>
      </c>
      <c r="F30" s="262"/>
      <c r="K30" s="958"/>
      <c r="L30" s="958"/>
      <c r="M30" s="958"/>
      <c r="N30" s="958"/>
      <c r="O30" s="958"/>
      <c r="P30" s="958"/>
      <c r="Q30" s="958"/>
      <c r="R30" s="958"/>
      <c r="S30" s="958"/>
      <c r="T30" s="958"/>
      <c r="U30" s="958"/>
      <c r="V30" s="1500" t="s">
        <v>880</v>
      </c>
      <c r="W30" s="1500"/>
      <c r="X30" s="1500"/>
      <c r="Y30" s="1500"/>
      <c r="Z30" s="1501" t="s">
        <v>1</v>
      </c>
      <c r="AA30" s="1501"/>
      <c r="AB30" s="1501"/>
      <c r="AC30" s="1502" t="s">
        <v>223</v>
      </c>
      <c r="AD30" s="1502"/>
      <c r="AE30" s="1502"/>
      <c r="AF30" s="1502"/>
    </row>
    <row r="31" spans="1:32" ht="14.25">
      <c r="A31" s="55">
        <v>29</v>
      </c>
      <c r="B31" s="262"/>
      <c r="F31" s="262"/>
      <c r="K31" s="958"/>
      <c r="L31" s="958"/>
      <c r="M31" s="958"/>
      <c r="N31" s="958"/>
      <c r="O31" s="958"/>
      <c r="P31" s="958"/>
      <c r="Q31" s="958"/>
      <c r="R31" s="958"/>
      <c r="S31" s="958"/>
      <c r="T31" s="958"/>
      <c r="U31" s="958"/>
      <c r="V31" s="1500" t="s">
        <v>881</v>
      </c>
      <c r="W31" s="1500"/>
      <c r="X31" s="1500"/>
      <c r="Y31" s="1500"/>
      <c r="Z31" s="1501"/>
      <c r="AA31" s="1501"/>
      <c r="AB31" s="1501"/>
      <c r="AC31" s="1502"/>
      <c r="AD31" s="1502"/>
      <c r="AE31" s="1502"/>
      <c r="AF31" s="1502"/>
    </row>
    <row r="32" spans="1:32" ht="26.25" customHeight="1" thickBot="1">
      <c r="A32" s="55">
        <v>30</v>
      </c>
      <c r="B32" s="262"/>
      <c r="F32" s="262"/>
      <c r="K32" s="1629" t="s">
        <v>882</v>
      </c>
      <c r="L32" s="1629"/>
      <c r="M32" s="1629"/>
      <c r="N32" s="1629"/>
      <c r="O32" s="1504" t="s">
        <v>225</v>
      </c>
      <c r="P32" s="1504"/>
      <c r="Q32" s="1504"/>
      <c r="R32" s="1504"/>
      <c r="S32" s="1504"/>
      <c r="T32" s="1504"/>
      <c r="U32" s="1504"/>
      <c r="V32" s="1504"/>
      <c r="W32" s="1504"/>
      <c r="X32" s="1504"/>
      <c r="Y32" s="1504"/>
      <c r="Z32" s="1504"/>
      <c r="AA32" s="1504"/>
      <c r="AB32" s="1504"/>
      <c r="AC32" s="1504"/>
      <c r="AD32" s="1504"/>
      <c r="AE32" s="1504"/>
      <c r="AF32" s="1504"/>
    </row>
    <row r="33" spans="1:32" ht="13.9" customHeight="1" thickTop="1">
      <c r="A33" s="55">
        <v>31</v>
      </c>
      <c r="B33" s="262"/>
      <c r="F33" s="262"/>
      <c r="K33" s="1595"/>
      <c r="L33" s="1595"/>
      <c r="M33" s="1595"/>
      <c r="N33" s="1595"/>
      <c r="O33" s="1595"/>
      <c r="P33" s="1595"/>
      <c r="Q33" s="1595"/>
      <c r="R33" s="1595"/>
      <c r="S33" s="1595"/>
      <c r="T33" s="1595"/>
      <c r="U33" s="1595"/>
      <c r="V33" s="1595"/>
      <c r="W33" s="1595"/>
      <c r="X33" s="1595"/>
      <c r="Y33" s="1595"/>
      <c r="Z33" s="1595"/>
      <c r="AA33" s="1595"/>
      <c r="AB33" s="1595"/>
      <c r="AC33" s="1595"/>
      <c r="AD33" s="1595"/>
      <c r="AE33" s="1595"/>
      <c r="AF33" s="1595"/>
    </row>
    <row r="34" spans="1:32" ht="14.25">
      <c r="A34" s="55">
        <v>32</v>
      </c>
      <c r="B34" s="262"/>
      <c r="F34" s="262"/>
    </row>
    <row r="35" spans="1:32" ht="14.25">
      <c r="A35" s="55">
        <v>33</v>
      </c>
      <c r="B35" s="262"/>
      <c r="F35" s="262"/>
    </row>
    <row r="36" spans="1:32" ht="14.25">
      <c r="A36" s="55">
        <v>34</v>
      </c>
      <c r="B36" s="262"/>
      <c r="F36" s="262"/>
    </row>
    <row r="37" spans="1:32" ht="16.5" customHeight="1">
      <c r="A37" s="55">
        <v>35</v>
      </c>
      <c r="B37" s="262"/>
      <c r="F37" s="262"/>
    </row>
    <row r="38" spans="1:32" ht="15.75" customHeight="1">
      <c r="A38" s="55">
        <v>36</v>
      </c>
      <c r="B38" s="262"/>
      <c r="F38" s="262"/>
    </row>
    <row r="39" spans="1:32" ht="14.25">
      <c r="A39" s="55">
        <v>37</v>
      </c>
      <c r="B39" s="262"/>
    </row>
    <row r="40" spans="1:32" ht="14.25">
      <c r="A40" s="55">
        <v>38</v>
      </c>
      <c r="B40" s="262"/>
    </row>
    <row r="41" spans="1:32" ht="14.25">
      <c r="A41" s="55">
        <v>39</v>
      </c>
      <c r="B41"/>
      <c r="C41"/>
      <c r="D41"/>
      <c r="E41"/>
      <c r="F41"/>
    </row>
    <row r="42" spans="1:32" ht="14.25">
      <c r="A42" s="55">
        <v>40</v>
      </c>
      <c r="B42"/>
      <c r="C42"/>
      <c r="D42"/>
      <c r="E42"/>
      <c r="F42"/>
    </row>
    <row r="43" spans="1:32" ht="14.25">
      <c r="A43" s="55">
        <v>41</v>
      </c>
      <c r="B43"/>
      <c r="C43"/>
      <c r="D43"/>
      <c r="E43"/>
      <c r="F43"/>
    </row>
    <row r="44" spans="1:32" ht="14.25">
      <c r="A44" s="55">
        <v>42</v>
      </c>
      <c r="B44"/>
      <c r="C44"/>
      <c r="D44"/>
      <c r="E44"/>
      <c r="F44"/>
    </row>
    <row r="45" spans="1:32" ht="14.25">
      <c r="A45" s="55">
        <v>43</v>
      </c>
      <c r="B45"/>
      <c r="C45"/>
      <c r="D45"/>
      <c r="E45"/>
      <c r="F45"/>
    </row>
    <row r="46" spans="1:32" ht="14.25">
      <c r="A46" s="55">
        <v>44</v>
      </c>
    </row>
    <row r="47" spans="1:32" ht="14.25">
      <c r="A47" s="55">
        <v>45</v>
      </c>
    </row>
    <row r="48" spans="1:32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166">
    <mergeCell ref="W9:AC9"/>
    <mergeCell ref="L3:O3"/>
    <mergeCell ref="P3:V3"/>
    <mergeCell ref="W3:AC3"/>
    <mergeCell ref="AD3:AF3"/>
    <mergeCell ref="L4:O4"/>
    <mergeCell ref="P4:V4"/>
    <mergeCell ref="W4:AC4"/>
    <mergeCell ref="AD4:AF4"/>
    <mergeCell ref="P5:V5"/>
    <mergeCell ref="W5:AC5"/>
    <mergeCell ref="AD5:AF5"/>
    <mergeCell ref="P6:AF6"/>
    <mergeCell ref="L7:O7"/>
    <mergeCell ref="P7:V7"/>
    <mergeCell ref="W7:AC7"/>
    <mergeCell ref="AD7:AF7"/>
    <mergeCell ref="K8:AF8"/>
    <mergeCell ref="K9:K14"/>
    <mergeCell ref="Y14:AA14"/>
    <mergeCell ref="B27:H27"/>
    <mergeCell ref="C6:D6"/>
    <mergeCell ref="E6:F6"/>
    <mergeCell ref="L6:O6"/>
    <mergeCell ref="L5:O5"/>
    <mergeCell ref="C17:D17"/>
    <mergeCell ref="E17:F17"/>
    <mergeCell ref="M17:P17"/>
    <mergeCell ref="L10:O10"/>
    <mergeCell ref="P10:AF10"/>
    <mergeCell ref="L11:O11"/>
    <mergeCell ref="P11:R11"/>
    <mergeCell ref="S11:V11"/>
    <mergeCell ref="W11:AA11"/>
    <mergeCell ref="AB11:AE11"/>
    <mergeCell ref="L12:M12"/>
    <mergeCell ref="C13:D13"/>
    <mergeCell ref="E13:F13"/>
    <mergeCell ref="C12:D12"/>
    <mergeCell ref="E12:F12"/>
    <mergeCell ref="Q17:S17"/>
    <mergeCell ref="C15:D15"/>
    <mergeCell ref="E15:F15"/>
    <mergeCell ref="C16:D16"/>
    <mergeCell ref="B2:I2"/>
    <mergeCell ref="C3:D3"/>
    <mergeCell ref="E3:I3"/>
    <mergeCell ref="C11:D11"/>
    <mergeCell ref="E11:F11"/>
    <mergeCell ref="C4:D4"/>
    <mergeCell ref="E4:F4"/>
    <mergeCell ref="C5:D5"/>
    <mergeCell ref="E5:F5"/>
    <mergeCell ref="C9:D9"/>
    <mergeCell ref="E9:F9"/>
    <mergeCell ref="C10:D10"/>
    <mergeCell ref="E10:F10"/>
    <mergeCell ref="C7:D7"/>
    <mergeCell ref="E7:F7"/>
    <mergeCell ref="C8:D8"/>
    <mergeCell ref="E8:F8"/>
    <mergeCell ref="B4:B13"/>
    <mergeCell ref="E16:F16"/>
    <mergeCell ref="K15:AF15"/>
    <mergeCell ref="C20:D20"/>
    <mergeCell ref="E20:F20"/>
    <mergeCell ref="M20:P20"/>
    <mergeCell ref="Q20:S20"/>
    <mergeCell ref="T20:W20"/>
    <mergeCell ref="X20:Z20"/>
    <mergeCell ref="C18:D18"/>
    <mergeCell ref="E18:F18"/>
    <mergeCell ref="C19:D19"/>
    <mergeCell ref="E19:F19"/>
    <mergeCell ref="T17:W17"/>
    <mergeCell ref="X17:Z17"/>
    <mergeCell ref="AA17:AD17"/>
    <mergeCell ref="AE17:AF17"/>
    <mergeCell ref="M18:P18"/>
    <mergeCell ref="Q18:S18"/>
    <mergeCell ref="T18:W18"/>
    <mergeCell ref="X18:Z18"/>
    <mergeCell ref="AA18:AD18"/>
    <mergeCell ref="AE18:AF18"/>
    <mergeCell ref="AA20:AD20"/>
    <mergeCell ref="AE20:AF20"/>
    <mergeCell ref="K32:N32"/>
    <mergeCell ref="O32:AF32"/>
    <mergeCell ref="M26:P26"/>
    <mergeCell ref="Q26:S26"/>
    <mergeCell ref="T26:W26"/>
    <mergeCell ref="X26:Z26"/>
    <mergeCell ref="M24:P24"/>
    <mergeCell ref="Q24:S24"/>
    <mergeCell ref="T24:W24"/>
    <mergeCell ref="AE25:AF25"/>
    <mergeCell ref="R12:T12"/>
    <mergeCell ref="R13:T13"/>
    <mergeCell ref="R14:T14"/>
    <mergeCell ref="M16:P16"/>
    <mergeCell ref="Q16:S16"/>
    <mergeCell ref="T16:W16"/>
    <mergeCell ref="X16:Z16"/>
    <mergeCell ref="AA16:AD16"/>
    <mergeCell ref="AD9:AF9"/>
    <mergeCell ref="L13:M13"/>
    <mergeCell ref="L14:M14"/>
    <mergeCell ref="N12:Q14"/>
    <mergeCell ref="L9:O9"/>
    <mergeCell ref="P9:V9"/>
    <mergeCell ref="AE16:AF16"/>
    <mergeCell ref="U12:X12"/>
    <mergeCell ref="Y12:AA12"/>
    <mergeCell ref="AB12:AE12"/>
    <mergeCell ref="AB13:AE13"/>
    <mergeCell ref="AB14:AE14"/>
    <mergeCell ref="AF12:AF14"/>
    <mergeCell ref="U13:X13"/>
    <mergeCell ref="Y13:AA13"/>
    <mergeCell ref="U14:X14"/>
    <mergeCell ref="M21:P21"/>
    <mergeCell ref="Q21:S21"/>
    <mergeCell ref="T21:W21"/>
    <mergeCell ref="X21:Z21"/>
    <mergeCell ref="AA21:AD21"/>
    <mergeCell ref="AE21:AF21"/>
    <mergeCell ref="M19:P19"/>
    <mergeCell ref="Q19:S19"/>
    <mergeCell ref="T19:W19"/>
    <mergeCell ref="X19:Z19"/>
    <mergeCell ref="AA19:AD19"/>
    <mergeCell ref="AE19:AF19"/>
    <mergeCell ref="AA22:AD22"/>
    <mergeCell ref="AE22:AF22"/>
    <mergeCell ref="M23:P23"/>
    <mergeCell ref="Q23:S23"/>
    <mergeCell ref="T23:W23"/>
    <mergeCell ref="X23:Z23"/>
    <mergeCell ref="AA23:AD23"/>
    <mergeCell ref="AE23:AF23"/>
    <mergeCell ref="M22:P22"/>
    <mergeCell ref="Q22:S22"/>
    <mergeCell ref="K33:AF33"/>
    <mergeCell ref="K2:AF2"/>
    <mergeCell ref="B15:B20"/>
    <mergeCell ref="B22:B25"/>
    <mergeCell ref="AA26:AD26"/>
    <mergeCell ref="AE26:AF26"/>
    <mergeCell ref="K27:AF27"/>
    <mergeCell ref="K28:AF28"/>
    <mergeCell ref="K29:AF29"/>
    <mergeCell ref="K30:U31"/>
    <mergeCell ref="V30:Y30"/>
    <mergeCell ref="V31:Y31"/>
    <mergeCell ref="Z30:AB31"/>
    <mergeCell ref="AC30:AF31"/>
    <mergeCell ref="X24:Z24"/>
    <mergeCell ref="AA24:AD24"/>
    <mergeCell ref="AE24:AF24"/>
    <mergeCell ref="M25:P25"/>
    <mergeCell ref="Q25:S25"/>
    <mergeCell ref="T25:W25"/>
    <mergeCell ref="X25:Z25"/>
    <mergeCell ref="AA25:AD25"/>
    <mergeCell ref="T22:W22"/>
    <mergeCell ref="X22:Z22"/>
  </mergeCells>
  <phoneticPr fontId="9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D87C1-5BE7-4749-9D69-A6FE3F46F6A3}">
  <sheetPr codeName="Sheet29"/>
  <dimension ref="A1:AL63"/>
  <sheetViews>
    <sheetView zoomScale="94" zoomScaleNormal="94" workbookViewId="0">
      <selection activeCell="D4" sqref="D4"/>
    </sheetView>
  </sheetViews>
  <sheetFormatPr defaultColWidth="9" defaultRowHeight="12.75"/>
  <cols>
    <col min="1" max="1" width="14" style="39" customWidth="1"/>
    <col min="2" max="2" width="19.5703125" style="39" customWidth="1"/>
    <col min="3" max="3" width="25.5703125" style="39" bestFit="1" customWidth="1"/>
    <col min="4" max="4" width="27.7109375" style="39" customWidth="1"/>
    <col min="5" max="5" width="13.42578125" style="39" bestFit="1" customWidth="1"/>
    <col min="6" max="6" width="21.85546875" style="39" bestFit="1" customWidth="1"/>
    <col min="7" max="7" width="13.5703125" style="39" customWidth="1"/>
    <col min="8" max="8" width="10" style="39" customWidth="1"/>
    <col min="9" max="9" width="11.85546875" style="39" customWidth="1"/>
    <col min="10" max="12" width="9" style="39"/>
    <col min="13" max="13" width="14" style="39" customWidth="1"/>
    <col min="14" max="15" width="9" style="39"/>
    <col min="16" max="16" width="12.7109375" style="39" customWidth="1"/>
    <col min="17" max="16384" width="9" style="39"/>
  </cols>
  <sheetData>
    <row r="1" spans="1:38">
      <c r="A1" s="52" t="s">
        <v>1320</v>
      </c>
      <c r="B1" s="53">
        <v>1</v>
      </c>
      <c r="C1" s="53">
        <v>2</v>
      </c>
      <c r="D1" s="53">
        <v>3</v>
      </c>
      <c r="E1" s="582">
        <v>4</v>
      </c>
      <c r="F1" s="582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6.25">
      <c r="A2" s="54">
        <v>0</v>
      </c>
      <c r="B2" s="1102" t="s">
        <v>1416</v>
      </c>
      <c r="C2" s="1103"/>
      <c r="D2" s="1103"/>
      <c r="E2" s="583"/>
      <c r="F2" s="1680" t="s">
        <v>1417</v>
      </c>
      <c r="G2" s="1680"/>
      <c r="H2" s="1680"/>
      <c r="I2" s="1680"/>
    </row>
    <row r="3" spans="1:38" ht="24" thickBot="1">
      <c r="A3" s="55">
        <v>1</v>
      </c>
      <c r="B3" s="254" t="s">
        <v>1143</v>
      </c>
      <c r="C3" s="521" t="s">
        <v>990</v>
      </c>
      <c r="D3" s="420" t="s">
        <v>991</v>
      </c>
      <c r="F3" s="1681" t="s">
        <v>1418</v>
      </c>
      <c r="G3" s="1682"/>
      <c r="H3" s="1682"/>
      <c r="I3" s="1683"/>
    </row>
    <row r="4" spans="1:38" ht="16.5" thickTop="1">
      <c r="A4" s="55">
        <v>2</v>
      </c>
      <c r="B4" s="522"/>
      <c r="C4" s="218" t="s">
        <v>1419</v>
      </c>
      <c r="D4" s="203">
        <v>2222</v>
      </c>
      <c r="F4" s="822"/>
      <c r="G4" s="822"/>
      <c r="H4" s="822"/>
      <c r="I4" s="822"/>
    </row>
    <row r="5" spans="1:38" ht="15.75">
      <c r="A5" s="55">
        <v>3</v>
      </c>
      <c r="B5" s="522"/>
      <c r="C5" s="216" t="s">
        <v>1420</v>
      </c>
      <c r="D5" s="203">
        <v>12121</v>
      </c>
      <c r="F5" s="602" t="s">
        <v>1427</v>
      </c>
      <c r="G5" s="603">
        <f>D4</f>
        <v>2222</v>
      </c>
      <c r="H5" s="602" t="s">
        <v>1428</v>
      </c>
      <c r="I5" s="603">
        <f>D5</f>
        <v>12121</v>
      </c>
    </row>
    <row r="6" spans="1:38" ht="15.75">
      <c r="A6" s="55">
        <v>4</v>
      </c>
      <c r="B6" s="522"/>
      <c r="C6" s="217" t="s">
        <v>1421</v>
      </c>
      <c r="D6" s="203">
        <v>2121</v>
      </c>
      <c r="F6" s="602" t="s">
        <v>1429</v>
      </c>
      <c r="G6" s="603">
        <f>D6</f>
        <v>2121</v>
      </c>
      <c r="H6" s="602" t="s">
        <v>1430</v>
      </c>
      <c r="I6" s="603">
        <f>D7</f>
        <v>1</v>
      </c>
    </row>
    <row r="7" spans="1:38" ht="15.75">
      <c r="A7" s="55">
        <v>5</v>
      </c>
      <c r="B7" s="522"/>
      <c r="C7" s="216" t="s">
        <v>1422</v>
      </c>
      <c r="D7" s="203">
        <v>1</v>
      </c>
      <c r="F7" s="1671"/>
      <c r="G7" s="1671"/>
      <c r="H7" s="1671"/>
      <c r="I7" s="1671"/>
    </row>
    <row r="8" spans="1:38" ht="15.75">
      <c r="A8" s="55">
        <v>6</v>
      </c>
      <c r="B8" s="522"/>
      <c r="C8" s="216" t="s">
        <v>927</v>
      </c>
      <c r="D8" s="203">
        <v>1212</v>
      </c>
      <c r="F8" s="604" t="s">
        <v>1431</v>
      </c>
      <c r="G8" s="1684">
        <f>D8</f>
        <v>1212</v>
      </c>
      <c r="H8" s="1685"/>
      <c r="I8" s="1686"/>
    </row>
    <row r="9" spans="1:38" ht="15.75">
      <c r="A9" s="55">
        <v>7</v>
      </c>
      <c r="B9" s="522"/>
      <c r="C9" s="216" t="s">
        <v>806</v>
      </c>
      <c r="D9" s="203">
        <v>1212</v>
      </c>
      <c r="F9" s="605" t="s">
        <v>1432</v>
      </c>
      <c r="G9" s="1687"/>
      <c r="H9" s="1688"/>
      <c r="I9" s="1689"/>
    </row>
    <row r="10" spans="1:38" ht="15.75">
      <c r="A10" s="55">
        <v>8</v>
      </c>
      <c r="B10" s="522"/>
      <c r="C10" s="216" t="s">
        <v>1423</v>
      </c>
      <c r="D10" s="203">
        <v>1212</v>
      </c>
      <c r="F10" s="1671"/>
      <c r="G10" s="1671"/>
      <c r="H10" s="1671"/>
      <c r="I10" s="1671"/>
    </row>
    <row r="11" spans="1:38" ht="24.75" customHeight="1">
      <c r="A11" s="55">
        <v>9</v>
      </c>
      <c r="B11" s="522"/>
      <c r="C11" s="216" t="s">
        <v>1424</v>
      </c>
      <c r="D11" s="203">
        <v>1212</v>
      </c>
      <c r="F11" s="602" t="s">
        <v>1433</v>
      </c>
      <c r="G11" s="1672">
        <f>D9</f>
        <v>1212</v>
      </c>
      <c r="H11" s="1673"/>
      <c r="I11" s="1674"/>
    </row>
    <row r="12" spans="1:38" ht="16.5">
      <c r="A12" s="55">
        <v>10</v>
      </c>
      <c r="B12" s="522"/>
      <c r="C12" s="600" t="s">
        <v>1425</v>
      </c>
      <c r="D12" s="203">
        <v>212</v>
      </c>
      <c r="F12" s="1671"/>
      <c r="G12" s="1671"/>
      <c r="H12" s="1671"/>
      <c r="I12" s="1671"/>
    </row>
    <row r="13" spans="1:38" ht="16.5" thickBot="1">
      <c r="A13" s="55">
        <v>11</v>
      </c>
      <c r="B13" s="524"/>
      <c r="C13" s="601" t="s">
        <v>1426</v>
      </c>
      <c r="D13" s="525">
        <v>12</v>
      </c>
      <c r="F13" s="604" t="s">
        <v>1434</v>
      </c>
      <c r="G13" s="1684">
        <f>D10</f>
        <v>1212</v>
      </c>
      <c r="H13" s="1685"/>
      <c r="I13" s="1686"/>
    </row>
    <row r="14" spans="1:38" ht="14.25">
      <c r="A14" s="55">
        <v>12</v>
      </c>
      <c r="E14" s="523"/>
      <c r="F14" s="605" t="s">
        <v>1435</v>
      </c>
      <c r="G14" s="1687"/>
      <c r="H14" s="1688"/>
      <c r="I14" s="1689"/>
    </row>
    <row r="15" spans="1:38" ht="14.25">
      <c r="A15" s="55">
        <v>13</v>
      </c>
      <c r="F15" s="1671"/>
      <c r="G15" s="1671"/>
      <c r="H15" s="1671"/>
      <c r="I15" s="1671"/>
    </row>
    <row r="16" spans="1:38" ht="15.4" customHeight="1">
      <c r="A16" s="55">
        <v>14</v>
      </c>
      <c r="F16" s="602" t="s">
        <v>1436</v>
      </c>
      <c r="G16" s="1677">
        <f>D11</f>
        <v>1212</v>
      </c>
      <c r="H16" s="1678"/>
      <c r="I16" s="1679"/>
    </row>
    <row r="17" spans="1:9" ht="15.4" customHeight="1">
      <c r="A17" s="55">
        <v>15</v>
      </c>
      <c r="F17" s="602" t="s">
        <v>1437</v>
      </c>
      <c r="G17" s="1672">
        <f>D12</f>
        <v>212</v>
      </c>
      <c r="H17" s="1673"/>
      <c r="I17" s="1674"/>
    </row>
    <row r="18" spans="1:9" ht="27.4" customHeight="1">
      <c r="A18" s="55">
        <v>16</v>
      </c>
      <c r="F18" s="1675" t="s">
        <v>1438</v>
      </c>
      <c r="G18" s="1675"/>
      <c r="H18" s="1675"/>
      <c r="I18" s="1675"/>
    </row>
    <row r="19" spans="1:9" ht="14.25">
      <c r="A19" s="55">
        <v>17</v>
      </c>
      <c r="F19" s="606" t="s">
        <v>1439</v>
      </c>
      <c r="G19" s="606">
        <f>D13</f>
        <v>12</v>
      </c>
      <c r="H19" s="606" t="s">
        <v>1440</v>
      </c>
      <c r="I19" s="607" t="str">
        <f>D4&amp;" (인)"</f>
        <v>2222 (인)</v>
      </c>
    </row>
    <row r="20" spans="1:9" ht="35.25" customHeight="1">
      <c r="A20" s="55">
        <v>18</v>
      </c>
      <c r="F20" s="1676" t="s">
        <v>1441</v>
      </c>
      <c r="G20" s="1676"/>
      <c r="H20" s="1676"/>
      <c r="I20" s="1676"/>
    </row>
    <row r="21" spans="1:9" ht="14.25">
      <c r="A21" s="55">
        <v>19</v>
      </c>
    </row>
    <row r="22" spans="1:9" ht="14.25">
      <c r="A22" s="55">
        <v>20</v>
      </c>
    </row>
    <row r="23" spans="1:9" ht="14.25">
      <c r="A23" s="55">
        <v>21</v>
      </c>
    </row>
    <row r="24" spans="1:9" ht="14.25">
      <c r="A24" s="55">
        <v>22</v>
      </c>
    </row>
    <row r="25" spans="1:9" ht="14.25">
      <c r="A25" s="55">
        <v>23</v>
      </c>
    </row>
    <row r="26" spans="1:9" ht="14.25" customHeight="1">
      <c r="A26" s="55">
        <v>24</v>
      </c>
    </row>
    <row r="27" spans="1:9" ht="14.25">
      <c r="A27" s="55">
        <v>25</v>
      </c>
    </row>
    <row r="28" spans="1:9" ht="14.25">
      <c r="A28" s="55">
        <v>26</v>
      </c>
    </row>
    <row r="29" spans="1:9" ht="14.25">
      <c r="A29" s="55">
        <v>27</v>
      </c>
    </row>
    <row r="30" spans="1:9" ht="21.4" customHeight="1">
      <c r="A30" s="55">
        <v>28</v>
      </c>
    </row>
    <row r="31" spans="1:9" ht="14.25">
      <c r="A31" s="55">
        <v>29</v>
      </c>
    </row>
    <row r="32" spans="1:9" ht="14.25">
      <c r="A32" s="55">
        <v>30</v>
      </c>
    </row>
    <row r="33" spans="1:1" ht="14.25">
      <c r="A33" s="55">
        <v>31</v>
      </c>
    </row>
    <row r="34" spans="1:1" ht="14.25">
      <c r="A34" s="55">
        <v>32</v>
      </c>
    </row>
    <row r="35" spans="1:1" ht="14.25">
      <c r="A35" s="55">
        <v>33</v>
      </c>
    </row>
    <row r="36" spans="1:1" ht="14.25">
      <c r="A36" s="55">
        <v>34</v>
      </c>
    </row>
    <row r="37" spans="1:1" ht="14.25">
      <c r="A37" s="55">
        <v>35</v>
      </c>
    </row>
    <row r="38" spans="1:1" ht="14.25">
      <c r="A38" s="55">
        <v>36</v>
      </c>
    </row>
    <row r="39" spans="1:1" ht="14.25">
      <c r="A39" s="55">
        <v>37</v>
      </c>
    </row>
    <row r="40" spans="1:1" ht="14.25">
      <c r="A40" s="55">
        <v>38</v>
      </c>
    </row>
    <row r="41" spans="1:1" ht="14.25">
      <c r="A41" s="55">
        <v>39</v>
      </c>
    </row>
    <row r="42" spans="1:1" ht="14.25">
      <c r="A42" s="55">
        <v>40</v>
      </c>
    </row>
    <row r="43" spans="1:1" ht="14.25">
      <c r="A43" s="55">
        <v>41</v>
      </c>
    </row>
    <row r="44" spans="1:1" ht="14.25">
      <c r="A44" s="55">
        <v>42</v>
      </c>
    </row>
    <row r="45" spans="1:1" ht="14.25">
      <c r="A45" s="55">
        <v>43</v>
      </c>
    </row>
    <row r="46" spans="1:1" ht="14.25">
      <c r="A46" s="55">
        <v>44</v>
      </c>
    </row>
    <row r="47" spans="1:1" ht="14.25">
      <c r="A47" s="55">
        <v>45</v>
      </c>
    </row>
    <row r="48" spans="1:1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15">
    <mergeCell ref="F12:I12"/>
    <mergeCell ref="F2:I2"/>
    <mergeCell ref="F3:I3"/>
    <mergeCell ref="G13:I14"/>
    <mergeCell ref="B2:D2"/>
    <mergeCell ref="F4:I4"/>
    <mergeCell ref="F7:I7"/>
    <mergeCell ref="G8:I9"/>
    <mergeCell ref="F10:I10"/>
    <mergeCell ref="G11:I11"/>
    <mergeCell ref="F15:I15"/>
    <mergeCell ref="G17:I17"/>
    <mergeCell ref="F18:I18"/>
    <mergeCell ref="F20:I20"/>
    <mergeCell ref="G16:I16"/>
  </mergeCells>
  <phoneticPr fontId="9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체크리스트</vt:lpstr>
      <vt:lpstr>목차</vt:lpstr>
      <vt:lpstr>기본양식</vt:lpstr>
      <vt:lpstr>참여자명단</vt:lpstr>
      <vt:lpstr>참여기업 정보</vt:lpstr>
      <vt:lpstr>102. 사전직무교육 운영계획서</vt:lpstr>
      <vt:lpstr>108. 일경험 운영 계획서</vt:lpstr>
      <vt:lpstr>12, 42, 46,121. 참여기업 서류 모음</vt:lpstr>
      <vt:lpstr>46,40,33. 청년서류 모음</vt:lpstr>
      <vt:lpstr>103. (공통-직무교육기관) 사전직무교육 출석부</vt:lpstr>
      <vt:lpstr>104. (공통-직무교육기관) 사전직무교육 공가 관리대장</vt:lpstr>
      <vt:lpstr>125. (공통직무교육기관) 사전직무교육 실시보고</vt:lpstr>
      <vt:lpstr>129. (공통-직무교육기관) 사전직무교육 수료 보고서</vt:lpstr>
      <vt:lpstr>34. 인턴형 일경험 실시보고</vt:lpstr>
      <vt:lpstr>106. (공통-참여기업) 참여기업 중간점검 일지</vt:lpstr>
      <vt:lpstr>109. (인턴형-참여청년) 인턴형 일경험 종합 보고서</vt:lpstr>
      <vt:lpstr>134-2. (인턴형-멘토) 멘토 결과보고서</vt:lpstr>
      <vt:lpstr>13. 참여기업 지원금 지급 신청서</vt:lpstr>
      <vt:lpstr>35. ()월 인턴형 일경험 결과보고</vt:lpstr>
      <vt:lpstr>36. 인턴형 일경험 실시 결과보고</vt:lpstr>
      <vt:lpstr>123. (공통-청년) 일경험 중도 포기 신청서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juhyeok KIM</cp:lastModifiedBy>
  <dcterms:created xsi:type="dcterms:W3CDTF">2024-11-21T06:22:48Z</dcterms:created>
  <dcterms:modified xsi:type="dcterms:W3CDTF">2024-12-20T09:00:36Z</dcterms:modified>
</cp:coreProperties>
</file>