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Nomadlab-02\미래내일일경험 공유\python_lab\07. 한글 문서\"/>
    </mc:Choice>
  </mc:AlternateContent>
  <xr:revisionPtr revIDLastSave="0" documentId="13_ncr:1_{386C72ED-FBBE-4A0B-BF9F-8EA91E0D071D}" xr6:coauthVersionLast="47" xr6:coauthVersionMax="47" xr10:uidLastSave="{00000000-0000-0000-0000-000000000000}"/>
  <bookViews>
    <workbookView xWindow="0" yWindow="0" windowWidth="14400" windowHeight="15600" firstSheet="1" activeTab="4" xr2:uid="{CA926CD8-F6DF-48E1-A993-0F13556F3703}"/>
    <workbookView xWindow="14400" yWindow="0" windowWidth="14400" windowHeight="15600" firstSheet="4" activeTab="5" xr2:uid="{A87A3FB6-5AC3-4A02-B456-9419F2AE413E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7. 청년 일경험 프로그램 출석부" sheetId="41" r:id="rId6"/>
    <sheet name="102. 사전직무교육 운영 계획서" sheetId="16" r:id="rId7"/>
    <sheet name="105. (참여기업 멘토) 청년 일경험 참여청년 면담일지" sheetId="3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37" l="1"/>
  <c r="G3" i="37"/>
  <c r="F3" i="37"/>
  <c r="E3" i="37"/>
  <c r="D3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D52" i="7"/>
  <c r="BV2" i="33"/>
  <c r="BX2" i="33"/>
  <c r="BY3" i="33"/>
  <c r="F53" i="7"/>
  <c r="F54" i="7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BX3" i="33" l="1"/>
  <c r="CA3" i="33" s="1"/>
  <c r="Y23" i="33"/>
  <c r="BZ3" i="33" l="1"/>
  <c r="V14" i="24" l="1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<sst xmlns="http://schemas.openxmlformats.org/spreadsheetml/2006/main" count="837" uniqueCount="552">
  <si>
    <t>홍길동</t>
  </si>
  <si>
    <t>222-22-22222-2</t>
  </si>
  <si>
    <t xml:space="preserve">기업구분 </t>
  </si>
  <si>
    <t>중소기업</t>
  </si>
  <si>
    <t>디자인</t>
  </si>
  <si>
    <t>이메일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</si>
  <si>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</si>
  <si>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</si>
  <si>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</si>
  <si>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</si>
  <si>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</si>
  <si>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</si>
  <si>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</si>
  <si>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</si>
  <si>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</si>
  <si>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</si>
  <si>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앱 레이아웃 구성 – XML 및 기본 위젯 활용</t>
  </si>
  <si>
    <t>사용자 인터랙션 추가 – 이벤트 및 터치 기능</t>
  </si>
  <si>
    <t>앱 성능 최적화와 디버깅</t>
  </si>
  <si>
    <t>앱 배포 및 유지 관리 전략</t>
  </si>
  <si>
    <t xml:space="preserve">         로우
인덱스</t>
    <phoneticPr fontId="9" type="noConversion"/>
  </si>
  <si>
    <t>작성날짜</t>
    <phoneticPr fontId="9" type="noConversion"/>
  </si>
  <si>
    <t>특이사항 기재</t>
  </si>
  <si>
    <t>순번</t>
  </si>
  <si>
    <t>프로그램명</t>
  </si>
  <si>
    <t>성명</t>
  </si>
  <si>
    <t>주민등록번호</t>
    <phoneticPr fontId="9" type="noConversion"/>
  </si>
  <si>
    <t>연락처</t>
    <phoneticPr fontId="9" type="noConversion"/>
  </si>
  <si>
    <t>이메일</t>
    <phoneticPr fontId="9" type="noConversion"/>
  </si>
  <si>
    <t>학년</t>
  </si>
  <si>
    <t>최종학교명</t>
    <phoneticPr fontId="9" type="noConversion"/>
  </si>
  <si>
    <t>최종학과</t>
  </si>
  <si>
    <t>주소</t>
    <phoneticPr fontId="9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</si>
  <si>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</si>
  <si>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</si>
  <si>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</si>
  <si>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</si>
  <si>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</si>
  <si>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</si>
  <si>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9" type="noConversion"/>
  </si>
  <si>
    <t>지역</t>
  </si>
  <si>
    <t>국민은행</t>
  </si>
  <si>
    <t>참여자명단</t>
    <phoneticPr fontId="8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</si>
  <si>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9" type="noConversion"/>
  </si>
  <si>
    <t>최종학력상태</t>
    <phoneticPr fontId="8" type="noConversion"/>
  </si>
  <si>
    <t>최종학력구분</t>
    <phoneticPr fontId="8" type="noConversion"/>
  </si>
  <si>
    <t>작성날짜</t>
    <phoneticPr fontId="8" type="noConversion"/>
  </si>
  <si>
    <t>직무분야</t>
    <phoneticPr fontId="8" type="noConversion"/>
  </si>
  <si>
    <t>사업장명</t>
    <phoneticPr fontId="8" type="noConversion"/>
  </si>
  <si>
    <t>대표자명</t>
    <phoneticPr fontId="8" type="noConversion"/>
  </si>
  <si>
    <t>소재지</t>
    <phoneticPr fontId="8" type="noConversion"/>
  </si>
  <si>
    <t>2024.11.18 ~ 2024.12.13</t>
    <phoneticPr fontId="8" type="noConversion"/>
  </si>
  <si>
    <t>2024.12.16 ~ 2024.01.07</t>
    <phoneticPr fontId="8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</si>
  <si>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</si>
  <si>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</si>
  <si>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</si>
  <si>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</si>
  <si>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</si>
  <si>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</si>
  <si>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</si>
  <si>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</si>
  <si>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</si>
  <si>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</si>
  <si>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</si>
  <si>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</si>
  <si>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</si>
  <si>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</si>
  <si>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</si>
  <si>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</si>
  <si>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</si>
  <si>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</si>
  <si>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</si>
  <si>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</si>
  <si>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</si>
  <si>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</si>
  <si>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</si>
  <si>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</si>
  <si>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</si>
  <si>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</si>
  <si>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</si>
  <si>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</si>
  <si>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</si>
  <si>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</si>
  <si>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</si>
  <si>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</si>
  <si>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</si>
  <si>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</si>
  <si>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</si>
  <si>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</si>
  <si>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</si>
  <si>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</si>
  <si>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</si>
  <si>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</si>
  <si>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</si>
  <si>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</si>
  <si>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</si>
  <si>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</si>
  <si>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</si>
  <si>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</si>
  <si>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</si>
  <si>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</si>
  <si>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</si>
  <si>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</si>
  <si>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</si>
  <si>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</si>
  <si>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</si>
  <si>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</si>
  <si>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</si>
  <si>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</si>
  <si>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</si>
  <si>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</si>
  <si>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</si>
  <si>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</si>
  <si>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</si>
  <si>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</si>
  <si>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</si>
  <si>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8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</si>
  <si>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8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</si>
  <si>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8" type="noConversion"/>
  </si>
  <si>
    <t xml:space="preserve"> 경상남도 부산진구</t>
    <phoneticPr fontId="8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</si>
  <si>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8" type="noConversion"/>
  </si>
  <si>
    <t>제주특별시</t>
    <phoneticPr fontId="8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</si>
  <si>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</si>
  <si>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</si>
  <si>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</si>
  <si>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</si>
  <si>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</si>
  <si>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</si>
  <si>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</si>
  <si>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</si>
  <si>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</si>
  <si>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</si>
  <si>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</si>
  <si>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</si>
  <si>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8" type="noConversion"/>
  </si>
  <si>
    <t>001199-3301932</t>
    <phoneticPr fontId="8" type="noConversion"/>
  </si>
  <si>
    <t>020699-3626178</t>
    <phoneticPr fontId="8" type="noConversion"/>
  </si>
  <si>
    <t>[SY컴퍼니] 마케팅 인턴십</t>
    <phoneticPr fontId="8" type="noConversion"/>
  </si>
  <si>
    <t>2024년 12월 03일</t>
    <phoneticPr fontId="9" type="noConversion"/>
  </si>
  <si>
    <t>111-11-11111</t>
    <phoneticPr fontId="8" type="noConversion"/>
  </si>
  <si>
    <t>법인번호</t>
    <phoneticPr fontId="8" type="noConversion"/>
  </si>
  <si>
    <t>중소기업일때만체크</t>
    <phoneticPr fontId="8" type="noConversion"/>
  </si>
  <si>
    <t>있음일경우에만 자격내용</t>
    <phoneticPr fontId="8" type="noConversion"/>
  </si>
  <si>
    <t>사업자등록번호</t>
  </si>
  <si>
    <t>전화번호</t>
  </si>
  <si>
    <t>월</t>
  </si>
  <si>
    <t>화</t>
  </si>
  <si>
    <t>수</t>
  </si>
  <si>
    <t>목</t>
  </si>
  <si>
    <t>금</t>
  </si>
  <si>
    <t>글 추가 시 이 위에 행 삽입</t>
    <phoneticPr fontId="8" type="noConversion"/>
  </si>
  <si>
    <t>사업자</t>
    <phoneticPr fontId="8" type="noConversion"/>
  </si>
  <si>
    <t>사전직무</t>
    <phoneticPr fontId="8" type="noConversion"/>
  </si>
  <si>
    <t>프로그램 명</t>
    <phoneticPr fontId="8" type="noConversion"/>
  </si>
  <si>
    <t>일경험</t>
    <phoneticPr fontId="8" type="noConversion"/>
  </si>
  <si>
    <t>총 기간</t>
    <phoneticPr fontId="8" type="noConversion"/>
  </si>
  <si>
    <t xml:space="preserve">고용보험 사업장 </t>
  </si>
  <si>
    <t>1차(1~4주)</t>
    <phoneticPr fontId="8" type="noConversion"/>
  </si>
  <si>
    <t xml:space="preserve"> </t>
    <phoneticPr fontId="8" type="noConversion"/>
  </si>
  <si>
    <t>(법인번호)</t>
  </si>
  <si>
    <t>관리번호</t>
  </si>
  <si>
    <t>교육목적</t>
    <phoneticPr fontId="8" type="noConversion"/>
  </si>
  <si>
    <t>2차(4~8주)</t>
    <phoneticPr fontId="8" type="noConversion"/>
  </si>
  <si>
    <t>체크할때는 문서내용의 진위를 확인 후 완성되었을때만 체크!!</t>
    <phoneticPr fontId="8" type="noConversion"/>
  </si>
  <si>
    <t>연 락 처</t>
  </si>
  <si>
    <t>업종</t>
    <phoneticPr fontId="8" type="noConversion"/>
  </si>
  <si>
    <t>교육장소</t>
    <phoneticPr fontId="8" type="noConversion"/>
  </si>
  <si>
    <t>직무</t>
    <phoneticPr fontId="8" type="noConversion"/>
  </si>
  <si>
    <t>회차</t>
    <phoneticPr fontId="8" type="noConversion"/>
  </si>
  <si>
    <t>시작</t>
    <phoneticPr fontId="8" type="noConversion"/>
  </si>
  <si>
    <t>종료</t>
    <phoneticPr fontId="8" type="noConversion"/>
  </si>
  <si>
    <t>소 재 지</t>
  </si>
  <si>
    <t>사업자등록번호</t>
    <phoneticPr fontId="8" type="noConversion"/>
  </si>
  <si>
    <t>인원</t>
    <phoneticPr fontId="8" type="noConversion"/>
  </si>
  <si>
    <t>근무부서</t>
    <phoneticPr fontId="8" type="noConversion"/>
  </si>
  <si>
    <t>최상위 파일 명</t>
    <phoneticPr fontId="8" type="noConversion"/>
  </si>
  <si>
    <t>상위 파일 명</t>
    <phoneticPr fontId="8" type="noConversion"/>
  </si>
  <si>
    <t>번호</t>
    <phoneticPr fontId="8" type="noConversion"/>
  </si>
  <si>
    <t>서류 명</t>
    <phoneticPr fontId="8" type="noConversion"/>
  </si>
  <si>
    <t>작성시기</t>
    <phoneticPr fontId="8" type="noConversion"/>
  </si>
  <si>
    <t>체크</t>
    <phoneticPr fontId="8" type="noConversion"/>
  </si>
  <si>
    <t>주의 사항</t>
    <phoneticPr fontId="8" type="noConversion"/>
  </si>
  <si>
    <t>주 된 업 종</t>
  </si>
  <si>
    <t xml:space="preserve">고용보험 </t>
  </si>
  <si>
    <t>피보험자 수</t>
    <phoneticPr fontId="8" type="noConversion"/>
  </si>
  <si>
    <t>주요업무</t>
    <phoneticPr fontId="8" type="noConversion"/>
  </si>
  <si>
    <t>일경험 프로그램 명</t>
    <phoneticPr fontId="8" type="noConversion"/>
  </si>
  <si>
    <t>0. 회사
/
멘토</t>
    <phoneticPr fontId="8" type="noConversion"/>
  </si>
  <si>
    <t>4대 사회보험 사업장 가입자 명부(최신)_기업명</t>
    <phoneticPr fontId="8" type="noConversion"/>
  </si>
  <si>
    <t>4대 사회보험 사업장 가입자 명부(최신)</t>
  </si>
  <si>
    <t>참여기업협약시</t>
    <phoneticPr fontId="8" type="noConversion"/>
  </si>
  <si>
    <t>피 보 험 자 수</t>
  </si>
  <si>
    <t>담당자</t>
    <phoneticPr fontId="8" type="noConversion"/>
  </si>
  <si>
    <t>담당부서</t>
    <phoneticPr fontId="8" type="noConversion"/>
  </si>
  <si>
    <t>사업장 등록증_기업명</t>
    <phoneticPr fontId="8" type="noConversion"/>
  </si>
  <si>
    <t>사업장 등록증</t>
  </si>
  <si>
    <t xml:space="preserve">[ ✔] 󰊱 중소기업 </t>
  </si>
  <si>
    <t>담당자 명</t>
    <phoneticPr fontId="8" type="noConversion"/>
  </si>
  <si>
    <t>벤처기업확인서_기업명</t>
    <phoneticPr fontId="8" type="noConversion"/>
  </si>
  <si>
    <t>벤처기업인증</t>
  </si>
  <si>
    <t>□신기술·신성장유망기업□강소기업·청년친화강소기업□우수벤처기업</t>
  </si>
  <si>
    <t>담당자 연락처</t>
    <phoneticPr fontId="8" type="noConversion"/>
  </si>
  <si>
    <t>직인 이미지(기업)</t>
    <phoneticPr fontId="8" type="noConversion"/>
  </si>
  <si>
    <t>위 필독사항 3번 참조</t>
    <phoneticPr fontId="8" type="noConversion"/>
  </si>
  <si>
    <t>□우수 중소기업(경영혁신형․기술혁신형 중소기업)</t>
  </si>
  <si>
    <t>이메일</t>
    <phoneticPr fontId="8" type="noConversion"/>
  </si>
  <si>
    <t>[서식12] 일경험 프로그램 참여기업 신청서_기업명</t>
    <phoneticPr fontId="8" type="noConversion"/>
  </si>
  <si>
    <t>□사회적기업 ■기타 중소기업</t>
  </si>
  <si>
    <t>[서식46] 참여자격 확인서_기업명</t>
    <phoneticPr fontId="8" type="noConversion"/>
  </si>
  <si>
    <t xml:space="preserve">[ ] 󰊲 중견기업 </t>
  </si>
  <si>
    <t>[서식121] 참여기업 협약서_기업명</t>
    <phoneticPr fontId="8" type="noConversion"/>
  </si>
  <si>
    <t xml:space="preserve">[ ] 󰊳 대기업 </t>
  </si>
  <si>
    <t>[서식42] 참여기업 참여 의향서_기업명</t>
    <phoneticPr fontId="8" type="noConversion"/>
  </si>
  <si>
    <t>[ ] 󰊴 기타(비영리 법인 등)</t>
  </si>
  <si>
    <t>참여기업 통장 사본</t>
    <phoneticPr fontId="8" type="noConversion"/>
  </si>
  <si>
    <t>운영 당일</t>
    <phoneticPr fontId="8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</si>
  <si>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</si>
  <si>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</si>
  <si>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8" type="noConversion"/>
  </si>
  <si>
    <t>주요사업</t>
  </si>
  <si>
    <t>멘토 통장 사본</t>
    <phoneticPr fontId="8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</si>
  <si>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</si>
  <si>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</si>
  <si>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</si>
  <si>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</si>
  <si>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8" type="noConversion"/>
  </si>
  <si>
    <t xml:space="preserve">프로그램 내용 </t>
    <phoneticPr fontId="8" type="noConversion"/>
  </si>
  <si>
    <t xml:space="preserve">참여 이력 </t>
  </si>
  <si>
    <t>멘토 재직증명서</t>
    <phoneticPr fontId="8" type="noConversion"/>
  </si>
  <si>
    <t>불가능한 멘토 : 대표, 임원
가능한 멘토 : 대표, 임원 외 (신입도 가능)
※[배포] 청년일경험 인턴형 멘토수당 지급기준(안)_.hwp 확인</t>
    <phoneticPr fontId="8" type="noConversion"/>
  </si>
  <si>
    <t>멘토 서명</t>
    <phoneticPr fontId="8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</si>
  <si>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</si>
  <si>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</si>
  <si>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</si>
  <si>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</si>
  <si>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</si>
  <si>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8" type="noConversion"/>
  </si>
  <si>
    <t>프로그램 운영
매주 작성(4주마다 제출)</t>
    <phoneticPr fontId="8" type="noConversion"/>
  </si>
  <si>
    <t>01. 프로그램
등록</t>
    <phoneticPr fontId="8" type="noConversion"/>
  </si>
  <si>
    <t>[서식102] 사전직무교육 운영계획서_기업명.hwp</t>
    <phoneticPr fontId="8" type="noConversion"/>
  </si>
  <si>
    <t>프로그램 등록시</t>
    <phoneticPr fontId="8" type="noConversion"/>
  </si>
  <si>
    <t>[서식108] 일경험 운영 계획서_기업명.hwp</t>
    <phoneticPr fontId="8" type="noConversion"/>
  </si>
  <si>
    <t>02. 참여자
서류
(하위 폴더 명
ex) 01. 이름)</t>
    <phoneticPr fontId="8" type="noConversion"/>
  </si>
  <si>
    <t>참여청년 모집시</t>
    <phoneticPr fontId="8" type="noConversion"/>
  </si>
  <si>
    <t>신청서_이름.xlsx</t>
    <phoneticPr fontId="8" type="noConversion"/>
  </si>
  <si>
    <t>신분증 사본</t>
    <phoneticPr fontId="8" type="noConversion"/>
  </si>
  <si>
    <t>통장 사본</t>
    <phoneticPr fontId="8" type="noConversion"/>
  </si>
  <si>
    <t>사업자 사실증명서</t>
    <phoneticPr fontId="8" type="noConversion"/>
  </si>
  <si>
    <t>(휴업),(폐업)시 각각 휴업사실증명, 폐업사실증명 필요
(링크는 신청서_이름.xlsx 양식에 있음)</t>
    <phoneticPr fontId="8" type="noConversion"/>
  </si>
  <si>
    <t>03. 사전직무
교육</t>
    <phoneticPr fontId="8" type="noConversion"/>
  </si>
  <si>
    <t>[서식125] 사전직무교육 실시보고_기업명.hwp</t>
    <phoneticPr fontId="8" type="noConversion"/>
  </si>
  <si>
    <t>개시 당일</t>
    <phoneticPr fontId="8" type="noConversion"/>
  </si>
  <si>
    <t>실시 후 5일 이내 보고</t>
    <phoneticPr fontId="8" type="noConversion"/>
  </si>
  <si>
    <t>[서식104] 사전직무교육 공가관리대장_기업명.hwp</t>
    <phoneticPr fontId="8" type="noConversion"/>
  </si>
  <si>
    <t>직무교육 중</t>
    <phoneticPr fontId="8" type="noConversion"/>
  </si>
  <si>
    <t>사전직무교육 결석 사유가 있을 경우 대장관리 필요.</t>
    <phoneticPr fontId="8" type="noConversion"/>
  </si>
  <si>
    <t>[서식103] 사전직무교육 출석부_기업명.hwp</t>
    <phoneticPr fontId="8" type="noConversion"/>
  </si>
  <si>
    <t>[서식16] 사전직무교육만족도조사_기업명.hwp</t>
    <phoneticPr fontId="8" type="noConversion"/>
  </si>
  <si>
    <t>종료당일</t>
    <phoneticPr fontId="8" type="noConversion"/>
  </si>
  <si>
    <t>사전직무교육비-청년교육수당.xlsx</t>
    <phoneticPr fontId="8" type="noConversion"/>
  </si>
  <si>
    <t>종료 후 10일 이내</t>
    <phoneticPr fontId="8" type="noConversion"/>
  </si>
  <si>
    <t>[서식129] 사전직무교육 수료 보고서_기업명.hwp</t>
    <phoneticPr fontId="8" type="noConversion"/>
  </si>
  <si>
    <t>[서식15] 결과보고서 대체가능, 실적보고서라고도 함.</t>
    <phoneticPr fontId="8" type="noConversion"/>
  </si>
  <si>
    <t>04. 프로그램 
운영</t>
    <phoneticPr fontId="8" type="noConversion"/>
  </si>
  <si>
    <t>[서식118] 인턴형 일경험 프로그램 표준 계약서_기업명.hwp</t>
    <phoneticPr fontId="8" type="noConversion"/>
  </si>
  <si>
    <t>운영시작 당일</t>
    <phoneticPr fontId="8" type="noConversion"/>
  </si>
  <si>
    <t>[서식34] 인턴형 일경험 실시보고_기업명(3일이내).hwp</t>
    <phoneticPr fontId="8" type="noConversion"/>
  </si>
  <si>
    <t>3일 이내</t>
    <phoneticPr fontId="8" type="noConversion"/>
  </si>
  <si>
    <t>[서식35] ( )월 인턴형 일경험 결과보고(지원금 신청 포함).hwp</t>
    <phoneticPr fontId="8" type="noConversion"/>
  </si>
  <si>
    <t>4주마다</t>
    <phoneticPr fontId="8" type="noConversion"/>
  </si>
  <si>
    <t>※서명란은 꼭 직인 이미지 삽입!(위 필독사항 3번 참조)</t>
    <phoneticPr fontId="8" type="noConversion"/>
  </si>
  <si>
    <t>[서식17] 청년 일경험 프로그램 출석부 1차(4주차)_기업명.hwp</t>
    <phoneticPr fontId="8" type="noConversion"/>
  </si>
  <si>
    <t>[서식17] 청년 일경험 프로그램 출석부 2차(8주차)_기업명.hwp</t>
    <phoneticPr fontId="8" type="noConversion"/>
  </si>
  <si>
    <t>[서식106] 참여기업 중간점검 일지.hwp</t>
    <phoneticPr fontId="8" type="noConversion"/>
  </si>
  <si>
    <t>[서식13] 참여기업 지원금 지급 신청서.hwp</t>
    <phoneticPr fontId="8" type="noConversion"/>
  </si>
  <si>
    <t>[서식123] 일경험 중도포기 신청서.hwp</t>
    <phoneticPr fontId="8" type="noConversion"/>
  </si>
  <si>
    <t>중도포기시</t>
    <phoneticPr fontId="8" type="noConversion"/>
  </si>
  <si>
    <t>[서식109] 청년 일경험 인턴형 종합 보고서_기업명.hwp</t>
    <phoneticPr fontId="8" type="noConversion"/>
  </si>
  <si>
    <t>05. 프로그램
종료</t>
    <phoneticPr fontId="8" type="noConversion"/>
  </si>
  <si>
    <t>인턴형 일경험 프로그램 만족도 조사(미래내일 홈페이지)</t>
    <phoneticPr fontId="8" type="noConversion"/>
  </si>
  <si>
    <t>프로그램 종료 시</t>
    <phoneticPr fontId="8" type="noConversion"/>
  </si>
  <si>
    <t>참여청년 수료증</t>
    <phoneticPr fontId="8" type="noConversion"/>
  </si>
  <si>
    <t>월</t>
    <phoneticPr fontId="8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</si>
  <si>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8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</si>
  <si>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8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</si>
  <si>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8" type="noConversion"/>
  </si>
  <si>
    <t>2024. 11. 18 ~ 2025. 01. 10</t>
    <phoneticPr fontId="8" type="noConversion"/>
  </si>
  <si>
    <t>example2@nate.com</t>
    <phoneticPr fontId="8" type="noConversion"/>
  </si>
  <si>
    <t>example1@nate.com</t>
    <phoneticPr fontId="8" type="noConversion"/>
  </si>
  <si>
    <t>00-000-0000</t>
    <phoneticPr fontId="8" type="noConversion"/>
  </si>
  <si>
    <t>010-0000-0001</t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</si>
  <si>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</si>
  <si>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</si>
  <si>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</si>
  <si>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</si>
  <si>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</si>
  <si>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</si>
  <si>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</si>
  <si>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</si>
  <si>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</si>
  <si>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</si>
  <si>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</si>
  <si>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</si>
  <si>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</si>
  <si>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8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</si>
  <si>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8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</si>
  <si>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8" type="noConversion"/>
  </si>
  <si>
    <t>Arial</t>
    <phoneticPr fontId="8" type="noConversion"/>
  </si>
  <si>
    <t>가로정렬</t>
    <phoneticPr fontId="8" type="noConversion"/>
  </si>
  <si>
    <t>#fbdad7</t>
    <phoneticPr fontId="8" type="noConversion"/>
  </si>
  <si>
    <t>#b3cefb</t>
    <phoneticPr fontId="8" type="noConversion"/>
  </si>
  <si>
    <t>#f2f2f2</t>
    <phoneticPr fontId="8" type="noConversion"/>
  </si>
  <si>
    <t>#ffffff</t>
    <phoneticPr fontId="8" type="noConversion"/>
  </si>
  <si>
    <t>가운데</t>
    <phoneticPr fontId="8" type="noConversion"/>
  </si>
  <si>
    <t>볼드</t>
    <phoneticPr fontId="8" type="noConversion"/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</si>
  <si>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</si>
  <si>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</si>
  <si>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</si>
  <si>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</si>
  <si>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</si>
  <si>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</si>
  <si>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</si>
  <si>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</si>
  <si>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</si>
  <si>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8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</si>
  <si>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</si>
  <si>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8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</si>
  <si>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8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</si>
  <si>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8" type="noConversion"/>
  </si>
  <si>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정보</t>
    </r>
    <phoneticPr fontId="8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</si>
  <si>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8" type="noConversion"/>
  </si>
  <si>
    <r>
      <t xml:space="preserve">34.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실시보고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</si>
  <si>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</si>
  <si>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</si>
  <si>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</si>
  <si>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</si>
  <si>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</si>
  <si>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</si>
  <si>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</si>
  <si>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8" type="noConversion"/>
  </si>
  <si>
    <r>
      <t xml:space="preserve">13.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8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</si>
  <si>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8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</si>
  <si>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</si>
  <si>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8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</si>
  <si>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8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</si>
  <si>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8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</si>
  <si>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8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</si>
  <si>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8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</si>
  <si>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8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</si>
  <si>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8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</si>
  <si>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8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</si>
  <si>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8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</si>
  <si>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</si>
  <si>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</si>
  <si>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8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</si>
  <si>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</si>
  <si>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</si>
  <si>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8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</si>
  <si>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</si>
  <si>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8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</si>
  <si>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</si>
  <si>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</si>
  <si>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8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</si>
  <si>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8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</si>
  <si>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</si>
  <si>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</si>
  <si>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8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</si>
  <si>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</si>
  <si>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8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</si>
  <si>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8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</si>
  <si>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</si>
  <si>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8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</si>
  <si>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</si>
  <si>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</si>
  <si>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8" type="noConversion"/>
  </si>
  <si>
    <t>멘토</t>
    <phoneticPr fontId="8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</si>
  <si>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8" type="noConversion"/>
  </si>
  <si>
    <r>
      <rPr>
        <b/>
        <sz val="14"/>
        <color rgb="FF000000"/>
        <rFont val="Arial"/>
        <family val="2"/>
        <charset val="129"/>
        <scheme val="minor"/>
      </rPr>
      <t>서식</t>
    </r>
    <r>
      <rPr>
        <b/>
        <sz val="14"/>
        <color rgb="FF000000"/>
        <rFont val="Arial"/>
        <family val="2"/>
        <scheme val="minor"/>
      </rPr>
      <t xml:space="preserve"> </t>
    </r>
    <r>
      <rPr>
        <b/>
        <sz val="14"/>
        <color rgb="FF000000"/>
        <rFont val="Arial"/>
        <family val="2"/>
        <charset val="129"/>
        <scheme val="minor"/>
      </rPr>
      <t>번호</t>
    </r>
    <r>
      <rPr>
        <b/>
        <sz val="14"/>
        <color rgb="FF000000"/>
        <rFont val="Arial"/>
        <family val="2"/>
        <scheme val="minor"/>
      </rPr>
      <t xml:space="preserve">. </t>
    </r>
    <r>
      <rPr>
        <b/>
        <sz val="14"/>
        <color rgb="FF000000"/>
        <rFont val="Arial"/>
        <family val="2"/>
        <charset val="129"/>
        <scheme val="minor"/>
      </rPr>
      <t>서식명</t>
    </r>
    <phoneticPr fontId="8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</si>
  <si>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8" type="noConversion"/>
  </si>
  <si>
    <t>모바일 앱 개발 기초와 필수 도구 소개</t>
    <phoneticPr fontId="8" type="noConversion"/>
  </si>
  <si>
    <t>앱 화면 설계 및 사용자 경험(UX) 기초</t>
    <phoneticPr fontId="8" type="noConversion"/>
  </si>
  <si>
    <t>데이터 저장 및 관리 – SQLite와 로컬 데이터</t>
    <phoneticPr fontId="8" type="noConversion"/>
  </si>
  <si>
    <t>네트워크 통신 – API 활용 및 데이터 연동</t>
    <phoneticPr fontId="8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</si>
  <si>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8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</si>
  <si>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8" type="noConversion"/>
  </si>
  <si>
    <r>
      <rPr>
        <u/>
        <sz val="20"/>
        <color rgb="FF000000"/>
        <rFont val="Arial"/>
        <family val="3"/>
        <charset val="129"/>
        <scheme val="minor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직무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정보</t>
    </r>
    <phoneticPr fontId="8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</si>
  <si>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8" type="noConversion"/>
  </si>
  <si>
    <t>단위명</t>
    <phoneticPr fontId="8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</si>
  <si>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</si>
  <si>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</si>
  <si>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8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</si>
  <si>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8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</si>
  <si>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8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</si>
  <si>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8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</si>
  <si>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8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</si>
  <si>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8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</si>
  <si>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</si>
  <si>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</si>
  <si>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8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</si>
  <si>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</si>
  <si>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</si>
  <si>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8" type="noConversion"/>
  </si>
  <si>
    <r>
      <t>00</t>
    </r>
    <r>
      <rPr>
        <sz val="12"/>
        <color theme="1"/>
        <rFont val="Arial Unicode MS"/>
        <family val="2"/>
        <charset val="129"/>
      </rPr>
      <t>명</t>
    </r>
    <phoneticPr fontId="8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</si>
  <si>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</si>
  <si>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</si>
  <si>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</si>
  <si>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</si>
  <si>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</si>
  <si>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</si>
  <si>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t>매칭-운영기관명</t>
  </si>
  <si>
    <t>한국무선인터넷솔루션협회</t>
  </si>
  <si>
    <t>직무교육기관명</t>
  </si>
  <si>
    <t>한국융합인재교육협회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</si>
  <si>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</si>
  <si>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</si>
  <si>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</si>
  <si>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</si>
  <si>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</si>
  <si>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</si>
  <si>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</si>
  <si>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</si>
  <si>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</si>
  <si>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</si>
  <si>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</si>
  <si>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</si>
  <si>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</si>
  <si>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</si>
  <si>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r>
      <t>2024. 11. 22 ~ 2024. 11. 22(80</t>
    </r>
    <r>
      <rPr>
        <sz val="11"/>
        <color rgb="FF000000"/>
        <rFont val="함초롬바탕"/>
        <family val="1"/>
        <charset val="129"/>
      </rPr>
      <t>시간</t>
    </r>
    <r>
      <rPr>
        <sz val="11"/>
        <color rgb="FF000000"/>
        <rFont val="Arial"/>
        <family val="2"/>
        <scheme val="minor"/>
      </rPr>
      <t>)</t>
    </r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</si>
  <si>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</si>
  <si>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</si>
  <si>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</si>
  <si>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</si>
  <si>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(40H)</t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</si>
  <si>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</si>
  <si>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</si>
  <si>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</si>
  <si>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</si>
  <si>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</si>
  <si>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t>여부</t>
    <phoneticPr fontId="8" type="noConversion"/>
  </si>
  <si>
    <t>미완료</t>
    <phoneticPr fontId="8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</si>
  <si>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8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</si>
  <si>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8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</si>
  <si>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8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</si>
  <si>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8" type="noConversion"/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</si>
  <si>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8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</si>
  <si>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</si>
  <si>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</si>
  <si>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</si>
  <si>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</si>
  <si>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</si>
  <si>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</si>
  <si>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</si>
  <si>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</si>
  <si>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</si>
  <si>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</si>
  <si>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</si>
  <si>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</si>
  <si>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8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</si>
  <si>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8" type="noConversion"/>
  </si>
  <si>
    <t>멘토 은행명</t>
    <phoneticPr fontId="8" type="noConversion"/>
  </si>
  <si>
    <t>멘토 계좌번호</t>
    <phoneticPr fontId="8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</si>
  <si>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phoneticPr fontId="8" type="noConversion"/>
  </si>
  <si>
    <t>인턴형 기간(개월수)</t>
    <phoneticPr fontId="8" type="noConversion"/>
  </si>
  <si>
    <t>인턴형</t>
    <phoneticPr fontId="8" type="noConversion"/>
  </si>
  <si>
    <r>
      <rPr>
        <b/>
        <sz val="12"/>
        <color theme="1"/>
        <rFont val="맑은 고딕"/>
        <family val="3"/>
        <charset val="129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맑은 고딕"/>
        <family val="3"/>
        <charset val="129"/>
      </rPr>
      <t>일경험 장소</t>
    </r>
    <r>
      <rPr>
        <b/>
        <sz val="12"/>
        <color theme="1"/>
        <rFont val="Arial"/>
        <family val="2"/>
        <scheme val="minor"/>
      </rPr>
      <t>)</t>
    </r>
    <phoneticPr fontId="8" type="noConversion"/>
  </si>
  <si>
    <t>홈페이지</t>
    <phoneticPr fontId="8" type="noConversion"/>
  </si>
  <si>
    <t>051)111-1111</t>
    <phoneticPr fontId="8" type="noConversion"/>
  </si>
  <si>
    <t>연락처</t>
    <phoneticPr fontId="8" type="noConversion"/>
  </si>
  <si>
    <r>
      <rPr>
        <b/>
        <sz val="12"/>
        <color theme="1"/>
        <rFont val="맑은 고딕"/>
        <family val="3"/>
        <charset val="129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및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주요사업</t>
    </r>
    <phoneticPr fontId="8" type="noConversion"/>
  </si>
  <si>
    <t>x</t>
  </si>
  <si>
    <t>x</t>
    <phoneticPr fontId="8" type="noConversion"/>
  </si>
  <si>
    <r>
      <t>[</t>
    </r>
    <r>
      <rPr>
        <b/>
        <sz val="11"/>
        <color theme="1"/>
        <rFont val="맑은 고딕"/>
        <family val="3"/>
        <charset val="129"/>
      </rPr>
      <t>서식</t>
    </r>
    <r>
      <rPr>
        <b/>
        <sz val="11"/>
        <color theme="1"/>
        <rFont val="Arial"/>
        <family val="2"/>
        <scheme val="minor"/>
      </rPr>
      <t xml:space="preserve">12, 42, 46,121] </t>
    </r>
    <r>
      <rPr>
        <b/>
        <sz val="11"/>
        <color theme="1"/>
        <rFont val="맑은 고딕"/>
        <family val="3"/>
        <charset val="129"/>
      </rPr>
      <t>일경험</t>
    </r>
    <r>
      <rPr>
        <b/>
        <sz val="11"/>
        <color theme="1"/>
        <rFont val="Arial"/>
        <family val="2"/>
        <scheme val="minor"/>
      </rPr>
      <t>_</t>
    </r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서류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모음</t>
    </r>
    <r>
      <rPr>
        <b/>
        <sz val="11"/>
        <color theme="1"/>
        <rFont val="Arial"/>
        <family val="2"/>
        <scheme val="minor"/>
      </rPr>
      <t>_</t>
    </r>
    <r>
      <rPr>
        <b/>
        <sz val="11"/>
        <color theme="1"/>
        <rFont val="맑은 고딕"/>
        <family val="3"/>
        <charset val="129"/>
      </rPr>
      <t>기업명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맑은 고딕"/>
        <family val="3"/>
        <charset val="129"/>
      </rPr>
      <t>통합</t>
    </r>
    <r>
      <rPr>
        <b/>
        <sz val="11"/>
        <color theme="1"/>
        <rFont val="Arial"/>
        <family val="2"/>
        <scheme val="minor"/>
      </rPr>
      <t>).hwp</t>
    </r>
    <phoneticPr fontId="8" type="noConversion"/>
  </si>
  <si>
    <t>비고</t>
    <phoneticPr fontId="8" type="noConversion"/>
  </si>
  <si>
    <t>[서식12] 청년 일경험 프로그램 참여기업 신청서
[서식42] 청년 일경험 지원사업 기업 참여 의향서
[서식46] 참여기업용 확인서
[서식121] (공통-운영기관) 운영기관-참여기업 협약서</t>
    <phoneticPr fontId="8" type="noConversion"/>
  </si>
  <si>
    <r>
      <t>[</t>
    </r>
    <r>
      <rPr>
        <b/>
        <sz val="11"/>
        <color theme="1"/>
        <rFont val="맑은 고딕"/>
        <family val="3"/>
        <charset val="129"/>
      </rPr>
      <t>배포</t>
    </r>
    <r>
      <rPr>
        <b/>
        <sz val="11"/>
        <color theme="1"/>
        <rFont val="Arial"/>
        <family val="2"/>
        <scheme val="minor"/>
      </rPr>
      <t>] [</t>
    </r>
    <r>
      <rPr>
        <b/>
        <sz val="11"/>
        <color theme="1"/>
        <rFont val="맑은 고딕"/>
        <family val="3"/>
        <charset val="129"/>
      </rPr>
      <t>서식</t>
    </r>
    <r>
      <rPr>
        <b/>
        <sz val="11"/>
        <color theme="1"/>
        <rFont val="Arial"/>
        <family val="2"/>
        <scheme val="minor"/>
      </rPr>
      <t xml:space="preserve">46,40,33] </t>
    </r>
    <r>
      <rPr>
        <b/>
        <sz val="11"/>
        <color theme="1"/>
        <rFont val="맑은 고딕"/>
        <family val="3"/>
        <charset val="129"/>
      </rPr>
      <t>청년서류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모음</t>
    </r>
    <r>
      <rPr>
        <b/>
        <sz val="11"/>
        <color theme="1"/>
        <rFont val="Arial"/>
        <family val="2"/>
        <scheme val="minor"/>
      </rPr>
      <t>_(</t>
    </r>
    <r>
      <rPr>
        <b/>
        <sz val="11"/>
        <color theme="1"/>
        <rFont val="맑은 고딕"/>
        <family val="3"/>
        <charset val="129"/>
      </rPr>
      <t>꼭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확인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파란글씨검은색변경</t>
    </r>
    <r>
      <rPr>
        <b/>
        <sz val="11"/>
        <color theme="1"/>
        <rFont val="Arial"/>
        <family val="2"/>
        <scheme val="minor"/>
      </rPr>
      <t>).hwp</t>
    </r>
    <phoneticPr fontId="8" type="noConversion"/>
  </si>
  <si>
    <r>
      <t>[</t>
    </r>
    <r>
      <rPr>
        <sz val="11"/>
        <color rgb="FFFF0000"/>
        <rFont val="맑은 고딕"/>
        <family val="3"/>
        <charset val="129"/>
      </rPr>
      <t>서식</t>
    </r>
    <r>
      <rPr>
        <sz val="11"/>
        <color rgb="FFFF0000"/>
        <rFont val="Arial"/>
        <family val="3"/>
        <charset val="129"/>
        <scheme val="minor"/>
      </rPr>
      <t xml:space="preserve">33] </t>
    </r>
    <r>
      <rPr>
        <sz val="11"/>
        <color rgb="FFFF0000"/>
        <rFont val="맑은 고딕"/>
        <family val="3"/>
        <charset val="129"/>
      </rPr>
      <t>인턴형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일경험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참여신청서</t>
    </r>
    <phoneticPr fontId="8" type="noConversion"/>
  </si>
  <si>
    <r>
      <t>[</t>
    </r>
    <r>
      <rPr>
        <sz val="11"/>
        <color rgb="FFFF0000"/>
        <rFont val="맑은 고딕"/>
        <family val="3"/>
        <charset val="129"/>
      </rPr>
      <t>서식</t>
    </r>
    <r>
      <rPr>
        <sz val="11"/>
        <color rgb="FFFF0000"/>
        <rFont val="Arial"/>
        <family val="3"/>
        <charset val="129"/>
        <scheme val="minor"/>
      </rPr>
      <t xml:space="preserve">40] </t>
    </r>
    <r>
      <rPr>
        <sz val="11"/>
        <color rgb="FFFF0000"/>
        <rFont val="맑은 고딕"/>
        <family val="3"/>
        <charset val="129"/>
      </rPr>
      <t>개인정보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활용에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관한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동의서</t>
    </r>
    <phoneticPr fontId="8" type="noConversion"/>
  </si>
  <si>
    <r>
      <t>[</t>
    </r>
    <r>
      <rPr>
        <sz val="11"/>
        <color rgb="FFFF0000"/>
        <rFont val="맑은 고딕"/>
        <family val="3"/>
        <charset val="129"/>
      </rPr>
      <t>서식</t>
    </r>
    <r>
      <rPr>
        <sz val="11"/>
        <color rgb="FFFF0000"/>
        <rFont val="Arial"/>
        <family val="3"/>
        <charset val="129"/>
        <scheme val="minor"/>
      </rPr>
      <t xml:space="preserve">46] </t>
    </r>
    <r>
      <rPr>
        <sz val="11"/>
        <color rgb="FFFF0000"/>
        <rFont val="맑은 고딕"/>
        <family val="3"/>
        <charset val="129"/>
      </rPr>
      <t>참여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청년용</t>
    </r>
    <r>
      <rPr>
        <sz val="11"/>
        <color rgb="FFFF0000"/>
        <rFont val="Arial"/>
        <family val="3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</rPr>
      <t>확인서</t>
    </r>
    <phoneticPr fontId="8" type="noConversion"/>
  </si>
  <si>
    <t>[서식33] 인턴형 일경험 참여신청서
[서식40] 개인정보 활용에 관한 동의서
[서식46] 참여 청년용 확인서</t>
    <phoneticPr fontId="8" type="noConversion"/>
  </si>
  <si>
    <r>
      <t xml:space="preserve">&lt;= * </t>
    </r>
    <r>
      <rPr>
        <b/>
        <sz val="8"/>
        <color rgb="FFFF0000"/>
        <rFont val="Arial"/>
        <family val="3"/>
        <charset val="129"/>
        <scheme val="minor"/>
      </rPr>
      <t>새로운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단위명이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올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때는</t>
    </r>
    <r>
      <rPr>
        <b/>
        <sz val="8"/>
        <color rgb="FFFF0000"/>
        <rFont val="Arial"/>
        <family val="2"/>
        <scheme val="minor"/>
      </rPr>
      <t xml:space="preserve"> row </t>
    </r>
    <r>
      <rPr>
        <b/>
        <sz val="8"/>
        <color rgb="FFFF0000"/>
        <rFont val="Arial"/>
        <family val="3"/>
        <charset val="129"/>
        <scheme val="minor"/>
      </rPr>
      <t>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줄을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빈칸으로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둔다</t>
    </r>
    <r>
      <rPr>
        <b/>
        <sz val="8"/>
        <color rgb="FFFF0000"/>
        <rFont val="Arial"/>
        <family val="2"/>
        <scheme val="minor"/>
      </rPr>
      <t>.</t>
    </r>
    <phoneticPr fontId="8" type="noConversion"/>
  </si>
  <si>
    <r>
      <rPr>
        <b/>
        <u/>
        <sz val="20"/>
        <color theme="1"/>
        <rFont val="Arial"/>
        <family val="3"/>
        <charset val="129"/>
        <scheme val="minor"/>
      </rPr>
      <t>참여기업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및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일경험정보</t>
    </r>
    <phoneticPr fontId="8" type="noConversion"/>
  </si>
  <si>
    <r>
      <rPr>
        <b/>
        <sz val="20"/>
        <color rgb="FF000000"/>
        <rFont val="Arial"/>
        <family val="2"/>
        <charset val="129"/>
        <scheme val="minor"/>
      </rPr>
      <t>표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2"/>
        <charset val="129"/>
        <scheme val="minor"/>
      </rPr>
      <t>서식</t>
    </r>
    <r>
      <rPr>
        <b/>
        <sz val="20"/>
        <color rgb="FF000000"/>
        <rFont val="Arial"/>
        <family val="2"/>
        <scheme val="minor"/>
      </rPr>
      <t>(</t>
    </r>
    <r>
      <rPr>
        <b/>
        <sz val="20"/>
        <color rgb="FF000000"/>
        <rFont val="Arial"/>
        <family val="2"/>
        <charset val="129"/>
        <scheme val="minor"/>
      </rPr>
      <t>타입</t>
    </r>
    <r>
      <rPr>
        <b/>
        <sz val="20"/>
        <color rgb="FF000000"/>
        <rFont val="Arial"/>
        <family val="2"/>
        <scheme val="minor"/>
      </rPr>
      <t>)</t>
    </r>
    <phoneticPr fontId="8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</si>
  <si>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8" type="noConversion"/>
  </si>
  <si>
    <t>단계</t>
    <phoneticPr fontId="8" type="noConversion"/>
  </si>
  <si>
    <t>※출석부 결석에 있을시 작성 관련 서류 첨부 필수</t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</si>
  <si>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</si>
  <si>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</si>
  <si>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  <phoneticPr fontId="8" type="noConversion"/>
  </si>
  <si>
    <r>
      <t>1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</si>
  <si>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2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</si>
  <si>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3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</si>
  <si>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4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</si>
  <si>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5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</si>
  <si>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6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</si>
  <si>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7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</si>
  <si>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t>8</t>
    </r>
    <r>
      <rPr>
        <b/>
        <sz val="12"/>
        <rFont val="Arial"/>
        <family val="3"/>
        <charset val="129"/>
        <scheme val="minor"/>
      </rPr>
      <t>주차</t>
    </r>
    <phoneticPr fontId="8" type="noConversion"/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</si>
  <si>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장소</t>
    </r>
    <phoneticPr fontId="8" type="noConversion"/>
  </si>
  <si>
    <r>
      <rPr>
        <b/>
        <sz val="12"/>
        <color theme="1"/>
        <rFont val="Arial"/>
        <family val="2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유형</t>
    </r>
    <phoneticPr fontId="8" type="noConversion"/>
  </si>
  <si>
    <r>
      <rPr>
        <sz val="10"/>
        <color rgb="FF000000"/>
        <rFont val="Arial"/>
        <family val="2"/>
        <charset val="129"/>
        <scheme val="minor"/>
      </rPr>
      <t>참조시트</t>
    </r>
    <phoneticPr fontId="8" type="noConversion"/>
  </si>
  <si>
    <r>
      <rPr>
        <sz val="10"/>
        <color rgb="FF000000"/>
        <rFont val="Arial"/>
        <family val="2"/>
        <charset val="129"/>
        <scheme val="minor"/>
      </rPr>
      <t>프로그램
등록</t>
    </r>
    <phoneticPr fontId="8" type="noConversion"/>
  </si>
  <si>
    <r>
      <rPr>
        <sz val="10"/>
        <color rgb="FF000000"/>
        <rFont val="Arial"/>
        <family val="2"/>
        <charset val="129"/>
        <scheme val="minor"/>
      </rPr>
      <t>참여기업</t>
    </r>
    <phoneticPr fontId="8" type="noConversion"/>
  </si>
  <si>
    <r>
      <rPr>
        <sz val="10"/>
        <color rgb="FF000000"/>
        <rFont val="Arial"/>
        <family val="2"/>
        <charset val="129"/>
        <scheme val="minor"/>
      </rPr>
      <t>참여청년</t>
    </r>
    <phoneticPr fontId="8" type="noConversion"/>
  </si>
  <si>
    <r>
      <rPr>
        <sz val="10"/>
        <color rgb="FF000000"/>
        <rFont val="Arial"/>
        <family val="2"/>
        <charset val="129"/>
        <scheme val="minor"/>
      </rPr>
      <t>사전직무</t>
    </r>
    <phoneticPr fontId="8" type="noConversion"/>
  </si>
  <si>
    <r>
      <rPr>
        <sz val="10"/>
        <color rgb="FF000000"/>
        <rFont val="Arial"/>
        <family val="2"/>
        <charset val="129"/>
        <scheme val="minor"/>
      </rPr>
      <t>일경험
시작</t>
    </r>
    <phoneticPr fontId="8" type="noConversion"/>
  </si>
  <si>
    <t>운영기관</t>
    <phoneticPr fontId="8" type="noConversion"/>
  </si>
  <si>
    <r>
      <t>105. (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면담일지</t>
    </r>
    <phoneticPr fontId="8" type="noConversion"/>
  </si>
  <si>
    <r>
      <rPr>
        <b/>
        <u/>
        <sz val="20"/>
        <color rgb="FF000000"/>
        <rFont val="Arial"/>
        <family val="3"/>
        <charset val="129"/>
        <scheme val="major"/>
      </rPr>
      <t>시트</t>
    </r>
    <r>
      <rPr>
        <b/>
        <u/>
        <sz val="20"/>
        <color rgb="FF000000"/>
        <rFont val="Arial"/>
        <family val="2"/>
        <scheme val="major"/>
      </rPr>
      <t xml:space="preserve"> </t>
    </r>
    <r>
      <rPr>
        <b/>
        <u/>
        <sz val="20"/>
        <color rgb="FF000000"/>
        <rFont val="Arial"/>
        <family val="2"/>
        <charset val="129"/>
        <scheme val="major"/>
      </rPr>
      <t>정보</t>
    </r>
    <phoneticPr fontId="8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</si>
  <si>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"/>
        <family val="3"/>
      </rPr>
      <t xml:space="preserve"> </t>
    </r>
    <r>
      <rPr>
        <sz val="10"/>
        <color rgb="FF000000"/>
        <rFont val="Arial Unicode MS"/>
        <family val="3"/>
        <charset val="129"/>
      </rPr>
      <t>중</t>
    </r>
    <phoneticPr fontId="8" type="noConversion"/>
  </si>
  <si>
    <t>일경험
종료</t>
    <phoneticPr fontId="8" type="noConversion"/>
  </si>
  <si>
    <t>중도포기</t>
    <phoneticPr fontId="8" type="noConversion"/>
  </si>
  <si>
    <t>모니터링</t>
    <phoneticPr fontId="8" type="noConversion"/>
  </si>
  <si>
    <r>
      <rPr>
        <sz val="14"/>
        <color rgb="FF000000"/>
        <rFont val="Arial"/>
        <family val="3"/>
        <charset val="129"/>
        <scheme val="minor"/>
      </rPr>
      <t>목차</t>
    </r>
    <phoneticPr fontId="8" type="noConversion"/>
  </si>
  <si>
    <r>
      <t xml:space="preserve">102.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운영계획서</t>
    </r>
    <phoneticPr fontId="8" type="noConversion"/>
  </si>
  <si>
    <r>
      <t xml:space="preserve">108.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운영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계획서</t>
    </r>
    <phoneticPr fontId="8" type="noConversion"/>
  </si>
  <si>
    <r>
      <t xml:space="preserve">12, 42, 46,121.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모음</t>
    </r>
    <phoneticPr fontId="8" type="noConversion"/>
  </si>
  <si>
    <r>
      <t xml:space="preserve">46,40,33. </t>
    </r>
    <r>
      <rPr>
        <sz val="14"/>
        <color rgb="FF000000"/>
        <rFont val="Arial"/>
        <family val="2"/>
        <charset val="129"/>
        <scheme val="minor"/>
      </rPr>
      <t>청년서류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모음</t>
    </r>
    <phoneticPr fontId="8" type="noConversion"/>
  </si>
  <si>
    <r>
      <t>103. (</t>
    </r>
    <r>
      <rPr>
        <sz val="14"/>
        <color rgb="FF000000"/>
        <rFont val="Arial"/>
        <family val="3"/>
        <charset val="129"/>
        <scheme val="minor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출석부</t>
    </r>
    <phoneticPr fontId="8" type="noConversion"/>
  </si>
  <si>
    <r>
      <t>104. (</t>
    </r>
    <r>
      <rPr>
        <sz val="14"/>
        <color rgb="FF000000"/>
        <rFont val="Arial"/>
        <family val="3"/>
        <charset val="129"/>
        <scheme val="minor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공가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관리대장</t>
    </r>
    <phoneticPr fontId="8" type="noConversion"/>
  </si>
  <si>
    <r>
      <t>125. (</t>
    </r>
    <r>
      <rPr>
        <sz val="14"/>
        <color rgb="FF000000"/>
        <rFont val="Arial"/>
        <family val="2"/>
        <charset val="129"/>
        <scheme val="minor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실시보고</t>
    </r>
    <phoneticPr fontId="8" type="noConversion"/>
  </si>
  <si>
    <r>
      <t>129. (</t>
    </r>
    <r>
      <rPr>
        <sz val="14"/>
        <color rgb="FF000000"/>
        <rFont val="Arial"/>
        <family val="2"/>
        <charset val="129"/>
        <scheme val="minor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2"/>
        <charset val="129"/>
        <scheme val="minor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수료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보고서</t>
    </r>
    <phoneticPr fontId="8" type="noConversion"/>
  </si>
  <si>
    <r>
      <t>118. (</t>
    </r>
    <r>
      <rPr>
        <sz val="14"/>
        <color rgb="FF000000"/>
        <rFont val="Arial"/>
        <family val="2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2"/>
        <charset val="129"/>
        <scheme val="minor"/>
      </rPr>
      <t>참여기업청년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표준계약서</t>
    </r>
    <phoneticPr fontId="8" type="noConversion"/>
  </si>
  <si>
    <r>
      <t>106. (</t>
    </r>
    <r>
      <rPr>
        <sz val="14"/>
        <color rgb="FF000000"/>
        <rFont val="Arial"/>
        <family val="3"/>
        <charset val="129"/>
        <scheme val="minor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일지</t>
    </r>
    <phoneticPr fontId="8" type="noConversion"/>
  </si>
  <si>
    <r>
      <t>109.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종합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보고서</t>
    </r>
    <phoneticPr fontId="8" type="noConversion"/>
  </si>
  <si>
    <r>
      <t>134-1.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멘토수당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8" type="noConversion"/>
  </si>
  <si>
    <r>
      <t>134-2.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결과보고서</t>
    </r>
    <phoneticPr fontId="8" type="noConversion"/>
  </si>
  <si>
    <r>
      <t>35. ()</t>
    </r>
    <r>
      <rPr>
        <sz val="14"/>
        <color rgb="FF000000"/>
        <rFont val="Arial"/>
        <family val="3"/>
        <charset val="129"/>
        <scheme val="minor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결과보고</t>
    </r>
    <phoneticPr fontId="8" type="noConversion"/>
  </si>
  <si>
    <r>
      <t>105. (</t>
    </r>
    <r>
      <rPr>
        <sz val="14"/>
        <color rgb="FF000000"/>
        <rFont val="Arial"/>
        <family val="3"/>
        <charset val="129"/>
        <scheme val="minor"/>
      </rPr>
      <t>운영기관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담당관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면담일지</t>
    </r>
    <phoneticPr fontId="8" type="noConversion"/>
  </si>
  <si>
    <r>
      <t xml:space="preserve">36.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결과보고</t>
    </r>
    <phoneticPr fontId="8" type="noConversion"/>
  </si>
  <si>
    <r>
      <t>123. (</t>
    </r>
    <r>
      <rPr>
        <sz val="14"/>
        <color rgb="FF000000"/>
        <rFont val="Arial"/>
        <family val="2"/>
        <charset val="129"/>
        <scheme val="minor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중도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포기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신청서</t>
    </r>
    <phoneticPr fontId="8" type="noConversion"/>
  </si>
  <si>
    <r>
      <t xml:space="preserve">45.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모니터링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점검표</t>
    </r>
    <phoneticPr fontId="8" type="noConversion"/>
  </si>
  <si>
    <r>
      <rPr>
        <u val="double"/>
        <sz val="10"/>
        <color rgb="FF000000"/>
        <rFont val="Arial"/>
        <family val="2"/>
        <charset val="129"/>
        <scheme val="minor"/>
      </rPr>
      <t>세로정렬</t>
    </r>
    <phoneticPr fontId="8" type="noConversion"/>
  </si>
  <si>
    <r>
      <rPr>
        <u val="double"/>
        <sz val="10"/>
        <color rgb="FF000000"/>
        <rFont val="Arial"/>
        <family val="3"/>
        <charset val="129"/>
        <scheme val="minor"/>
      </rPr>
      <t>한</t>
    </r>
    <r>
      <rPr>
        <u val="double"/>
        <sz val="10"/>
        <color rgb="FF000000"/>
        <rFont val="Arial"/>
        <family val="2"/>
        <scheme val="minor"/>
      </rPr>
      <t xml:space="preserve"> </t>
    </r>
    <r>
      <rPr>
        <u val="double"/>
        <sz val="10"/>
        <color rgb="FF000000"/>
        <rFont val="Arial"/>
        <family val="3"/>
        <charset val="129"/>
        <scheme val="minor"/>
      </rPr>
      <t>줄</t>
    </r>
    <r>
      <rPr>
        <u val="double"/>
        <sz val="10"/>
        <color rgb="FF000000"/>
        <rFont val="Arial"/>
        <family val="2"/>
        <scheme val="minor"/>
      </rPr>
      <t xml:space="preserve"> </t>
    </r>
    <r>
      <rPr>
        <u val="double"/>
        <sz val="10"/>
        <color rgb="FF000000"/>
        <rFont val="Arial"/>
        <family val="3"/>
        <charset val="129"/>
        <scheme val="minor"/>
      </rPr>
      <t>띄우기</t>
    </r>
    <phoneticPr fontId="8" type="noConversion"/>
  </si>
  <si>
    <r>
      <rPr>
        <u/>
        <sz val="20"/>
        <color rgb="FF000000"/>
        <rFont val="Arial"/>
        <family val="3"/>
        <charset val="129"/>
        <scheme val="minor"/>
      </rPr>
      <t>참여기업</t>
    </r>
    <phoneticPr fontId="8" type="noConversion"/>
  </si>
  <si>
    <r>
      <t xml:space="preserve"> </t>
    </r>
    <r>
      <rPr>
        <u/>
        <sz val="20"/>
        <color rgb="FF000000"/>
        <rFont val="맑은 고딕"/>
        <family val="3"/>
        <charset val="129"/>
      </rPr>
      <t>참여기업
멘토</t>
    </r>
    <phoneticPr fontId="8" type="noConversion"/>
  </si>
  <si>
    <t>근무부서</t>
  </si>
  <si>
    <t>면담일</t>
  </si>
  <si>
    <r>
      <t>2024.11.18 ~ 2025.01.10(8</t>
    </r>
    <r>
      <rPr>
        <sz val="12"/>
        <color theme="1"/>
        <rFont val="Arial Unicode MS"/>
        <family val="2"/>
        <charset val="129"/>
      </rPr>
      <t>주)</t>
    </r>
    <phoneticPr fontId="8" type="noConversion"/>
  </si>
  <si>
    <r>
      <rPr>
        <b/>
        <sz val="10"/>
        <color theme="1"/>
        <rFont val="맑은 고딕"/>
        <family val="3"/>
        <charset val="129"/>
      </rPr>
      <t>멘토</t>
    </r>
    <r>
      <rPr>
        <b/>
        <sz val="10"/>
        <color theme="1"/>
        <rFont val="Arial"/>
        <family val="2"/>
        <scheme val="minor"/>
      </rPr>
      <t xml:space="preserve"> </t>
    </r>
    <r>
      <rPr>
        <b/>
        <sz val="10"/>
        <color theme="1"/>
        <rFont val="맑은 고딕"/>
        <family val="3"/>
        <charset val="129"/>
      </rPr>
      <t>명</t>
    </r>
    <phoneticPr fontId="8" type="noConversion"/>
  </si>
  <si>
    <r>
      <rPr>
        <b/>
        <sz val="10"/>
        <color theme="1"/>
        <rFont val="맑은 고딕"/>
        <family val="3"/>
        <charset val="129"/>
      </rPr>
      <t>멘토</t>
    </r>
    <r>
      <rPr>
        <b/>
        <sz val="10"/>
        <color theme="1"/>
        <rFont val="Arial"/>
        <family val="2"/>
        <scheme val="minor"/>
      </rPr>
      <t xml:space="preserve"> </t>
    </r>
    <r>
      <rPr>
        <b/>
        <sz val="10"/>
        <color theme="1"/>
        <rFont val="맑은 고딕"/>
        <family val="3"/>
        <charset val="129"/>
      </rPr>
      <t>부서명</t>
    </r>
    <phoneticPr fontId="8" type="noConversion"/>
  </si>
  <si>
    <r>
      <rPr>
        <b/>
        <sz val="10"/>
        <color theme="1"/>
        <rFont val="Arial"/>
        <family val="3"/>
        <charset val="129"/>
        <scheme val="minor"/>
      </rPr>
      <t>멘토</t>
    </r>
    <r>
      <rPr>
        <b/>
        <sz val="10"/>
        <color theme="1"/>
        <rFont val="Arial"/>
        <family val="2"/>
        <scheme val="minor"/>
      </rPr>
      <t xml:space="preserve"> </t>
    </r>
    <r>
      <rPr>
        <b/>
        <sz val="10"/>
        <color theme="1"/>
        <rFont val="Arial"/>
        <family val="3"/>
        <charset val="129"/>
        <scheme val="minor"/>
      </rPr>
      <t>직위</t>
    </r>
    <phoneticPr fontId="8" type="noConversion"/>
  </si>
  <si>
    <r>
      <rPr>
        <b/>
        <sz val="10"/>
        <color theme="1"/>
        <rFont val="Arial"/>
        <family val="3"/>
        <charset val="129"/>
        <scheme val="minor"/>
      </rPr>
      <t>멘토</t>
    </r>
    <r>
      <rPr>
        <b/>
        <sz val="10"/>
        <color theme="1"/>
        <rFont val="Arial"/>
        <family val="2"/>
        <scheme val="minor"/>
      </rPr>
      <t xml:space="preserve"> </t>
    </r>
    <r>
      <rPr>
        <b/>
        <sz val="10"/>
        <color theme="1"/>
        <rFont val="Arial"/>
        <family val="3"/>
        <charset val="129"/>
        <scheme val="minor"/>
      </rPr>
      <t>연락처</t>
    </r>
    <phoneticPr fontId="8" type="noConversion"/>
  </si>
  <si>
    <r>
      <rPr>
        <b/>
        <sz val="10"/>
        <color theme="1"/>
        <rFont val="Arial"/>
        <family val="3"/>
        <charset val="129"/>
        <scheme val="minor"/>
      </rPr>
      <t>멘토</t>
    </r>
    <r>
      <rPr>
        <b/>
        <sz val="10"/>
        <color theme="1"/>
        <rFont val="Arial"/>
        <family val="2"/>
        <scheme val="minor"/>
      </rPr>
      <t xml:space="preserve"> </t>
    </r>
    <r>
      <rPr>
        <b/>
        <sz val="10"/>
        <color theme="1"/>
        <rFont val="Arial"/>
        <family val="3"/>
        <charset val="129"/>
        <scheme val="minor"/>
      </rPr>
      <t>이메일</t>
    </r>
    <phoneticPr fontId="8" type="noConversion"/>
  </si>
  <si>
    <r>
      <t>2주차</t>
    </r>
    <r>
      <rPr>
        <sz val="10"/>
        <color rgb="FF000000"/>
        <rFont val="Arial"/>
        <scheme val="minor"/>
      </rPr>
      <t/>
    </r>
    <phoneticPr fontId="8" type="noConversion"/>
  </si>
  <si>
    <r>
      <t>3주차</t>
    </r>
    <r>
      <rPr>
        <sz val="10"/>
        <color rgb="FF000000"/>
        <rFont val="Arial"/>
        <scheme val="minor"/>
      </rPr>
      <t/>
    </r>
    <phoneticPr fontId="8" type="noConversion"/>
  </si>
  <si>
    <r>
      <t>4주차</t>
    </r>
    <r>
      <rPr>
        <sz val="10"/>
        <color rgb="FF000000"/>
        <rFont val="Arial"/>
        <scheme val="minor"/>
      </rPr>
      <t/>
    </r>
    <phoneticPr fontId="8" type="noConversion"/>
  </si>
  <si>
    <r>
      <t>5주차</t>
    </r>
    <r>
      <rPr>
        <sz val="10"/>
        <color rgb="FF000000"/>
        <rFont val="Arial"/>
        <scheme val="minor"/>
      </rPr>
      <t/>
    </r>
  </si>
  <si>
    <r>
      <t>6주차</t>
    </r>
    <r>
      <rPr>
        <sz val="10"/>
        <color rgb="FF000000"/>
        <rFont val="Arial"/>
        <scheme val="minor"/>
      </rPr>
      <t/>
    </r>
  </si>
  <si>
    <r>
      <t>7주차</t>
    </r>
    <r>
      <rPr>
        <sz val="10"/>
        <color rgb="FF000000"/>
        <rFont val="Arial"/>
        <scheme val="minor"/>
      </rPr>
      <t/>
    </r>
  </si>
  <si>
    <r>
      <t>8주차</t>
    </r>
    <r>
      <rPr>
        <sz val="10"/>
        <color rgb="FF000000"/>
        <rFont val="Arial"/>
        <scheme val="minor"/>
      </rPr>
      <t/>
    </r>
  </si>
  <si>
    <r>
      <t>1</t>
    </r>
    <r>
      <rPr>
        <sz val="10"/>
        <color rgb="FF000000"/>
        <rFont val="Arial Unicode MS"/>
        <charset val="129"/>
      </rPr>
      <t>주차</t>
    </r>
    <r>
      <rPr>
        <sz val="10"/>
        <color rgb="FF000000"/>
        <rFont val="Arial"/>
        <family val="2"/>
        <scheme val="minor"/>
      </rPr>
      <t xml:space="preserve"> </t>
    </r>
    <phoneticPr fontId="8" type="noConversion"/>
  </si>
  <si>
    <t xml:space="preserve">면담내용: 
조치사항: 
건의 및 문의: </t>
    <phoneticPr fontId="8" type="noConversion"/>
  </si>
  <si>
    <r>
      <t xml:space="preserve">17.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</si>
</sst>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"/>
    <numFmt numFmtId="177" formatCode="0_);[Red]\(0\)"/>
    <numFmt numFmtId="178" formatCode="yyyy&quot;년&quot;\ m&quot;월&quot;\ d&quot;일&quot;;@"/>
  </numFmts>
  <fonts count="14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20"/>
      <color theme="1"/>
      <name val="Arial"/>
      <family val="2"/>
      <scheme val="min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sz val="10"/>
      <color rgb="FF000000"/>
      <name val="Arial"/>
      <family val="3"/>
      <charset val="129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0"/>
      <color rgb="FF000000"/>
      <name val="휴먼명조"/>
      <charset val="129"/>
    </font>
    <font>
      <sz val="12"/>
      <color theme="1"/>
      <name val="Arial"/>
      <family val="3"/>
      <charset val="129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b/>
      <u/>
      <sz val="20"/>
      <color rgb="FF000000"/>
      <name val="Arial"/>
      <family val="2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b/>
      <sz val="20"/>
      <color rgb="FF000000"/>
      <name val="Arial"/>
      <family val="2"/>
      <scheme val="minor"/>
    </font>
    <font>
      <b/>
      <sz val="14"/>
      <color rgb="FF000000"/>
      <name val="Arial"/>
      <family val="2"/>
      <charset val="129"/>
      <scheme val="minor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sz val="12"/>
      <color theme="1"/>
      <name val="Arial Unicode MS"/>
      <family val="2"/>
      <charset val="129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1"/>
      <color rgb="FF006100"/>
      <name val="Arial"/>
      <family val="2"/>
      <charset val="129"/>
      <scheme val="minor"/>
    </font>
    <font>
      <sz val="10"/>
      <color rgb="FF000000"/>
      <name val="맑은 고딕"/>
      <family val="2"/>
      <charset val="129"/>
    </font>
    <font>
      <sz val="14"/>
      <color rgb="FF00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b/>
      <u/>
      <sz val="15"/>
      <color rgb="FF000000"/>
      <name val="맑은 고딕"/>
      <family val="3"/>
      <charset val="129"/>
    </font>
    <font>
      <b/>
      <sz val="12"/>
      <color theme="1"/>
      <name val="Arial Unicode MS"/>
      <family val="2"/>
      <charset val="129"/>
    </font>
    <font>
      <sz val="12"/>
      <color theme="1"/>
      <name val="굴림"/>
      <family val="2"/>
      <charset val="129"/>
    </font>
    <font>
      <b/>
      <sz val="12"/>
      <color theme="1"/>
      <name val="맑은 고딕"/>
      <family val="3"/>
      <charset val="129"/>
    </font>
    <font>
      <sz val="10"/>
      <color rgb="FF000000"/>
      <name val="굴림"/>
      <family val="2"/>
      <charset val="129"/>
    </font>
    <font>
      <u/>
      <sz val="20"/>
      <color rgb="FF000000"/>
      <name val="맑은 고딕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맑은 고딕"/>
      <family val="3"/>
      <charset val="129"/>
    </font>
    <font>
      <b/>
      <sz val="14"/>
      <color rgb="FF000000"/>
      <name val="맑은 고딕"/>
      <family val="2"/>
      <charset val="129"/>
    </font>
    <font>
      <sz val="11"/>
      <color rgb="FFFF0000"/>
      <name val="맑은 고딕"/>
      <family val="3"/>
      <charset val="129"/>
    </font>
    <font>
      <b/>
      <u/>
      <sz val="20"/>
      <color rgb="FF000000"/>
      <name val="Arial"/>
      <family val="3"/>
      <charset val="129"/>
      <scheme val="minor"/>
    </font>
    <font>
      <b/>
      <sz val="8"/>
      <color rgb="FFFF0000"/>
      <name val="Arial"/>
      <family val="2"/>
      <scheme val="minor"/>
    </font>
    <font>
      <b/>
      <sz val="8"/>
      <color rgb="FFFF0000"/>
      <name val="Arial"/>
      <family val="3"/>
      <charset val="129"/>
      <scheme val="minor"/>
    </font>
    <font>
      <b/>
      <u/>
      <sz val="20"/>
      <color theme="1"/>
      <name val="Arial"/>
      <family val="2"/>
      <scheme val="minor"/>
    </font>
    <font>
      <b/>
      <u/>
      <sz val="20"/>
      <color theme="1"/>
      <name val="Arial"/>
      <family val="3"/>
      <charset val="129"/>
      <scheme val="minor"/>
    </font>
    <font>
      <b/>
      <sz val="20"/>
      <color rgb="FF000000"/>
      <name val="Arial"/>
      <family val="2"/>
      <charset val="129"/>
      <scheme val="minor"/>
    </font>
    <font>
      <b/>
      <sz val="14"/>
      <color rgb="FF000000"/>
      <name val="Arial Unicode MS"/>
      <family val="2"/>
      <charset val="129"/>
    </font>
    <font>
      <sz val="14"/>
      <color rgb="FF000000"/>
      <name val="Arial"/>
      <family val="2"/>
      <charset val="129"/>
      <scheme val="minor"/>
    </font>
    <font>
      <sz val="10"/>
      <color rgb="FFFF0000"/>
      <name val="맑은 고딕"/>
      <family val="2"/>
      <charset val="129"/>
    </font>
    <font>
      <b/>
      <sz val="12"/>
      <color theme="1"/>
      <name val="Arial"/>
      <family val="2"/>
      <charset val="129"/>
    </font>
    <font>
      <b/>
      <sz val="12"/>
      <name val="Arial"/>
      <family val="3"/>
      <charset val="129"/>
      <scheme val="minor"/>
    </font>
    <font>
      <sz val="10"/>
      <color rgb="FF000000"/>
      <name val="Arial"/>
      <family val="2"/>
      <charset val="129"/>
      <scheme val="minor"/>
    </font>
    <font>
      <sz val="12"/>
      <color rgb="FF000000"/>
      <name val="Arial Unicode MS"/>
      <family val="2"/>
      <charset val="129"/>
    </font>
    <font>
      <b/>
      <u/>
      <sz val="20"/>
      <color rgb="FF000000"/>
      <name val="Arial"/>
      <family val="2"/>
      <scheme val="major"/>
    </font>
    <font>
      <b/>
      <u/>
      <sz val="20"/>
      <color rgb="FF000000"/>
      <name val="Arial"/>
      <family val="3"/>
      <charset val="129"/>
      <scheme val="major"/>
    </font>
    <font>
      <b/>
      <u/>
      <sz val="20"/>
      <color rgb="FF000000"/>
      <name val="Arial"/>
      <family val="2"/>
      <charset val="129"/>
      <scheme val="major"/>
    </font>
    <font>
      <sz val="10"/>
      <color rgb="FF000000"/>
      <name val="Arial"/>
      <family val="3"/>
    </font>
    <font>
      <sz val="10"/>
      <color rgb="FF000000"/>
      <name val="Arial Unicode MS"/>
      <family val="3"/>
      <charset val="129"/>
    </font>
    <font>
      <u val="double"/>
      <sz val="10"/>
      <color rgb="FF000000"/>
      <name val="Arial"/>
      <family val="2"/>
      <scheme val="minor"/>
    </font>
    <font>
      <u val="double"/>
      <sz val="10"/>
      <color rgb="FF000000"/>
      <name val="Arial"/>
      <family val="2"/>
      <charset val="129"/>
      <scheme val="minor"/>
    </font>
    <font>
      <u val="double"/>
      <sz val="10"/>
      <color rgb="FF000000"/>
      <name val="Arial"/>
      <family val="3"/>
      <charset val="129"/>
      <scheme val="minor"/>
    </font>
    <font>
      <sz val="10"/>
      <color rgb="FF000000"/>
      <name val="Arial Unicode MS"/>
      <charset val="129"/>
    </font>
    <font>
      <b/>
      <sz val="10"/>
      <color rgb="FF000000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1"/>
      <name val="Arial"/>
      <family val="2"/>
      <scheme val="minor"/>
    </font>
    <font>
      <b/>
      <sz val="10"/>
      <color theme="1"/>
      <name val="Arial"/>
      <family val="3"/>
      <charset val="129"/>
      <scheme val="minor"/>
    </font>
    <font>
      <sz val="10"/>
      <color rgb="FF000000"/>
      <name val="Malgun Gothic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32" fillId="14" borderId="0" applyNumberFormat="0" applyBorder="0" applyAlignment="0" applyProtection="0">
      <alignment vertical="center"/>
    </xf>
    <xf numFmtId="0" fontId="6" fillId="0" borderId="0"/>
    <xf numFmtId="0" fontId="101" fillId="26" borderId="0" applyNumberFormat="0" applyBorder="0" applyAlignment="0" applyProtection="0">
      <alignment vertical="center"/>
    </xf>
  </cellStyleXfs>
  <cellXfs count="544">
    <xf numFmtId="0" fontId="0" fillId="0" borderId="0" xfId="0"/>
    <xf numFmtId="0" fontId="7" fillId="4" borderId="2" xfId="0" applyFont="1" applyFill="1" applyBorder="1" applyAlignment="1">
      <alignment horizontal="left" vertical="center" wrapText="1"/>
    </xf>
    <xf numFmtId="0" fontId="10" fillId="4" borderId="1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0" fillId="5" borderId="1" xfId="0" applyFill="1" applyBorder="1"/>
    <xf numFmtId="0" fontId="4" fillId="2" borderId="1" xfId="0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center" vertical="center"/>
    </xf>
    <xf numFmtId="0" fontId="12" fillId="0" borderId="0" xfId="0" applyFont="1"/>
    <xf numFmtId="0" fontId="3" fillId="8" borderId="10" xfId="0" applyFont="1" applyFill="1" applyBorder="1" applyAlignment="1">
      <alignment vertical="center"/>
    </xf>
    <xf numFmtId="0" fontId="3" fillId="6" borderId="11" xfId="0" applyFont="1" applyFill="1" applyBorder="1" applyAlignment="1">
      <alignment vertical="center"/>
    </xf>
    <xf numFmtId="0" fontId="20" fillId="10" borderId="20" xfId="0" applyFont="1" applyFill="1" applyBorder="1" applyAlignment="1">
      <alignment horizontal="center" vertical="center"/>
    </xf>
    <xf numFmtId="0" fontId="20" fillId="10" borderId="21" xfId="0" applyFont="1" applyFill="1" applyBorder="1" applyAlignment="1">
      <alignment horizontal="center" vertical="center"/>
    </xf>
    <xf numFmtId="0" fontId="20" fillId="10" borderId="22" xfId="0" applyFont="1" applyFill="1" applyBorder="1" applyAlignment="1">
      <alignment horizontal="center" vertical="center"/>
    </xf>
    <xf numFmtId="0" fontId="21" fillId="2" borderId="21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49" fontId="19" fillId="0" borderId="23" xfId="0" applyNumberFormat="1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49" fontId="19" fillId="0" borderId="22" xfId="0" applyNumberFormat="1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177" fontId="19" fillId="0" borderId="2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3" fillId="4" borderId="2" xfId="0" applyFont="1" applyFill="1" applyBorder="1" applyAlignment="1">
      <alignment horizontal="left" vertical="center" wrapText="1"/>
    </xf>
    <xf numFmtId="0" fontId="12" fillId="5" borderId="1" xfId="0" applyFont="1" applyFill="1" applyBorder="1"/>
    <xf numFmtId="0" fontId="25" fillId="4" borderId="3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16" fillId="0" borderId="0" xfId="0" applyFont="1"/>
    <xf numFmtId="0" fontId="27" fillId="0" borderId="0" xfId="0" applyFont="1"/>
    <xf numFmtId="0" fontId="2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15" fillId="0" borderId="0" xfId="0" applyFont="1"/>
    <xf numFmtId="0" fontId="29" fillId="0" borderId="1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49" fontId="19" fillId="0" borderId="26" xfId="0" applyNumberFormat="1" applyFont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left" vertical="center"/>
    </xf>
    <xf numFmtId="176" fontId="4" fillId="2" borderId="33" xfId="0" applyNumberFormat="1" applyFont="1" applyFill="1" applyBorder="1" applyAlignment="1">
      <alignment horizontal="left" vertical="center"/>
    </xf>
    <xf numFmtId="0" fontId="36" fillId="7" borderId="0" xfId="2" applyFont="1" applyFill="1" applyAlignment="1">
      <alignment vertical="center"/>
    </xf>
    <xf numFmtId="0" fontId="37" fillId="7" borderId="0" xfId="2" applyFont="1" applyFill="1" applyAlignment="1">
      <alignment vertical="center"/>
    </xf>
    <xf numFmtId="0" fontId="38" fillId="7" borderId="0" xfId="2" applyFont="1" applyFill="1" applyAlignment="1">
      <alignment vertical="center"/>
    </xf>
    <xf numFmtId="0" fontId="37" fillId="7" borderId="0" xfId="2" applyFont="1" applyFill="1" applyAlignment="1">
      <alignment horizontal="center" vertical="center"/>
    </xf>
    <xf numFmtId="0" fontId="6" fillId="7" borderId="0" xfId="2" applyFill="1"/>
    <xf numFmtId="0" fontId="41" fillId="0" borderId="36" xfId="2" applyFont="1" applyBorder="1" applyAlignment="1">
      <alignment horizontal="center" vertical="center"/>
    </xf>
    <xf numFmtId="0" fontId="41" fillId="0" borderId="24" xfId="2" applyFont="1" applyBorder="1" applyAlignment="1">
      <alignment horizontal="center" vertical="center"/>
    </xf>
    <xf numFmtId="0" fontId="34" fillId="18" borderId="1" xfId="2" applyFont="1" applyFill="1" applyBorder="1"/>
    <xf numFmtId="0" fontId="34" fillId="7" borderId="1" xfId="2" applyFont="1" applyFill="1" applyBorder="1"/>
    <xf numFmtId="0" fontId="43" fillId="20" borderId="24" xfId="2" applyFont="1" applyFill="1" applyBorder="1" applyAlignment="1">
      <alignment vertical="center" wrapText="1"/>
    </xf>
    <xf numFmtId="0" fontId="43" fillId="20" borderId="37" xfId="2" applyFont="1" applyFill="1" applyBorder="1" applyAlignment="1">
      <alignment vertical="center" wrapText="1"/>
    </xf>
    <xf numFmtId="0" fontId="43" fillId="20" borderId="36" xfId="2" applyFont="1" applyFill="1" applyBorder="1" applyAlignment="1">
      <alignment vertical="center" wrapText="1"/>
    </xf>
    <xf numFmtId="0" fontId="44" fillId="0" borderId="24" xfId="2" applyFont="1" applyBorder="1" applyAlignment="1">
      <alignment vertical="center" wrapText="1"/>
    </xf>
    <xf numFmtId="0" fontId="44" fillId="0" borderId="37" xfId="2" applyFont="1" applyBorder="1" applyAlignment="1">
      <alignment vertical="center" wrapText="1"/>
    </xf>
    <xf numFmtId="0" fontId="44" fillId="0" borderId="36" xfId="2" applyFont="1" applyBorder="1" applyAlignment="1">
      <alignment vertical="center" wrapText="1"/>
    </xf>
    <xf numFmtId="0" fontId="34" fillId="18" borderId="1" xfId="2" applyFont="1" applyFill="1" applyBorder="1" applyAlignment="1">
      <alignment vertical="center"/>
    </xf>
    <xf numFmtId="0" fontId="34" fillId="7" borderId="1" xfId="2" applyFont="1" applyFill="1" applyBorder="1" applyAlignment="1">
      <alignment horizontal="center" vertical="center"/>
    </xf>
    <xf numFmtId="0" fontId="39" fillId="7" borderId="0" xfId="2" applyFont="1" applyFill="1" applyAlignment="1">
      <alignment horizontal="center" vertical="center"/>
    </xf>
    <xf numFmtId="14" fontId="40" fillId="0" borderId="0" xfId="2" applyNumberFormat="1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41" fillId="0" borderId="23" xfId="2" applyFont="1" applyBorder="1" applyAlignment="1">
      <alignment horizontal="center" vertical="center"/>
    </xf>
    <xf numFmtId="0" fontId="33" fillId="15" borderId="41" xfId="2" applyFont="1" applyFill="1" applyBorder="1" applyAlignment="1">
      <alignment horizontal="center" vertical="center" wrapText="1"/>
    </xf>
    <xf numFmtId="14" fontId="45" fillId="7" borderId="0" xfId="2" applyNumberFormat="1" applyFont="1" applyFill="1" applyAlignment="1">
      <alignment horizontal="center" vertical="center"/>
    </xf>
    <xf numFmtId="14" fontId="34" fillId="7" borderId="1" xfId="2" applyNumberFormat="1" applyFont="1" applyFill="1" applyBorder="1" applyAlignment="1">
      <alignment horizontal="center" vertical="center"/>
    </xf>
    <xf numFmtId="0" fontId="6" fillId="7" borderId="1" xfId="2" applyFill="1" applyBorder="1" applyAlignment="1">
      <alignment horizontal="center"/>
    </xf>
    <xf numFmtId="0" fontId="41" fillId="0" borderId="20" xfId="2" applyFont="1" applyBorder="1" applyAlignment="1">
      <alignment horizontal="center" vertical="center"/>
    </xf>
    <xf numFmtId="0" fontId="4" fillId="7" borderId="1" xfId="2" applyFont="1" applyFill="1" applyBorder="1" applyAlignment="1">
      <alignment horizontal="center" vertical="center"/>
    </xf>
    <xf numFmtId="0" fontId="42" fillId="18" borderId="60" xfId="2" applyFont="1" applyFill="1" applyBorder="1" applyAlignment="1">
      <alignment horizontal="center" vertical="center"/>
    </xf>
    <xf numFmtId="0" fontId="36" fillId="7" borderId="61" xfId="2" applyFont="1" applyFill="1" applyBorder="1" applyAlignment="1">
      <alignment horizontal="center" vertical="center"/>
    </xf>
    <xf numFmtId="0" fontId="47" fillId="0" borderId="24" xfId="2" applyFont="1" applyBorder="1" applyAlignment="1">
      <alignment horizontal="center" vertical="center"/>
    </xf>
    <xf numFmtId="0" fontId="33" fillId="15" borderId="44" xfId="2" applyFont="1" applyFill="1" applyBorder="1" applyAlignment="1">
      <alignment horizontal="center" vertical="center" wrapText="1"/>
    </xf>
    <xf numFmtId="0" fontId="6" fillId="21" borderId="1" xfId="2" applyFill="1" applyBorder="1"/>
    <xf numFmtId="0" fontId="6" fillId="21" borderId="3" xfId="2" applyFill="1" applyBorder="1" applyAlignment="1">
      <alignment horizontal="center"/>
    </xf>
    <xf numFmtId="0" fontId="30" fillId="7" borderId="0" xfId="2" applyFont="1" applyFill="1" applyAlignment="1">
      <alignment horizontal="center" vertical="center"/>
    </xf>
    <xf numFmtId="0" fontId="48" fillId="0" borderId="0" xfId="2" applyFont="1" applyAlignment="1">
      <alignment horizontal="center" vertical="center"/>
    </xf>
    <xf numFmtId="0" fontId="42" fillId="18" borderId="1" xfId="2" applyFont="1" applyFill="1" applyBorder="1" applyAlignment="1">
      <alignment horizontal="center" vertical="center"/>
    </xf>
    <xf numFmtId="0" fontId="36" fillId="7" borderId="64" xfId="2" applyFont="1" applyFill="1" applyBorder="1" applyAlignment="1">
      <alignment horizontal="center" vertical="center"/>
    </xf>
    <xf numFmtId="0" fontId="43" fillId="20" borderId="46" xfId="2" applyFont="1" applyFill="1" applyBorder="1" applyAlignment="1">
      <alignment vertical="center" wrapText="1"/>
    </xf>
    <xf numFmtId="0" fontId="43" fillId="20" borderId="23" xfId="2" applyFont="1" applyFill="1" applyBorder="1" applyAlignment="1">
      <alignment vertical="center" wrapText="1"/>
    </xf>
    <xf numFmtId="0" fontId="33" fillId="15" borderId="49" xfId="2" applyFont="1" applyFill="1" applyBorder="1" applyAlignment="1">
      <alignment horizontal="center" vertical="center" wrapText="1"/>
    </xf>
    <xf numFmtId="0" fontId="49" fillId="16" borderId="21" xfId="2" applyFont="1" applyFill="1" applyBorder="1" applyAlignment="1">
      <alignment horizontal="center" vertical="center" wrapText="1"/>
    </xf>
    <xf numFmtId="0" fontId="49" fillId="16" borderId="42" xfId="2" applyFont="1" applyFill="1" applyBorder="1" applyAlignment="1">
      <alignment horizontal="center" vertical="center" wrapText="1"/>
    </xf>
    <xf numFmtId="14" fontId="6" fillId="7" borderId="1" xfId="2" applyNumberFormat="1" applyFill="1" applyBorder="1"/>
    <xf numFmtId="0" fontId="39" fillId="18" borderId="28" xfId="2" applyFont="1" applyFill="1" applyBorder="1" applyAlignment="1">
      <alignment horizontal="center" vertical="center" wrapText="1" shrinkToFit="1"/>
    </xf>
    <xf numFmtId="0" fontId="39" fillId="18" borderId="65" xfId="2" applyFont="1" applyFill="1" applyBorder="1" applyAlignment="1">
      <alignment horizontal="center" vertical="center" shrinkToFit="1"/>
    </xf>
    <xf numFmtId="0" fontId="39" fillId="18" borderId="65" xfId="2" applyFont="1" applyFill="1" applyBorder="1" applyAlignment="1">
      <alignment horizontal="center" vertical="center"/>
    </xf>
    <xf numFmtId="0" fontId="39" fillId="17" borderId="66" xfId="2" applyFont="1" applyFill="1" applyBorder="1" applyAlignment="1">
      <alignment horizontal="center" vertical="center"/>
    </xf>
    <xf numFmtId="0" fontId="43" fillId="20" borderId="38" xfId="2" applyFont="1" applyFill="1" applyBorder="1" applyAlignment="1">
      <alignment vertical="center" wrapText="1"/>
    </xf>
    <xf numFmtId="0" fontId="43" fillId="20" borderId="20" xfId="2" applyFont="1" applyFill="1" applyBorder="1" applyAlignment="1">
      <alignment vertical="center" wrapText="1"/>
    </xf>
    <xf numFmtId="0" fontId="6" fillId="15" borderId="49" xfId="2" applyFill="1" applyBorder="1" applyAlignment="1">
      <alignment vertical="center" wrapText="1"/>
    </xf>
    <xf numFmtId="0" fontId="49" fillId="0" borderId="21" xfId="2" applyFont="1" applyBorder="1" applyAlignment="1">
      <alignment horizontal="center" vertical="center" wrapText="1"/>
    </xf>
    <xf numFmtId="0" fontId="15" fillId="0" borderId="21" xfId="2" applyFont="1" applyBorder="1" applyAlignment="1">
      <alignment horizontal="center" vertical="center" wrapText="1"/>
    </xf>
    <xf numFmtId="0" fontId="15" fillId="0" borderId="42" xfId="2" applyFont="1" applyBorder="1" applyAlignment="1">
      <alignment horizontal="center" vertical="center" wrapText="1"/>
    </xf>
    <xf numFmtId="0" fontId="37" fillId="7" borderId="1" xfId="2" applyFont="1" applyFill="1" applyBorder="1" applyAlignment="1">
      <alignment horizontal="center" vertical="center"/>
    </xf>
    <xf numFmtId="0" fontId="37" fillId="7" borderId="1" xfId="2" applyFont="1" applyFill="1" applyBorder="1" applyAlignment="1">
      <alignment vertical="center"/>
    </xf>
    <xf numFmtId="0" fontId="47" fillId="0" borderId="37" xfId="2" applyFont="1" applyBorder="1" applyAlignment="1">
      <alignment vertical="center" wrapText="1"/>
    </xf>
    <xf numFmtId="0" fontId="42" fillId="18" borderId="33" xfId="2" applyFont="1" applyFill="1" applyBorder="1" applyAlignment="1">
      <alignment horizontal="center" vertical="center"/>
    </xf>
    <xf numFmtId="0" fontId="36" fillId="7" borderId="70" xfId="2" applyFont="1" applyFill="1" applyBorder="1" applyAlignment="1">
      <alignment horizontal="center" vertical="center"/>
    </xf>
    <xf numFmtId="0" fontId="41" fillId="0" borderId="71" xfId="2" applyFont="1" applyBorder="1" applyAlignment="1">
      <alignment horizontal="center" vertical="center"/>
    </xf>
    <xf numFmtId="0" fontId="6" fillId="15" borderId="45" xfId="2" applyFill="1" applyBorder="1" applyAlignment="1">
      <alignment vertical="center" wrapText="1"/>
    </xf>
    <xf numFmtId="0" fontId="46" fillId="7" borderId="0" xfId="2" applyFont="1" applyFill="1" applyAlignment="1">
      <alignment vertical="center"/>
    </xf>
    <xf numFmtId="0" fontId="42" fillId="7" borderId="0" xfId="2" applyFont="1" applyFill="1" applyAlignment="1">
      <alignment horizontal="center" vertical="center"/>
    </xf>
    <xf numFmtId="0" fontId="36" fillId="7" borderId="0" xfId="2" applyFont="1" applyFill="1" applyAlignment="1">
      <alignment horizontal="center" vertical="center"/>
    </xf>
    <xf numFmtId="0" fontId="54" fillId="0" borderId="37" xfId="2" applyFont="1" applyBorder="1" applyAlignment="1">
      <alignment vertical="center" wrapText="1"/>
    </xf>
    <xf numFmtId="0" fontId="33" fillId="15" borderId="45" xfId="2" applyFont="1" applyFill="1" applyBorder="1" applyAlignment="1">
      <alignment horizontal="center" vertical="center" wrapText="1"/>
    </xf>
    <xf numFmtId="0" fontId="41" fillId="0" borderId="21" xfId="2" applyFont="1" applyBorder="1" applyAlignment="1">
      <alignment horizontal="center" vertical="center"/>
    </xf>
    <xf numFmtId="0" fontId="31" fillId="13" borderId="21" xfId="2" applyFont="1" applyFill="1" applyBorder="1" applyAlignment="1">
      <alignment horizontal="center" vertical="center" wrapText="1"/>
    </xf>
    <xf numFmtId="0" fontId="31" fillId="13" borderId="24" xfId="2" applyFont="1" applyFill="1" applyBorder="1" applyAlignment="1">
      <alignment vertical="center" wrapText="1"/>
    </xf>
    <xf numFmtId="0" fontId="31" fillId="13" borderId="36" xfId="2" applyFont="1" applyFill="1" applyBorder="1" applyAlignment="1">
      <alignment vertical="center" wrapText="1"/>
    </xf>
    <xf numFmtId="0" fontId="31" fillId="13" borderId="37" xfId="2" applyFont="1" applyFill="1" applyBorder="1" applyAlignment="1">
      <alignment vertical="center" wrapText="1"/>
    </xf>
    <xf numFmtId="0" fontId="56" fillId="0" borderId="21" xfId="2" applyFont="1" applyBorder="1" applyAlignment="1">
      <alignment horizontal="justify" vertical="center"/>
    </xf>
    <xf numFmtId="0" fontId="31" fillId="20" borderId="22" xfId="2" applyFont="1" applyFill="1" applyBorder="1" applyAlignment="1">
      <alignment horizontal="center" vertical="center" wrapText="1"/>
    </xf>
    <xf numFmtId="0" fontId="31" fillId="20" borderId="24" xfId="2" applyFont="1" applyFill="1" applyBorder="1" applyAlignment="1">
      <alignment vertical="center" wrapText="1"/>
    </xf>
    <xf numFmtId="0" fontId="31" fillId="20" borderId="36" xfId="2" applyFont="1" applyFill="1" applyBorder="1" applyAlignment="1">
      <alignment vertical="center" wrapText="1"/>
    </xf>
    <xf numFmtId="0" fontId="44" fillId="0" borderId="21" xfId="2" applyFont="1" applyBorder="1" applyAlignment="1">
      <alignment horizontal="center" vertical="center" wrapText="1"/>
    </xf>
    <xf numFmtId="0" fontId="6" fillId="0" borderId="20" xfId="2" applyBorder="1" applyAlignment="1">
      <alignment vertical="center"/>
    </xf>
    <xf numFmtId="0" fontId="31" fillId="20" borderId="75" xfId="2" applyFont="1" applyFill="1" applyBorder="1" applyAlignment="1">
      <alignment horizontal="center" vertical="center" wrapText="1"/>
    </xf>
    <xf numFmtId="0" fontId="31" fillId="20" borderId="46" xfId="2" applyFont="1" applyFill="1" applyBorder="1" applyAlignment="1">
      <alignment vertical="center" wrapText="1"/>
    </xf>
    <xf numFmtId="0" fontId="31" fillId="20" borderId="23" xfId="2" applyFont="1" applyFill="1" applyBorder="1" applyAlignment="1">
      <alignment vertical="center" wrapText="1"/>
    </xf>
    <xf numFmtId="0" fontId="44" fillId="0" borderId="46" xfId="2" applyFont="1" applyBorder="1" applyAlignment="1">
      <alignment vertical="center" wrapText="1"/>
    </xf>
    <xf numFmtId="0" fontId="44" fillId="0" borderId="23" xfId="2" applyFont="1" applyBorder="1" applyAlignment="1">
      <alignment vertical="center" wrapText="1"/>
    </xf>
    <xf numFmtId="0" fontId="57" fillId="0" borderId="46" xfId="2" applyFont="1" applyBorder="1" applyAlignment="1">
      <alignment vertical="center" wrapText="1"/>
    </xf>
    <xf numFmtId="0" fontId="57" fillId="0" borderId="23" xfId="2" applyFont="1" applyBorder="1" applyAlignment="1">
      <alignment vertical="center" wrapText="1"/>
    </xf>
    <xf numFmtId="0" fontId="44" fillId="0" borderId="22" xfId="2" applyFont="1" applyBorder="1" applyAlignment="1">
      <alignment horizontal="center" vertical="center" wrapText="1"/>
    </xf>
    <xf numFmtId="0" fontId="6" fillId="20" borderId="75" xfId="2" applyFill="1" applyBorder="1" applyAlignment="1">
      <alignment vertical="center" wrapText="1"/>
    </xf>
    <xf numFmtId="0" fontId="31" fillId="20" borderId="38" xfId="2" applyFont="1" applyFill="1" applyBorder="1" applyAlignment="1">
      <alignment vertical="center" wrapText="1"/>
    </xf>
    <xf numFmtId="0" fontId="31" fillId="20" borderId="20" xfId="2" applyFont="1" applyFill="1" applyBorder="1" applyAlignment="1">
      <alignment vertical="center" wrapText="1"/>
    </xf>
    <xf numFmtId="0" fontId="44" fillId="0" borderId="38" xfId="2" applyFont="1" applyBorder="1" applyAlignment="1">
      <alignment vertical="center" wrapText="1"/>
    </xf>
    <xf numFmtId="0" fontId="44" fillId="0" borderId="20" xfId="2" applyFont="1" applyBorder="1" applyAlignment="1">
      <alignment vertical="center" wrapText="1"/>
    </xf>
    <xf numFmtId="0" fontId="57" fillId="0" borderId="38" xfId="2" applyFont="1" applyBorder="1" applyAlignment="1">
      <alignment vertical="center" wrapText="1"/>
    </xf>
    <xf numFmtId="0" fontId="57" fillId="0" borderId="20" xfId="2" applyFont="1" applyBorder="1" applyAlignment="1">
      <alignment vertical="center" wrapText="1"/>
    </xf>
    <xf numFmtId="0" fontId="44" fillId="0" borderId="76" xfId="2" applyFont="1" applyBorder="1" applyAlignment="1">
      <alignment horizontal="center" vertical="center" wrapText="1"/>
    </xf>
    <xf numFmtId="0" fontId="44" fillId="0" borderId="25" xfId="2" applyFont="1" applyBorder="1" applyAlignment="1">
      <alignment vertical="center" wrapText="1"/>
    </xf>
    <xf numFmtId="0" fontId="41" fillId="0" borderId="24" xfId="2" applyFont="1" applyBorder="1" applyAlignment="1">
      <alignment horizontal="justify" vertical="center"/>
    </xf>
    <xf numFmtId="0" fontId="44" fillId="0" borderId="35" xfId="2" applyFont="1" applyBorder="1" applyAlignment="1">
      <alignment vertical="center" wrapText="1"/>
    </xf>
    <xf numFmtId="0" fontId="6" fillId="20" borderId="76" xfId="2" applyFill="1" applyBorder="1" applyAlignment="1">
      <alignment vertical="center" wrapText="1"/>
    </xf>
    <xf numFmtId="0" fontId="44" fillId="0" borderId="21" xfId="2" applyFont="1" applyBorder="1" applyAlignment="1">
      <alignment vertical="center" wrapText="1"/>
    </xf>
    <xf numFmtId="0" fontId="44" fillId="0" borderId="22" xfId="2" applyFont="1" applyBorder="1" applyAlignment="1">
      <alignment vertical="center" wrapText="1"/>
    </xf>
    <xf numFmtId="0" fontId="44" fillId="0" borderId="76" xfId="2" applyFont="1" applyBorder="1" applyAlignment="1">
      <alignment vertical="center" wrapText="1"/>
    </xf>
    <xf numFmtId="0" fontId="30" fillId="17" borderId="1" xfId="2" applyFont="1" applyFill="1" applyBorder="1" applyAlignment="1">
      <alignment horizontal="center" vertical="center"/>
    </xf>
    <xf numFmtId="0" fontId="30" fillId="17" borderId="1" xfId="2" applyFont="1" applyFill="1" applyBorder="1" applyAlignment="1">
      <alignment vertical="center"/>
    </xf>
    <xf numFmtId="0" fontId="60" fillId="14" borderId="1" xfId="1" applyFont="1" applyBorder="1" applyAlignment="1">
      <alignment horizontal="center" vertical="center"/>
    </xf>
    <xf numFmtId="0" fontId="60" fillId="14" borderId="1" xfId="1" applyFont="1" applyBorder="1" applyAlignment="1">
      <alignment vertical="center"/>
    </xf>
    <xf numFmtId="0" fontId="37" fillId="7" borderId="3" xfId="2" applyFont="1" applyFill="1" applyBorder="1" applyAlignment="1">
      <alignment vertical="center"/>
    </xf>
    <xf numFmtId="0" fontId="61" fillId="7" borderId="0" xfId="2" applyFont="1" applyFill="1"/>
    <xf numFmtId="0" fontId="62" fillId="14" borderId="1" xfId="1" applyFont="1" applyBorder="1" applyAlignment="1">
      <alignment horizontal="center" vertical="center"/>
    </xf>
    <xf numFmtId="0" fontId="62" fillId="14" borderId="1" xfId="1" applyFont="1" applyBorder="1" applyAlignment="1">
      <alignment vertical="center"/>
    </xf>
    <xf numFmtId="176" fontId="4" fillId="2" borderId="6" xfId="0" applyNumberFormat="1" applyFont="1" applyFill="1" applyBorder="1" applyAlignment="1">
      <alignment horizontal="left" vertical="center"/>
    </xf>
    <xf numFmtId="176" fontId="4" fillId="2" borderId="4" xfId="0" applyNumberFormat="1" applyFont="1" applyFill="1" applyBorder="1" applyAlignment="1">
      <alignment horizontal="left" vertical="center"/>
    </xf>
    <xf numFmtId="178" fontId="4" fillId="2" borderId="4" xfId="0" applyNumberFormat="1" applyFont="1" applyFill="1" applyBorder="1" applyAlignment="1">
      <alignment horizontal="left" vertical="center"/>
    </xf>
    <xf numFmtId="0" fontId="12" fillId="0" borderId="0" xfId="0" applyFont="1" applyAlignment="1">
      <alignment vertical="center"/>
    </xf>
    <xf numFmtId="176" fontId="4" fillId="2" borderId="40" xfId="0" applyNumberFormat="1" applyFont="1" applyFill="1" applyBorder="1" applyAlignment="1">
      <alignment horizontal="left" vertical="center"/>
    </xf>
    <xf numFmtId="176" fontId="4" fillId="2" borderId="57" xfId="0" applyNumberFormat="1" applyFont="1" applyFill="1" applyBorder="1" applyAlignment="1">
      <alignment horizontal="left" vertical="center"/>
    </xf>
    <xf numFmtId="0" fontId="4" fillId="2" borderId="34" xfId="0" applyFont="1" applyFill="1" applyBorder="1" applyAlignment="1">
      <alignment horizontal="left" vertical="center"/>
    </xf>
    <xf numFmtId="0" fontId="12" fillId="5" borderId="1" xfId="0" applyFont="1" applyFill="1" applyBorder="1" applyAlignment="1">
      <alignment vertical="center"/>
    </xf>
    <xf numFmtId="0" fontId="64" fillId="12" borderId="31" xfId="0" applyFont="1" applyFill="1" applyBorder="1" applyAlignment="1">
      <alignment vertical="center"/>
    </xf>
    <xf numFmtId="0" fontId="64" fillId="1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64" fillId="12" borderId="3" xfId="0" applyFont="1" applyFill="1" applyBorder="1" applyAlignment="1">
      <alignment vertical="center"/>
    </xf>
    <xf numFmtId="0" fontId="64" fillId="12" borderId="40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64" fillId="12" borderId="6" xfId="0" applyFont="1" applyFill="1" applyBorder="1" applyAlignment="1">
      <alignment vertical="center"/>
    </xf>
    <xf numFmtId="0" fontId="64" fillId="12" borderId="33" xfId="0" applyFont="1" applyFill="1" applyBorder="1" applyAlignment="1">
      <alignment vertical="center"/>
    </xf>
    <xf numFmtId="0" fontId="4" fillId="2" borderId="33" xfId="0" applyFont="1" applyFill="1" applyBorder="1" applyAlignment="1">
      <alignment vertical="center"/>
    </xf>
    <xf numFmtId="0" fontId="5" fillId="0" borderId="1" xfId="0" applyFont="1" applyBorder="1"/>
    <xf numFmtId="0" fontId="5" fillId="0" borderId="4" xfId="0" applyFont="1" applyBorder="1"/>
    <xf numFmtId="0" fontId="5" fillId="0" borderId="1" xfId="0" applyFont="1" applyBorder="1" applyAlignment="1">
      <alignment vertical="center"/>
    </xf>
    <xf numFmtId="0" fontId="5" fillId="0" borderId="4" xfId="0" applyFont="1" applyBorder="1" applyAlignment="1">
      <alignment horizontal="left" vertical="center"/>
    </xf>
    <xf numFmtId="176" fontId="4" fillId="2" borderId="7" xfId="0" applyNumberFormat="1" applyFont="1" applyFill="1" applyBorder="1" applyAlignment="1">
      <alignment horizontal="left" vertical="center"/>
    </xf>
    <xf numFmtId="0" fontId="12" fillId="7" borderId="0" xfId="0" applyFont="1" applyFill="1" applyAlignment="1">
      <alignment vertical="center"/>
    </xf>
    <xf numFmtId="0" fontId="12" fillId="7" borderId="28" xfId="0" applyFont="1" applyFill="1" applyBorder="1" applyAlignment="1">
      <alignment vertical="center"/>
    </xf>
    <xf numFmtId="0" fontId="73" fillId="0" borderId="54" xfId="0" applyFont="1" applyBorder="1" applyAlignment="1">
      <alignment vertical="center"/>
    </xf>
    <xf numFmtId="0" fontId="12" fillId="7" borderId="17" xfId="0" applyFont="1" applyFill="1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83" fillId="24" borderId="6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left" vertical="center"/>
    </xf>
    <xf numFmtId="0" fontId="4" fillId="2" borderId="31" xfId="0" applyFont="1" applyFill="1" applyBorder="1" applyAlignment="1">
      <alignment horizontal="left" vertical="center"/>
    </xf>
    <xf numFmtId="0" fontId="73" fillId="0" borderId="0" xfId="0" applyFont="1" applyAlignment="1">
      <alignment vertical="center"/>
    </xf>
    <xf numFmtId="176" fontId="71" fillId="2" borderId="4" xfId="0" applyNumberFormat="1" applyFont="1" applyFill="1" applyBorder="1" applyAlignment="1">
      <alignment horizontal="left" vertical="center"/>
    </xf>
    <xf numFmtId="178" fontId="71" fillId="2" borderId="4" xfId="0" applyNumberFormat="1" applyFont="1" applyFill="1" applyBorder="1" applyAlignment="1">
      <alignment horizontal="left" vertical="center"/>
    </xf>
    <xf numFmtId="0" fontId="12" fillId="5" borderId="1" xfId="0" applyFont="1" applyFill="1" applyBorder="1" applyAlignment="1">
      <alignment horizontal="left" vertical="center"/>
    </xf>
    <xf numFmtId="0" fontId="11" fillId="11" borderId="28" xfId="0" applyFont="1" applyFill="1" applyBorder="1" applyAlignment="1">
      <alignment horizontal="center" vertical="center"/>
    </xf>
    <xf numFmtId="0" fontId="11" fillId="11" borderId="30" xfId="0" applyFont="1" applyFill="1" applyBorder="1" applyAlignment="1">
      <alignment horizontal="left" vertical="center"/>
    </xf>
    <xf numFmtId="0" fontId="12" fillId="0" borderId="29" xfId="0" applyFont="1" applyBorder="1" applyAlignment="1">
      <alignment vertical="center"/>
    </xf>
    <xf numFmtId="176" fontId="4" fillId="2" borderId="4" xfId="0" applyNumberFormat="1" applyFont="1" applyFill="1" applyBorder="1" applyAlignment="1">
      <alignment vertical="center" wrapText="1"/>
    </xf>
    <xf numFmtId="176" fontId="4" fillId="2" borderId="5" xfId="0" applyNumberFormat="1" applyFont="1" applyFill="1" applyBorder="1" applyAlignment="1">
      <alignment vertical="center" wrapText="1"/>
    </xf>
    <xf numFmtId="0" fontId="5" fillId="0" borderId="15" xfId="0" applyFont="1" applyBorder="1" applyAlignment="1">
      <alignment horizontal="left" vertical="center"/>
    </xf>
    <xf numFmtId="0" fontId="70" fillId="12" borderId="33" xfId="0" applyFont="1" applyFill="1" applyBorder="1" applyAlignment="1">
      <alignment vertical="center"/>
    </xf>
    <xf numFmtId="178" fontId="71" fillId="2" borderId="34" xfId="0" applyNumberFormat="1" applyFont="1" applyFill="1" applyBorder="1" applyAlignment="1">
      <alignment horizontal="left" vertical="center"/>
    </xf>
    <xf numFmtId="176" fontId="34" fillId="2" borderId="4" xfId="0" applyNumberFormat="1" applyFont="1" applyFill="1" applyBorder="1" applyAlignment="1">
      <alignment horizontal="left" vertical="center"/>
    </xf>
    <xf numFmtId="0" fontId="19" fillId="0" borderId="6" xfId="0" applyFont="1" applyBorder="1" applyAlignment="1">
      <alignment horizontal="center" vertical="center"/>
    </xf>
    <xf numFmtId="0" fontId="25" fillId="4" borderId="4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vertical="center"/>
    </xf>
    <xf numFmtId="0" fontId="3" fillId="6" borderId="19" xfId="0" applyFont="1" applyFill="1" applyBorder="1" applyAlignment="1">
      <alignment vertical="center"/>
    </xf>
    <xf numFmtId="0" fontId="4" fillId="2" borderId="3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99" fillId="13" borderId="21" xfId="0" applyFont="1" applyFill="1" applyBorder="1" applyAlignment="1">
      <alignment horizontal="center" vertical="center" wrapText="1"/>
    </xf>
    <xf numFmtId="0" fontId="100" fillId="20" borderId="22" xfId="0" applyFont="1" applyFill="1" applyBorder="1" applyAlignment="1">
      <alignment horizontal="center" vertical="center" wrapText="1"/>
    </xf>
    <xf numFmtId="0" fontId="100" fillId="20" borderId="75" xfId="0" applyFont="1" applyFill="1" applyBorder="1" applyAlignment="1">
      <alignment horizontal="center" vertical="center" wrapText="1"/>
    </xf>
    <xf numFmtId="0" fontId="0" fillId="20" borderId="75" xfId="0" applyFill="1" applyBorder="1" applyAlignment="1">
      <alignment vertical="center" wrapText="1"/>
    </xf>
    <xf numFmtId="0" fontId="0" fillId="20" borderId="76" xfId="0" applyFill="1" applyBorder="1" applyAlignment="1">
      <alignment vertical="center" wrapText="1"/>
    </xf>
    <xf numFmtId="0" fontId="12" fillId="0" borderId="24" xfId="0" applyFont="1" applyBorder="1" applyAlignment="1">
      <alignment vertical="center" wrapText="1"/>
    </xf>
    <xf numFmtId="0" fontId="12" fillId="0" borderId="37" xfId="0" applyFont="1" applyBorder="1" applyAlignment="1">
      <alignment vertical="center" wrapText="1"/>
    </xf>
    <xf numFmtId="0" fontId="12" fillId="0" borderId="36" xfId="0" applyFont="1" applyBorder="1" applyAlignment="1">
      <alignment vertical="center" wrapText="1"/>
    </xf>
    <xf numFmtId="0" fontId="23" fillId="0" borderId="24" xfId="0" applyFont="1" applyBorder="1" applyAlignment="1">
      <alignment vertical="center" wrapText="1"/>
    </xf>
    <xf numFmtId="0" fontId="23" fillId="0" borderId="37" xfId="0" applyFont="1" applyBorder="1" applyAlignment="1">
      <alignment vertical="center" wrapText="1"/>
    </xf>
    <xf numFmtId="0" fontId="23" fillId="0" borderId="36" xfId="0" applyFont="1" applyBorder="1" applyAlignment="1">
      <alignment vertical="center" wrapText="1"/>
    </xf>
    <xf numFmtId="0" fontId="99" fillId="13" borderId="24" xfId="0" applyFont="1" applyFill="1" applyBorder="1" applyAlignment="1">
      <alignment vertical="center" wrapText="1"/>
    </xf>
    <xf numFmtId="0" fontId="99" fillId="13" borderId="37" xfId="0" applyFont="1" applyFill="1" applyBorder="1" applyAlignment="1">
      <alignment vertical="center" wrapText="1"/>
    </xf>
    <xf numFmtId="0" fontId="99" fillId="13" borderId="36" xfId="0" applyFont="1" applyFill="1" applyBorder="1" applyAlignment="1">
      <alignment vertical="center" wrapText="1"/>
    </xf>
    <xf numFmtId="0" fontId="99" fillId="20" borderId="24" xfId="0" applyFont="1" applyFill="1" applyBorder="1" applyAlignment="1">
      <alignment vertical="center" wrapText="1"/>
    </xf>
    <xf numFmtId="0" fontId="99" fillId="20" borderId="36" xfId="0" applyFont="1" applyFill="1" applyBorder="1" applyAlignment="1">
      <alignment vertical="center" wrapText="1"/>
    </xf>
    <xf numFmtId="0" fontId="12" fillId="0" borderId="21" xfId="0" applyFont="1" applyBorder="1" applyAlignment="1">
      <alignment vertical="center" wrapText="1"/>
    </xf>
    <xf numFmtId="0" fontId="23" fillId="0" borderId="21" xfId="0" applyFont="1" applyBorder="1" applyAlignment="1">
      <alignment vertical="center" wrapText="1"/>
    </xf>
    <xf numFmtId="0" fontId="99" fillId="13" borderId="21" xfId="0" applyFont="1" applyFill="1" applyBorder="1" applyAlignment="1">
      <alignment vertical="center" wrapText="1"/>
    </xf>
    <xf numFmtId="0" fontId="64" fillId="12" borderId="4" xfId="0" applyFont="1" applyFill="1" applyBorder="1" applyAlignment="1">
      <alignment horizontal="left" vertical="center"/>
    </xf>
    <xf numFmtId="0" fontId="64" fillId="12" borderId="34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64" fillId="12" borderId="32" xfId="0" applyFont="1" applyFill="1" applyBorder="1" applyAlignment="1">
      <alignment horizontal="left" vertical="center"/>
    </xf>
    <xf numFmtId="0" fontId="11" fillId="11" borderId="78" xfId="0" applyFont="1" applyFill="1" applyBorder="1" applyAlignment="1">
      <alignment horizontal="center" vertical="center"/>
    </xf>
    <xf numFmtId="0" fontId="11" fillId="11" borderId="65" xfId="0" applyFont="1" applyFill="1" applyBorder="1" applyAlignment="1">
      <alignment horizontal="center" vertical="center"/>
    </xf>
    <xf numFmtId="0" fontId="11" fillId="11" borderId="30" xfId="0" applyFont="1" applyFill="1" applyBorder="1" applyAlignment="1">
      <alignment horizontal="center" vertical="center"/>
    </xf>
    <xf numFmtId="0" fontId="4" fillId="2" borderId="77" xfId="0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53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5" fillId="0" borderId="15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176" fontId="4" fillId="2" borderId="58" xfId="0" applyNumberFormat="1" applyFont="1" applyFill="1" applyBorder="1" applyAlignment="1">
      <alignment horizontal="center" vertical="center"/>
    </xf>
    <xf numFmtId="0" fontId="102" fillId="7" borderId="0" xfId="0" applyFont="1" applyFill="1" applyAlignment="1">
      <alignment vertical="center"/>
    </xf>
    <xf numFmtId="0" fontId="75" fillId="0" borderId="1" xfId="0" applyFont="1" applyBorder="1" applyAlignment="1">
      <alignment vertical="center"/>
    </xf>
    <xf numFmtId="0" fontId="75" fillId="0" borderId="3" xfId="0" applyFont="1" applyBorder="1" applyAlignment="1">
      <alignment vertical="center"/>
    </xf>
    <xf numFmtId="0" fontId="5" fillId="0" borderId="62" xfId="0" applyFont="1" applyBorder="1" applyAlignment="1">
      <alignment horizontal="center" vertical="center"/>
    </xf>
    <xf numFmtId="0" fontId="104" fillId="0" borderId="27" xfId="0" applyFont="1" applyBorder="1" applyAlignment="1">
      <alignment horizontal="center" vertical="center"/>
    </xf>
    <xf numFmtId="0" fontId="5" fillId="17" borderId="62" xfId="0" applyFont="1" applyFill="1" applyBorder="1" applyAlignment="1">
      <alignment horizontal="center" vertical="center"/>
    </xf>
    <xf numFmtId="0" fontId="105" fillId="26" borderId="27" xfId="3" applyFont="1" applyBorder="1" applyAlignment="1">
      <alignment horizontal="center" vertical="center"/>
    </xf>
    <xf numFmtId="0" fontId="12" fillId="0" borderId="32" xfId="0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72" fillId="27" borderId="51" xfId="0" applyFont="1" applyFill="1" applyBorder="1" applyAlignment="1">
      <alignment horizontal="center" vertical="center"/>
    </xf>
    <xf numFmtId="0" fontId="72" fillId="27" borderId="54" xfId="0" applyFont="1" applyFill="1" applyBorder="1" applyAlignment="1">
      <alignment horizontal="center" vertical="center"/>
    </xf>
    <xf numFmtId="0" fontId="72" fillId="27" borderId="86" xfId="0" applyFont="1" applyFill="1" applyBorder="1" applyAlignment="1">
      <alignment horizontal="center" vertical="center"/>
    </xf>
    <xf numFmtId="0" fontId="72" fillId="27" borderId="66" xfId="0" applyFont="1" applyFill="1" applyBorder="1" applyAlignment="1">
      <alignment horizontal="center" vertical="center"/>
    </xf>
    <xf numFmtId="0" fontId="72" fillId="24" borderId="55" xfId="0" applyFont="1" applyFill="1" applyBorder="1" applyAlignment="1">
      <alignment vertical="center"/>
    </xf>
    <xf numFmtId="0" fontId="72" fillId="24" borderId="17" xfId="0" applyFont="1" applyFill="1" applyBorder="1" applyAlignment="1">
      <alignment vertical="center"/>
    </xf>
    <xf numFmtId="0" fontId="83" fillId="24" borderId="86" xfId="0" applyFont="1" applyFill="1" applyBorder="1" applyAlignment="1">
      <alignment horizontal="center" vertical="center"/>
    </xf>
    <xf numFmtId="176" fontId="113" fillId="2" borderId="1" xfId="0" applyNumberFormat="1" applyFont="1" applyFill="1" applyBorder="1" applyAlignment="1">
      <alignment horizontal="left" vertical="center"/>
    </xf>
    <xf numFmtId="0" fontId="112" fillId="12" borderId="1" xfId="0" applyFont="1" applyFill="1" applyBorder="1" applyAlignment="1">
      <alignment vertical="center"/>
    </xf>
    <xf numFmtId="0" fontId="42" fillId="12" borderId="1" xfId="0" applyFont="1" applyFill="1" applyBorder="1" applyAlignment="1">
      <alignment vertical="center"/>
    </xf>
    <xf numFmtId="0" fontId="11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70" fillId="12" borderId="6" xfId="0" applyFont="1" applyFill="1" applyBorder="1" applyAlignment="1">
      <alignment vertical="center"/>
    </xf>
    <xf numFmtId="176" fontId="71" fillId="2" borderId="16" xfId="0" applyNumberFormat="1" applyFont="1" applyFill="1" applyBorder="1" applyAlignment="1">
      <alignment horizontal="left" vertical="center"/>
    </xf>
    <xf numFmtId="0" fontId="89" fillId="12" borderId="6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5" fillId="7" borderId="0" xfId="0" applyFont="1" applyFill="1" applyAlignment="1">
      <alignment vertical="center"/>
    </xf>
    <xf numFmtId="0" fontId="13" fillId="7" borderId="12" xfId="0" applyFont="1" applyFill="1" applyBorder="1"/>
    <xf numFmtId="0" fontId="13" fillId="7" borderId="15" xfId="0" applyFont="1" applyFill="1" applyBorder="1"/>
    <xf numFmtId="0" fontId="1" fillId="8" borderId="9" xfId="0" applyFont="1" applyFill="1" applyBorder="1" applyAlignment="1">
      <alignment vertical="center"/>
    </xf>
    <xf numFmtId="0" fontId="1" fillId="8" borderId="8" xfId="0" applyFont="1" applyFill="1" applyBorder="1" applyAlignment="1">
      <alignment vertical="center"/>
    </xf>
    <xf numFmtId="0" fontId="1" fillId="8" borderId="19" xfId="0" applyFont="1" applyFill="1" applyBorder="1" applyAlignment="1">
      <alignment vertical="center"/>
    </xf>
    <xf numFmtId="0" fontId="1" fillId="8" borderId="13" xfId="0" applyFont="1" applyFill="1" applyBorder="1" applyAlignment="1">
      <alignment vertical="center"/>
    </xf>
    <xf numFmtId="0" fontId="1" fillId="8" borderId="10" xfId="0" applyFont="1" applyFill="1" applyBorder="1" applyAlignment="1">
      <alignment vertical="center"/>
    </xf>
    <xf numFmtId="0" fontId="1" fillId="8" borderId="18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0" fontId="2" fillId="8" borderId="10" xfId="0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12" fillId="7" borderId="0" xfId="0" applyFont="1" applyFill="1"/>
    <xf numFmtId="0" fontId="114" fillId="12" borderId="3" xfId="0" applyFont="1" applyFill="1" applyBorder="1" applyAlignment="1">
      <alignment vertical="center"/>
    </xf>
    <xf numFmtId="0" fontId="4" fillId="8" borderId="0" xfId="0" applyFont="1" applyFill="1" applyAlignment="1">
      <alignment horizontal="left" vertical="center"/>
    </xf>
    <xf numFmtId="0" fontId="12" fillId="7" borderId="29" xfId="0" applyFont="1" applyFill="1" applyBorder="1" applyAlignment="1">
      <alignment vertical="center"/>
    </xf>
    <xf numFmtId="0" fontId="114" fillId="12" borderId="1" xfId="0" applyFont="1" applyFill="1" applyBorder="1" applyAlignment="1">
      <alignment vertical="center"/>
    </xf>
    <xf numFmtId="0" fontId="5" fillId="0" borderId="87" xfId="0" applyFont="1" applyBorder="1" applyAlignment="1">
      <alignment vertical="center"/>
    </xf>
    <xf numFmtId="0" fontId="5" fillId="0" borderId="27" xfId="0" applyFont="1" applyBorder="1" applyAlignment="1">
      <alignment vertical="center"/>
    </xf>
    <xf numFmtId="0" fontId="4" fillId="2" borderId="27" xfId="0" applyFont="1" applyFill="1" applyBorder="1" applyAlignment="1">
      <alignment horizontal="left" vertical="center"/>
    </xf>
    <xf numFmtId="0" fontId="4" fillId="2" borderId="87" xfId="0" applyFont="1" applyFill="1" applyBorder="1" applyAlignment="1">
      <alignment horizontal="left" vertical="center"/>
    </xf>
    <xf numFmtId="0" fontId="5" fillId="7" borderId="27" xfId="0" applyFont="1" applyFill="1" applyBorder="1" applyAlignment="1">
      <alignment vertical="center"/>
    </xf>
    <xf numFmtId="0" fontId="4" fillId="8" borderId="27" xfId="0" applyFont="1" applyFill="1" applyBorder="1" applyAlignment="1">
      <alignment vertical="center"/>
    </xf>
    <xf numFmtId="0" fontId="5" fillId="7" borderId="87" xfId="0" applyFont="1" applyFill="1" applyBorder="1" applyAlignment="1">
      <alignment vertical="center"/>
    </xf>
    <xf numFmtId="0" fontId="4" fillId="8" borderId="87" xfId="0" applyFont="1" applyFill="1" applyBorder="1" applyAlignment="1">
      <alignment vertical="center"/>
    </xf>
    <xf numFmtId="0" fontId="75" fillId="0" borderId="1" xfId="0" applyFont="1" applyBorder="1" applyAlignment="1">
      <alignment vertical="center" wrapText="1"/>
    </xf>
    <xf numFmtId="0" fontId="119" fillId="24" borderId="51" xfId="0" applyFont="1" applyFill="1" applyBorder="1" applyAlignment="1">
      <alignment horizontal="center" vertical="center"/>
    </xf>
    <xf numFmtId="0" fontId="12" fillId="7" borderId="55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104" fillId="0" borderId="55" xfId="0" applyFont="1" applyBorder="1" applyAlignment="1">
      <alignment horizontal="center" vertical="center"/>
    </xf>
    <xf numFmtId="0" fontId="104" fillId="0" borderId="62" xfId="0" applyFont="1" applyBorder="1" applyAlignment="1">
      <alignment horizontal="center" vertical="center"/>
    </xf>
    <xf numFmtId="0" fontId="105" fillId="26" borderId="62" xfId="3" applyFont="1" applyBorder="1" applyAlignment="1">
      <alignment horizontal="center" vertical="center"/>
    </xf>
    <xf numFmtId="0" fontId="102" fillId="0" borderId="27" xfId="0" applyFont="1" applyBorder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64" fillId="12" borderId="3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0" fontId="64" fillId="12" borderId="31" xfId="0" applyFont="1" applyFill="1" applyBorder="1" applyAlignment="1">
      <alignment horizontal="left" vertical="center"/>
    </xf>
    <xf numFmtId="0" fontId="64" fillId="12" borderId="33" xfId="0" applyFont="1" applyFill="1" applyBorder="1" applyAlignment="1">
      <alignment horizontal="left" vertical="center"/>
    </xf>
    <xf numFmtId="0" fontId="66" fillId="25" borderId="27" xfId="0" applyFont="1" applyFill="1" applyBorder="1" applyAlignment="1">
      <alignment vertical="center"/>
    </xf>
    <xf numFmtId="0" fontId="12" fillId="0" borderId="27" xfId="0" applyFont="1" applyBorder="1" applyAlignment="1">
      <alignment vertical="center"/>
    </xf>
    <xf numFmtId="0" fontId="66" fillId="25" borderId="5" xfId="0" applyFont="1" applyFill="1" applyBorder="1" applyAlignment="1">
      <alignment vertical="center"/>
    </xf>
    <xf numFmtId="0" fontId="127" fillId="24" borderId="86" xfId="0" applyFont="1" applyFill="1" applyBorder="1" applyAlignment="1">
      <alignment horizontal="center" vertical="center"/>
    </xf>
    <xf numFmtId="0" fontId="129" fillId="0" borderId="27" xfId="0" applyFont="1" applyBorder="1" applyAlignment="1">
      <alignment horizontal="left" vertical="center" wrapText="1"/>
    </xf>
    <xf numFmtId="0" fontId="130" fillId="12" borderId="1" xfId="0" applyFont="1" applyFill="1" applyBorder="1" applyAlignment="1">
      <alignment vertical="center"/>
    </xf>
    <xf numFmtId="0" fontId="133" fillId="0" borderId="62" xfId="0" applyFont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7" fillId="7" borderId="1" xfId="0" applyFont="1" applyFill="1" applyBorder="1" applyAlignment="1">
      <alignment horizontal="center" vertical="center" wrapText="1"/>
    </xf>
    <xf numFmtId="0" fontId="115" fillId="7" borderId="62" xfId="0" applyFont="1" applyFill="1" applyBorder="1" applyAlignment="1">
      <alignment horizontal="center" vertical="center"/>
    </xf>
    <xf numFmtId="0" fontId="75" fillId="24" borderId="1" xfId="0" applyFont="1" applyFill="1" applyBorder="1" applyAlignment="1">
      <alignment vertical="center"/>
    </xf>
    <xf numFmtId="0" fontId="75" fillId="0" borderId="31" xfId="0" applyFont="1" applyBorder="1" applyAlignment="1">
      <alignment vertical="center"/>
    </xf>
    <xf numFmtId="0" fontId="12" fillId="0" borderId="87" xfId="0" applyFont="1" applyBorder="1" applyAlignment="1">
      <alignment vertical="center"/>
    </xf>
    <xf numFmtId="0" fontId="67" fillId="0" borderId="0" xfId="0" applyFont="1" applyAlignment="1">
      <alignment vertical="center"/>
    </xf>
    <xf numFmtId="0" fontId="139" fillId="0" borderId="0" xfId="0" applyFont="1" applyAlignment="1">
      <alignment vertical="center"/>
    </xf>
    <xf numFmtId="0" fontId="139" fillId="0" borderId="27" xfId="0" applyFont="1" applyBorder="1" applyAlignment="1">
      <alignment vertical="center"/>
    </xf>
    <xf numFmtId="0" fontId="72" fillId="27" borderId="88" xfId="0" applyFont="1" applyFill="1" applyBorder="1" applyAlignment="1">
      <alignment horizontal="center" vertical="center"/>
    </xf>
    <xf numFmtId="0" fontId="60" fillId="14" borderId="1" xfId="1" applyFont="1" applyBorder="1" applyAlignment="1">
      <alignment horizontal="left" vertical="center"/>
    </xf>
    <xf numFmtId="0" fontId="60" fillId="14" borderId="1" xfId="1" applyFont="1" applyBorder="1" applyAlignment="1">
      <alignment horizontal="left" vertical="center" wrapText="1"/>
    </xf>
    <xf numFmtId="0" fontId="37" fillId="7" borderId="1" xfId="2" applyFont="1" applyFill="1" applyBorder="1" applyAlignment="1">
      <alignment horizontal="left" vertical="center"/>
    </xf>
    <xf numFmtId="0" fontId="51" fillId="7" borderId="1" xfId="2" applyFont="1" applyFill="1" applyBorder="1" applyAlignment="1">
      <alignment horizontal="center" vertical="center"/>
    </xf>
    <xf numFmtId="0" fontId="37" fillId="7" borderId="1" xfId="2" applyFont="1" applyFill="1" applyBorder="1" applyAlignment="1">
      <alignment horizontal="left" vertical="center" wrapText="1"/>
    </xf>
    <xf numFmtId="0" fontId="37" fillId="0" borderId="1" xfId="2" applyFont="1" applyBorder="1" applyAlignment="1">
      <alignment horizontal="left" vertical="center" wrapText="1"/>
    </xf>
    <xf numFmtId="0" fontId="42" fillId="23" borderId="17" xfId="2" applyFont="1" applyFill="1" applyBorder="1" applyAlignment="1">
      <alignment horizontal="center" vertical="center" wrapText="1" shrinkToFit="1"/>
    </xf>
    <xf numFmtId="0" fontId="42" fillId="23" borderId="62" xfId="2" applyFont="1" applyFill="1" applyBorder="1" applyAlignment="1">
      <alignment horizontal="center" vertical="center" wrapText="1" shrinkToFit="1"/>
    </xf>
    <xf numFmtId="0" fontId="51" fillId="7" borderId="16" xfId="2" applyFont="1" applyFill="1" applyBorder="1" applyAlignment="1">
      <alignment horizontal="center" vertical="center"/>
    </xf>
    <xf numFmtId="0" fontId="51" fillId="7" borderId="58" xfId="2" applyFont="1" applyFill="1" applyBorder="1" applyAlignment="1">
      <alignment horizontal="center" vertical="center"/>
    </xf>
    <xf numFmtId="0" fontId="51" fillId="7" borderId="7" xfId="2" applyFont="1" applyFill="1" applyBorder="1" applyAlignment="1">
      <alignment horizontal="center" vertical="center"/>
    </xf>
    <xf numFmtId="0" fontId="51" fillId="7" borderId="62" xfId="2" applyFont="1" applyFill="1" applyBorder="1" applyAlignment="1">
      <alignment horizontal="center" vertical="center"/>
    </xf>
    <xf numFmtId="0" fontId="37" fillId="7" borderId="7" xfId="2" applyFont="1" applyFill="1" applyBorder="1" applyAlignment="1">
      <alignment horizontal="left" vertical="center"/>
    </xf>
    <xf numFmtId="0" fontId="37" fillId="7" borderId="27" xfId="2" applyFont="1" applyFill="1" applyBorder="1" applyAlignment="1">
      <alignment horizontal="left" vertical="center"/>
    </xf>
    <xf numFmtId="0" fontId="37" fillId="7" borderId="62" xfId="2" applyFont="1" applyFill="1" applyBorder="1" applyAlignment="1">
      <alignment horizontal="left" vertical="center"/>
    </xf>
    <xf numFmtId="0" fontId="37" fillId="7" borderId="3" xfId="2" applyFont="1" applyFill="1" applyBorder="1" applyAlignment="1">
      <alignment horizontal="left" vertical="center" wrapText="1"/>
    </xf>
    <xf numFmtId="0" fontId="37" fillId="0" borderId="3" xfId="2" applyFont="1" applyBorder="1" applyAlignment="1">
      <alignment horizontal="left" vertical="center" wrapText="1"/>
    </xf>
    <xf numFmtId="0" fontId="37" fillId="7" borderId="4" xfId="2" applyFont="1" applyFill="1" applyBorder="1" applyAlignment="1">
      <alignment horizontal="left" vertical="center"/>
    </xf>
    <xf numFmtId="0" fontId="37" fillId="7" borderId="5" xfId="2" applyFont="1" applyFill="1" applyBorder="1" applyAlignment="1">
      <alignment horizontal="left" vertical="center"/>
    </xf>
    <xf numFmtId="0" fontId="37" fillId="7" borderId="17" xfId="2" applyFont="1" applyFill="1" applyBorder="1" applyAlignment="1">
      <alignment horizontal="left" vertical="center"/>
    </xf>
    <xf numFmtId="0" fontId="53" fillId="7" borderId="16" xfId="2" applyFont="1" applyFill="1" applyBorder="1" applyAlignment="1">
      <alignment horizontal="center" vertical="center"/>
    </xf>
    <xf numFmtId="0" fontId="53" fillId="7" borderId="58" xfId="2" applyFont="1" applyFill="1" applyBorder="1" applyAlignment="1">
      <alignment horizontal="center" vertical="center"/>
    </xf>
    <xf numFmtId="0" fontId="53" fillId="7" borderId="7" xfId="2" applyFont="1" applyFill="1" applyBorder="1" applyAlignment="1">
      <alignment horizontal="center" vertical="center"/>
    </xf>
    <xf numFmtId="0" fontId="53" fillId="7" borderId="62" xfId="2" applyFont="1" applyFill="1" applyBorder="1" applyAlignment="1">
      <alignment horizontal="center" vertical="center"/>
    </xf>
    <xf numFmtId="0" fontId="30" fillId="17" borderId="1" xfId="2" applyFont="1" applyFill="1" applyBorder="1" applyAlignment="1">
      <alignment horizontal="left" vertical="center"/>
    </xf>
    <xf numFmtId="0" fontId="59" fillId="17" borderId="1" xfId="2" applyFont="1" applyFill="1" applyBorder="1" applyAlignment="1">
      <alignment horizontal="center" vertical="center"/>
    </xf>
    <xf numFmtId="0" fontId="30" fillId="17" borderId="1" xfId="2" applyFont="1" applyFill="1" applyBorder="1" applyAlignment="1">
      <alignment horizontal="left" vertical="center" wrapText="1"/>
    </xf>
    <xf numFmtId="0" fontId="60" fillId="14" borderId="16" xfId="1" applyFont="1" applyBorder="1" applyAlignment="1">
      <alignment horizontal="center" vertical="center"/>
    </xf>
    <xf numFmtId="0" fontId="60" fillId="14" borderId="58" xfId="1" applyFont="1" applyBorder="1" applyAlignment="1">
      <alignment horizontal="center" vertical="center"/>
    </xf>
    <xf numFmtId="0" fontId="60" fillId="14" borderId="29" xfId="1" applyFont="1" applyBorder="1" applyAlignment="1">
      <alignment horizontal="center" vertical="center"/>
    </xf>
    <xf numFmtId="0" fontId="60" fillId="14" borderId="67" xfId="1" applyFont="1" applyBorder="1" applyAlignment="1">
      <alignment horizontal="center" vertical="center"/>
    </xf>
    <xf numFmtId="0" fontId="60" fillId="14" borderId="7" xfId="1" applyFont="1" applyBorder="1" applyAlignment="1">
      <alignment horizontal="center" vertical="center"/>
    </xf>
    <xf numFmtId="0" fontId="60" fillId="14" borderId="62" xfId="1" applyFont="1" applyBorder="1" applyAlignment="1">
      <alignment horizontal="center" vertical="center"/>
    </xf>
    <xf numFmtId="0" fontId="53" fillId="7" borderId="1" xfId="2" applyFont="1" applyFill="1" applyBorder="1" applyAlignment="1">
      <alignment horizontal="left" vertical="center" wrapText="1"/>
    </xf>
    <xf numFmtId="0" fontId="53" fillId="0" borderId="1" xfId="2" applyFont="1" applyBorder="1" applyAlignment="1">
      <alignment horizontal="left" vertical="center" wrapText="1"/>
    </xf>
    <xf numFmtId="0" fontId="37" fillId="7" borderId="1" xfId="2" applyFont="1" applyFill="1" applyBorder="1" applyAlignment="1">
      <alignment horizontal="center" vertical="center" wrapText="1"/>
    </xf>
    <xf numFmtId="0" fontId="37" fillId="7" borderId="1" xfId="2" applyFont="1" applyFill="1" applyBorder="1" applyAlignment="1">
      <alignment horizontal="center" vertical="center"/>
    </xf>
    <xf numFmtId="0" fontId="46" fillId="19" borderId="72" xfId="2" applyFont="1" applyFill="1" applyBorder="1" applyAlignment="1">
      <alignment horizontal="center" vertical="center"/>
    </xf>
    <xf numFmtId="0" fontId="46" fillId="19" borderId="73" xfId="2" applyFont="1" applyFill="1" applyBorder="1" applyAlignment="1">
      <alignment horizontal="center" vertical="center"/>
    </xf>
    <xf numFmtId="0" fontId="46" fillId="19" borderId="74" xfId="2" applyFont="1" applyFill="1" applyBorder="1" applyAlignment="1">
      <alignment horizontal="center" vertical="center"/>
    </xf>
    <xf numFmtId="0" fontId="42" fillId="23" borderId="17" xfId="2" applyFont="1" applyFill="1" applyBorder="1" applyAlignment="1">
      <alignment horizontal="center" vertical="center" shrinkToFit="1"/>
    </xf>
    <xf numFmtId="0" fontId="37" fillId="7" borderId="6" xfId="2" applyFont="1" applyFill="1" applyBorder="1" applyAlignment="1">
      <alignment horizontal="center" vertical="center"/>
    </xf>
    <xf numFmtId="0" fontId="37" fillId="7" borderId="14" xfId="2" applyFont="1" applyFill="1" applyBorder="1" applyAlignment="1">
      <alignment horizontal="center" vertical="center"/>
    </xf>
    <xf numFmtId="0" fontId="37" fillId="7" borderId="3" xfId="2" applyFont="1" applyFill="1" applyBorder="1" applyAlignment="1">
      <alignment horizontal="center" vertical="center"/>
    </xf>
    <xf numFmtId="0" fontId="30" fillId="19" borderId="1" xfId="2" applyFont="1" applyFill="1" applyBorder="1" applyAlignment="1">
      <alignment horizontal="left" vertical="center" shrinkToFit="1"/>
    </xf>
    <xf numFmtId="0" fontId="51" fillId="7" borderId="29" xfId="2" applyFont="1" applyFill="1" applyBorder="1" applyAlignment="1">
      <alignment horizontal="center" vertical="center"/>
    </xf>
    <xf numFmtId="0" fontId="51" fillId="7" borderId="67" xfId="2" applyFont="1" applyFill="1" applyBorder="1" applyAlignment="1">
      <alignment horizontal="center" vertical="center"/>
    </xf>
    <xf numFmtId="0" fontId="62" fillId="14" borderId="1" xfId="1" applyFont="1" applyBorder="1" applyAlignment="1">
      <alignment horizontal="left" vertical="center"/>
    </xf>
    <xf numFmtId="0" fontId="63" fillId="14" borderId="16" xfId="1" applyFont="1" applyBorder="1" applyAlignment="1">
      <alignment horizontal="center" vertical="center"/>
    </xf>
    <xf numFmtId="0" fontId="62" fillId="14" borderId="58" xfId="1" applyFont="1" applyBorder="1" applyAlignment="1">
      <alignment horizontal="center" vertical="center"/>
    </xf>
    <xf numFmtId="0" fontId="62" fillId="14" borderId="7" xfId="1" applyFont="1" applyBorder="1" applyAlignment="1">
      <alignment horizontal="center" vertical="center"/>
    </xf>
    <xf numFmtId="0" fontId="62" fillId="14" borderId="62" xfId="1" applyFont="1" applyBorder="1" applyAlignment="1">
      <alignment horizontal="center" vertical="center"/>
    </xf>
    <xf numFmtId="0" fontId="62" fillId="14" borderId="1" xfId="1" applyFont="1" applyBorder="1" applyAlignment="1">
      <alignment horizontal="left" vertical="center" wrapText="1"/>
    </xf>
    <xf numFmtId="0" fontId="41" fillId="0" borderId="24" xfId="2" applyFont="1" applyBorder="1" applyAlignment="1">
      <alignment horizontal="center" vertical="center"/>
    </xf>
    <xf numFmtId="0" fontId="41" fillId="0" borderId="36" xfId="2" applyFont="1" applyBorder="1" applyAlignment="1">
      <alignment horizontal="center" vertical="center"/>
    </xf>
    <xf numFmtId="0" fontId="41" fillId="0" borderId="38" xfId="2" applyFont="1" applyBorder="1" applyAlignment="1">
      <alignment horizontal="justify" vertical="center"/>
    </xf>
    <xf numFmtId="0" fontId="41" fillId="0" borderId="35" xfId="2" applyFont="1" applyBorder="1" applyAlignment="1">
      <alignment horizontal="justify" vertical="center"/>
    </xf>
    <xf numFmtId="0" fontId="37" fillId="7" borderId="16" xfId="2" applyFont="1" applyFill="1" applyBorder="1" applyAlignment="1">
      <alignment horizontal="center" vertical="center"/>
    </xf>
    <xf numFmtId="0" fontId="37" fillId="7" borderId="58" xfId="2" applyFont="1" applyFill="1" applyBorder="1" applyAlignment="1">
      <alignment horizontal="center" vertical="center"/>
    </xf>
    <xf numFmtId="0" fontId="37" fillId="7" borderId="29" xfId="2" applyFont="1" applyFill="1" applyBorder="1" applyAlignment="1">
      <alignment horizontal="center" vertical="center"/>
    </xf>
    <xf numFmtId="0" fontId="37" fillId="7" borderId="67" xfId="2" applyFont="1" applyFill="1" applyBorder="1" applyAlignment="1">
      <alignment horizontal="center" vertical="center"/>
    </xf>
    <xf numFmtId="0" fontId="37" fillId="7" borderId="7" xfId="2" applyFont="1" applyFill="1" applyBorder="1" applyAlignment="1">
      <alignment horizontal="center" vertical="center"/>
    </xf>
    <xf numFmtId="0" fontId="37" fillId="7" borderId="62" xfId="2" applyFont="1" applyFill="1" applyBorder="1" applyAlignment="1">
      <alignment horizontal="center" vertical="center"/>
    </xf>
    <xf numFmtId="0" fontId="55" fillId="0" borderId="46" xfId="2" applyFont="1" applyBorder="1" applyAlignment="1">
      <alignment horizontal="justify" vertical="center"/>
    </xf>
    <xf numFmtId="0" fontId="55" fillId="0" borderId="25" xfId="2" applyFont="1" applyBorder="1" applyAlignment="1">
      <alignment horizontal="justify" vertical="center"/>
    </xf>
    <xf numFmtId="0" fontId="55" fillId="0" borderId="38" xfId="2" applyFont="1" applyBorder="1" applyAlignment="1">
      <alignment horizontal="justify" vertical="center"/>
    </xf>
    <xf numFmtId="0" fontId="55" fillId="0" borderId="35" xfId="2" applyFont="1" applyBorder="1" applyAlignment="1">
      <alignment horizontal="justify" vertical="center"/>
    </xf>
    <xf numFmtId="0" fontId="56" fillId="0" borderId="24" xfId="2" applyFont="1" applyBorder="1" applyAlignment="1">
      <alignment horizontal="justify" vertical="center"/>
    </xf>
    <xf numFmtId="0" fontId="56" fillId="0" borderId="36" xfId="2" applyFont="1" applyBorder="1" applyAlignment="1">
      <alignment horizontal="justify" vertical="center"/>
    </xf>
    <xf numFmtId="0" fontId="56" fillId="0" borderId="37" xfId="2" applyFont="1" applyBorder="1" applyAlignment="1">
      <alignment horizontal="justify" vertical="center"/>
    </xf>
    <xf numFmtId="0" fontId="58" fillId="0" borderId="37" xfId="2" applyFont="1" applyBorder="1" applyAlignment="1">
      <alignment horizontal="left" vertical="center"/>
    </xf>
    <xf numFmtId="0" fontId="41" fillId="0" borderId="37" xfId="2" applyFont="1" applyBorder="1" applyAlignment="1">
      <alignment horizontal="center" vertical="center"/>
    </xf>
    <xf numFmtId="0" fontId="41" fillId="0" borderId="50" xfId="2" applyFont="1" applyBorder="1" applyAlignment="1">
      <alignment horizontal="justify" vertical="center"/>
    </xf>
    <xf numFmtId="0" fontId="41" fillId="0" borderId="0" xfId="2" applyFont="1" applyAlignment="1">
      <alignment horizontal="justify" vertical="center"/>
    </xf>
    <xf numFmtId="0" fontId="44" fillId="0" borderId="46" xfId="2" applyFont="1" applyBorder="1" applyAlignment="1">
      <alignment horizontal="center" vertical="center" wrapText="1"/>
    </xf>
    <xf numFmtId="0" fontId="44" fillId="0" borderId="25" xfId="2" applyFont="1" applyBorder="1" applyAlignment="1">
      <alignment horizontal="center" vertical="center" wrapText="1"/>
    </xf>
    <xf numFmtId="0" fontId="44" fillId="0" borderId="47" xfId="2" applyFont="1" applyBorder="1" applyAlignment="1">
      <alignment horizontal="center" vertical="center" wrapText="1"/>
    </xf>
    <xf numFmtId="0" fontId="44" fillId="0" borderId="38" xfId="2" applyFont="1" applyBorder="1" applyAlignment="1">
      <alignment horizontal="center" vertical="center" wrapText="1"/>
    </xf>
    <xf numFmtId="0" fontId="44" fillId="0" borderId="35" xfId="2" applyFont="1" applyBorder="1" applyAlignment="1">
      <alignment horizontal="center" vertical="center" wrapText="1"/>
    </xf>
    <xf numFmtId="0" fontId="44" fillId="0" borderId="48" xfId="2" applyFont="1" applyBorder="1" applyAlignment="1">
      <alignment horizontal="center" vertical="center" wrapText="1"/>
    </xf>
    <xf numFmtId="0" fontId="50" fillId="22" borderId="39" xfId="2" applyFont="1" applyFill="1" applyBorder="1" applyAlignment="1">
      <alignment horizontal="center" vertical="center" textRotation="255"/>
    </xf>
    <xf numFmtId="0" fontId="50" fillId="22" borderId="14" xfId="2" applyFont="1" applyFill="1" applyBorder="1" applyAlignment="1">
      <alignment horizontal="center" vertical="center" textRotation="255"/>
    </xf>
    <xf numFmtId="0" fontId="50" fillId="22" borderId="3" xfId="2" applyFont="1" applyFill="1" applyBorder="1" applyAlignment="1">
      <alignment horizontal="center" vertical="center" textRotation="255"/>
    </xf>
    <xf numFmtId="0" fontId="42" fillId="23" borderId="67" xfId="2" applyFont="1" applyFill="1" applyBorder="1" applyAlignment="1">
      <alignment horizontal="center" vertical="center" wrapText="1" shrinkToFit="1"/>
    </xf>
    <xf numFmtId="0" fontId="37" fillId="7" borderId="56" xfId="2" applyFont="1" applyFill="1" applyBorder="1" applyAlignment="1">
      <alignment horizontal="left" vertical="center"/>
    </xf>
    <xf numFmtId="0" fontId="37" fillId="7" borderId="52" xfId="2" applyFont="1" applyFill="1" applyBorder="1" applyAlignment="1">
      <alignment horizontal="left" vertical="center"/>
    </xf>
    <xf numFmtId="0" fontId="37" fillId="7" borderId="68" xfId="2" applyFont="1" applyFill="1" applyBorder="1" applyAlignment="1">
      <alignment horizontal="left" vertical="center"/>
    </xf>
    <xf numFmtId="0" fontId="51" fillId="7" borderId="56" xfId="2" applyFont="1" applyFill="1" applyBorder="1" applyAlignment="1">
      <alignment horizontal="center" vertical="center"/>
    </xf>
    <xf numFmtId="0" fontId="51" fillId="7" borderId="68" xfId="2" applyFont="1" applyFill="1" applyBorder="1" applyAlignment="1">
      <alignment horizontal="center" vertical="center"/>
    </xf>
    <xf numFmtId="0" fontId="37" fillId="7" borderId="14" xfId="2" applyFont="1" applyFill="1" applyBorder="1" applyAlignment="1">
      <alignment horizontal="left" vertical="center" wrapText="1"/>
    </xf>
    <xf numFmtId="0" fontId="37" fillId="0" borderId="14" xfId="2" applyFont="1" applyBorder="1" applyAlignment="1">
      <alignment horizontal="left" vertical="center" wrapText="1"/>
    </xf>
    <xf numFmtId="0" fontId="52" fillId="0" borderId="38" xfId="2" applyFont="1" applyBorder="1" applyAlignment="1">
      <alignment horizontal="center" vertical="center"/>
    </xf>
    <xf numFmtId="0" fontId="52" fillId="0" borderId="20" xfId="2" applyFont="1" applyBorder="1" applyAlignment="1">
      <alignment horizontal="center" vertical="center"/>
    </xf>
    <xf numFmtId="0" fontId="41" fillId="0" borderId="23" xfId="2" applyFont="1" applyBorder="1" applyAlignment="1">
      <alignment horizontal="center" vertical="center"/>
    </xf>
    <xf numFmtId="0" fontId="41" fillId="0" borderId="71" xfId="2" applyFont="1" applyBorder="1" applyAlignment="1">
      <alignment horizontal="center" vertical="center"/>
    </xf>
    <xf numFmtId="0" fontId="41" fillId="0" borderId="20" xfId="2" applyFont="1" applyBorder="1" applyAlignment="1">
      <alignment horizontal="center" vertical="center"/>
    </xf>
    <xf numFmtId="0" fontId="41" fillId="0" borderId="46" xfId="2" applyFont="1" applyBorder="1" applyAlignment="1">
      <alignment horizontal="justify" vertical="center"/>
    </xf>
    <xf numFmtId="0" fontId="41" fillId="0" borderId="25" xfId="2" applyFont="1" applyBorder="1" applyAlignment="1">
      <alignment horizontal="justify" vertical="center"/>
    </xf>
    <xf numFmtId="0" fontId="30" fillId="19" borderId="1" xfId="2" applyFont="1" applyFill="1" applyBorder="1" applyAlignment="1">
      <alignment horizontal="left" vertical="center"/>
    </xf>
    <xf numFmtId="0" fontId="39" fillId="18" borderId="28" xfId="2" applyFont="1" applyFill="1" applyBorder="1" applyAlignment="1">
      <alignment horizontal="center" vertical="center"/>
    </xf>
    <xf numFmtId="0" fontId="39" fillId="18" borderId="66" xfId="2" applyFont="1" applyFill="1" applyBorder="1" applyAlignment="1">
      <alignment horizontal="center" vertical="center"/>
    </xf>
    <xf numFmtId="0" fontId="41" fillId="0" borderId="46" xfId="2" applyFont="1" applyBorder="1" applyAlignment="1">
      <alignment horizontal="center" vertical="center"/>
    </xf>
    <xf numFmtId="0" fontId="41" fillId="0" borderId="38" xfId="2" applyFont="1" applyBorder="1" applyAlignment="1">
      <alignment horizontal="center" vertical="center"/>
    </xf>
    <xf numFmtId="0" fontId="35" fillId="17" borderId="16" xfId="2" applyFont="1" applyFill="1" applyBorder="1" applyAlignment="1">
      <alignment horizontal="center" vertical="center"/>
    </xf>
    <xf numFmtId="0" fontId="35" fillId="17" borderId="15" xfId="2" applyFont="1" applyFill="1" applyBorder="1" applyAlignment="1">
      <alignment horizontal="center" vertical="center"/>
    </xf>
    <xf numFmtId="0" fontId="35" fillId="17" borderId="58" xfId="2" applyFont="1" applyFill="1" applyBorder="1" applyAlignment="1">
      <alignment horizontal="center" vertical="center"/>
    </xf>
    <xf numFmtId="0" fontId="35" fillId="17" borderId="29" xfId="2" applyFont="1" applyFill="1" applyBorder="1" applyAlignment="1">
      <alignment horizontal="center" vertical="center"/>
    </xf>
    <xf numFmtId="0" fontId="35" fillId="17" borderId="27" xfId="2" applyFont="1" applyFill="1" applyBorder="1" applyAlignment="1">
      <alignment horizontal="center" vertical="center"/>
    </xf>
    <xf numFmtId="0" fontId="35" fillId="17" borderId="62" xfId="2" applyFont="1" applyFill="1" applyBorder="1" applyAlignment="1">
      <alignment horizontal="center" vertical="center"/>
    </xf>
    <xf numFmtId="0" fontId="46" fillId="19" borderId="59" xfId="2" applyFont="1" applyFill="1" applyBorder="1" applyAlignment="1">
      <alignment horizontal="center" vertical="center"/>
    </xf>
    <xf numFmtId="0" fontId="46" fillId="19" borderId="63" xfId="2" applyFont="1" applyFill="1" applyBorder="1" applyAlignment="1">
      <alignment horizontal="center" vertical="center"/>
    </xf>
    <xf numFmtId="0" fontId="46" fillId="19" borderId="69" xfId="2" applyFont="1" applyFill="1" applyBorder="1" applyAlignment="1">
      <alignment horizontal="center" vertical="center"/>
    </xf>
    <xf numFmtId="0" fontId="47" fillId="0" borderId="24" xfId="2" applyFont="1" applyBorder="1" applyAlignment="1">
      <alignment horizontal="center" vertical="center"/>
    </xf>
    <xf numFmtId="0" fontId="47" fillId="0" borderId="36" xfId="2" applyFont="1" applyBorder="1" applyAlignment="1">
      <alignment horizontal="center" vertical="center"/>
    </xf>
    <xf numFmtId="0" fontId="42" fillId="19" borderId="14" xfId="2" applyFont="1" applyFill="1" applyBorder="1" applyAlignment="1">
      <alignment horizontal="center" vertical="center"/>
    </xf>
    <xf numFmtId="0" fontId="42" fillId="19" borderId="3" xfId="2" applyFont="1" applyFill="1" applyBorder="1" applyAlignment="1">
      <alignment horizontal="center" vertical="center"/>
    </xf>
    <xf numFmtId="0" fontId="15" fillId="0" borderId="24" xfId="2" applyFont="1" applyBorder="1" applyAlignment="1">
      <alignment horizontal="justify" vertical="center" wrapText="1"/>
    </xf>
    <xf numFmtId="0" fontId="15" fillId="0" borderId="37" xfId="2" applyFont="1" applyBorder="1" applyAlignment="1">
      <alignment horizontal="justify" vertical="center" wrapText="1"/>
    </xf>
    <xf numFmtId="0" fontId="15" fillId="0" borderId="43" xfId="2" applyFont="1" applyBorder="1" applyAlignment="1">
      <alignment horizontal="justify" vertical="center" wrapText="1"/>
    </xf>
    <xf numFmtId="0" fontId="42" fillId="19" borderId="1" xfId="2" applyFont="1" applyFill="1" applyBorder="1" applyAlignment="1">
      <alignment horizontal="center" vertical="center"/>
    </xf>
    <xf numFmtId="0" fontId="15" fillId="0" borderId="46" xfId="2" applyFont="1" applyBorder="1" applyAlignment="1">
      <alignment horizontal="justify" vertical="center" wrapText="1"/>
    </xf>
    <xf numFmtId="0" fontId="15" fillId="0" borderId="25" xfId="2" applyFont="1" applyBorder="1" applyAlignment="1">
      <alignment horizontal="justify" vertical="center" wrapText="1"/>
    </xf>
    <xf numFmtId="0" fontId="15" fillId="0" borderId="47" xfId="2" applyFont="1" applyBorder="1" applyAlignment="1">
      <alignment horizontal="justify" vertical="center" wrapText="1"/>
    </xf>
    <xf numFmtId="0" fontId="44" fillId="0" borderId="24" xfId="2" applyFont="1" applyBorder="1" applyAlignment="1">
      <alignment horizontal="center" vertical="center" wrapText="1"/>
    </xf>
    <xf numFmtId="0" fontId="44" fillId="0" borderId="37" xfId="2" applyFont="1" applyBorder="1" applyAlignment="1">
      <alignment horizontal="center" vertical="center" wrapText="1"/>
    </xf>
    <xf numFmtId="0" fontId="44" fillId="0" borderId="43" xfId="2" applyFont="1" applyBorder="1" applyAlignment="1">
      <alignment horizontal="center" vertical="center" wrapText="1"/>
    </xf>
    <xf numFmtId="0" fontId="15" fillId="0" borderId="38" xfId="2" applyFont="1" applyBorder="1" applyAlignment="1">
      <alignment horizontal="justify" vertical="center" wrapText="1"/>
    </xf>
    <xf numFmtId="0" fontId="15" fillId="0" borderId="35" xfId="2" applyFont="1" applyBorder="1" applyAlignment="1">
      <alignment horizontal="justify" vertical="center" wrapText="1"/>
    </xf>
    <xf numFmtId="0" fontId="15" fillId="0" borderId="48" xfId="2" applyFont="1" applyBorder="1" applyAlignment="1">
      <alignment horizontal="justify" vertical="center" wrapText="1"/>
    </xf>
    <xf numFmtId="0" fontId="68" fillId="24" borderId="52" xfId="0" applyFont="1" applyFill="1" applyBorder="1" applyAlignment="1">
      <alignment horizontal="center" vertical="center"/>
    </xf>
    <xf numFmtId="0" fontId="68" fillId="24" borderId="68" xfId="0" applyFont="1" applyFill="1" applyBorder="1" applyAlignment="1">
      <alignment horizontal="center" vertical="center"/>
    </xf>
    <xf numFmtId="0" fontId="68" fillId="24" borderId="0" xfId="0" applyFont="1" applyFill="1" applyAlignment="1">
      <alignment horizontal="center" vertical="center"/>
    </xf>
    <xf numFmtId="0" fontId="68" fillId="24" borderId="67" xfId="0" applyFont="1" applyFill="1" applyBorder="1" applyAlignment="1">
      <alignment horizontal="center" vertical="center"/>
    </xf>
    <xf numFmtId="0" fontId="68" fillId="24" borderId="79" xfId="0" applyFont="1" applyFill="1" applyBorder="1" applyAlignment="1">
      <alignment horizontal="center" vertical="center"/>
    </xf>
    <xf numFmtId="0" fontId="68" fillId="24" borderId="80" xfId="0" applyFont="1" applyFill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85" fillId="9" borderId="0" xfId="0" applyFont="1" applyFill="1" applyAlignment="1">
      <alignment horizontal="center" vertical="center"/>
    </xf>
    <xf numFmtId="0" fontId="85" fillId="9" borderId="51" xfId="0" applyFont="1" applyFill="1" applyBorder="1" applyAlignment="1">
      <alignment horizontal="center" vertical="center"/>
    </xf>
    <xf numFmtId="0" fontId="4" fillId="2" borderId="5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77" xfId="0" applyFont="1" applyFill="1" applyBorder="1" applyAlignment="1">
      <alignment horizontal="center" vertical="center"/>
    </xf>
    <xf numFmtId="0" fontId="11" fillId="11" borderId="30" xfId="0" applyFont="1" applyFill="1" applyBorder="1" applyAlignment="1">
      <alignment horizontal="center" vertical="center"/>
    </xf>
    <xf numFmtId="0" fontId="11" fillId="11" borderId="7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80" fillId="9" borderId="0" xfId="0" applyFont="1" applyFill="1" applyAlignment="1">
      <alignment horizontal="center" vertical="center"/>
    </xf>
    <xf numFmtId="0" fontId="80" fillId="9" borderId="51" xfId="0" applyFont="1" applyFill="1" applyBorder="1" applyAlignment="1">
      <alignment horizontal="center" vertical="center"/>
    </xf>
    <xf numFmtId="0" fontId="79" fillId="18" borderId="51" xfId="0" applyFont="1" applyFill="1" applyBorder="1" applyAlignment="1">
      <alignment horizontal="center" vertical="center"/>
    </xf>
    <xf numFmtId="0" fontId="79" fillId="18" borderId="78" xfId="0" applyFont="1" applyFill="1" applyBorder="1" applyAlignment="1">
      <alignment horizontal="center" vertical="center"/>
    </xf>
    <xf numFmtId="0" fontId="85" fillId="9" borderId="78" xfId="0" applyFont="1" applyFill="1" applyBorder="1" applyAlignment="1">
      <alignment horizontal="center" vertical="center"/>
    </xf>
    <xf numFmtId="0" fontId="134" fillId="9" borderId="15" xfId="0" applyFont="1" applyFill="1" applyBorder="1" applyAlignment="1">
      <alignment horizontal="center" vertical="center"/>
    </xf>
    <xf numFmtId="0" fontId="134" fillId="9" borderId="51" xfId="0" applyFont="1" applyFill="1" applyBorder="1" applyAlignment="1">
      <alignment horizontal="center" vertical="center"/>
    </xf>
    <xf numFmtId="0" fontId="12" fillId="7" borderId="39" xfId="0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 wrapText="1"/>
    </xf>
    <xf numFmtId="0" fontId="109" fillId="18" borderId="15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 wrapText="1"/>
    </xf>
    <xf numFmtId="0" fontId="26" fillId="7" borderId="14" xfId="0" applyFont="1" applyFill="1" applyBorder="1" applyAlignment="1">
      <alignment horizontal="center" vertical="center" wrapText="1"/>
    </xf>
    <xf numFmtId="0" fontId="124" fillId="3" borderId="0" xfId="0" applyFont="1" applyFill="1" applyAlignment="1">
      <alignment horizontal="center" vertical="center"/>
    </xf>
    <xf numFmtId="0" fontId="85" fillId="9" borderId="15" xfId="0" applyFont="1" applyFill="1" applyBorder="1" applyAlignment="1">
      <alignment horizontal="center" vertical="center"/>
    </xf>
    <xf numFmtId="0" fontId="124" fillId="3" borderId="5" xfId="0" applyFont="1" applyFill="1" applyBorder="1" applyAlignment="1">
      <alignment horizontal="center" vertical="center"/>
    </xf>
    <xf numFmtId="0" fontId="80" fillId="24" borderId="78" xfId="0" applyFont="1" applyFill="1" applyBorder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68" fillId="24" borderId="6" xfId="0" applyFont="1" applyFill="1" applyBorder="1" applyAlignment="1">
      <alignment horizontal="center" vertical="center" wrapText="1"/>
    </xf>
    <xf numFmtId="0" fontId="68" fillId="24" borderId="14" xfId="0" applyFont="1" applyFill="1" applyBorder="1" applyAlignment="1">
      <alignment horizontal="center" vertical="center" wrapText="1"/>
    </xf>
    <xf numFmtId="0" fontId="68" fillId="24" borderId="40" xfId="0" applyFont="1" applyFill="1" applyBorder="1" applyAlignment="1">
      <alignment horizontal="center" vertical="center" wrapText="1"/>
    </xf>
    <xf numFmtId="0" fontId="14" fillId="3" borderId="16" xfId="0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0" fontId="68" fillId="24" borderId="39" xfId="0" applyFont="1" applyFill="1" applyBorder="1" applyAlignment="1">
      <alignment horizontal="center" vertical="center"/>
    </xf>
    <xf numFmtId="0" fontId="68" fillId="24" borderId="14" xfId="0" applyFont="1" applyFill="1" applyBorder="1" applyAlignment="1">
      <alignment horizontal="center" vertical="center"/>
    </xf>
    <xf numFmtId="0" fontId="68" fillId="24" borderId="40" xfId="0" applyFont="1" applyFill="1" applyBorder="1" applyAlignment="1">
      <alignment horizontal="center" vertical="center"/>
    </xf>
    <xf numFmtId="0" fontId="42" fillId="12" borderId="6" xfId="0" applyFont="1" applyFill="1" applyBorder="1" applyAlignment="1">
      <alignment horizontal="left" vertical="center" wrapText="1"/>
    </xf>
    <xf numFmtId="0" fontId="64" fillId="12" borderId="3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87" fillId="20" borderId="24" xfId="0" applyFont="1" applyFill="1" applyBorder="1" applyAlignment="1">
      <alignment horizontal="center" vertical="center" wrapText="1"/>
    </xf>
    <xf numFmtId="0" fontId="87" fillId="20" borderId="37" xfId="0" applyFont="1" applyFill="1" applyBorder="1" applyAlignment="1">
      <alignment horizontal="center" vertical="center" wrapText="1"/>
    </xf>
    <xf numFmtId="0" fontId="87" fillId="20" borderId="36" xfId="0" applyFont="1" applyFill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36" xfId="0" applyFont="1" applyBorder="1" applyAlignment="1">
      <alignment horizontal="center" vertical="center" wrapText="1"/>
    </xf>
    <xf numFmtId="0" fontId="96" fillId="0" borderId="24" xfId="0" applyFont="1" applyBorder="1" applyAlignment="1">
      <alignment horizontal="center" vertical="center" wrapText="1"/>
    </xf>
    <xf numFmtId="0" fontId="96" fillId="0" borderId="37" xfId="0" applyFont="1" applyBorder="1" applyAlignment="1">
      <alignment horizontal="center" vertical="center" wrapText="1"/>
    </xf>
    <xf numFmtId="0" fontId="96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95" fillId="0" borderId="37" xfId="0" applyFont="1" applyBorder="1" applyAlignment="1">
      <alignment horizontal="justify" vertical="center" wrapText="1"/>
    </xf>
    <xf numFmtId="0" fontId="95" fillId="0" borderId="36" xfId="0" applyFont="1" applyBorder="1" applyAlignment="1">
      <alignment horizontal="justify" vertical="center" wrapText="1"/>
    </xf>
    <xf numFmtId="0" fontId="95" fillId="0" borderId="37" xfId="0" applyFont="1" applyBorder="1" applyAlignment="1">
      <alignment horizontal="center" vertical="center" wrapText="1"/>
    </xf>
    <xf numFmtId="0" fontId="25" fillId="0" borderId="37" xfId="0" applyFont="1" applyBorder="1" applyAlignment="1">
      <alignment horizontal="center" vertical="center" wrapText="1"/>
    </xf>
    <xf numFmtId="0" fontId="95" fillId="0" borderId="24" xfId="0" applyFont="1" applyBorder="1" applyAlignment="1">
      <alignment horizontal="justify" vertical="center" wrapText="1"/>
    </xf>
    <xf numFmtId="0" fontId="98" fillId="0" borderId="24" xfId="0" applyFont="1" applyBorder="1" applyAlignment="1">
      <alignment horizontal="center" vertical="center" wrapText="1"/>
    </xf>
    <xf numFmtId="0" fontId="98" fillId="0" borderId="37" xfId="0" applyFont="1" applyBorder="1" applyAlignment="1">
      <alignment horizontal="center" vertical="center" wrapText="1"/>
    </xf>
    <xf numFmtId="0" fontId="98" fillId="0" borderId="36" xfId="0" applyFont="1" applyBorder="1" applyAlignment="1">
      <alignment horizontal="center" vertical="center" wrapText="1"/>
    </xf>
    <xf numFmtId="0" fontId="87" fillId="20" borderId="46" xfId="0" applyFont="1" applyFill="1" applyBorder="1" applyAlignment="1">
      <alignment horizontal="center" vertical="center" wrapText="1"/>
    </xf>
    <xf numFmtId="0" fontId="87" fillId="20" borderId="23" xfId="0" applyFont="1" applyFill="1" applyBorder="1" applyAlignment="1">
      <alignment horizontal="center" vertical="center" wrapText="1"/>
    </xf>
    <xf numFmtId="0" fontId="87" fillId="20" borderId="38" xfId="0" applyFont="1" applyFill="1" applyBorder="1" applyAlignment="1">
      <alignment horizontal="center" vertical="center" wrapText="1"/>
    </xf>
    <xf numFmtId="0" fontId="87" fillId="20" borderId="20" xfId="0" applyFont="1" applyFill="1" applyBorder="1" applyAlignment="1">
      <alignment horizontal="center" vertical="center" wrapText="1"/>
    </xf>
    <xf numFmtId="0" fontId="12" fillId="24" borderId="29" xfId="0" applyFont="1" applyFill="1" applyBorder="1" applyAlignment="1">
      <alignment horizontal="center"/>
    </xf>
    <xf numFmtId="0" fontId="12" fillId="24" borderId="57" xfId="0" applyFont="1" applyFill="1" applyBorder="1" applyAlignment="1">
      <alignment horizontal="center"/>
    </xf>
    <xf numFmtId="0" fontId="93" fillId="20" borderId="83" xfId="0" applyFont="1" applyFill="1" applyBorder="1" applyAlignment="1">
      <alignment horizontal="center" vertical="center" wrapText="1"/>
    </xf>
    <xf numFmtId="0" fontId="93" fillId="20" borderId="81" xfId="0" applyFont="1" applyFill="1" applyBorder="1" applyAlignment="1">
      <alignment horizontal="center" vertical="center" wrapText="1"/>
    </xf>
    <xf numFmtId="0" fontId="93" fillId="20" borderId="84" xfId="0" applyFont="1" applyFill="1" applyBorder="1" applyAlignment="1">
      <alignment horizontal="center" vertical="center" wrapText="1"/>
    </xf>
    <xf numFmtId="0" fontId="94" fillId="0" borderId="85" xfId="0" applyFont="1" applyBorder="1" applyAlignment="1">
      <alignment horizontal="center" vertical="center" wrapText="1"/>
    </xf>
    <xf numFmtId="0" fontId="94" fillId="0" borderId="37" xfId="0" applyFont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3" fillId="10" borderId="24" xfId="0" applyFont="1" applyFill="1" applyBorder="1" applyAlignment="1">
      <alignment horizontal="center" vertical="center"/>
    </xf>
    <xf numFmtId="0" fontId="143" fillId="10" borderId="1" xfId="0" applyFont="1" applyFill="1" applyBorder="1" applyAlignment="1">
      <alignment horizontal="center" vertical="center"/>
    </xf>
    <xf numFmtId="0" fontId="144" fillId="10" borderId="1" xfId="0" applyFont="1" applyFill="1" applyBorder="1" applyAlignment="1">
      <alignment horizontal="center" vertical="center"/>
    </xf>
    <xf numFmtId="0" fontId="148" fillId="0" borderId="1" xfId="0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148" fillId="0" borderId="89" xfId="0" applyFont="1" applyBorder="1" applyAlignment="1">
      <alignment horizontal="center" vertical="center"/>
    </xf>
    <xf numFmtId="0" fontId="148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</cellXfs>
  <cellStyles count="4">
    <cellStyle name="나쁨" xfId="1" builtinId="27"/>
    <cellStyle name="좋음" xfId="3" builtinId="26"/>
    <cellStyle name="표준" xfId="0" builtinId="0"/>
    <cellStyle name="표준 2" xfId="2" xr:uid="{751D343F-DA69-4A4F-AFB8-E24B97E8BF2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D$6:$D$37" noThreeD="1" sel="5" val="4"/>
</file>

<file path=xl/ctrlProps/ctrlProp46.xml><?xml version="1.0" encoding="utf-8"?>
<formControlPr xmlns="http://schemas.microsoft.com/office/spreadsheetml/2009/9/main" objectType="Drop" dropStyle="combo" dx="39" fmlaLink="목차!$B$1" fmlaRange="목차!$D$6:$D$51" noThreeD="1" sel="5" val="5"/>
</file>

<file path=xl/ctrlProps/ctrlProp47.xml><?xml version="1.0" encoding="utf-8"?>
<formControlPr xmlns="http://schemas.microsoft.com/office/spreadsheetml/2009/9/main" objectType="Drop" dropStyle="combo" dx="39" fmlaLink="목차!$B$1" fmlaRange="목차!$D$6:$D$51" noThreeD="1" sel="5" val="5"/>
</file>

<file path=xl/ctrlProps/ctrlProp48.xml><?xml version="1.0" encoding="utf-8"?>
<formControlPr xmlns="http://schemas.microsoft.com/office/spreadsheetml/2009/9/main" objectType="Drop" dropStyle="combo" dx="39" fmlaLink="목차!$B$1" fmlaRange="목차!$D$6:$D$51" noThreeD="1" sel="5" val="3"/>
</file>

<file path=xl/ctrlProps/ctrlProp49.xml><?xml version="1.0" encoding="utf-8"?>
<formControlPr xmlns="http://schemas.microsoft.com/office/spreadsheetml/2009/9/main" objectType="Drop" dropStyle="combo" dx="39" fmlaLink="목차!$B$1" fmlaRange="목차!$D$6:$D$51" noThreeD="1" sel="5" va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9525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238125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2838450</xdr:colOff>
          <xdr:row>32</xdr:row>
          <xdr:rowOff>123825</xdr:rowOff>
        </xdr:from>
        <xdr:to>
          <xdr:col>3</xdr:col>
          <xdr:colOff>4905375</xdr:colOff>
          <xdr:row>37</xdr:row>
          <xdr:rowOff>9526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142875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6</xdr:row>
          <xdr:rowOff>152400</xdr:rowOff>
        </xdr:to>
        <xdr:sp macro="" textlink="">
          <xdr:nvSpPr>
            <xdr:cNvPr id="52225" name="Drop Dow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1FD0861-7BFF-4C8E-898B-B250F4094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sheetPr codeName="Sheet4"/>
  <dimension ref="C2:CB52"/>
  <sheetViews>
    <sheetView showGridLines="0" workbookViewId="0">
      <selection activeCell="A23" sqref="A23:XFD23"/>
    </sheetView>
    <sheetView showGridLines="0" workbookViewId="1">
      <selection activeCell="D24" sqref="D24"/>
    </sheetView>
  </sheetViews>
  <sheetFormatPr defaultColWidth="9.140625" defaultRowHeight="20.25"/>
  <cols>
    <col min="1" max="2" width="9.140625" style="43"/>
    <col min="3" max="3" width="25" style="43" customWidth="1"/>
    <col min="4" max="4" width="18.42578125" style="43" bestFit="1" customWidth="1"/>
    <col min="5" max="5" width="7.42578125" style="43" bestFit="1" customWidth="1"/>
    <col min="6" max="6" width="18.42578125" style="43" bestFit="1" customWidth="1"/>
    <col min="7" max="7" width="14.5703125" style="43" customWidth="1"/>
    <col min="8" max="8" width="9.140625" style="43"/>
    <col min="9" max="9" width="12.5703125" style="43" customWidth="1"/>
    <col min="10" max="10" width="10.28515625" style="43" customWidth="1"/>
    <col min="11" max="11" width="14.28515625" style="43" bestFit="1" customWidth="1"/>
    <col min="12" max="13" width="17.28515625" style="43" customWidth="1"/>
    <col min="14" max="14" width="14.5703125" style="43" customWidth="1"/>
    <col min="15" max="15" width="13.7109375" style="43" customWidth="1"/>
    <col min="16" max="16" width="9" style="43" customWidth="1"/>
    <col min="17" max="22" width="9.140625" style="43"/>
    <col min="23" max="23" width="14.7109375" style="44" bestFit="1" customWidth="1"/>
    <col min="24" max="24" width="24.85546875" style="45" bestFit="1" customWidth="1"/>
    <col min="25" max="25" width="103.140625" style="43" bestFit="1" customWidth="1"/>
    <col min="26" max="28" width="9.140625" style="43"/>
    <col min="29" max="30" width="9.140625" style="46"/>
    <col min="31" max="31" width="18.85546875" style="46" bestFit="1" customWidth="1"/>
    <col min="32" max="32" width="35.140625" style="46" bestFit="1" customWidth="1"/>
    <col min="33" max="35" width="9.140625" style="46"/>
    <col min="36" max="36" width="23.42578125" style="46" bestFit="1" customWidth="1"/>
    <col min="37" max="38" width="9.140625" style="46"/>
    <col min="39" max="39" width="17.28515625" style="46" bestFit="1" customWidth="1"/>
    <col min="40" max="40" width="35.140625" style="46" bestFit="1" customWidth="1"/>
    <col min="41" max="41" width="9.140625" style="46"/>
    <col min="42" max="42" width="7.7109375" style="46" bestFit="1" customWidth="1"/>
    <col min="43" max="54" width="9.140625" style="46"/>
    <col min="55" max="55" width="15.85546875" style="46" bestFit="1" customWidth="1"/>
    <col min="56" max="56" width="9.140625" style="46"/>
    <col min="57" max="57" width="11.140625" style="46" bestFit="1" customWidth="1"/>
    <col min="58" max="58" width="18" style="46" bestFit="1" customWidth="1"/>
    <col min="59" max="59" width="82.140625" style="46" customWidth="1"/>
    <col min="60" max="72" width="9.140625" style="46"/>
    <col min="73" max="73" width="13.5703125" style="46" bestFit="1" customWidth="1"/>
    <col min="74" max="74" width="58.7109375" style="46" bestFit="1" customWidth="1"/>
    <col min="75" max="75" width="14.5703125" style="46" bestFit="1" customWidth="1"/>
    <col min="76" max="76" width="15.5703125" style="46" bestFit="1" customWidth="1"/>
    <col min="77" max="78" width="12.7109375" style="46" bestFit="1" customWidth="1"/>
    <col min="79" max="79" width="4" style="46" bestFit="1" customWidth="1"/>
    <col min="80" max="80" width="9.140625" style="46"/>
    <col min="81" max="16384" width="9.140625" style="43"/>
  </cols>
  <sheetData>
    <row r="2" spans="3:80">
      <c r="C2" s="59"/>
      <c r="D2" s="60"/>
      <c r="E2" s="61"/>
      <c r="AE2" s="62" t="s">
        <v>143</v>
      </c>
      <c r="AF2" s="425"/>
      <c r="AG2" s="417"/>
      <c r="AH2" s="425" t="s">
        <v>156</v>
      </c>
      <c r="AI2" s="417"/>
      <c r="AJ2" s="425"/>
      <c r="AL2" s="438"/>
      <c r="AM2" s="49" t="s">
        <v>49</v>
      </c>
      <c r="AN2" s="50" t="e">
        <f>#REF!</f>
        <v>#REF!</v>
      </c>
      <c r="AP2" s="51"/>
      <c r="AQ2" s="52"/>
      <c r="AR2" s="52"/>
      <c r="AS2" s="53"/>
      <c r="AT2" s="54"/>
      <c r="AU2" s="55"/>
      <c r="AV2" s="55"/>
      <c r="AW2" s="55"/>
      <c r="AX2" s="55"/>
      <c r="AY2" s="55"/>
      <c r="AZ2" s="55"/>
      <c r="BA2" s="55"/>
      <c r="BB2" s="55"/>
      <c r="BC2" s="56"/>
      <c r="BE2" s="438"/>
      <c r="BF2" s="57" t="s">
        <v>47</v>
      </c>
      <c r="BG2" s="58">
        <f>AT7</f>
        <v>0</v>
      </c>
      <c r="BI2" s="63"/>
      <c r="BJ2" s="447" t="s">
        <v>286</v>
      </c>
      <c r="BK2" s="448"/>
      <c r="BL2" s="448"/>
      <c r="BM2" s="448"/>
      <c r="BN2" s="448"/>
      <c r="BO2" s="448"/>
      <c r="BP2" s="448"/>
      <c r="BQ2" s="448"/>
      <c r="BR2" s="449"/>
      <c r="BT2" s="438"/>
      <c r="BU2" s="57" t="s">
        <v>157</v>
      </c>
      <c r="BV2" s="58" t="e">
        <f>"2024. " &amp; TEXT(MONTH(BY5), "00") &amp; ". " &amp; TEXT(DAY(BY5), "00") &amp; " ~ 2024. " &amp; TEXT(MONTH(BZ5), "00") &amp; ". " &amp; TEXT(DAY(BZ5), "00")</f>
        <v>#REF!</v>
      </c>
      <c r="BW2" s="64"/>
      <c r="BX2" s="65" t="e">
        <f>LEFT(#REF!, FIND("~",#REF!) - 2)</f>
        <v>#REF!</v>
      </c>
      <c r="BY2" s="58" t="e">
        <f>LEFT(BX2, 4)</f>
        <v>#REF!</v>
      </c>
      <c r="BZ2" s="66" t="e">
        <f>MID(BX2, 7, 2)</f>
        <v>#REF!</v>
      </c>
      <c r="CA2" s="66" t="e">
        <f>RIGHT(BX2, 2)</f>
        <v>#REF!</v>
      </c>
      <c r="CB2" s="146" t="s">
        <v>282</v>
      </c>
    </row>
    <row r="3" spans="3:80" ht="21" thickBot="1">
      <c r="P3" s="43" t="s">
        <v>158</v>
      </c>
      <c r="AE3" s="67" t="s">
        <v>159</v>
      </c>
      <c r="AF3" s="426"/>
      <c r="AG3" s="419"/>
      <c r="AH3" s="426" t="s">
        <v>160</v>
      </c>
      <c r="AI3" s="419"/>
      <c r="AJ3" s="426"/>
      <c r="AL3" s="438"/>
      <c r="AM3" s="49" t="s">
        <v>50</v>
      </c>
      <c r="AN3" s="50">
        <f>AF5</f>
        <v>0</v>
      </c>
      <c r="AP3" s="51"/>
      <c r="AQ3" s="52"/>
      <c r="AR3" s="52"/>
      <c r="AS3" s="53"/>
      <c r="AT3" s="54"/>
      <c r="AU3" s="55"/>
      <c r="AV3" s="55"/>
      <c r="AW3" s="55"/>
      <c r="AX3" s="55"/>
      <c r="AY3" s="55"/>
      <c r="AZ3" s="55"/>
      <c r="BA3" s="55"/>
      <c r="BB3" s="55"/>
      <c r="BC3" s="56"/>
      <c r="BE3" s="438"/>
      <c r="BF3" s="57" t="s">
        <v>161</v>
      </c>
      <c r="BG3" s="58">
        <f>AT15</f>
        <v>0</v>
      </c>
      <c r="BI3" s="63"/>
      <c r="BJ3" s="447"/>
      <c r="BK3" s="448"/>
      <c r="BL3" s="448"/>
      <c r="BM3" s="448"/>
      <c r="BN3" s="448"/>
      <c r="BO3" s="448"/>
      <c r="BP3" s="448"/>
      <c r="BQ3" s="448"/>
      <c r="BR3" s="449"/>
      <c r="BT3" s="438"/>
      <c r="BU3" s="57" t="s">
        <v>162</v>
      </c>
      <c r="BV3" s="58" t="e">
        <f>"2024. " &amp; TEXT(MONTH(BY6), "00") &amp; ". " &amp; TEXT(DAY(BY6), "00") &amp; " ~ 2024. " &amp; TEXT(MONTH(BZ6), "00") &amp; ". " &amp; TEXT(DAY(BZ6), "00")</f>
        <v>#REF!</v>
      </c>
      <c r="BW3" s="64"/>
      <c r="BX3" s="68" t="e">
        <f>RIGHT(#REF!, LEN(#REF!) - FIND("~",#REF!) - 1)</f>
        <v>#REF!</v>
      </c>
      <c r="BY3" s="58" t="e">
        <f>LEFT(BX3, 4)</f>
        <v>#REF!</v>
      </c>
      <c r="BZ3" s="66" t="e">
        <f>MID(BX3, 7, 2)</f>
        <v>#REF!</v>
      </c>
      <c r="CA3" s="66" t="e">
        <f>RIGHT(BX3, 2)</f>
        <v>#REF!</v>
      </c>
    </row>
    <row r="4" spans="3:80" ht="18">
      <c r="N4" s="427" t="s">
        <v>163</v>
      </c>
      <c r="O4" s="428"/>
      <c r="P4" s="428"/>
      <c r="Q4" s="428"/>
      <c r="R4" s="428"/>
      <c r="S4" s="428"/>
      <c r="T4" s="428"/>
      <c r="U4" s="429"/>
      <c r="W4" s="433" t="s">
        <v>151</v>
      </c>
      <c r="X4" s="69" t="s">
        <v>48</v>
      </c>
      <c r="Y4" s="70" t="e">
        <f>#REF!</f>
        <v>#REF!</v>
      </c>
      <c r="AE4" s="47" t="s">
        <v>164</v>
      </c>
      <c r="AF4" s="377"/>
      <c r="AG4" s="378"/>
      <c r="AH4" s="436"/>
      <c r="AI4" s="437"/>
      <c r="AJ4" s="71"/>
      <c r="AL4" s="438"/>
      <c r="AM4" s="49" t="s">
        <v>165</v>
      </c>
      <c r="AN4" s="50">
        <f>AF6</f>
        <v>0</v>
      </c>
      <c r="AP4" s="51"/>
      <c r="AQ4" s="52"/>
      <c r="AR4" s="52"/>
      <c r="AS4" s="53"/>
      <c r="AT4" s="54"/>
      <c r="AU4" s="55"/>
      <c r="AV4" s="55"/>
      <c r="AW4" s="55"/>
      <c r="AX4" s="55"/>
      <c r="AY4" s="55"/>
      <c r="AZ4" s="55"/>
      <c r="BA4" s="55"/>
      <c r="BB4" s="55"/>
      <c r="BC4" s="56"/>
      <c r="BE4" s="438"/>
      <c r="BF4" s="57" t="s">
        <v>166</v>
      </c>
      <c r="BG4" s="58">
        <f>AT6</f>
        <v>0</v>
      </c>
      <c r="BI4" s="72"/>
      <c r="BJ4" s="440"/>
      <c r="BK4" s="441"/>
      <c r="BL4" s="441"/>
      <c r="BM4" s="441"/>
      <c r="BN4" s="441"/>
      <c r="BO4" s="441"/>
      <c r="BP4" s="441"/>
      <c r="BQ4" s="441"/>
      <c r="BR4" s="442"/>
      <c r="BT4" s="438"/>
      <c r="BU4" s="57" t="s">
        <v>167</v>
      </c>
      <c r="BV4" s="58" t="str">
        <f>BJ2</f>
        <v>2024. 11. 18 ~ 2025. 01. 10</v>
      </c>
      <c r="BX4" s="73" t="s">
        <v>168</v>
      </c>
      <c r="BY4" s="74" t="s">
        <v>169</v>
      </c>
      <c r="BZ4" s="74" t="s">
        <v>170</v>
      </c>
    </row>
    <row r="5" spans="3:80" ht="18">
      <c r="C5" s="75"/>
      <c r="D5" s="76"/>
      <c r="E5" s="76"/>
      <c r="N5" s="430"/>
      <c r="O5" s="431"/>
      <c r="P5" s="431"/>
      <c r="Q5" s="431"/>
      <c r="R5" s="431"/>
      <c r="S5" s="431"/>
      <c r="T5" s="431"/>
      <c r="U5" s="432"/>
      <c r="W5" s="434"/>
      <c r="X5" s="77" t="s">
        <v>49</v>
      </c>
      <c r="Y5" s="78" t="e">
        <f>AN2</f>
        <v>#REF!</v>
      </c>
      <c r="AE5" s="47" t="s">
        <v>171</v>
      </c>
      <c r="AF5" s="377"/>
      <c r="AG5" s="395"/>
      <c r="AH5" s="395"/>
      <c r="AI5" s="395"/>
      <c r="AJ5" s="395"/>
      <c r="AL5" s="438"/>
      <c r="AM5" s="49" t="s">
        <v>172</v>
      </c>
      <c r="AN5" s="50">
        <f>AF2</f>
        <v>0</v>
      </c>
      <c r="AP5" s="79"/>
      <c r="AQ5" s="80"/>
      <c r="AR5" s="51"/>
      <c r="AS5" s="53"/>
      <c r="AT5" s="54"/>
      <c r="AU5" s="55"/>
      <c r="AV5" s="55"/>
      <c r="AW5" s="55"/>
      <c r="AX5" s="55"/>
      <c r="AY5" s="55"/>
      <c r="AZ5" s="55"/>
      <c r="BA5" s="55"/>
      <c r="BB5" s="55"/>
      <c r="BC5" s="56"/>
      <c r="BE5" s="438"/>
      <c r="BF5" s="57" t="s">
        <v>173</v>
      </c>
      <c r="BG5" s="58">
        <f>AT14</f>
        <v>0</v>
      </c>
      <c r="BI5" s="81"/>
      <c r="BJ5" s="82"/>
      <c r="BK5" s="82"/>
      <c r="BL5" s="82"/>
      <c r="BM5" s="82"/>
      <c r="BN5" s="82"/>
      <c r="BO5" s="82"/>
      <c r="BP5" s="82"/>
      <c r="BQ5" s="82"/>
      <c r="BR5" s="83"/>
      <c r="BT5" s="438"/>
      <c r="BU5" s="57" t="s">
        <v>174</v>
      </c>
      <c r="BV5" s="58">
        <f>BJ3</f>
        <v>0</v>
      </c>
      <c r="BX5" s="57" t="s">
        <v>157</v>
      </c>
      <c r="BY5" s="84" t="e">
        <f>DATE(BY2, BZ2, CA2)</f>
        <v>#REF!</v>
      </c>
      <c r="BZ5" s="84" t="e">
        <f>BY5+ 25</f>
        <v>#REF!</v>
      </c>
    </row>
    <row r="6" spans="3:80" ht="18.75" thickBot="1">
      <c r="C6" s="85" t="s">
        <v>175</v>
      </c>
      <c r="D6" s="86" t="s">
        <v>176</v>
      </c>
      <c r="E6" s="87" t="s">
        <v>177</v>
      </c>
      <c r="F6" s="423" t="s">
        <v>178</v>
      </c>
      <c r="G6" s="423"/>
      <c r="H6" s="423"/>
      <c r="I6" s="423"/>
      <c r="J6" s="423"/>
      <c r="K6" s="423"/>
      <c r="L6" s="423" t="s">
        <v>179</v>
      </c>
      <c r="M6" s="423"/>
      <c r="N6" s="88" t="s">
        <v>180</v>
      </c>
      <c r="O6" s="424" t="s">
        <v>181</v>
      </c>
      <c r="P6" s="424"/>
      <c r="Q6" s="424"/>
      <c r="R6" s="424"/>
      <c r="S6" s="424"/>
      <c r="T6" s="424"/>
      <c r="U6" s="424"/>
      <c r="W6" s="434"/>
      <c r="X6" s="77" t="s">
        <v>50</v>
      </c>
      <c r="Y6" s="78">
        <f>AN3</f>
        <v>0</v>
      </c>
      <c r="AE6" s="417" t="s">
        <v>182</v>
      </c>
      <c r="AF6" s="425"/>
      <c r="AG6" s="417"/>
      <c r="AH6" s="425" t="s">
        <v>183</v>
      </c>
      <c r="AI6" s="417"/>
      <c r="AJ6" s="420"/>
      <c r="AL6" s="439"/>
      <c r="AM6" s="49" t="s">
        <v>184</v>
      </c>
      <c r="AN6" s="50">
        <f>AJ6</f>
        <v>0</v>
      </c>
      <c r="AP6" s="89"/>
      <c r="AQ6" s="90"/>
      <c r="AR6" s="51"/>
      <c r="AS6" s="53"/>
      <c r="AT6" s="54"/>
      <c r="AU6" s="55"/>
      <c r="AV6" s="55"/>
      <c r="AW6" s="55"/>
      <c r="AX6" s="55"/>
      <c r="AY6" s="55"/>
      <c r="AZ6" s="55"/>
      <c r="BA6" s="55"/>
      <c r="BB6" s="55"/>
      <c r="BC6" s="56"/>
      <c r="BE6" s="439"/>
      <c r="BF6" s="57" t="s">
        <v>155</v>
      </c>
      <c r="BG6" s="58">
        <f>AT13</f>
        <v>0</v>
      </c>
      <c r="BI6" s="91"/>
      <c r="BJ6" s="92"/>
      <c r="BK6" s="93"/>
      <c r="BL6" s="93"/>
      <c r="BM6" s="93"/>
      <c r="BN6" s="93"/>
      <c r="BO6" s="93"/>
      <c r="BP6" s="93"/>
      <c r="BQ6" s="93"/>
      <c r="BR6" s="94"/>
      <c r="BT6" s="439"/>
      <c r="BU6" s="57" t="s">
        <v>185</v>
      </c>
      <c r="BV6" s="58">
        <f>BJ10</f>
        <v>0</v>
      </c>
      <c r="BX6" s="57" t="s">
        <v>162</v>
      </c>
      <c r="BY6" s="84" t="e">
        <f>BZ5+3</f>
        <v>#REF!</v>
      </c>
      <c r="BZ6" s="84" t="e">
        <f>BY6+25</f>
        <v>#REF!</v>
      </c>
    </row>
    <row r="7" spans="3:80" ht="18.75" thickTop="1">
      <c r="C7" s="404" t="s">
        <v>186</v>
      </c>
      <c r="D7" s="407" t="s">
        <v>187</v>
      </c>
      <c r="E7" s="95">
        <v>1</v>
      </c>
      <c r="F7" s="408" t="s">
        <v>188</v>
      </c>
      <c r="G7" s="409" t="s">
        <v>189</v>
      </c>
      <c r="H7" s="409" t="s">
        <v>189</v>
      </c>
      <c r="I7" s="409" t="s">
        <v>189</v>
      </c>
      <c r="J7" s="409" t="s">
        <v>189</v>
      </c>
      <c r="K7" s="410" t="s">
        <v>189</v>
      </c>
      <c r="L7" s="411" t="s">
        <v>190</v>
      </c>
      <c r="M7" s="412"/>
      <c r="N7" s="96" t="b">
        <v>0</v>
      </c>
      <c r="O7" s="413"/>
      <c r="P7" s="414"/>
      <c r="Q7" s="414"/>
      <c r="R7" s="414"/>
      <c r="S7" s="414"/>
      <c r="T7" s="414"/>
      <c r="U7" s="414"/>
      <c r="W7" s="434"/>
      <c r="X7" s="77" t="s">
        <v>165</v>
      </c>
      <c r="Y7" s="78">
        <f>AN4</f>
        <v>0</v>
      </c>
      <c r="AE7" s="419"/>
      <c r="AF7" s="426"/>
      <c r="AG7" s="419"/>
      <c r="AH7" s="415" t="s">
        <v>191</v>
      </c>
      <c r="AI7" s="416"/>
      <c r="AJ7" s="379"/>
      <c r="AL7" s="443" t="s">
        <v>192</v>
      </c>
      <c r="AM7" s="49" t="s">
        <v>193</v>
      </c>
      <c r="AN7" s="50">
        <f>AF21</f>
        <v>0</v>
      </c>
      <c r="AP7" s="51"/>
      <c r="AQ7" s="52"/>
      <c r="AR7" s="52"/>
      <c r="AS7" s="53"/>
      <c r="AT7" s="54"/>
      <c r="AU7" s="55"/>
      <c r="AV7" s="55"/>
      <c r="AW7" s="55"/>
      <c r="AX7" s="55"/>
      <c r="AY7" s="55"/>
      <c r="AZ7" s="55"/>
      <c r="BA7" s="55"/>
      <c r="BB7" s="55"/>
      <c r="BC7" s="56"/>
      <c r="BI7" s="91"/>
      <c r="BJ7" s="92"/>
      <c r="BK7" s="93"/>
      <c r="BL7" s="93"/>
      <c r="BM7" s="93"/>
      <c r="BN7" s="93"/>
      <c r="BO7" s="93"/>
      <c r="BP7" s="93"/>
      <c r="BQ7" s="93"/>
      <c r="BR7" s="94"/>
    </row>
    <row r="8" spans="3:80" ht="18">
      <c r="C8" s="405"/>
      <c r="D8" s="330"/>
      <c r="E8" s="95">
        <v>2</v>
      </c>
      <c r="F8" s="326" t="s">
        <v>194</v>
      </c>
      <c r="G8" s="326" t="s">
        <v>195</v>
      </c>
      <c r="H8" s="326" t="s">
        <v>195</v>
      </c>
      <c r="I8" s="326" t="s">
        <v>195</v>
      </c>
      <c r="J8" s="326" t="s">
        <v>195</v>
      </c>
      <c r="K8" s="326" t="s">
        <v>195</v>
      </c>
      <c r="L8" s="369"/>
      <c r="M8" s="370"/>
      <c r="N8" s="96" t="b">
        <v>0</v>
      </c>
      <c r="O8" s="328"/>
      <c r="P8" s="329"/>
      <c r="Q8" s="329"/>
      <c r="R8" s="329"/>
      <c r="S8" s="329"/>
      <c r="T8" s="329"/>
      <c r="U8" s="329"/>
      <c r="W8" s="434"/>
      <c r="X8" s="77" t="s">
        <v>172</v>
      </c>
      <c r="Y8" s="78">
        <f>AN5</f>
        <v>0</v>
      </c>
      <c r="AE8" s="417" t="s">
        <v>2</v>
      </c>
      <c r="AF8" s="420" t="s">
        <v>196</v>
      </c>
      <c r="AG8" s="421"/>
      <c r="AH8" s="421"/>
      <c r="AI8" s="421"/>
      <c r="AJ8" s="421"/>
      <c r="AL8" s="443"/>
      <c r="AM8" s="49" t="s">
        <v>197</v>
      </c>
      <c r="AN8" s="50">
        <f>AJ21</f>
        <v>0</v>
      </c>
      <c r="AP8" s="97"/>
      <c r="AQ8" s="97"/>
      <c r="AR8" s="97"/>
      <c r="AS8" s="97"/>
      <c r="AT8" s="97"/>
      <c r="AU8" s="97"/>
      <c r="AV8" s="97"/>
      <c r="AW8" s="97"/>
      <c r="AX8" s="97"/>
      <c r="AY8" s="97"/>
      <c r="AZ8" s="97"/>
      <c r="BA8" s="97"/>
      <c r="BB8" s="97"/>
      <c r="BC8" s="97"/>
      <c r="BI8" s="91"/>
      <c r="BJ8" s="444"/>
      <c r="BK8" s="445"/>
      <c r="BL8" s="445"/>
      <c r="BM8" s="445"/>
      <c r="BN8" s="445"/>
      <c r="BO8" s="445"/>
      <c r="BP8" s="445"/>
      <c r="BQ8" s="445"/>
      <c r="BR8" s="446"/>
    </row>
    <row r="9" spans="3:80" s="42" customFormat="1" ht="18.75" thickBot="1">
      <c r="C9" s="405"/>
      <c r="D9" s="330"/>
      <c r="E9" s="95">
        <v>3</v>
      </c>
      <c r="F9" s="326" t="s">
        <v>198</v>
      </c>
      <c r="G9" s="326" t="s">
        <v>199</v>
      </c>
      <c r="H9" s="326" t="s">
        <v>199</v>
      </c>
      <c r="I9" s="326" t="s">
        <v>199</v>
      </c>
      <c r="J9" s="326" t="s">
        <v>199</v>
      </c>
      <c r="K9" s="326" t="s">
        <v>199</v>
      </c>
      <c r="L9" s="369"/>
      <c r="M9" s="370"/>
      <c r="N9" s="96" t="b">
        <v>0</v>
      </c>
      <c r="O9" s="328"/>
      <c r="P9" s="328"/>
      <c r="Q9" s="328"/>
      <c r="R9" s="328"/>
      <c r="S9" s="328"/>
      <c r="T9" s="328"/>
      <c r="U9" s="328"/>
      <c r="W9" s="435"/>
      <c r="X9" s="98" t="s">
        <v>184</v>
      </c>
      <c r="Y9" s="99">
        <f>AN6</f>
        <v>0</v>
      </c>
      <c r="AC9" s="46"/>
      <c r="AD9" s="46"/>
      <c r="AE9" s="418"/>
      <c r="AF9" s="396" t="s">
        <v>200</v>
      </c>
      <c r="AG9" s="397"/>
      <c r="AH9" s="397"/>
      <c r="AI9" s="397"/>
      <c r="AJ9" s="397"/>
      <c r="AK9" s="46"/>
      <c r="AL9" s="443"/>
      <c r="AM9" s="49" t="s">
        <v>201</v>
      </c>
      <c r="AN9" s="50">
        <f>AF22</f>
        <v>0</v>
      </c>
      <c r="AO9" s="46"/>
      <c r="AP9" s="51"/>
      <c r="AQ9" s="52"/>
      <c r="AR9" s="52"/>
      <c r="AS9" s="53"/>
      <c r="AT9" s="54"/>
      <c r="AU9" s="55"/>
      <c r="AV9" s="55"/>
      <c r="AW9" s="56"/>
      <c r="AX9" s="51"/>
      <c r="AY9" s="52"/>
      <c r="AZ9" s="52"/>
      <c r="BA9" s="53"/>
      <c r="BB9" s="54"/>
      <c r="BC9" s="56"/>
      <c r="BD9" s="46"/>
      <c r="BE9" s="46"/>
      <c r="BF9" s="46"/>
      <c r="BG9" s="46"/>
      <c r="BH9" s="46"/>
      <c r="BI9" s="101"/>
      <c r="BJ9" s="450"/>
      <c r="BK9" s="451"/>
      <c r="BL9" s="451"/>
      <c r="BM9" s="451"/>
      <c r="BN9" s="451"/>
      <c r="BO9" s="451"/>
      <c r="BP9" s="451"/>
      <c r="BQ9" s="451"/>
      <c r="BR9" s="452"/>
      <c r="BS9" s="46"/>
      <c r="BT9" s="46"/>
      <c r="BU9" s="46"/>
      <c r="BV9" s="46"/>
      <c r="BW9" s="46"/>
      <c r="BX9" s="46"/>
      <c r="BY9" s="46"/>
      <c r="BZ9" s="46"/>
      <c r="CA9" s="46"/>
      <c r="CB9" s="46"/>
    </row>
    <row r="10" spans="3:80" ht="21" thickBot="1">
      <c r="C10" s="405"/>
      <c r="D10" s="330"/>
      <c r="E10" s="95">
        <v>4</v>
      </c>
      <c r="F10" s="326" t="s">
        <v>202</v>
      </c>
      <c r="G10" s="326"/>
      <c r="H10" s="326"/>
      <c r="I10" s="326"/>
      <c r="J10" s="326"/>
      <c r="K10" s="326"/>
      <c r="L10" s="369"/>
      <c r="M10" s="370"/>
      <c r="N10" s="96" t="b">
        <v>0</v>
      </c>
      <c r="O10" s="357" t="s">
        <v>203</v>
      </c>
      <c r="P10" s="329"/>
      <c r="Q10" s="329"/>
      <c r="R10" s="329"/>
      <c r="S10" s="329"/>
      <c r="T10" s="329"/>
      <c r="U10" s="329"/>
      <c r="W10" s="102"/>
      <c r="X10" s="103"/>
      <c r="Y10" s="104"/>
      <c r="AE10" s="418"/>
      <c r="AF10" s="396" t="s">
        <v>204</v>
      </c>
      <c r="AG10" s="397"/>
      <c r="AH10" s="397"/>
      <c r="AI10" s="397"/>
      <c r="AJ10" s="397"/>
      <c r="AL10" s="443"/>
      <c r="AM10" s="49" t="s">
        <v>205</v>
      </c>
      <c r="AN10" s="50">
        <f>AJ22</f>
        <v>0</v>
      </c>
      <c r="AP10" s="51"/>
      <c r="AQ10" s="52"/>
      <c r="AR10" s="52"/>
      <c r="AS10" s="53"/>
      <c r="AT10" s="54"/>
      <c r="AU10" s="55"/>
      <c r="AV10" s="55"/>
      <c r="AW10" s="56"/>
      <c r="AX10" s="51"/>
      <c r="AY10" s="52"/>
      <c r="AZ10" s="52"/>
      <c r="BA10" s="53"/>
      <c r="BB10" s="54"/>
      <c r="BC10" s="56"/>
      <c r="BI10" s="72"/>
      <c r="BJ10" s="398"/>
      <c r="BK10" s="399"/>
      <c r="BL10" s="399"/>
      <c r="BM10" s="399"/>
      <c r="BN10" s="399"/>
      <c r="BO10" s="399"/>
      <c r="BP10" s="399"/>
      <c r="BQ10" s="399"/>
      <c r="BR10" s="400"/>
    </row>
    <row r="11" spans="3:80" ht="18">
      <c r="C11" s="405"/>
      <c r="D11" s="330"/>
      <c r="E11" s="365">
        <v>5</v>
      </c>
      <c r="F11" s="422" t="s">
        <v>471</v>
      </c>
      <c r="G11" s="422"/>
      <c r="H11" s="422"/>
      <c r="I11" s="422"/>
      <c r="J11" s="422"/>
      <c r="K11" s="422"/>
      <c r="L11" s="369"/>
      <c r="M11" s="370"/>
      <c r="N11" s="365" t="b">
        <v>0</v>
      </c>
      <c r="O11" s="357" t="s">
        <v>206</v>
      </c>
      <c r="P11" s="329"/>
      <c r="Q11" s="329"/>
      <c r="R11" s="329"/>
      <c r="S11" s="329"/>
      <c r="T11" s="329"/>
      <c r="U11" s="329"/>
      <c r="W11" s="361" t="s">
        <v>192</v>
      </c>
      <c r="X11" s="69" t="s">
        <v>193</v>
      </c>
      <c r="Y11" s="70">
        <f>AN7</f>
        <v>0</v>
      </c>
      <c r="AE11" s="418"/>
      <c r="AF11" s="396" t="s">
        <v>207</v>
      </c>
      <c r="AG11" s="397"/>
      <c r="AH11" s="397"/>
      <c r="AI11" s="397"/>
      <c r="AJ11" s="397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I11" s="106"/>
      <c r="BJ11" s="401"/>
      <c r="BK11" s="402"/>
      <c r="BL11" s="402"/>
      <c r="BM11" s="402"/>
      <c r="BN11" s="402"/>
      <c r="BO11" s="402"/>
      <c r="BP11" s="402"/>
      <c r="BQ11" s="402"/>
      <c r="BR11" s="403"/>
    </row>
    <row r="12" spans="3:80" ht="18">
      <c r="C12" s="405"/>
      <c r="D12" s="330"/>
      <c r="E12" s="366"/>
      <c r="F12" s="422"/>
      <c r="G12" s="422"/>
      <c r="H12" s="422"/>
      <c r="I12" s="422"/>
      <c r="J12" s="422"/>
      <c r="K12" s="422"/>
      <c r="L12" s="369"/>
      <c r="M12" s="370"/>
      <c r="N12" s="366"/>
      <c r="O12" s="357" t="s">
        <v>208</v>
      </c>
      <c r="P12" s="329"/>
      <c r="Q12" s="329"/>
      <c r="R12" s="329"/>
      <c r="S12" s="329"/>
      <c r="T12" s="329"/>
      <c r="U12" s="329"/>
      <c r="W12" s="362"/>
      <c r="X12" s="77" t="s">
        <v>197</v>
      </c>
      <c r="Y12" s="78">
        <f>AN8</f>
        <v>0</v>
      </c>
      <c r="AE12" s="418"/>
      <c r="AF12" s="396" t="s">
        <v>209</v>
      </c>
      <c r="AG12" s="397"/>
      <c r="AH12" s="397"/>
      <c r="AI12" s="397"/>
      <c r="AJ12" s="397"/>
      <c r="AP12" s="51"/>
      <c r="AQ12" s="52"/>
      <c r="AR12" s="52"/>
      <c r="AS12" s="53"/>
      <c r="AT12" s="54"/>
      <c r="AU12" s="55"/>
      <c r="AV12" s="55"/>
      <c r="AW12" s="55"/>
      <c r="AX12" s="55"/>
      <c r="AY12" s="55"/>
      <c r="AZ12" s="55"/>
      <c r="BA12" s="55"/>
      <c r="BB12" s="55"/>
      <c r="BC12" s="56"/>
    </row>
    <row r="13" spans="3:80" ht="18">
      <c r="C13" s="405"/>
      <c r="D13" s="330"/>
      <c r="E13" s="366"/>
      <c r="F13" s="422"/>
      <c r="G13" s="422"/>
      <c r="H13" s="422"/>
      <c r="I13" s="422"/>
      <c r="J13" s="422"/>
      <c r="K13" s="422"/>
      <c r="L13" s="369"/>
      <c r="M13" s="370"/>
      <c r="N13" s="366"/>
      <c r="O13" s="357" t="s">
        <v>210</v>
      </c>
      <c r="P13" s="329"/>
      <c r="Q13" s="329"/>
      <c r="R13" s="329"/>
      <c r="S13" s="329"/>
      <c r="T13" s="329"/>
      <c r="U13" s="329"/>
      <c r="W13" s="362"/>
      <c r="X13" s="77" t="s">
        <v>201</v>
      </c>
      <c r="Y13" s="78">
        <f>AN9</f>
        <v>0</v>
      </c>
      <c r="AE13" s="418"/>
      <c r="AF13" s="396" t="s">
        <v>211</v>
      </c>
      <c r="AG13" s="397"/>
      <c r="AH13" s="397"/>
      <c r="AI13" s="397"/>
      <c r="AJ13" s="397"/>
      <c r="AP13" s="51"/>
      <c r="AQ13" s="52"/>
      <c r="AR13" s="52"/>
      <c r="AS13" s="53"/>
      <c r="AT13" s="54"/>
      <c r="AU13" s="55"/>
      <c r="AV13" s="55"/>
      <c r="AW13" s="55"/>
      <c r="AX13" s="55"/>
      <c r="AY13" s="55"/>
      <c r="AZ13" s="55"/>
      <c r="BA13" s="55"/>
      <c r="BB13" s="55"/>
      <c r="BC13" s="56"/>
    </row>
    <row r="14" spans="3:80" ht="18.75" thickBot="1">
      <c r="C14" s="405"/>
      <c r="D14" s="330"/>
      <c r="E14" s="367"/>
      <c r="F14" s="422"/>
      <c r="G14" s="422"/>
      <c r="H14" s="422"/>
      <c r="I14" s="422"/>
      <c r="J14" s="422"/>
      <c r="K14" s="422"/>
      <c r="L14" s="334"/>
      <c r="M14" s="335"/>
      <c r="N14" s="367"/>
      <c r="O14" s="357" t="s">
        <v>212</v>
      </c>
      <c r="P14" s="329"/>
      <c r="Q14" s="329"/>
      <c r="R14" s="329"/>
      <c r="S14" s="329"/>
      <c r="T14" s="329"/>
      <c r="U14" s="329"/>
      <c r="W14" s="363"/>
      <c r="X14" s="98" t="s">
        <v>205</v>
      </c>
      <c r="Y14" s="99">
        <f>AN10</f>
        <v>0</v>
      </c>
      <c r="AE14" s="419"/>
      <c r="AF14" s="379" t="s">
        <v>213</v>
      </c>
      <c r="AG14" s="380"/>
      <c r="AH14" s="380"/>
      <c r="AI14" s="380"/>
      <c r="AJ14" s="380"/>
      <c r="AP14" s="51"/>
      <c r="AQ14" s="52"/>
      <c r="AR14" s="52"/>
      <c r="AS14" s="53"/>
      <c r="AT14" s="54"/>
      <c r="AU14" s="55"/>
      <c r="AV14" s="55"/>
      <c r="AW14" s="55"/>
      <c r="AX14" s="55"/>
      <c r="AY14" s="55"/>
      <c r="AZ14" s="55"/>
      <c r="BA14" s="55"/>
      <c r="BB14" s="55"/>
      <c r="BC14" s="56"/>
    </row>
    <row r="15" spans="3:80" ht="21" thickBot="1">
      <c r="C15" s="405"/>
      <c r="D15" s="330"/>
      <c r="E15" s="95">
        <v>6</v>
      </c>
      <c r="F15" s="326" t="s">
        <v>214</v>
      </c>
      <c r="G15" s="326"/>
      <c r="H15" s="326"/>
      <c r="I15" s="326"/>
      <c r="J15" s="326"/>
      <c r="K15" s="326"/>
      <c r="L15" s="381" t="s">
        <v>215</v>
      </c>
      <c r="M15" s="382"/>
      <c r="N15" s="96" t="b">
        <v>0</v>
      </c>
      <c r="O15" s="357"/>
      <c r="P15" s="329"/>
      <c r="Q15" s="329"/>
      <c r="R15" s="329"/>
      <c r="S15" s="329"/>
      <c r="T15" s="329"/>
      <c r="U15" s="329"/>
      <c r="W15" s="102"/>
      <c r="X15" s="103"/>
      <c r="Y15" s="104"/>
      <c r="AE15" s="62" t="s">
        <v>216</v>
      </c>
      <c r="AF15" s="387" t="s">
        <v>217</v>
      </c>
      <c r="AG15" s="388"/>
      <c r="AH15" s="388"/>
      <c r="AI15" s="388"/>
      <c r="AJ15" s="388"/>
      <c r="AP15" s="51"/>
      <c r="AQ15" s="52"/>
      <c r="AR15" s="52"/>
      <c r="AS15" s="53"/>
      <c r="AT15" s="54"/>
      <c r="AU15" s="55"/>
      <c r="AV15" s="55"/>
      <c r="AW15" s="55"/>
      <c r="AX15" s="55"/>
      <c r="AY15" s="55"/>
      <c r="AZ15" s="55"/>
      <c r="BA15" s="55"/>
      <c r="BB15" s="55"/>
      <c r="BC15" s="56"/>
    </row>
    <row r="16" spans="3:80" ht="18">
      <c r="C16" s="405"/>
      <c r="D16" s="330"/>
      <c r="E16" s="95">
        <v>7</v>
      </c>
      <c r="F16" s="326" t="s">
        <v>218</v>
      </c>
      <c r="G16" s="326"/>
      <c r="H16" s="326"/>
      <c r="I16" s="326"/>
      <c r="J16" s="326"/>
      <c r="K16" s="326"/>
      <c r="L16" s="383"/>
      <c r="M16" s="384"/>
      <c r="N16" s="96" t="b">
        <v>0</v>
      </c>
      <c r="O16" s="357"/>
      <c r="P16" s="329"/>
      <c r="Q16" s="329"/>
      <c r="R16" s="329"/>
      <c r="S16" s="329"/>
      <c r="T16" s="329"/>
      <c r="U16" s="329"/>
      <c r="W16" s="361" t="s">
        <v>152</v>
      </c>
      <c r="X16" s="69" t="s">
        <v>153</v>
      </c>
      <c r="Y16" s="70" t="e">
        <f>#REF!</f>
        <v>#REF!</v>
      </c>
      <c r="AE16" s="67" t="s">
        <v>219</v>
      </c>
      <c r="AF16" s="389"/>
      <c r="AG16" s="390"/>
      <c r="AH16" s="390"/>
      <c r="AI16" s="390"/>
      <c r="AJ16" s="390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</row>
    <row r="17" spans="3:55" ht="18">
      <c r="C17" s="405"/>
      <c r="D17" s="330"/>
      <c r="E17" s="95">
        <v>8</v>
      </c>
      <c r="F17" s="326" t="s">
        <v>220</v>
      </c>
      <c r="G17" s="326"/>
      <c r="H17" s="326"/>
      <c r="I17" s="326"/>
      <c r="J17" s="326"/>
      <c r="K17" s="326"/>
      <c r="L17" s="383"/>
      <c r="M17" s="384"/>
      <c r="N17" s="96" t="b">
        <v>0</v>
      </c>
      <c r="O17" s="357"/>
      <c r="P17" s="329"/>
      <c r="Q17" s="329"/>
      <c r="R17" s="329"/>
      <c r="S17" s="329"/>
      <c r="T17" s="329"/>
      <c r="U17" s="329"/>
      <c r="W17" s="362"/>
      <c r="X17" s="77" t="s">
        <v>47</v>
      </c>
      <c r="Y17" s="78">
        <f>BG2</f>
        <v>0</v>
      </c>
      <c r="AE17" s="62" t="s">
        <v>221</v>
      </c>
      <c r="AF17" s="107" t="s">
        <v>222</v>
      </c>
      <c r="AG17" s="377" t="s">
        <v>223</v>
      </c>
      <c r="AH17" s="378"/>
      <c r="AI17" s="377" t="s">
        <v>224</v>
      </c>
      <c r="AJ17" s="395"/>
      <c r="AP17" s="108"/>
      <c r="AQ17" s="109"/>
      <c r="AR17" s="110"/>
      <c r="AS17" s="109"/>
      <c r="AT17" s="110"/>
      <c r="AU17" s="109"/>
      <c r="AV17" s="110"/>
      <c r="AW17" s="109"/>
      <c r="AX17" s="111"/>
      <c r="AY17" s="111"/>
      <c r="AZ17" s="110"/>
      <c r="BA17" s="109"/>
      <c r="BB17" s="110"/>
      <c r="BC17" s="108"/>
    </row>
    <row r="18" spans="3:55" ht="18">
      <c r="C18" s="405"/>
      <c r="D18" s="330"/>
      <c r="E18" s="95">
        <v>9</v>
      </c>
      <c r="F18" s="326" t="s">
        <v>225</v>
      </c>
      <c r="G18" s="326"/>
      <c r="H18" s="326"/>
      <c r="I18" s="326"/>
      <c r="J18" s="326"/>
      <c r="K18" s="326"/>
      <c r="L18" s="383"/>
      <c r="M18" s="384"/>
      <c r="N18" s="96" t="b">
        <v>0</v>
      </c>
      <c r="O18" s="357"/>
      <c r="P18" s="329"/>
      <c r="Q18" s="329"/>
      <c r="R18" s="329"/>
      <c r="S18" s="329"/>
      <c r="T18" s="329"/>
      <c r="U18" s="329"/>
      <c r="W18" s="362"/>
      <c r="X18" s="77" t="s">
        <v>226</v>
      </c>
      <c r="Y18" s="78">
        <f>BG3</f>
        <v>0</v>
      </c>
      <c r="AE18" s="100" t="s">
        <v>227</v>
      </c>
      <c r="AF18" s="112"/>
      <c r="AG18" s="391"/>
      <c r="AH18" s="392"/>
      <c r="AI18" s="391"/>
      <c r="AJ18" s="393"/>
      <c r="AP18" s="113"/>
      <c r="AQ18" s="114"/>
      <c r="AR18" s="115"/>
      <c r="AS18" s="54"/>
      <c r="AT18" s="56"/>
      <c r="AU18" s="54"/>
      <c r="AV18" s="56"/>
      <c r="AW18" s="54"/>
      <c r="AX18" s="55"/>
      <c r="AY18" s="55"/>
      <c r="AZ18" s="56"/>
      <c r="BA18" s="54"/>
      <c r="BB18" s="56"/>
      <c r="BC18" s="116"/>
    </row>
    <row r="19" spans="3:55" ht="18">
      <c r="C19" s="405"/>
      <c r="D19" s="330"/>
      <c r="E19" s="95">
        <v>10</v>
      </c>
      <c r="F19" s="326" t="s">
        <v>228</v>
      </c>
      <c r="G19" s="326"/>
      <c r="H19" s="326"/>
      <c r="I19" s="326"/>
      <c r="J19" s="326"/>
      <c r="K19" s="326"/>
      <c r="L19" s="383"/>
      <c r="M19" s="384"/>
      <c r="N19" s="96" t="b">
        <v>0</v>
      </c>
      <c r="O19" s="357" t="s">
        <v>229</v>
      </c>
      <c r="P19" s="329"/>
      <c r="Q19" s="329"/>
      <c r="R19" s="329"/>
      <c r="S19" s="329"/>
      <c r="T19" s="329"/>
      <c r="U19" s="329"/>
      <c r="W19" s="362"/>
      <c r="X19" s="77" t="s">
        <v>166</v>
      </c>
      <c r="Y19" s="78">
        <f>BG4</f>
        <v>0</v>
      </c>
      <c r="AE19" s="117"/>
      <c r="AF19" s="112"/>
      <c r="AG19" s="391"/>
      <c r="AH19" s="392"/>
      <c r="AI19" s="391"/>
      <c r="AJ19" s="393"/>
      <c r="AP19" s="118"/>
      <c r="AQ19" s="119"/>
      <c r="AR19" s="120"/>
      <c r="AS19" s="121"/>
      <c r="AT19" s="122"/>
      <c r="AU19" s="123"/>
      <c r="AV19" s="124"/>
      <c r="AW19" s="121"/>
      <c r="AX19" s="122"/>
      <c r="AY19" s="121"/>
      <c r="AZ19" s="122"/>
      <c r="BA19" s="121"/>
      <c r="BB19" s="122"/>
      <c r="BC19" s="125"/>
    </row>
    <row r="20" spans="3:55" ht="18">
      <c r="C20" s="405"/>
      <c r="D20" s="330"/>
      <c r="E20" s="95">
        <v>11</v>
      </c>
      <c r="F20" s="326" t="s">
        <v>230</v>
      </c>
      <c r="G20" s="326"/>
      <c r="H20" s="326"/>
      <c r="I20" s="326"/>
      <c r="J20" s="326"/>
      <c r="K20" s="326"/>
      <c r="L20" s="385"/>
      <c r="M20" s="386"/>
      <c r="N20" s="96" t="b">
        <v>0</v>
      </c>
      <c r="O20" s="357"/>
      <c r="P20" s="329"/>
      <c r="Q20" s="329"/>
      <c r="R20" s="329"/>
      <c r="S20" s="329"/>
      <c r="T20" s="329"/>
      <c r="U20" s="329"/>
      <c r="W20" s="362"/>
      <c r="X20" s="77" t="s">
        <v>173</v>
      </c>
      <c r="Y20" s="78">
        <f>BG5</f>
        <v>0</v>
      </c>
      <c r="AE20" s="394" t="s">
        <v>231</v>
      </c>
      <c r="AF20" s="394"/>
      <c r="AG20" s="394"/>
      <c r="AH20" s="394"/>
      <c r="AI20" s="394"/>
      <c r="AJ20" s="394"/>
      <c r="AP20" s="126"/>
      <c r="AQ20" s="127"/>
      <c r="AR20" s="128"/>
      <c r="AS20" s="129"/>
      <c r="AT20" s="130"/>
      <c r="AU20" s="131"/>
      <c r="AV20" s="132"/>
      <c r="AW20" s="129"/>
      <c r="AX20" s="130"/>
      <c r="AY20" s="129"/>
      <c r="AZ20" s="130"/>
      <c r="BA20" s="129"/>
      <c r="BB20" s="130"/>
      <c r="BC20" s="133"/>
    </row>
    <row r="21" spans="3:55" ht="18.75" thickBot="1">
      <c r="C21" s="405"/>
      <c r="D21" s="330"/>
      <c r="E21" s="147">
        <v>12</v>
      </c>
      <c r="F21" s="371" t="s">
        <v>283</v>
      </c>
      <c r="G21" s="371"/>
      <c r="H21" s="371"/>
      <c r="I21" s="371"/>
      <c r="J21" s="371"/>
      <c r="K21" s="371"/>
      <c r="L21" s="372" t="s">
        <v>284</v>
      </c>
      <c r="M21" s="373"/>
      <c r="N21" s="148" t="b">
        <v>0</v>
      </c>
      <c r="O21" s="376"/>
      <c r="P21" s="376"/>
      <c r="Q21" s="376"/>
      <c r="R21" s="376"/>
      <c r="S21" s="376"/>
      <c r="T21" s="376"/>
      <c r="U21" s="376"/>
      <c r="W21" s="363"/>
      <c r="X21" s="98" t="s">
        <v>155</v>
      </c>
      <c r="Y21" s="99">
        <f>BG6</f>
        <v>0</v>
      </c>
      <c r="AE21" s="47" t="s">
        <v>232</v>
      </c>
      <c r="AF21" s="377"/>
      <c r="AG21" s="378"/>
      <c r="AH21" s="377" t="s">
        <v>233</v>
      </c>
      <c r="AI21" s="378"/>
      <c r="AJ21" s="48"/>
      <c r="AP21" s="126"/>
      <c r="AQ21" s="119"/>
      <c r="AR21" s="120"/>
      <c r="AS21" s="121"/>
      <c r="AT21" s="122"/>
      <c r="AU21" s="121"/>
      <c r="AV21" s="122"/>
      <c r="AW21" s="121"/>
      <c r="AX21" s="134"/>
      <c r="AY21" s="134"/>
      <c r="AZ21" s="122"/>
      <c r="BA21" s="121"/>
      <c r="BB21" s="122"/>
      <c r="BC21" s="125"/>
    </row>
    <row r="22" spans="3:55" ht="21" thickBot="1">
      <c r="C22" s="405"/>
      <c r="D22" s="330"/>
      <c r="E22" s="147">
        <v>13</v>
      </c>
      <c r="F22" s="371" t="s">
        <v>285</v>
      </c>
      <c r="G22" s="371"/>
      <c r="H22" s="371"/>
      <c r="I22" s="371"/>
      <c r="J22" s="371"/>
      <c r="K22" s="371"/>
      <c r="L22" s="374"/>
      <c r="M22" s="375"/>
      <c r="N22" s="148" t="b">
        <v>0</v>
      </c>
      <c r="O22" s="376"/>
      <c r="P22" s="376"/>
      <c r="Q22" s="376"/>
      <c r="R22" s="376"/>
      <c r="S22" s="376"/>
      <c r="T22" s="376"/>
      <c r="U22" s="376"/>
      <c r="W22" s="102"/>
      <c r="X22" s="103"/>
      <c r="Y22" s="104"/>
      <c r="AE22" s="47" t="s">
        <v>234</v>
      </c>
      <c r="AF22" s="377"/>
      <c r="AG22" s="378"/>
      <c r="AH22" s="377" t="s">
        <v>235</v>
      </c>
      <c r="AI22" s="378"/>
      <c r="AJ22" s="135"/>
      <c r="AP22" s="126"/>
      <c r="AQ22" s="127"/>
      <c r="AR22" s="128"/>
      <c r="AS22" s="129"/>
      <c r="AT22" s="130"/>
      <c r="AU22" s="129"/>
      <c r="AV22" s="130"/>
      <c r="AW22" s="129"/>
      <c r="AX22" s="136"/>
      <c r="AY22" s="136"/>
      <c r="AZ22" s="130"/>
      <c r="BA22" s="129"/>
      <c r="BB22" s="130"/>
      <c r="BC22" s="133"/>
    </row>
    <row r="23" spans="3:55" ht="30.75" customHeight="1">
      <c r="C23" s="405"/>
      <c r="D23" s="330"/>
      <c r="E23" s="95">
        <v>14</v>
      </c>
      <c r="F23" s="326" t="s">
        <v>236</v>
      </c>
      <c r="G23" s="326"/>
      <c r="H23" s="326"/>
      <c r="I23" s="326"/>
      <c r="J23" s="326"/>
      <c r="K23" s="326"/>
      <c r="L23" s="359" t="s">
        <v>237</v>
      </c>
      <c r="M23" s="360"/>
      <c r="N23" s="96" t="b">
        <v>0</v>
      </c>
      <c r="O23" s="357"/>
      <c r="P23" s="329"/>
      <c r="Q23" s="329"/>
      <c r="R23" s="329"/>
      <c r="S23" s="329"/>
      <c r="T23" s="329"/>
      <c r="U23" s="329"/>
      <c r="W23" s="361" t="s">
        <v>154</v>
      </c>
      <c r="X23" s="69" t="s">
        <v>155</v>
      </c>
      <c r="Y23" s="70" t="e">
        <f>#REF!</f>
        <v>#REF!</v>
      </c>
      <c r="AP23" s="137"/>
      <c r="AQ23" s="114"/>
      <c r="AR23" s="115"/>
      <c r="AS23" s="54"/>
      <c r="AT23" s="56"/>
      <c r="AU23" s="54"/>
      <c r="AV23" s="56"/>
      <c r="AW23" s="54"/>
      <c r="AX23" s="55"/>
      <c r="AY23" s="55"/>
      <c r="AZ23" s="56"/>
      <c r="BA23" s="54"/>
      <c r="BB23" s="56"/>
      <c r="BC23" s="138"/>
    </row>
    <row r="24" spans="3:55" ht="18">
      <c r="C24" s="405"/>
      <c r="D24" s="330" t="s">
        <v>238</v>
      </c>
      <c r="E24" s="95">
        <v>15</v>
      </c>
      <c r="F24" s="326" t="s">
        <v>239</v>
      </c>
      <c r="G24" s="326"/>
      <c r="H24" s="326"/>
      <c r="I24" s="326"/>
      <c r="J24" s="326"/>
      <c r="K24" s="326"/>
      <c r="L24" s="332" t="s">
        <v>240</v>
      </c>
      <c r="M24" s="333"/>
      <c r="N24" s="96" t="b">
        <v>0</v>
      </c>
      <c r="O24" s="328"/>
      <c r="P24" s="329"/>
      <c r="Q24" s="329"/>
      <c r="R24" s="329"/>
      <c r="S24" s="329"/>
      <c r="T24" s="329"/>
      <c r="U24" s="329"/>
      <c r="W24" s="362"/>
      <c r="X24" s="77" t="s">
        <v>157</v>
      </c>
      <c r="Y24" s="78" t="e">
        <f>BV2</f>
        <v>#REF!</v>
      </c>
      <c r="AP24" s="113"/>
      <c r="AQ24" s="114"/>
      <c r="AR24" s="115"/>
      <c r="AS24" s="54"/>
      <c r="AT24" s="56"/>
      <c r="AU24" s="54"/>
      <c r="AV24" s="56"/>
      <c r="AW24" s="54"/>
      <c r="AX24" s="55"/>
      <c r="AY24" s="55"/>
      <c r="AZ24" s="56"/>
      <c r="BA24" s="54"/>
      <c r="BB24" s="56"/>
      <c r="BC24" s="116"/>
    </row>
    <row r="25" spans="3:55" ht="18">
      <c r="C25" s="405"/>
      <c r="D25" s="330"/>
      <c r="E25" s="95">
        <v>16</v>
      </c>
      <c r="F25" s="326" t="s">
        <v>241</v>
      </c>
      <c r="G25" s="326"/>
      <c r="H25" s="326"/>
      <c r="I25" s="326"/>
      <c r="J25" s="326"/>
      <c r="K25" s="326"/>
      <c r="L25" s="334"/>
      <c r="M25" s="335"/>
      <c r="N25" s="96" t="b">
        <v>0</v>
      </c>
      <c r="O25" s="328"/>
      <c r="P25" s="329"/>
      <c r="Q25" s="329"/>
      <c r="R25" s="329"/>
      <c r="S25" s="329"/>
      <c r="T25" s="329"/>
      <c r="U25" s="329"/>
      <c r="W25" s="362"/>
      <c r="X25" s="77" t="s">
        <v>162</v>
      </c>
      <c r="Y25" s="78" t="e">
        <f>BV3</f>
        <v>#REF!</v>
      </c>
      <c r="AP25" s="118"/>
      <c r="AQ25" s="119"/>
      <c r="AR25" s="120"/>
      <c r="AS25" s="121"/>
      <c r="AT25" s="122"/>
      <c r="AU25" s="121"/>
      <c r="AV25" s="122"/>
      <c r="AW25" s="121"/>
      <c r="AX25" s="134"/>
      <c r="AY25" s="134"/>
      <c r="AZ25" s="122"/>
      <c r="BA25" s="121"/>
      <c r="BB25" s="122"/>
      <c r="BC25" s="139"/>
    </row>
    <row r="26" spans="3:55" ht="18">
      <c r="C26" s="405"/>
      <c r="D26" s="330" t="s">
        <v>242</v>
      </c>
      <c r="E26" s="365">
        <v>17</v>
      </c>
      <c r="F26" s="368" t="s">
        <v>474</v>
      </c>
      <c r="G26" s="368"/>
      <c r="H26" s="368"/>
      <c r="I26" s="368"/>
      <c r="J26" s="368"/>
      <c r="K26" s="368"/>
      <c r="L26" s="332" t="s">
        <v>243</v>
      </c>
      <c r="M26" s="333"/>
      <c r="N26" s="96" t="b">
        <v>0</v>
      </c>
      <c r="O26" s="357" t="s">
        <v>475</v>
      </c>
      <c r="P26" s="358"/>
      <c r="Q26" s="358"/>
      <c r="R26" s="358"/>
      <c r="S26" s="358"/>
      <c r="T26" s="358"/>
      <c r="U26" s="358"/>
      <c r="W26" s="362"/>
      <c r="X26" s="77" t="s">
        <v>167</v>
      </c>
      <c r="Y26" s="78" t="str">
        <f>BV4</f>
        <v>2024. 11. 18 ~ 2025. 01. 10</v>
      </c>
      <c r="AP26" s="126"/>
      <c r="AQ26" s="127"/>
      <c r="AR26" s="128"/>
      <c r="AS26" s="129"/>
      <c r="AT26" s="130"/>
      <c r="AU26" s="129"/>
      <c r="AV26" s="130"/>
      <c r="AW26" s="129"/>
      <c r="AX26" s="136"/>
      <c r="AY26" s="136"/>
      <c r="AZ26" s="130"/>
      <c r="BA26" s="129"/>
      <c r="BB26" s="130"/>
      <c r="BC26" s="140"/>
    </row>
    <row r="27" spans="3:55" ht="18">
      <c r="C27" s="405"/>
      <c r="D27" s="364"/>
      <c r="E27" s="366"/>
      <c r="F27" s="368"/>
      <c r="G27" s="368"/>
      <c r="H27" s="368"/>
      <c r="I27" s="368"/>
      <c r="J27" s="368"/>
      <c r="K27" s="368"/>
      <c r="L27" s="369"/>
      <c r="M27" s="370"/>
      <c r="N27" s="96" t="b">
        <v>0</v>
      </c>
      <c r="O27" s="357" t="s">
        <v>476</v>
      </c>
      <c r="P27" s="358"/>
      <c r="Q27" s="358"/>
      <c r="R27" s="358"/>
      <c r="S27" s="358"/>
      <c r="T27" s="358"/>
      <c r="U27" s="358"/>
      <c r="W27" s="362"/>
      <c r="X27" s="77" t="s">
        <v>174</v>
      </c>
      <c r="Y27" s="78">
        <f>BV5</f>
        <v>0</v>
      </c>
      <c r="AP27" s="126"/>
      <c r="AQ27" s="119"/>
      <c r="AR27" s="120"/>
      <c r="AS27" s="121"/>
      <c r="AT27" s="122"/>
      <c r="AU27" s="121"/>
      <c r="AV27" s="122"/>
      <c r="AW27" s="121"/>
      <c r="AX27" s="134"/>
      <c r="AY27" s="134"/>
      <c r="AZ27" s="122"/>
      <c r="BA27" s="121"/>
      <c r="BB27" s="122"/>
      <c r="BC27" s="125"/>
    </row>
    <row r="28" spans="3:55" ht="18.75" thickBot="1">
      <c r="C28" s="405"/>
      <c r="D28" s="364"/>
      <c r="E28" s="367"/>
      <c r="F28" s="368"/>
      <c r="G28" s="368"/>
      <c r="H28" s="368"/>
      <c r="I28" s="368"/>
      <c r="J28" s="368"/>
      <c r="K28" s="368"/>
      <c r="L28" s="369"/>
      <c r="M28" s="370"/>
      <c r="N28" s="96" t="b">
        <v>0</v>
      </c>
      <c r="O28" s="357" t="s">
        <v>477</v>
      </c>
      <c r="P28" s="358"/>
      <c r="Q28" s="358"/>
      <c r="R28" s="358"/>
      <c r="S28" s="358"/>
      <c r="T28" s="358"/>
      <c r="U28" s="358"/>
      <c r="W28" s="363"/>
      <c r="X28" s="98" t="s">
        <v>185</v>
      </c>
      <c r="Y28" s="99">
        <f>BV6</f>
        <v>0</v>
      </c>
      <c r="AP28" s="126"/>
      <c r="AQ28" s="127"/>
      <c r="AR28" s="128"/>
      <c r="AS28" s="129"/>
      <c r="AT28" s="130"/>
      <c r="AU28" s="129"/>
      <c r="AV28" s="130"/>
      <c r="AW28" s="129"/>
      <c r="AX28" s="136"/>
      <c r="AY28" s="136"/>
      <c r="AZ28" s="130"/>
      <c r="BA28" s="129"/>
      <c r="BB28" s="130"/>
      <c r="BC28" s="133"/>
    </row>
    <row r="29" spans="3:55">
      <c r="C29" s="405"/>
      <c r="D29" s="364"/>
      <c r="E29" s="95">
        <v>18</v>
      </c>
      <c r="F29" s="326" t="s">
        <v>244</v>
      </c>
      <c r="G29" s="326"/>
      <c r="H29" s="326"/>
      <c r="I29" s="326"/>
      <c r="J29" s="326"/>
      <c r="K29" s="326"/>
      <c r="L29" s="369"/>
      <c r="M29" s="370"/>
      <c r="N29" s="96" t="b">
        <v>0</v>
      </c>
      <c r="O29" s="328"/>
      <c r="P29" s="329"/>
      <c r="Q29" s="329"/>
      <c r="R29" s="329"/>
      <c r="S29" s="329"/>
      <c r="T29" s="329"/>
      <c r="U29" s="329"/>
      <c r="AP29" s="137"/>
      <c r="AQ29" s="114"/>
      <c r="AR29" s="115"/>
      <c r="AS29" s="54"/>
      <c r="AT29" s="56"/>
      <c r="AU29" s="54"/>
      <c r="AV29" s="56"/>
      <c r="AW29" s="54"/>
      <c r="AX29" s="55"/>
      <c r="AY29" s="55"/>
      <c r="AZ29" s="56"/>
      <c r="BA29" s="54"/>
      <c r="BB29" s="56"/>
      <c r="BC29" s="116"/>
    </row>
    <row r="30" spans="3:55">
      <c r="C30" s="405"/>
      <c r="D30" s="364"/>
      <c r="E30" s="95">
        <v>19</v>
      </c>
      <c r="F30" s="326" t="s">
        <v>245</v>
      </c>
      <c r="G30" s="326"/>
      <c r="H30" s="326"/>
      <c r="I30" s="326"/>
      <c r="J30" s="326"/>
      <c r="K30" s="326"/>
      <c r="L30" s="369"/>
      <c r="M30" s="370"/>
      <c r="N30" s="96" t="b">
        <v>0</v>
      </c>
      <c r="O30" s="328"/>
      <c r="P30" s="329"/>
      <c r="Q30" s="329"/>
      <c r="R30" s="329"/>
      <c r="S30" s="329"/>
      <c r="T30" s="329"/>
      <c r="U30" s="329"/>
    </row>
    <row r="31" spans="3:55">
      <c r="C31" s="405"/>
      <c r="D31" s="364"/>
      <c r="E31" s="95">
        <v>20</v>
      </c>
      <c r="F31" s="326" t="s">
        <v>246</v>
      </c>
      <c r="G31" s="326"/>
      <c r="H31" s="326"/>
      <c r="I31" s="326"/>
      <c r="J31" s="326"/>
      <c r="K31" s="326"/>
      <c r="L31" s="369"/>
      <c r="M31" s="370"/>
      <c r="N31" s="96" t="b">
        <v>0</v>
      </c>
      <c r="O31" s="328"/>
      <c r="P31" s="329"/>
      <c r="Q31" s="329"/>
      <c r="R31" s="329"/>
      <c r="S31" s="329"/>
      <c r="T31" s="329"/>
      <c r="U31" s="329"/>
    </row>
    <row r="32" spans="3:55" ht="30.75" customHeight="1">
      <c r="C32" s="405"/>
      <c r="D32" s="364"/>
      <c r="E32" s="95">
        <v>21</v>
      </c>
      <c r="F32" s="326" t="s">
        <v>247</v>
      </c>
      <c r="G32" s="326"/>
      <c r="H32" s="326"/>
      <c r="I32" s="326"/>
      <c r="J32" s="326"/>
      <c r="K32" s="326"/>
      <c r="L32" s="334"/>
      <c r="M32" s="335"/>
      <c r="N32" s="96" t="b">
        <v>0</v>
      </c>
      <c r="O32" s="328" t="s">
        <v>248</v>
      </c>
      <c r="P32" s="329"/>
      <c r="Q32" s="329"/>
      <c r="R32" s="329"/>
      <c r="S32" s="329"/>
      <c r="T32" s="329"/>
      <c r="U32" s="329"/>
    </row>
    <row r="33" spans="3:21">
      <c r="C33" s="405"/>
      <c r="D33" s="330" t="s">
        <v>249</v>
      </c>
      <c r="E33" s="141">
        <v>22</v>
      </c>
      <c r="F33" s="348" t="s">
        <v>250</v>
      </c>
      <c r="G33" s="348"/>
      <c r="H33" s="348"/>
      <c r="I33" s="348"/>
      <c r="J33" s="348"/>
      <c r="K33" s="348"/>
      <c r="L33" s="349" t="s">
        <v>251</v>
      </c>
      <c r="M33" s="349"/>
      <c r="N33" s="142" t="b">
        <v>0</v>
      </c>
      <c r="O33" s="350" t="s">
        <v>252</v>
      </c>
      <c r="P33" s="350"/>
      <c r="Q33" s="350"/>
      <c r="R33" s="350"/>
      <c r="S33" s="350"/>
      <c r="T33" s="350"/>
      <c r="U33" s="350"/>
    </row>
    <row r="34" spans="3:21">
      <c r="C34" s="405"/>
      <c r="D34" s="330"/>
      <c r="E34" s="95">
        <v>23</v>
      </c>
      <c r="F34" s="326" t="s">
        <v>253</v>
      </c>
      <c r="G34" s="326"/>
      <c r="H34" s="326"/>
      <c r="I34" s="326"/>
      <c r="J34" s="326"/>
      <c r="K34" s="326"/>
      <c r="L34" s="332" t="s">
        <v>254</v>
      </c>
      <c r="M34" s="333"/>
      <c r="N34" s="96" t="b">
        <v>0</v>
      </c>
      <c r="O34" s="357" t="s">
        <v>255</v>
      </c>
      <c r="P34" s="358"/>
      <c r="Q34" s="358"/>
      <c r="R34" s="358"/>
      <c r="S34" s="358"/>
      <c r="T34" s="358"/>
      <c r="U34" s="358"/>
    </row>
    <row r="35" spans="3:21">
      <c r="C35" s="405"/>
      <c r="D35" s="330"/>
      <c r="E35" s="95">
        <v>24</v>
      </c>
      <c r="F35" s="326" t="s">
        <v>256</v>
      </c>
      <c r="G35" s="326"/>
      <c r="H35" s="326"/>
      <c r="I35" s="326"/>
      <c r="J35" s="326"/>
      <c r="K35" s="326"/>
      <c r="L35" s="334"/>
      <c r="M35" s="335"/>
      <c r="N35" s="96" t="b">
        <v>0</v>
      </c>
      <c r="O35" s="328"/>
      <c r="P35" s="329"/>
      <c r="Q35" s="329"/>
      <c r="R35" s="329"/>
      <c r="S35" s="329"/>
      <c r="T35" s="329"/>
      <c r="U35" s="329"/>
    </row>
    <row r="36" spans="3:21">
      <c r="C36" s="405"/>
      <c r="D36" s="330"/>
      <c r="E36" s="95">
        <v>25</v>
      </c>
      <c r="F36" s="326" t="s">
        <v>257</v>
      </c>
      <c r="G36" s="326"/>
      <c r="H36" s="326"/>
      <c r="I36" s="326"/>
      <c r="J36" s="326"/>
      <c r="K36" s="326"/>
      <c r="L36" s="327" t="s">
        <v>258</v>
      </c>
      <c r="M36" s="327"/>
      <c r="N36" s="96" t="b">
        <v>0</v>
      </c>
      <c r="O36" s="328"/>
      <c r="P36" s="329"/>
      <c r="Q36" s="329"/>
      <c r="R36" s="329"/>
      <c r="S36" s="329"/>
      <c r="T36" s="329"/>
      <c r="U36" s="329"/>
    </row>
    <row r="37" spans="3:21">
      <c r="C37" s="405"/>
      <c r="D37" s="330"/>
      <c r="E37" s="95">
        <v>26</v>
      </c>
      <c r="F37" s="341" t="s">
        <v>259</v>
      </c>
      <c r="G37" s="342"/>
      <c r="H37" s="342"/>
      <c r="I37" s="342"/>
      <c r="J37" s="342"/>
      <c r="K37" s="343"/>
      <c r="L37" s="344" t="s">
        <v>260</v>
      </c>
      <c r="M37" s="345"/>
      <c r="N37" s="96" t="b">
        <v>0</v>
      </c>
      <c r="O37" s="328"/>
      <c r="P37" s="329"/>
      <c r="Q37" s="329"/>
      <c r="R37" s="329"/>
      <c r="S37" s="329"/>
      <c r="T37" s="329"/>
      <c r="U37" s="329"/>
    </row>
    <row r="38" spans="3:21">
      <c r="C38" s="405"/>
      <c r="D38" s="330"/>
      <c r="E38" s="95">
        <v>27</v>
      </c>
      <c r="F38" s="326" t="s">
        <v>261</v>
      </c>
      <c r="G38" s="326"/>
      <c r="H38" s="326"/>
      <c r="I38" s="326"/>
      <c r="J38" s="326"/>
      <c r="K38" s="326"/>
      <c r="L38" s="346"/>
      <c r="M38" s="347"/>
      <c r="N38" s="96" t="b">
        <v>0</v>
      </c>
      <c r="O38" s="328" t="s">
        <v>262</v>
      </c>
      <c r="P38" s="329"/>
      <c r="Q38" s="329"/>
      <c r="R38" s="329"/>
      <c r="S38" s="329"/>
      <c r="T38" s="329"/>
      <c r="U38" s="329"/>
    </row>
    <row r="39" spans="3:21">
      <c r="C39" s="405"/>
      <c r="D39" s="330" t="s">
        <v>263</v>
      </c>
      <c r="E39" s="141">
        <v>28</v>
      </c>
      <c r="F39" s="348" t="s">
        <v>264</v>
      </c>
      <c r="G39" s="348"/>
      <c r="H39" s="348"/>
      <c r="I39" s="348"/>
      <c r="J39" s="348"/>
      <c r="K39" s="348"/>
      <c r="L39" s="349" t="s">
        <v>265</v>
      </c>
      <c r="M39" s="349"/>
      <c r="N39" s="142" t="b">
        <v>0</v>
      </c>
      <c r="O39" s="350"/>
      <c r="P39" s="350"/>
      <c r="Q39" s="350"/>
      <c r="R39" s="350"/>
      <c r="S39" s="350"/>
      <c r="T39" s="350"/>
      <c r="U39" s="350"/>
    </row>
    <row r="40" spans="3:21">
      <c r="C40" s="405"/>
      <c r="D40" s="330"/>
      <c r="E40" s="95">
        <v>29</v>
      </c>
      <c r="F40" s="326" t="s">
        <v>266</v>
      </c>
      <c r="G40" s="326"/>
      <c r="H40" s="326"/>
      <c r="I40" s="326"/>
      <c r="J40" s="326"/>
      <c r="K40" s="326"/>
      <c r="L40" s="327" t="s">
        <v>267</v>
      </c>
      <c r="M40" s="327"/>
      <c r="N40" s="96" t="b">
        <v>0</v>
      </c>
      <c r="O40" s="328"/>
      <c r="P40" s="329"/>
      <c r="Q40" s="329"/>
      <c r="R40" s="329"/>
      <c r="S40" s="329"/>
      <c r="T40" s="329"/>
      <c r="U40" s="329"/>
    </row>
    <row r="41" spans="3:21">
      <c r="C41" s="405"/>
      <c r="D41" s="330"/>
      <c r="E41" s="143">
        <v>30</v>
      </c>
      <c r="F41" s="324" t="s">
        <v>268</v>
      </c>
      <c r="G41" s="324"/>
      <c r="H41" s="324"/>
      <c r="I41" s="324"/>
      <c r="J41" s="324"/>
      <c r="K41" s="324"/>
      <c r="L41" s="351" t="s">
        <v>269</v>
      </c>
      <c r="M41" s="352"/>
      <c r="N41" s="144" t="b">
        <v>0</v>
      </c>
      <c r="O41" s="325" t="s">
        <v>270</v>
      </c>
      <c r="P41" s="325"/>
      <c r="Q41" s="325"/>
      <c r="R41" s="325"/>
      <c r="S41" s="325"/>
      <c r="T41" s="325"/>
      <c r="U41" s="325"/>
    </row>
    <row r="42" spans="3:21">
      <c r="C42" s="405"/>
      <c r="D42" s="330"/>
      <c r="E42" s="143">
        <v>31</v>
      </c>
      <c r="F42" s="324" t="s">
        <v>271</v>
      </c>
      <c r="G42" s="324"/>
      <c r="H42" s="324"/>
      <c r="I42" s="324"/>
      <c r="J42" s="324"/>
      <c r="K42" s="324"/>
      <c r="L42" s="353"/>
      <c r="M42" s="354"/>
      <c r="N42" s="144" t="b">
        <v>0</v>
      </c>
      <c r="O42" s="325"/>
      <c r="P42" s="325"/>
      <c r="Q42" s="325"/>
      <c r="R42" s="325"/>
      <c r="S42" s="325"/>
      <c r="T42" s="325"/>
      <c r="U42" s="325"/>
    </row>
    <row r="43" spans="3:21">
      <c r="C43" s="405"/>
      <c r="D43" s="330"/>
      <c r="E43" s="143">
        <v>32</v>
      </c>
      <c r="F43" s="324" t="s">
        <v>272</v>
      </c>
      <c r="G43" s="324"/>
      <c r="H43" s="324"/>
      <c r="I43" s="324"/>
      <c r="J43" s="324"/>
      <c r="K43" s="324"/>
      <c r="L43" s="353"/>
      <c r="M43" s="354"/>
      <c r="N43" s="144" t="b">
        <v>0</v>
      </c>
      <c r="O43" s="325"/>
      <c r="P43" s="325"/>
      <c r="Q43" s="325"/>
      <c r="R43" s="325"/>
      <c r="S43" s="325"/>
      <c r="T43" s="325"/>
      <c r="U43" s="325"/>
    </row>
    <row r="44" spans="3:21">
      <c r="C44" s="405"/>
      <c r="D44" s="330"/>
      <c r="E44" s="143">
        <v>33</v>
      </c>
      <c r="F44" s="324" t="s">
        <v>273</v>
      </c>
      <c r="G44" s="324"/>
      <c r="H44" s="324"/>
      <c r="I44" s="324"/>
      <c r="J44" s="324"/>
      <c r="K44" s="324"/>
      <c r="L44" s="353"/>
      <c r="M44" s="354"/>
      <c r="N44" s="144" t="b">
        <v>0</v>
      </c>
      <c r="O44" s="325"/>
      <c r="P44" s="325"/>
      <c r="Q44" s="325"/>
      <c r="R44" s="325"/>
      <c r="S44" s="325"/>
      <c r="T44" s="325"/>
      <c r="U44" s="325"/>
    </row>
    <row r="45" spans="3:21">
      <c r="C45" s="405"/>
      <c r="D45" s="330"/>
      <c r="E45" s="143">
        <v>34</v>
      </c>
      <c r="F45" s="324" t="s">
        <v>274</v>
      </c>
      <c r="G45" s="324"/>
      <c r="H45" s="324"/>
      <c r="I45" s="324"/>
      <c r="J45" s="324"/>
      <c r="K45" s="324"/>
      <c r="L45" s="355"/>
      <c r="M45" s="356"/>
      <c r="N45" s="144" t="b">
        <v>0</v>
      </c>
      <c r="O45" s="325"/>
      <c r="P45" s="325"/>
      <c r="Q45" s="325"/>
      <c r="R45" s="325"/>
      <c r="S45" s="325"/>
      <c r="T45" s="325"/>
      <c r="U45" s="325"/>
    </row>
    <row r="46" spans="3:21">
      <c r="C46" s="405"/>
      <c r="D46" s="330"/>
      <c r="E46" s="95">
        <v>35</v>
      </c>
      <c r="F46" s="326" t="s">
        <v>275</v>
      </c>
      <c r="G46" s="326"/>
      <c r="H46" s="326"/>
      <c r="I46" s="326"/>
      <c r="J46" s="326"/>
      <c r="K46" s="326"/>
      <c r="L46" s="327" t="s">
        <v>276</v>
      </c>
      <c r="M46" s="327"/>
      <c r="N46" s="96" t="b">
        <v>0</v>
      </c>
      <c r="O46" s="328"/>
      <c r="P46" s="329"/>
      <c r="Q46" s="329"/>
      <c r="R46" s="329"/>
      <c r="S46" s="329"/>
      <c r="T46" s="329"/>
      <c r="U46" s="329"/>
    </row>
    <row r="47" spans="3:21">
      <c r="C47" s="405"/>
      <c r="D47" s="330"/>
      <c r="E47" s="95">
        <v>36</v>
      </c>
      <c r="F47" s="326" t="s">
        <v>277</v>
      </c>
      <c r="G47" s="326"/>
      <c r="H47" s="326"/>
      <c r="I47" s="326"/>
      <c r="J47" s="326"/>
      <c r="K47" s="326"/>
      <c r="L47" s="327" t="s">
        <v>258</v>
      </c>
      <c r="M47" s="327"/>
      <c r="N47" s="96" t="b">
        <v>0</v>
      </c>
      <c r="O47" s="328"/>
      <c r="P47" s="329"/>
      <c r="Q47" s="329"/>
      <c r="R47" s="329"/>
      <c r="S47" s="329"/>
      <c r="T47" s="329"/>
      <c r="U47" s="329"/>
    </row>
    <row r="48" spans="3:21">
      <c r="C48" s="405"/>
      <c r="D48" s="330" t="s">
        <v>278</v>
      </c>
      <c r="E48" s="95">
        <v>37</v>
      </c>
      <c r="F48" s="326" t="s">
        <v>279</v>
      </c>
      <c r="G48" s="326"/>
      <c r="H48" s="326"/>
      <c r="I48" s="326"/>
      <c r="J48" s="326"/>
      <c r="K48" s="326"/>
      <c r="L48" s="332" t="s">
        <v>280</v>
      </c>
      <c r="M48" s="333"/>
      <c r="N48" s="96" t="b">
        <v>0</v>
      </c>
      <c r="O48" s="328"/>
      <c r="P48" s="329"/>
      <c r="Q48" s="329"/>
      <c r="R48" s="329"/>
      <c r="S48" s="329"/>
      <c r="T48" s="329"/>
      <c r="U48" s="329"/>
    </row>
    <row r="49" spans="3:21">
      <c r="C49" s="406"/>
      <c r="D49" s="331"/>
      <c r="E49" s="95">
        <v>38</v>
      </c>
      <c r="F49" s="336" t="s">
        <v>281</v>
      </c>
      <c r="G49" s="337"/>
      <c r="H49" s="337"/>
      <c r="I49" s="337"/>
      <c r="J49" s="337"/>
      <c r="K49" s="338"/>
      <c r="L49" s="334"/>
      <c r="M49" s="335"/>
      <c r="N49" s="145" t="b">
        <v>0</v>
      </c>
      <c r="O49" s="339"/>
      <c r="P49" s="340"/>
      <c r="Q49" s="340"/>
      <c r="R49" s="340"/>
      <c r="S49" s="340"/>
      <c r="T49" s="340"/>
      <c r="U49" s="340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AA89"/>
  <sheetViews>
    <sheetView showGridLines="0" zoomScale="85" zoomScaleNormal="85" workbookViewId="0">
      <selection activeCell="D20" sqref="D20"/>
    </sheetView>
    <sheetView showGridLines="0" zoomScale="85" zoomScaleNormal="85" workbookViewId="1">
      <selection activeCell="D20" sqref="D20"/>
    </sheetView>
  </sheetViews>
  <sheetFormatPr defaultColWidth="9" defaultRowHeight="12.75"/>
  <cols>
    <col min="1" max="2" width="9" style="152"/>
    <col min="3" max="3" width="10" style="225" customWidth="1"/>
    <col min="4" max="4" width="77.85546875" style="152" bestFit="1" customWidth="1"/>
    <col min="5" max="5" width="17.28515625" style="152" bestFit="1" customWidth="1"/>
    <col min="6" max="6" width="9" style="152"/>
    <col min="7" max="7" width="46.85546875" style="152" customWidth="1"/>
    <col min="9" max="9" width="7.28515625" style="152" bestFit="1" customWidth="1"/>
    <col min="10" max="11" width="9" style="152"/>
    <col min="12" max="12" width="5.42578125" style="152" bestFit="1" customWidth="1"/>
    <col min="13" max="13" width="21.42578125" style="152" bestFit="1" customWidth="1"/>
    <col min="14" max="14" width="8.140625" style="152" bestFit="1" customWidth="1"/>
    <col min="15" max="15" width="18.42578125" style="152" customWidth="1"/>
    <col min="16" max="16" width="7.28515625" style="152" bestFit="1" customWidth="1"/>
    <col min="17" max="17" width="9" style="152" customWidth="1"/>
    <col min="18" max="18" width="9" style="152"/>
    <col min="19" max="19" width="9" style="152" customWidth="1"/>
    <col min="20" max="20" width="9" style="152"/>
    <col min="21" max="21" width="8.85546875" style="152" bestFit="1" customWidth="1"/>
    <col min="22" max="23" width="9" style="152"/>
    <col min="24" max="24" width="3.85546875" style="152" customWidth="1"/>
    <col min="25" max="27" width="8.85546875" style="152" bestFit="1" customWidth="1"/>
    <col min="28" max="16384" width="9" style="152"/>
  </cols>
  <sheetData>
    <row r="1" spans="1:27" ht="15" thickBot="1">
      <c r="A1" s="172"/>
      <c r="B1" s="173">
        <v>5</v>
      </c>
      <c r="C1" s="312"/>
      <c r="D1" s="174" t="s">
        <v>327</v>
      </c>
      <c r="E1" s="185"/>
    </row>
    <row r="2" spans="1:27" ht="13.5" thickTop="1">
      <c r="A2" s="172"/>
      <c r="B2" s="172"/>
      <c r="C2" s="313"/>
    </row>
    <row r="3" spans="1:27">
      <c r="A3" s="172"/>
      <c r="B3" s="473" t="s">
        <v>506</v>
      </c>
      <c r="C3" s="473"/>
      <c r="D3" s="473"/>
      <c r="E3" s="473"/>
      <c r="F3" s="473"/>
      <c r="G3" s="473"/>
      <c r="I3" s="484" t="s">
        <v>330</v>
      </c>
      <c r="J3" s="484"/>
      <c r="K3" s="484"/>
      <c r="L3" s="484"/>
      <c r="M3" s="484"/>
      <c r="N3" s="484"/>
      <c r="O3" s="484"/>
      <c r="P3" s="484"/>
      <c r="Q3" s="484"/>
      <c r="S3" s="484" t="s">
        <v>481</v>
      </c>
      <c r="T3" s="484"/>
      <c r="U3" s="484"/>
      <c r="V3" s="484"/>
      <c r="W3" s="484"/>
      <c r="X3" s="484"/>
      <c r="Y3" s="484"/>
      <c r="Z3" s="484"/>
      <c r="AA3" s="484"/>
    </row>
    <row r="4" spans="1:27" ht="13.5" thickBot="1">
      <c r="A4" s="172"/>
      <c r="B4" s="474"/>
      <c r="C4" s="474"/>
      <c r="D4" s="474"/>
      <c r="E4" s="474"/>
      <c r="F4" s="474"/>
      <c r="G4" s="474"/>
      <c r="I4" s="461"/>
      <c r="J4" s="461"/>
      <c r="K4" s="461"/>
      <c r="L4" s="461"/>
      <c r="M4" s="461"/>
      <c r="N4" s="461"/>
      <c r="O4" s="461"/>
      <c r="P4" s="461"/>
      <c r="Q4" s="461"/>
      <c r="S4" s="461"/>
      <c r="T4" s="461"/>
      <c r="U4" s="461"/>
      <c r="V4" s="461"/>
      <c r="W4" s="461"/>
      <c r="X4" s="461"/>
      <c r="Y4" s="461"/>
      <c r="Z4" s="461"/>
      <c r="AA4" s="461"/>
    </row>
    <row r="5" spans="1:27" ht="27" thickTop="1" thickBot="1">
      <c r="A5" s="240"/>
      <c r="B5" s="255" t="s">
        <v>376</v>
      </c>
      <c r="C5" s="308" t="s">
        <v>483</v>
      </c>
      <c r="D5" s="182" t="s">
        <v>377</v>
      </c>
      <c r="E5" s="255" t="s">
        <v>441</v>
      </c>
      <c r="F5" s="182" t="s">
        <v>438</v>
      </c>
      <c r="G5" s="292" t="s">
        <v>472</v>
      </c>
      <c r="I5" s="233" t="s">
        <v>325</v>
      </c>
      <c r="J5" s="233"/>
      <c r="K5" s="233"/>
      <c r="L5" s="233"/>
      <c r="M5" s="233"/>
      <c r="N5" s="233"/>
      <c r="O5" s="233"/>
      <c r="P5" s="233"/>
      <c r="Q5" s="233"/>
      <c r="T5" s="180"/>
      <c r="U5" s="180"/>
      <c r="V5" s="180"/>
      <c r="W5" s="180"/>
      <c r="X5" s="180"/>
      <c r="Z5" s="180"/>
      <c r="AA5" s="180"/>
    </row>
    <row r="6" spans="1:27" ht="26.25" thickTop="1">
      <c r="B6" s="293">
        <v>1</v>
      </c>
      <c r="C6" s="475" t="s">
        <v>498</v>
      </c>
      <c r="D6" s="318" t="s">
        <v>511</v>
      </c>
      <c r="E6" s="294" t="s">
        <v>470</v>
      </c>
      <c r="F6" s="295" t="s">
        <v>469</v>
      </c>
      <c r="G6" s="244"/>
      <c r="I6" s="234" t="s">
        <v>326</v>
      </c>
      <c r="J6" s="234"/>
      <c r="K6" s="234"/>
      <c r="L6" s="234"/>
      <c r="M6" s="234"/>
      <c r="N6" s="234"/>
      <c r="O6" s="234"/>
      <c r="P6" s="234"/>
      <c r="Q6" s="234"/>
      <c r="S6" s="487" t="s">
        <v>308</v>
      </c>
      <c r="T6" s="487"/>
      <c r="U6" s="487"/>
      <c r="V6" s="487"/>
      <c r="W6" s="487"/>
      <c r="X6" s="180"/>
      <c r="Y6" s="487" t="s">
        <v>530</v>
      </c>
      <c r="Z6" s="487"/>
      <c r="AA6" s="487"/>
    </row>
    <row r="7" spans="1:27" ht="18">
      <c r="B7" s="175">
        <v>2</v>
      </c>
      <c r="C7" s="476"/>
      <c r="D7" s="242" t="s">
        <v>328</v>
      </c>
      <c r="E7" s="243" t="s">
        <v>469</v>
      </c>
      <c r="F7" s="296" t="s">
        <v>469</v>
      </c>
      <c r="G7" s="244"/>
      <c r="I7" s="234" t="s">
        <v>324</v>
      </c>
      <c r="J7" s="234"/>
      <c r="K7" s="234"/>
      <c r="L7" s="234"/>
      <c r="M7" s="234"/>
      <c r="N7" s="234"/>
      <c r="O7" s="234"/>
      <c r="P7" s="234"/>
      <c r="Q7" s="234"/>
      <c r="S7" s="321"/>
      <c r="T7" s="321"/>
      <c r="U7" s="321"/>
      <c r="V7" s="321"/>
      <c r="W7" s="321"/>
      <c r="X7" s="8"/>
      <c r="Y7" s="322"/>
      <c r="Z7" s="322"/>
      <c r="AA7" s="322"/>
    </row>
    <row r="8" spans="1:27" ht="27" thickBot="1">
      <c r="B8" s="175">
        <v>3</v>
      </c>
      <c r="C8" s="476"/>
      <c r="D8" s="241" t="s">
        <v>42</v>
      </c>
      <c r="E8" s="243" t="s">
        <v>469</v>
      </c>
      <c r="F8" s="296" t="s">
        <v>469</v>
      </c>
      <c r="G8" s="244"/>
      <c r="I8" s="237" t="s">
        <v>350</v>
      </c>
      <c r="J8" s="238"/>
      <c r="K8" s="238"/>
      <c r="L8" s="238"/>
      <c r="M8" s="238"/>
      <c r="N8" s="238"/>
      <c r="O8" s="238"/>
      <c r="P8" s="238"/>
      <c r="Q8" s="238"/>
      <c r="S8" s="485" t="s">
        <v>480</v>
      </c>
      <c r="T8" s="485"/>
      <c r="U8" s="485"/>
      <c r="V8" s="485"/>
      <c r="W8" s="485"/>
      <c r="Y8" s="486" t="s">
        <v>482</v>
      </c>
      <c r="Z8" s="486"/>
      <c r="AA8" s="486"/>
    </row>
    <row r="9" spans="1:27" ht="19.5" thickTop="1" thickBot="1">
      <c r="B9" s="175">
        <v>4</v>
      </c>
      <c r="C9" s="477"/>
      <c r="D9" s="241" t="s">
        <v>329</v>
      </c>
      <c r="E9" s="243" t="s">
        <v>469</v>
      </c>
      <c r="F9" s="296" t="s">
        <v>469</v>
      </c>
      <c r="G9" s="244"/>
      <c r="I9" s="470" t="s">
        <v>150</v>
      </c>
      <c r="J9" s="470"/>
      <c r="K9" s="470"/>
      <c r="L9" s="470"/>
      <c r="M9" s="470"/>
      <c r="N9" s="470"/>
      <c r="O9" s="470"/>
      <c r="P9" s="470"/>
      <c r="Q9" s="470"/>
      <c r="S9" s="227" t="s">
        <v>344</v>
      </c>
      <c r="T9" s="228"/>
      <c r="U9" s="189" t="s">
        <v>345</v>
      </c>
      <c r="V9" s="466" t="s">
        <v>346</v>
      </c>
      <c r="W9" s="466"/>
      <c r="Y9" s="231" t="s">
        <v>343</v>
      </c>
      <c r="Z9" s="300" t="s">
        <v>343</v>
      </c>
      <c r="AA9" s="231" t="s">
        <v>343</v>
      </c>
    </row>
    <row r="10" spans="1:27" ht="18.75" thickTop="1">
      <c r="B10" s="175">
        <v>5</v>
      </c>
      <c r="C10" s="478" t="s">
        <v>499</v>
      </c>
      <c r="D10" s="241" t="s">
        <v>512</v>
      </c>
      <c r="E10" s="243" t="s">
        <v>192</v>
      </c>
      <c r="F10" s="296" t="s">
        <v>439</v>
      </c>
      <c r="G10" s="244"/>
      <c r="I10" s="8"/>
      <c r="J10" s="8"/>
      <c r="K10" s="8"/>
      <c r="L10" s="8"/>
      <c r="M10" s="8"/>
      <c r="N10" s="8"/>
      <c r="O10" s="8"/>
      <c r="P10" s="8"/>
      <c r="Q10" s="8"/>
      <c r="S10" s="453" t="s">
        <v>348</v>
      </c>
      <c r="T10" s="454"/>
      <c r="U10" s="303" t="s">
        <v>343</v>
      </c>
      <c r="V10" s="462" t="s">
        <v>347</v>
      </c>
      <c r="W10" s="462"/>
      <c r="Y10" s="232" t="s">
        <v>347</v>
      </c>
      <c r="Z10" s="301" t="s">
        <v>347</v>
      </c>
      <c r="AA10" s="232" t="s">
        <v>347</v>
      </c>
    </row>
    <row r="11" spans="1:27" ht="27" thickBot="1">
      <c r="B11" s="175">
        <v>6</v>
      </c>
      <c r="C11" s="477"/>
      <c r="D11" s="241" t="s">
        <v>513</v>
      </c>
      <c r="E11" s="243" t="s">
        <v>192</v>
      </c>
      <c r="F11" s="296" t="s">
        <v>439</v>
      </c>
      <c r="G11" s="244"/>
      <c r="I11" s="472" t="s">
        <v>445</v>
      </c>
      <c r="J11" s="472"/>
      <c r="K11" s="472"/>
      <c r="L11" s="472"/>
      <c r="M11" s="472"/>
      <c r="N11" s="472"/>
      <c r="O11" s="472"/>
      <c r="P11" s="472"/>
      <c r="Q11" s="472"/>
      <c r="S11" s="457"/>
      <c r="T11" s="458"/>
      <c r="U11" s="304" t="s">
        <v>343</v>
      </c>
      <c r="V11" s="464" t="s">
        <v>347</v>
      </c>
      <c r="W11" s="464"/>
      <c r="Y11" s="230" t="s">
        <v>347</v>
      </c>
      <c r="Z11" s="302" t="s">
        <v>347</v>
      </c>
      <c r="AA11" s="230" t="s">
        <v>347</v>
      </c>
    </row>
    <row r="12" spans="1:27" ht="55.5" thickTop="1" thickBot="1">
      <c r="B12" s="175">
        <v>7</v>
      </c>
      <c r="C12" s="175" t="s">
        <v>500</v>
      </c>
      <c r="D12" s="291" t="s">
        <v>514</v>
      </c>
      <c r="E12" s="243" t="s">
        <v>192</v>
      </c>
      <c r="F12" s="296" t="s">
        <v>439</v>
      </c>
      <c r="G12" s="298" t="s">
        <v>473</v>
      </c>
      <c r="I12" s="249" t="s">
        <v>446</v>
      </c>
      <c r="J12" s="250" t="s">
        <v>447</v>
      </c>
      <c r="K12" s="251"/>
      <c r="L12" s="252" t="s">
        <v>448</v>
      </c>
      <c r="M12" s="252" t="s">
        <v>449</v>
      </c>
      <c r="N12" s="252" t="s">
        <v>450</v>
      </c>
      <c r="O12" s="252" t="s">
        <v>451</v>
      </c>
      <c r="P12" s="323" t="s">
        <v>314</v>
      </c>
      <c r="Q12" s="249"/>
      <c r="S12" s="319"/>
      <c r="T12" s="319"/>
      <c r="U12" s="319"/>
      <c r="V12" s="319"/>
      <c r="W12" s="319"/>
    </row>
    <row r="13" spans="1:27" ht="41.25" thickTop="1">
      <c r="B13" s="175">
        <v>8</v>
      </c>
      <c r="C13" s="175" t="s">
        <v>501</v>
      </c>
      <c r="D13" s="241" t="s">
        <v>515</v>
      </c>
      <c r="E13" s="243" t="s">
        <v>192</v>
      </c>
      <c r="F13" s="296" t="s">
        <v>439</v>
      </c>
      <c r="G13" s="298" t="s">
        <v>478</v>
      </c>
      <c r="I13" s="253" t="s">
        <v>452</v>
      </c>
      <c r="J13" s="235" t="s">
        <v>307</v>
      </c>
      <c r="K13" s="236"/>
      <c r="L13" s="176">
        <v>20</v>
      </c>
      <c r="M13" s="176" t="s">
        <v>313</v>
      </c>
      <c r="N13" s="176" t="s">
        <v>310</v>
      </c>
      <c r="O13" s="176" t="s">
        <v>332</v>
      </c>
      <c r="P13" s="247" t="s">
        <v>333</v>
      </c>
      <c r="Q13" s="247"/>
      <c r="S13" s="487" t="s">
        <v>531</v>
      </c>
      <c r="T13" s="487"/>
      <c r="U13" s="487"/>
      <c r="V13" s="487"/>
      <c r="W13" s="487"/>
    </row>
    <row r="14" spans="1:27" ht="25.5">
      <c r="B14" s="175">
        <v>9</v>
      </c>
      <c r="C14" s="480" t="s">
        <v>502</v>
      </c>
      <c r="D14" s="241" t="s">
        <v>516</v>
      </c>
      <c r="E14" s="243" t="s">
        <v>192</v>
      </c>
      <c r="F14" s="296" t="s">
        <v>439</v>
      </c>
      <c r="G14" s="244"/>
      <c r="I14" s="254" t="s">
        <v>453</v>
      </c>
      <c r="J14" s="235" t="s">
        <v>307</v>
      </c>
      <c r="K14" s="236"/>
      <c r="L14" s="178">
        <v>14</v>
      </c>
      <c r="M14" s="178" t="s">
        <v>334</v>
      </c>
      <c r="N14" s="178" t="s">
        <v>309</v>
      </c>
      <c r="O14" s="178" t="s">
        <v>335</v>
      </c>
      <c r="P14" s="248" t="s">
        <v>333</v>
      </c>
      <c r="Q14" s="248"/>
      <c r="S14" s="320"/>
      <c r="T14" s="320"/>
      <c r="U14" s="320"/>
      <c r="V14" s="320"/>
      <c r="W14" s="320"/>
    </row>
    <row r="15" spans="1:27" ht="26.25">
      <c r="B15" s="175">
        <v>10</v>
      </c>
      <c r="C15" s="476"/>
      <c r="D15" s="241" t="s">
        <v>517</v>
      </c>
      <c r="E15" s="243" t="s">
        <v>192</v>
      </c>
      <c r="F15" s="296" t="s">
        <v>439</v>
      </c>
      <c r="G15" s="309" t="s">
        <v>484</v>
      </c>
      <c r="I15" s="254" t="s">
        <v>454</v>
      </c>
      <c r="J15" s="235" t="s">
        <v>307</v>
      </c>
      <c r="K15" s="236"/>
      <c r="L15" s="178">
        <v>12</v>
      </c>
      <c r="M15" s="178" t="s">
        <v>336</v>
      </c>
      <c r="N15" s="178" t="s">
        <v>311</v>
      </c>
      <c r="O15" s="178" t="s">
        <v>337</v>
      </c>
      <c r="P15" s="248" t="s">
        <v>333</v>
      </c>
      <c r="Q15" s="248"/>
      <c r="S15" s="483" t="s">
        <v>480</v>
      </c>
      <c r="T15" s="483"/>
      <c r="U15" s="483"/>
      <c r="V15" s="483"/>
      <c r="W15" s="483"/>
    </row>
    <row r="16" spans="1:27" ht="18.75" thickBot="1">
      <c r="B16" s="175">
        <v>11</v>
      </c>
      <c r="C16" s="476"/>
      <c r="D16" s="241" t="s">
        <v>518</v>
      </c>
      <c r="E16" s="243" t="s">
        <v>192</v>
      </c>
      <c r="F16" s="296" t="s">
        <v>439</v>
      </c>
      <c r="G16" s="244"/>
      <c r="I16" s="254" t="s">
        <v>455</v>
      </c>
      <c r="J16" s="235" t="s">
        <v>307</v>
      </c>
      <c r="K16" s="236"/>
      <c r="L16" s="178">
        <v>14</v>
      </c>
      <c r="M16" s="178" t="s">
        <v>334</v>
      </c>
      <c r="N16" s="178" t="s">
        <v>309</v>
      </c>
      <c r="O16" s="178" t="s">
        <v>338</v>
      </c>
      <c r="P16" s="248" t="s">
        <v>333</v>
      </c>
      <c r="Q16" s="248"/>
      <c r="S16" s="227" t="s">
        <v>344</v>
      </c>
      <c r="T16" s="228"/>
      <c r="U16" s="229" t="s">
        <v>345</v>
      </c>
      <c r="V16" s="465" t="s">
        <v>346</v>
      </c>
      <c r="W16" s="466"/>
    </row>
    <row r="17" spans="2:23" ht="18.75" thickTop="1">
      <c r="B17" s="175">
        <v>12</v>
      </c>
      <c r="C17" s="477"/>
      <c r="D17" s="241" t="s">
        <v>519</v>
      </c>
      <c r="E17" s="243" t="s">
        <v>192</v>
      </c>
      <c r="F17" s="296" t="s">
        <v>439</v>
      </c>
      <c r="G17" s="244"/>
      <c r="I17" s="254" t="s">
        <v>456</v>
      </c>
      <c r="J17" s="235" t="s">
        <v>307</v>
      </c>
      <c r="K17" s="236"/>
      <c r="L17" s="178">
        <v>12</v>
      </c>
      <c r="M17" s="178" t="s">
        <v>336</v>
      </c>
      <c r="N17" s="178" t="s">
        <v>312</v>
      </c>
      <c r="O17" s="178" t="s">
        <v>332</v>
      </c>
      <c r="P17" s="248" t="s">
        <v>339</v>
      </c>
      <c r="Q17" s="248"/>
      <c r="S17" s="453" t="s">
        <v>348</v>
      </c>
      <c r="T17" s="454"/>
      <c r="U17" s="226" t="s">
        <v>343</v>
      </c>
      <c r="V17" s="462" t="s">
        <v>347</v>
      </c>
      <c r="W17" s="462"/>
    </row>
    <row r="18" spans="2:23" ht="18">
      <c r="B18" s="175">
        <v>13</v>
      </c>
      <c r="C18" s="478" t="s">
        <v>503</v>
      </c>
      <c r="D18" s="241" t="s">
        <v>331</v>
      </c>
      <c r="E18" s="245" t="s">
        <v>375</v>
      </c>
      <c r="F18" s="296" t="s">
        <v>439</v>
      </c>
      <c r="G18" s="244"/>
      <c r="I18" s="254" t="s">
        <v>457</v>
      </c>
      <c r="J18" s="235" t="s">
        <v>307</v>
      </c>
      <c r="K18" s="236"/>
      <c r="L18" s="178">
        <v>14</v>
      </c>
      <c r="M18" s="178" t="s">
        <v>334</v>
      </c>
      <c r="N18" s="178" t="s">
        <v>309</v>
      </c>
      <c r="O18" s="178" t="s">
        <v>338</v>
      </c>
      <c r="P18" s="248" t="s">
        <v>333</v>
      </c>
      <c r="Q18" s="248"/>
      <c r="S18" s="455"/>
      <c r="T18" s="456"/>
      <c r="U18" s="223" t="s">
        <v>343</v>
      </c>
      <c r="V18" s="463" t="s">
        <v>347</v>
      </c>
      <c r="W18" s="463"/>
    </row>
    <row r="19" spans="2:23" ht="18">
      <c r="B19" s="175">
        <v>14</v>
      </c>
      <c r="C19" s="477"/>
      <c r="D19" s="241" t="s">
        <v>520</v>
      </c>
      <c r="E19" s="243" t="s">
        <v>192</v>
      </c>
      <c r="F19" s="296" t="s">
        <v>439</v>
      </c>
      <c r="G19" s="244"/>
      <c r="I19" s="254" t="s">
        <v>458</v>
      </c>
      <c r="J19" s="235" t="s">
        <v>307</v>
      </c>
      <c r="K19" s="236"/>
      <c r="L19" s="178">
        <v>20</v>
      </c>
      <c r="M19" s="178" t="s">
        <v>334</v>
      </c>
      <c r="N19" s="178" t="s">
        <v>309</v>
      </c>
      <c r="O19" s="178" t="s">
        <v>341</v>
      </c>
      <c r="P19" s="248" t="s">
        <v>333</v>
      </c>
      <c r="Q19" s="248"/>
      <c r="S19" s="455"/>
      <c r="T19" s="456"/>
      <c r="U19" s="223" t="s">
        <v>343</v>
      </c>
      <c r="V19" s="467" t="s">
        <v>347</v>
      </c>
      <c r="W19" s="467"/>
    </row>
    <row r="20" spans="2:23" ht="21" thickBot="1">
      <c r="B20" s="175">
        <v>15</v>
      </c>
      <c r="C20" s="481" t="s">
        <v>507</v>
      </c>
      <c r="D20" s="317" t="s">
        <v>551</v>
      </c>
      <c r="E20" s="245" t="s">
        <v>375</v>
      </c>
      <c r="F20" s="296" t="s">
        <v>439</v>
      </c>
      <c r="G20" s="244"/>
      <c r="I20" s="177"/>
      <c r="J20" s="235"/>
      <c r="K20" s="236"/>
      <c r="L20" s="179"/>
      <c r="M20" s="179"/>
      <c r="N20" s="179"/>
      <c r="O20" s="179"/>
      <c r="P20" s="179"/>
      <c r="Q20" s="179"/>
      <c r="S20" s="459" t="s">
        <v>479</v>
      </c>
      <c r="T20" s="459"/>
      <c r="U20" s="459"/>
      <c r="V20" s="459"/>
      <c r="W20" s="459"/>
    </row>
    <row r="21" spans="2:23" ht="19.5" thickTop="1" thickBot="1">
      <c r="B21" s="175">
        <v>16</v>
      </c>
      <c r="C21" s="482"/>
      <c r="D21" s="317" t="s">
        <v>521</v>
      </c>
      <c r="E21" s="243" t="s">
        <v>192</v>
      </c>
      <c r="F21" s="296" t="s">
        <v>439</v>
      </c>
      <c r="G21" s="244"/>
      <c r="I21" s="471" t="s">
        <v>150</v>
      </c>
      <c r="J21" s="471"/>
      <c r="K21" s="471"/>
      <c r="L21" s="471"/>
      <c r="M21" s="471"/>
      <c r="N21" s="471"/>
      <c r="O21" s="471"/>
      <c r="P21" s="471"/>
      <c r="Q21" s="471"/>
      <c r="S21" s="453" t="s">
        <v>348</v>
      </c>
      <c r="T21" s="454"/>
      <c r="U21" s="226" t="s">
        <v>343</v>
      </c>
      <c r="V21" s="462" t="s">
        <v>347</v>
      </c>
      <c r="W21" s="462"/>
    </row>
    <row r="22" spans="2:23" ht="21" thickTop="1">
      <c r="B22" s="175">
        <v>17</v>
      </c>
      <c r="C22" s="482"/>
      <c r="D22" s="317" t="s">
        <v>505</v>
      </c>
      <c r="E22" s="245" t="s">
        <v>375</v>
      </c>
      <c r="F22" s="297" t="s">
        <v>440</v>
      </c>
      <c r="G22" s="244"/>
      <c r="I22"/>
      <c r="J22"/>
      <c r="K22"/>
      <c r="L22"/>
      <c r="M22"/>
      <c r="N22"/>
      <c r="O22"/>
      <c r="P22"/>
      <c r="Q22"/>
      <c r="S22" s="455"/>
      <c r="T22" s="456"/>
      <c r="U22" s="223" t="s">
        <v>343</v>
      </c>
      <c r="V22" s="463" t="s">
        <v>347</v>
      </c>
      <c r="W22" s="463"/>
    </row>
    <row r="23" spans="2:23" ht="18.75" thickBot="1">
      <c r="B23" s="175">
        <v>18</v>
      </c>
      <c r="C23" s="482"/>
      <c r="D23" s="317" t="s">
        <v>522</v>
      </c>
      <c r="E23" s="245" t="s">
        <v>375</v>
      </c>
      <c r="F23" s="296" t="s">
        <v>439</v>
      </c>
      <c r="G23" s="244"/>
      <c r="I23"/>
      <c r="J23"/>
      <c r="K23"/>
      <c r="L23"/>
      <c r="M23"/>
      <c r="N23"/>
      <c r="O23"/>
      <c r="P23"/>
      <c r="Q23"/>
      <c r="S23" s="457"/>
      <c r="T23" s="458"/>
      <c r="U23" s="224" t="s">
        <v>343</v>
      </c>
      <c r="V23" s="464" t="s">
        <v>347</v>
      </c>
      <c r="W23" s="464"/>
    </row>
    <row r="24" spans="2:23" ht="18">
      <c r="B24" s="175">
        <v>19</v>
      </c>
      <c r="C24" s="482"/>
      <c r="D24" s="317" t="s">
        <v>523</v>
      </c>
      <c r="E24" s="245" t="s">
        <v>375</v>
      </c>
      <c r="F24" s="296" t="s">
        <v>439</v>
      </c>
      <c r="G24" s="244"/>
      <c r="W24" s="265"/>
    </row>
    <row r="25" spans="2:23" ht="18">
      <c r="B25" s="175">
        <v>20</v>
      </c>
      <c r="C25" s="482"/>
      <c r="D25" s="317" t="s">
        <v>524</v>
      </c>
      <c r="E25" s="245" t="s">
        <v>375</v>
      </c>
      <c r="F25" s="296" t="s">
        <v>439</v>
      </c>
      <c r="G25" s="244"/>
      <c r="W25" s="265"/>
    </row>
    <row r="26" spans="2:23" ht="18">
      <c r="B26" s="175">
        <v>21</v>
      </c>
      <c r="C26" s="482"/>
      <c r="D26" s="317" t="s">
        <v>340</v>
      </c>
      <c r="E26" s="245" t="s">
        <v>375</v>
      </c>
      <c r="F26" s="297" t="s">
        <v>440</v>
      </c>
      <c r="G26" s="246"/>
      <c r="I26" s="460" t="s">
        <v>442</v>
      </c>
      <c r="J26" s="460"/>
      <c r="K26" s="460"/>
      <c r="L26" s="460"/>
      <c r="M26" s="460"/>
      <c r="N26" s="460"/>
      <c r="O26" s="460"/>
      <c r="P26" s="460"/>
      <c r="Q26" s="460"/>
      <c r="W26" s="265"/>
    </row>
    <row r="27" spans="2:23" ht="18.75" thickBot="1">
      <c r="B27" s="175">
        <v>22</v>
      </c>
      <c r="C27" s="482"/>
      <c r="D27" s="317" t="s">
        <v>525</v>
      </c>
      <c r="E27" s="245" t="s">
        <v>375</v>
      </c>
      <c r="F27" s="296" t="s">
        <v>439</v>
      </c>
      <c r="G27" s="244"/>
      <c r="I27" s="461"/>
      <c r="J27" s="461"/>
      <c r="K27" s="461"/>
      <c r="L27" s="461"/>
      <c r="M27" s="461"/>
      <c r="N27" s="461"/>
      <c r="O27" s="461"/>
      <c r="P27" s="461"/>
      <c r="Q27" s="461"/>
      <c r="W27" s="265"/>
    </row>
    <row r="28" spans="2:23" ht="18.75" thickTop="1">
      <c r="B28" s="175">
        <v>23</v>
      </c>
      <c r="C28" s="482"/>
      <c r="D28" s="317" t="s">
        <v>526</v>
      </c>
      <c r="E28" s="311" t="s">
        <v>504</v>
      </c>
      <c r="F28" s="296" t="s">
        <v>439</v>
      </c>
      <c r="G28" s="244"/>
      <c r="I28" s="305" t="s">
        <v>315</v>
      </c>
      <c r="J28" s="305"/>
      <c r="K28" s="305"/>
      <c r="L28" s="305"/>
      <c r="M28" s="305"/>
      <c r="N28" s="305"/>
      <c r="O28" s="305"/>
      <c r="P28" s="305"/>
      <c r="Q28" s="305"/>
      <c r="W28" s="265"/>
    </row>
    <row r="29" spans="2:23" ht="24">
      <c r="B29" s="175">
        <v>24</v>
      </c>
      <c r="C29" s="315" t="s">
        <v>508</v>
      </c>
      <c r="D29" s="241" t="s">
        <v>527</v>
      </c>
      <c r="E29" s="243" t="s">
        <v>192</v>
      </c>
      <c r="F29" s="296" t="s">
        <v>439</v>
      </c>
      <c r="G29" s="244"/>
      <c r="I29" s="152" t="s">
        <v>316</v>
      </c>
      <c r="W29" s="265"/>
    </row>
    <row r="30" spans="2:23" ht="18">
      <c r="B30" s="175">
        <v>25</v>
      </c>
      <c r="C30" s="316" t="s">
        <v>509</v>
      </c>
      <c r="D30" s="241" t="s">
        <v>528</v>
      </c>
      <c r="E30" s="311" t="s">
        <v>504</v>
      </c>
      <c r="F30" s="296" t="s">
        <v>439</v>
      </c>
      <c r="G30" s="244"/>
      <c r="I30" s="152" t="s">
        <v>317</v>
      </c>
    </row>
    <row r="31" spans="2:23" ht="18">
      <c r="B31" s="175">
        <v>26</v>
      </c>
      <c r="C31" s="316" t="s">
        <v>510</v>
      </c>
      <c r="D31" s="241" t="s">
        <v>529</v>
      </c>
      <c r="E31" s="311" t="s">
        <v>504</v>
      </c>
      <c r="F31" s="296" t="s">
        <v>439</v>
      </c>
      <c r="G31" s="244"/>
      <c r="I31" s="152" t="s">
        <v>318</v>
      </c>
    </row>
    <row r="32" spans="2:23" ht="13.5">
      <c r="B32" s="479" t="s">
        <v>444</v>
      </c>
      <c r="C32" s="479"/>
      <c r="D32" s="479"/>
      <c r="E32" s="479"/>
      <c r="F32" s="479"/>
      <c r="G32" s="479"/>
      <c r="I32" s="152" t="s">
        <v>349</v>
      </c>
    </row>
    <row r="33" spans="3:17">
      <c r="I33" s="306" t="s">
        <v>319</v>
      </c>
      <c r="J33" s="306"/>
      <c r="K33" s="306"/>
      <c r="L33" s="306"/>
      <c r="M33" s="306"/>
      <c r="N33" s="306"/>
      <c r="O33" s="306"/>
      <c r="P33" s="306"/>
      <c r="Q33" s="306"/>
    </row>
    <row r="35" spans="3:17" ht="15.75">
      <c r="I35" s="307" t="s">
        <v>320</v>
      </c>
      <c r="J35" s="307"/>
      <c r="K35" s="307"/>
      <c r="L35" s="307"/>
      <c r="M35" s="307"/>
      <c r="N35" s="307"/>
      <c r="O35" s="307"/>
      <c r="P35" s="307"/>
      <c r="Q35" s="307"/>
    </row>
    <row r="36" spans="3:17">
      <c r="I36" s="152" t="s">
        <v>321</v>
      </c>
    </row>
    <row r="37" spans="3:17" ht="13.5">
      <c r="I37" s="152" t="s">
        <v>351</v>
      </c>
    </row>
    <row r="38" spans="3:17" ht="17.25" customHeight="1">
      <c r="I38" s="152" t="s">
        <v>322</v>
      </c>
    </row>
    <row r="39" spans="3:17" ht="16.5" customHeight="1">
      <c r="C39" s="314"/>
      <c r="D39"/>
      <c r="E39"/>
      <c r="I39" s="306" t="s">
        <v>323</v>
      </c>
      <c r="J39" s="306"/>
      <c r="K39" s="306"/>
      <c r="L39" s="306"/>
      <c r="M39" s="306"/>
      <c r="N39" s="306"/>
      <c r="O39" s="306"/>
      <c r="P39" s="306"/>
      <c r="Q39" s="306"/>
    </row>
    <row r="40" spans="3:17" ht="16.5" customHeight="1">
      <c r="C40" s="314"/>
      <c r="D40"/>
      <c r="E40"/>
    </row>
    <row r="41" spans="3:17">
      <c r="C41" s="314"/>
      <c r="D41"/>
      <c r="E41"/>
    </row>
    <row r="42" spans="3:17">
      <c r="C42" s="314"/>
      <c r="D42"/>
      <c r="E42"/>
    </row>
    <row r="43" spans="3:17" ht="12.75" customHeight="1"/>
    <row r="44" spans="3:17">
      <c r="I44" s="468" t="s">
        <v>443</v>
      </c>
      <c r="J44" s="468"/>
      <c r="K44" s="468"/>
      <c r="L44" s="468"/>
    </row>
    <row r="45" spans="3:17" ht="13.5" thickBot="1">
      <c r="I45" s="469"/>
      <c r="J45" s="469"/>
      <c r="K45" s="469"/>
      <c r="L45" s="469"/>
    </row>
    <row r="46" spans="3:17" ht="13.5" thickTop="1"/>
    <row r="47" spans="3:17">
      <c r="I47" s="152">
        <v>1</v>
      </c>
      <c r="J47" s="152" t="s">
        <v>352</v>
      </c>
    </row>
    <row r="48" spans="3:17" ht="16.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6.5" customHeight="1"/>
    <row r="71" spans="18:18">
      <c r="R71"/>
    </row>
    <row r="72" spans="18:18">
      <c r="R72"/>
    </row>
    <row r="73" spans="18:18" ht="12.75" customHeight="1">
      <c r="R73"/>
    </row>
    <row r="74" spans="18:18" ht="13.5" customHeight="1">
      <c r="R74"/>
    </row>
    <row r="75" spans="18:18">
      <c r="R75"/>
    </row>
    <row r="76" spans="18:18">
      <c r="R76"/>
    </row>
    <row r="77" spans="18:18">
      <c r="R77"/>
    </row>
    <row r="78" spans="18:18">
      <c r="R78"/>
    </row>
    <row r="79" spans="18:18">
      <c r="R79"/>
    </row>
    <row r="80" spans="18:18">
      <c r="R80"/>
    </row>
    <row r="81" spans="18:18">
      <c r="R81"/>
    </row>
    <row r="82" spans="18:18">
      <c r="R82"/>
    </row>
    <row r="83" spans="18:18">
      <c r="R83"/>
    </row>
    <row r="84" spans="18:18">
      <c r="R84"/>
    </row>
    <row r="85" spans="18:18">
      <c r="R85"/>
    </row>
    <row r="86" spans="18:18">
      <c r="R86"/>
    </row>
    <row r="87" spans="18:18">
      <c r="R87"/>
    </row>
    <row r="88" spans="18:18">
      <c r="R88"/>
    </row>
    <row r="89" spans="18:18">
      <c r="R89"/>
    </row>
  </sheetData>
  <mergeCells count="34">
    <mergeCell ref="S15:W15"/>
    <mergeCell ref="I3:Q4"/>
    <mergeCell ref="S3:AA4"/>
    <mergeCell ref="S10:T11"/>
    <mergeCell ref="S8:W8"/>
    <mergeCell ref="V9:W9"/>
    <mergeCell ref="V10:W10"/>
    <mergeCell ref="V11:W11"/>
    <mergeCell ref="Y8:AA8"/>
    <mergeCell ref="S13:W13"/>
    <mergeCell ref="S6:W6"/>
    <mergeCell ref="Y6:AA6"/>
    <mergeCell ref="I44:L45"/>
    <mergeCell ref="I9:Q9"/>
    <mergeCell ref="I21:Q21"/>
    <mergeCell ref="I11:Q11"/>
    <mergeCell ref="B3:G4"/>
    <mergeCell ref="C6:C9"/>
    <mergeCell ref="C10:C11"/>
    <mergeCell ref="B32:G32"/>
    <mergeCell ref="C14:C17"/>
    <mergeCell ref="C18:C19"/>
    <mergeCell ref="C20:C28"/>
    <mergeCell ref="S17:T19"/>
    <mergeCell ref="V16:W16"/>
    <mergeCell ref="V17:W17"/>
    <mergeCell ref="V18:W18"/>
    <mergeCell ref="V19:W19"/>
    <mergeCell ref="S21:T23"/>
    <mergeCell ref="S20:W20"/>
    <mergeCell ref="I26:Q27"/>
    <mergeCell ref="V21:W21"/>
    <mergeCell ref="V22:W22"/>
    <mergeCell ref="V23:W23"/>
  </mergeCells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3</xdr:col>
                    <xdr:colOff>2838450</xdr:colOff>
                    <xdr:row>32</xdr:row>
                    <xdr:rowOff>123825</xdr:rowOff>
                  </from>
                  <to>
                    <xdr:col>3</xdr:col>
                    <xdr:colOff>4905375</xdr:colOff>
                    <xdr:row>37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showGridLines="0" workbookViewId="0">
      <selection sqref="A1:XFD1048576"/>
    </sheetView>
    <sheetView showGridLines="0" workbookViewId="1">
      <selection sqref="A1:XFD1048576"/>
    </sheetView>
  </sheetViews>
  <sheetFormatPr defaultRowHeight="12.75"/>
  <cols>
    <col min="1" max="1" width="14" customWidth="1"/>
  </cols>
  <sheetData>
    <row r="1" spans="1:38" ht="24">
      <c r="A1" s="1" t="s">
        <v>20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showGridLines="0" topLeftCell="M1" workbookViewId="0">
      <selection activeCell="K4" sqref="K4"/>
    </sheetView>
    <sheetView showGridLines="0" workbookViewId="1">
      <selection activeCell="D24" sqref="D24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4257812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20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11" t="s">
        <v>21</v>
      </c>
      <c r="C2" s="12" t="s">
        <v>22</v>
      </c>
      <c r="D2" s="12" t="s">
        <v>23</v>
      </c>
      <c r="E2" s="12" t="s">
        <v>24</v>
      </c>
      <c r="F2" s="12" t="s">
        <v>25</v>
      </c>
      <c r="G2" s="12" t="s">
        <v>26</v>
      </c>
      <c r="H2" s="12" t="s">
        <v>27</v>
      </c>
      <c r="I2" s="12" t="s">
        <v>28</v>
      </c>
      <c r="J2" s="12" t="s">
        <v>45</v>
      </c>
      <c r="K2" s="12" t="s">
        <v>29</v>
      </c>
      <c r="L2" s="12" t="s">
        <v>44</v>
      </c>
      <c r="M2" s="12" t="s">
        <v>30</v>
      </c>
      <c r="N2" s="12" t="s">
        <v>31</v>
      </c>
      <c r="O2" s="13" t="s">
        <v>32</v>
      </c>
      <c r="P2" s="13" t="s">
        <v>33</v>
      </c>
      <c r="Q2" s="13" t="s">
        <v>34</v>
      </c>
      <c r="R2" s="35" t="s">
        <v>35</v>
      </c>
      <c r="S2" s="14" t="s">
        <v>36</v>
      </c>
      <c r="T2" s="15" t="s">
        <v>37</v>
      </c>
      <c r="U2" s="15" t="s">
        <v>38</v>
      </c>
      <c r="V2" s="16" t="s">
        <v>39</v>
      </c>
      <c r="W2" s="14" t="s">
        <v>40</v>
      </c>
    </row>
    <row r="3" spans="1:38" ht="16.5">
      <c r="A3" s="2">
        <v>1</v>
      </c>
      <c r="B3" s="17" t="s">
        <v>138</v>
      </c>
      <c r="C3" s="18"/>
      <c r="D3" s="19">
        <v>1</v>
      </c>
      <c r="E3" s="20" t="s">
        <v>137</v>
      </c>
      <c r="F3" s="20" t="s">
        <v>54</v>
      </c>
      <c r="G3" s="20" t="s">
        <v>122</v>
      </c>
      <c r="H3" s="20" t="s">
        <v>116</v>
      </c>
      <c r="I3" s="20" t="s">
        <v>55</v>
      </c>
      <c r="J3" s="20" t="s">
        <v>56</v>
      </c>
      <c r="K3" s="21">
        <v>3</v>
      </c>
      <c r="L3" s="21" t="s">
        <v>57</v>
      </c>
      <c r="M3" s="21" t="s">
        <v>113</v>
      </c>
      <c r="N3" s="22"/>
      <c r="O3" s="32" t="s">
        <v>115</v>
      </c>
      <c r="P3" s="33" t="s">
        <v>58</v>
      </c>
      <c r="Q3" s="34" t="s">
        <v>59</v>
      </c>
      <c r="R3" s="23" t="str">
        <f t="shared" ref="R3:R17" si="0">P3&amp; "/" &amp;Q3</f>
        <v>신한은행/605-2241-148731</v>
      </c>
      <c r="S3" s="23" t="str">
        <f>IF(OR(MID(G3, 8, 1) = "3", MOD(MID(G3, 8, 1), 2) = 1), "남", "여")</f>
        <v>남</v>
      </c>
      <c r="T3" s="23" t="str">
        <f>LEFT(G3, 6)</f>
        <v>900699</v>
      </c>
      <c r="U3" s="23" t="str">
        <f>IF(VALUE(MID(G3, 8, 1)) &lt;= 2, "19" &amp; LEFT(G3, 2), "20" &amp; LEFT(G3, 2))</f>
        <v>1990</v>
      </c>
      <c r="V3" s="23">
        <f ca="1">YEAR(TODAY()) - VALUE(IF(VALUE(MID(G3, 8, 1)) &lt;= 2, "19" &amp; LEFT(G3, 2), "20" &amp; LEFT(G3, 2)))</f>
        <v>34</v>
      </c>
      <c r="W3" s="23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5">
      <c r="A4" s="2">
        <v>2</v>
      </c>
      <c r="B4" s="17" t="s">
        <v>138</v>
      </c>
      <c r="C4" s="25"/>
      <c r="D4" s="19">
        <v>2</v>
      </c>
      <c r="E4" s="20" t="s">
        <v>137</v>
      </c>
      <c r="F4" s="24" t="s">
        <v>60</v>
      </c>
      <c r="G4" s="24" t="s">
        <v>123</v>
      </c>
      <c r="H4" s="20" t="s">
        <v>116</v>
      </c>
      <c r="I4" s="24" t="s">
        <v>61</v>
      </c>
      <c r="J4" s="24" t="s">
        <v>56</v>
      </c>
      <c r="K4" s="21">
        <v>3</v>
      </c>
      <c r="L4" s="21" t="s">
        <v>57</v>
      </c>
      <c r="M4" s="21" t="s">
        <v>112</v>
      </c>
      <c r="N4" s="22"/>
      <c r="O4" s="32" t="s">
        <v>62</v>
      </c>
      <c r="P4" s="33" t="s">
        <v>41</v>
      </c>
      <c r="Q4" s="34" t="s">
        <v>63</v>
      </c>
      <c r="R4" s="23" t="str">
        <f t="shared" si="0"/>
        <v>국민은행/296-6536-108357</v>
      </c>
      <c r="S4" s="23" t="str">
        <f t="shared" ref="S4:S17" si="1">IF(OR(MID(G4, 8, 1) = "3", MOD(MID(G4, 8, 1), 2) = 1), "남", "여")</f>
        <v>여</v>
      </c>
      <c r="T4" s="23" t="str">
        <f t="shared" ref="T4:T17" si="2">LEFT(G4, 6)</f>
        <v>950499</v>
      </c>
      <c r="U4" s="23" t="str">
        <f t="shared" ref="U4:U17" si="3">IF(VALUE(MID(G4, 8, 1)) &lt;= 2, "19" &amp; LEFT(G4, 2), "20" &amp; LEFT(G4, 2))</f>
        <v>1995</v>
      </c>
      <c r="V4" s="23">
        <f t="shared" ref="V4:V17" ca="1" si="4">YEAR(TODAY()) - VALUE(IF(VALUE(MID(G4, 8, 1)) &lt;= 2, "19" &amp; LEFT(G4, 2), "20" &amp; LEFT(G4, 2)))</f>
        <v>29</v>
      </c>
      <c r="W4" s="23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5">
      <c r="A5" s="2">
        <v>3</v>
      </c>
      <c r="B5" s="17" t="s">
        <v>138</v>
      </c>
      <c r="C5" s="25"/>
      <c r="D5" s="19">
        <v>3</v>
      </c>
      <c r="E5" s="20" t="s">
        <v>137</v>
      </c>
      <c r="F5" s="24" t="s">
        <v>64</v>
      </c>
      <c r="G5" s="24" t="s">
        <v>124</v>
      </c>
      <c r="H5" s="20" t="s">
        <v>116</v>
      </c>
      <c r="I5" s="24" t="s">
        <v>65</v>
      </c>
      <c r="J5" s="24" t="s">
        <v>53</v>
      </c>
      <c r="K5" s="21">
        <v>2</v>
      </c>
      <c r="L5" s="21" t="s">
        <v>66</v>
      </c>
      <c r="M5" s="21" t="s">
        <v>67</v>
      </c>
      <c r="N5" s="22" t="s">
        <v>68</v>
      </c>
      <c r="O5" s="32" t="s">
        <v>114</v>
      </c>
      <c r="P5" s="33" t="s">
        <v>58</v>
      </c>
      <c r="Q5" s="34" t="s">
        <v>69</v>
      </c>
      <c r="R5" s="23" t="str">
        <f t="shared" si="0"/>
        <v>신한은행/309-4311-417843</v>
      </c>
      <c r="S5" s="23" t="str">
        <f>IF(OR(MID(G5, 8, 1) = "3", MOD(MID(G5, 8, 1), 2) = 1), "남", "여")</f>
        <v>여</v>
      </c>
      <c r="T5" s="23" t="str">
        <f t="shared" si="2"/>
        <v>960399</v>
      </c>
      <c r="U5" s="23" t="str">
        <f t="shared" si="3"/>
        <v>1996</v>
      </c>
      <c r="V5" s="23">
        <f t="shared" ca="1" si="4"/>
        <v>28</v>
      </c>
      <c r="W5" s="23" t="str">
        <f t="shared" si="5"/>
        <v>경상권</v>
      </c>
    </row>
    <row r="6" spans="1:38" ht="16.5">
      <c r="A6" s="2">
        <v>4</v>
      </c>
      <c r="B6" s="17" t="s">
        <v>138</v>
      </c>
      <c r="C6" s="25"/>
      <c r="D6" s="19">
        <v>4</v>
      </c>
      <c r="E6" s="20" t="s">
        <v>137</v>
      </c>
      <c r="F6" s="24" t="s">
        <v>70</v>
      </c>
      <c r="G6" s="24" t="s">
        <v>125</v>
      </c>
      <c r="H6" s="20" t="s">
        <v>116</v>
      </c>
      <c r="I6" s="24" t="s">
        <v>71</v>
      </c>
      <c r="J6" s="24" t="s">
        <v>53</v>
      </c>
      <c r="K6" s="21">
        <v>2</v>
      </c>
      <c r="L6" s="21" t="s">
        <v>66</v>
      </c>
      <c r="M6" s="21" t="s">
        <v>67</v>
      </c>
      <c r="N6" s="22" t="s">
        <v>72</v>
      </c>
      <c r="O6" s="32" t="s">
        <v>62</v>
      </c>
      <c r="P6" s="33" t="s">
        <v>58</v>
      </c>
      <c r="Q6" s="34" t="s">
        <v>73</v>
      </c>
      <c r="R6" s="23" t="str">
        <f t="shared" si="0"/>
        <v>신한은행/916-4781-629387</v>
      </c>
      <c r="S6" s="23" t="str">
        <f t="shared" si="1"/>
        <v>남</v>
      </c>
      <c r="T6" s="23" t="str">
        <f t="shared" si="2"/>
        <v>930699</v>
      </c>
      <c r="U6" s="23" t="str">
        <f t="shared" si="3"/>
        <v>1993</v>
      </c>
      <c r="V6" s="23">
        <f t="shared" ca="1" si="4"/>
        <v>31</v>
      </c>
      <c r="W6" s="23" t="str">
        <f t="shared" si="5"/>
        <v>경상권</v>
      </c>
    </row>
    <row r="7" spans="1:38" ht="16.5">
      <c r="A7" s="2">
        <v>5</v>
      </c>
      <c r="B7" s="17" t="s">
        <v>138</v>
      </c>
      <c r="C7" s="25"/>
      <c r="D7" s="19">
        <v>5</v>
      </c>
      <c r="E7" s="20" t="s">
        <v>137</v>
      </c>
      <c r="F7" s="24" t="s">
        <v>54</v>
      </c>
      <c r="G7" s="24" t="s">
        <v>136</v>
      </c>
      <c r="H7" s="20" t="s">
        <v>116</v>
      </c>
      <c r="I7" s="24" t="s">
        <v>55</v>
      </c>
      <c r="J7" s="24" t="s">
        <v>74</v>
      </c>
      <c r="K7" s="21">
        <v>4</v>
      </c>
      <c r="L7" s="21" t="s">
        <v>57</v>
      </c>
      <c r="M7" s="21" t="s">
        <v>75</v>
      </c>
      <c r="N7" s="22" t="s">
        <v>76</v>
      </c>
      <c r="O7" s="32" t="s">
        <v>115</v>
      </c>
      <c r="P7" s="33" t="s">
        <v>77</v>
      </c>
      <c r="Q7" s="34" t="s">
        <v>78</v>
      </c>
      <c r="R7" s="23" t="str">
        <f t="shared" si="0"/>
        <v>우리은행/165-6075-449479</v>
      </c>
      <c r="S7" s="23" t="str">
        <f t="shared" si="1"/>
        <v>남</v>
      </c>
      <c r="T7" s="23" t="str">
        <f t="shared" si="2"/>
        <v>020699</v>
      </c>
      <c r="U7" s="23" t="str">
        <f t="shared" si="3"/>
        <v>2002</v>
      </c>
      <c r="V7" s="23">
        <f t="shared" ca="1" si="4"/>
        <v>22</v>
      </c>
      <c r="W7" s="23" t="str">
        <f t="shared" si="5"/>
        <v>경상권</v>
      </c>
    </row>
    <row r="8" spans="1:38" ht="16.5">
      <c r="A8" s="2">
        <v>6</v>
      </c>
      <c r="B8" s="17" t="s">
        <v>138</v>
      </c>
      <c r="C8" s="25"/>
      <c r="D8" s="19">
        <v>6</v>
      </c>
      <c r="E8" s="20" t="s">
        <v>137</v>
      </c>
      <c r="F8" s="24" t="s">
        <v>79</v>
      </c>
      <c r="G8" s="24" t="s">
        <v>126</v>
      </c>
      <c r="H8" s="20" t="s">
        <v>116</v>
      </c>
      <c r="I8" s="24" t="s">
        <v>80</v>
      </c>
      <c r="J8" s="24" t="s">
        <v>53</v>
      </c>
      <c r="K8" s="21">
        <v>1</v>
      </c>
      <c r="L8" s="21" t="s">
        <v>81</v>
      </c>
      <c r="M8" s="21" t="s">
        <v>67</v>
      </c>
      <c r="N8" s="22" t="s">
        <v>82</v>
      </c>
      <c r="O8" s="32" t="s">
        <v>62</v>
      </c>
      <c r="P8" s="33" t="s">
        <v>83</v>
      </c>
      <c r="Q8" s="34" t="s">
        <v>84</v>
      </c>
      <c r="R8" s="23" t="str">
        <f t="shared" si="0"/>
        <v>농협/894-4629-468857</v>
      </c>
      <c r="S8" s="23" t="str">
        <f t="shared" si="1"/>
        <v>남</v>
      </c>
      <c r="T8" s="23" t="str">
        <f t="shared" si="2"/>
        <v>930899</v>
      </c>
      <c r="U8" s="23" t="str">
        <f t="shared" si="3"/>
        <v>1993</v>
      </c>
      <c r="V8" s="23">
        <f t="shared" ca="1" si="4"/>
        <v>31</v>
      </c>
      <c r="W8" s="23" t="str">
        <f t="shared" si="5"/>
        <v>경상권</v>
      </c>
    </row>
    <row r="9" spans="1:38" ht="16.5">
      <c r="A9" s="2">
        <v>7</v>
      </c>
      <c r="B9" s="17" t="s">
        <v>138</v>
      </c>
      <c r="C9" s="25"/>
      <c r="D9" s="19">
        <v>7</v>
      </c>
      <c r="E9" s="20" t="s">
        <v>137</v>
      </c>
      <c r="F9" s="24" t="s">
        <v>85</v>
      </c>
      <c r="G9" s="24" t="s">
        <v>135</v>
      </c>
      <c r="H9" s="20" t="s">
        <v>116</v>
      </c>
      <c r="I9" s="24" t="s">
        <v>86</v>
      </c>
      <c r="J9" s="24" t="s">
        <v>87</v>
      </c>
      <c r="K9" s="21">
        <v>2</v>
      </c>
      <c r="L9" s="21" t="s">
        <v>81</v>
      </c>
      <c r="M9" s="21" t="s">
        <v>67</v>
      </c>
      <c r="N9" s="22" t="s">
        <v>88</v>
      </c>
      <c r="O9" s="32" t="s">
        <v>115</v>
      </c>
      <c r="P9" s="33" t="s">
        <v>83</v>
      </c>
      <c r="Q9" s="34" t="s">
        <v>89</v>
      </c>
      <c r="R9" s="23" t="str">
        <f t="shared" si="0"/>
        <v>농협/273-7528-862196</v>
      </c>
      <c r="S9" s="23" t="str">
        <f t="shared" si="1"/>
        <v>남</v>
      </c>
      <c r="T9" s="23" t="str">
        <f t="shared" si="2"/>
        <v>001199</v>
      </c>
      <c r="U9" s="23" t="str">
        <f t="shared" si="3"/>
        <v>2000</v>
      </c>
      <c r="V9" s="23">
        <f t="shared" ca="1" si="4"/>
        <v>24</v>
      </c>
      <c r="W9" s="23" t="str">
        <f t="shared" si="5"/>
        <v>경상권</v>
      </c>
    </row>
    <row r="10" spans="1:38" ht="16.5">
      <c r="A10" s="2">
        <v>8</v>
      </c>
      <c r="B10" s="17" t="s">
        <v>138</v>
      </c>
      <c r="C10" s="25"/>
      <c r="D10" s="19">
        <v>8</v>
      </c>
      <c r="E10" s="20" t="s">
        <v>137</v>
      </c>
      <c r="F10" s="24" t="s">
        <v>90</v>
      </c>
      <c r="G10" s="24" t="s">
        <v>127</v>
      </c>
      <c r="H10" s="20" t="s">
        <v>116</v>
      </c>
      <c r="I10" s="24" t="s">
        <v>91</v>
      </c>
      <c r="J10" s="24" t="s">
        <v>74</v>
      </c>
      <c r="K10" s="21">
        <v>4</v>
      </c>
      <c r="L10" s="21" t="s">
        <v>66</v>
      </c>
      <c r="M10" s="21" t="s">
        <v>75</v>
      </c>
      <c r="N10" s="22" t="s">
        <v>82</v>
      </c>
      <c r="O10" s="32" t="s">
        <v>114</v>
      </c>
      <c r="P10" s="33" t="s">
        <v>77</v>
      </c>
      <c r="Q10" s="34" t="s">
        <v>92</v>
      </c>
      <c r="R10" s="23" t="str">
        <f t="shared" si="0"/>
        <v>우리은행/295-1855-371274</v>
      </c>
      <c r="S10" s="23" t="str">
        <f t="shared" si="1"/>
        <v>남</v>
      </c>
      <c r="T10" s="23" t="str">
        <f t="shared" si="2"/>
        <v>920699</v>
      </c>
      <c r="U10" s="23" t="str">
        <f t="shared" si="3"/>
        <v>1992</v>
      </c>
      <c r="V10" s="23">
        <f t="shared" ca="1" si="4"/>
        <v>32</v>
      </c>
      <c r="W10" s="23" t="str">
        <f t="shared" si="5"/>
        <v>경상권</v>
      </c>
    </row>
    <row r="11" spans="1:38" ht="16.5">
      <c r="A11" s="2">
        <v>9</v>
      </c>
      <c r="B11" s="17" t="s">
        <v>138</v>
      </c>
      <c r="C11" s="25"/>
      <c r="D11" s="19">
        <v>9</v>
      </c>
      <c r="E11" s="20" t="s">
        <v>137</v>
      </c>
      <c r="F11" s="24" t="s">
        <v>79</v>
      </c>
      <c r="G11" s="24" t="s">
        <v>128</v>
      </c>
      <c r="H11" s="20" t="s">
        <v>116</v>
      </c>
      <c r="I11" s="24" t="s">
        <v>93</v>
      </c>
      <c r="J11" s="24" t="s">
        <v>87</v>
      </c>
      <c r="K11" s="21">
        <v>2</v>
      </c>
      <c r="L11" s="21" t="s">
        <v>66</v>
      </c>
      <c r="M11" s="21" t="s">
        <v>75</v>
      </c>
      <c r="N11" s="22" t="s">
        <v>82</v>
      </c>
      <c r="O11" s="32" t="s">
        <v>115</v>
      </c>
      <c r="P11" s="33" t="s">
        <v>94</v>
      </c>
      <c r="Q11" s="34" t="s">
        <v>95</v>
      </c>
      <c r="R11" s="23" t="str">
        <f t="shared" si="0"/>
        <v>하나은행/869-2828-526225</v>
      </c>
      <c r="S11" s="23" t="str">
        <f t="shared" si="1"/>
        <v>여</v>
      </c>
      <c r="T11" s="23" t="str">
        <f t="shared" si="2"/>
        <v>900699</v>
      </c>
      <c r="U11" s="23" t="str">
        <f t="shared" si="3"/>
        <v>1990</v>
      </c>
      <c r="V11" s="23">
        <f t="shared" ca="1" si="4"/>
        <v>34</v>
      </c>
      <c r="W11" s="23" t="str">
        <f t="shared" si="5"/>
        <v>경상권</v>
      </c>
    </row>
    <row r="12" spans="1:38" ht="16.5">
      <c r="A12" s="2">
        <v>10</v>
      </c>
      <c r="B12" s="17" t="s">
        <v>138</v>
      </c>
      <c r="C12" s="25"/>
      <c r="D12" s="19">
        <v>10</v>
      </c>
      <c r="E12" s="20" t="s">
        <v>137</v>
      </c>
      <c r="F12" s="24" t="s">
        <v>96</v>
      </c>
      <c r="G12" s="24" t="s">
        <v>129</v>
      </c>
      <c r="H12" s="20" t="s">
        <v>116</v>
      </c>
      <c r="I12" s="24" t="s">
        <v>97</v>
      </c>
      <c r="J12" s="24" t="s">
        <v>74</v>
      </c>
      <c r="K12" s="21">
        <v>3</v>
      </c>
      <c r="L12" s="21" t="s">
        <v>66</v>
      </c>
      <c r="M12" s="21" t="s">
        <v>98</v>
      </c>
      <c r="N12" s="22" t="s">
        <v>68</v>
      </c>
      <c r="O12" s="32" t="s">
        <v>62</v>
      </c>
      <c r="P12" s="33" t="s">
        <v>83</v>
      </c>
      <c r="Q12" s="34" t="s">
        <v>99</v>
      </c>
      <c r="R12" s="23" t="str">
        <f t="shared" si="0"/>
        <v>농협/954-9797-760181</v>
      </c>
      <c r="S12" s="23" t="str">
        <f t="shared" si="1"/>
        <v>남</v>
      </c>
      <c r="T12" s="23" t="str">
        <f t="shared" si="2"/>
        <v>900799</v>
      </c>
      <c r="U12" s="23" t="str">
        <f t="shared" si="3"/>
        <v>1990</v>
      </c>
      <c r="V12" s="23">
        <f t="shared" ca="1" si="4"/>
        <v>34</v>
      </c>
      <c r="W12" s="23" t="str">
        <f t="shared" si="5"/>
        <v>경상권</v>
      </c>
    </row>
    <row r="13" spans="1:38" ht="16.5">
      <c r="A13" s="2">
        <v>11</v>
      </c>
      <c r="B13" s="17" t="s">
        <v>138</v>
      </c>
      <c r="C13" s="25"/>
      <c r="D13" s="19">
        <v>11</v>
      </c>
      <c r="E13" s="20" t="s">
        <v>137</v>
      </c>
      <c r="F13" s="24" t="s">
        <v>60</v>
      </c>
      <c r="G13" s="24" t="s">
        <v>130</v>
      </c>
      <c r="H13" s="20" t="s">
        <v>116</v>
      </c>
      <c r="I13" s="24" t="s">
        <v>61</v>
      </c>
      <c r="J13" s="24" t="s">
        <v>53</v>
      </c>
      <c r="K13" s="21">
        <v>2</v>
      </c>
      <c r="L13" s="21" t="s">
        <v>57</v>
      </c>
      <c r="M13" s="21" t="s">
        <v>100</v>
      </c>
      <c r="N13" s="22" t="s">
        <v>76</v>
      </c>
      <c r="O13" s="33" t="s">
        <v>121</v>
      </c>
      <c r="P13" s="33" t="s">
        <v>58</v>
      </c>
      <c r="Q13" s="34" t="s">
        <v>101</v>
      </c>
      <c r="R13" s="23" t="str">
        <f t="shared" si="0"/>
        <v>신한은행/129-2235-418768</v>
      </c>
      <c r="S13" s="23" t="str">
        <f t="shared" si="1"/>
        <v>남</v>
      </c>
      <c r="T13" s="23" t="str">
        <f t="shared" si="2"/>
        <v>910699</v>
      </c>
      <c r="U13" s="23" t="str">
        <f t="shared" si="3"/>
        <v>1991</v>
      </c>
      <c r="V13" s="23">
        <f t="shared" ca="1" si="4"/>
        <v>33</v>
      </c>
      <c r="W13" s="23" t="str">
        <f t="shared" si="5"/>
        <v>제주</v>
      </c>
    </row>
    <row r="14" spans="1:38" ht="16.5">
      <c r="A14" s="2">
        <v>12</v>
      </c>
      <c r="B14" s="17" t="s">
        <v>138</v>
      </c>
      <c r="C14" s="25"/>
      <c r="D14" s="19">
        <v>12</v>
      </c>
      <c r="E14" s="20" t="s">
        <v>137</v>
      </c>
      <c r="F14" s="24" t="s">
        <v>102</v>
      </c>
      <c r="G14" s="24" t="s">
        <v>134</v>
      </c>
      <c r="H14" s="20" t="s">
        <v>116</v>
      </c>
      <c r="I14" s="24" t="s">
        <v>103</v>
      </c>
      <c r="J14" s="24" t="s">
        <v>53</v>
      </c>
      <c r="K14" s="21">
        <v>1</v>
      </c>
      <c r="L14" s="21" t="s">
        <v>81</v>
      </c>
      <c r="M14" s="21" t="s">
        <v>67</v>
      </c>
      <c r="N14" s="22" t="s">
        <v>88</v>
      </c>
      <c r="O14" s="37" t="s">
        <v>120</v>
      </c>
      <c r="P14" s="33" t="s">
        <v>77</v>
      </c>
      <c r="Q14" s="34" t="s">
        <v>104</v>
      </c>
      <c r="R14" s="23" t="str">
        <f t="shared" si="0"/>
        <v>우리은행/404-5984-950896</v>
      </c>
      <c r="S14" s="23" t="str">
        <f t="shared" si="1"/>
        <v>여</v>
      </c>
      <c r="T14" s="23" t="str">
        <f t="shared" si="2"/>
        <v>000899</v>
      </c>
      <c r="U14" s="23" t="str">
        <f t="shared" si="3"/>
        <v>2000</v>
      </c>
      <c r="V14" s="23">
        <f ca="1">YEAR(TODAY()) - VALUE(IF(VALUE(MID(G14, 8, 1)) &lt;= 2, "19" &amp; LEFT(G14, 2), "20" &amp; LEFT(G14, 2)))</f>
        <v>24</v>
      </c>
      <c r="W14" s="23" t="str">
        <f t="shared" si="5"/>
        <v>충청권</v>
      </c>
    </row>
    <row r="15" spans="1:38" ht="16.5">
      <c r="A15" s="2">
        <v>13</v>
      </c>
      <c r="B15" s="17" t="s">
        <v>138</v>
      </c>
      <c r="C15" s="25"/>
      <c r="D15" s="19">
        <v>13</v>
      </c>
      <c r="E15" s="20" t="s">
        <v>137</v>
      </c>
      <c r="F15" s="24" t="s">
        <v>105</v>
      </c>
      <c r="G15" s="24" t="s">
        <v>131</v>
      </c>
      <c r="H15" s="20" t="s">
        <v>116</v>
      </c>
      <c r="I15" s="24" t="s">
        <v>106</v>
      </c>
      <c r="J15" s="24" t="s">
        <v>53</v>
      </c>
      <c r="K15" s="21">
        <v>2</v>
      </c>
      <c r="L15" s="21" t="s">
        <v>66</v>
      </c>
      <c r="M15" s="21" t="s">
        <v>67</v>
      </c>
      <c r="N15" s="22" t="s">
        <v>76</v>
      </c>
      <c r="O15" s="33" t="s">
        <v>119</v>
      </c>
      <c r="P15" s="33" t="s">
        <v>83</v>
      </c>
      <c r="Q15" s="34" t="s">
        <v>107</v>
      </c>
      <c r="R15" s="23" t="str">
        <f t="shared" si="0"/>
        <v>농협/756-6616-606584</v>
      </c>
      <c r="S15" s="23" t="str">
        <f t="shared" si="1"/>
        <v>여</v>
      </c>
      <c r="T15" s="23" t="str">
        <f t="shared" si="2"/>
        <v>921299</v>
      </c>
      <c r="U15" s="23" t="str">
        <f t="shared" si="3"/>
        <v>1992</v>
      </c>
      <c r="V15" s="23">
        <f t="shared" ca="1" si="4"/>
        <v>32</v>
      </c>
      <c r="W15" s="23" t="str">
        <f t="shared" si="5"/>
        <v>경상권</v>
      </c>
    </row>
    <row r="16" spans="1:38" ht="16.5">
      <c r="A16" s="2">
        <v>14</v>
      </c>
      <c r="B16" s="17" t="s">
        <v>138</v>
      </c>
      <c r="C16" s="198"/>
      <c r="D16" s="19">
        <v>14</v>
      </c>
      <c r="E16" s="20" t="s">
        <v>137</v>
      </c>
      <c r="F16" s="24" t="s">
        <v>85</v>
      </c>
      <c r="G16" s="24" t="s">
        <v>132</v>
      </c>
      <c r="H16" s="20" t="s">
        <v>116</v>
      </c>
      <c r="I16" s="24" t="s">
        <v>86</v>
      </c>
      <c r="J16" s="24" t="s">
        <v>87</v>
      </c>
      <c r="K16" s="21">
        <v>2</v>
      </c>
      <c r="L16" s="21" t="s">
        <v>66</v>
      </c>
      <c r="M16" s="21" t="s">
        <v>75</v>
      </c>
      <c r="N16" s="22" t="s">
        <v>72</v>
      </c>
      <c r="O16" s="32" t="s">
        <v>118</v>
      </c>
      <c r="P16" s="33" t="s">
        <v>94</v>
      </c>
      <c r="Q16" s="34" t="s">
        <v>108</v>
      </c>
      <c r="R16" s="23" t="str">
        <f t="shared" si="0"/>
        <v>하나은행/588-1300-685386</v>
      </c>
      <c r="S16" s="23" t="str">
        <f t="shared" si="1"/>
        <v>남</v>
      </c>
      <c r="T16" s="23" t="str">
        <f t="shared" si="2"/>
        <v>901199</v>
      </c>
      <c r="U16" s="23" t="str">
        <f t="shared" si="3"/>
        <v>1990</v>
      </c>
      <c r="V16" s="23">
        <f t="shared" ca="1" si="4"/>
        <v>34</v>
      </c>
      <c r="W16" s="23" t="str">
        <f t="shared" si="5"/>
        <v>호남권</v>
      </c>
    </row>
    <row r="17" spans="1:23" ht="16.5">
      <c r="A17" s="2">
        <v>15</v>
      </c>
      <c r="B17" s="24" t="s">
        <v>138</v>
      </c>
      <c r="C17" s="25"/>
      <c r="D17" s="25">
        <v>15</v>
      </c>
      <c r="E17" s="24" t="s">
        <v>137</v>
      </c>
      <c r="F17" s="24" t="s">
        <v>109</v>
      </c>
      <c r="G17" s="24" t="s">
        <v>133</v>
      </c>
      <c r="H17" s="39" t="s">
        <v>116</v>
      </c>
      <c r="I17" s="24" t="s">
        <v>110</v>
      </c>
      <c r="J17" s="24" t="s">
        <v>74</v>
      </c>
      <c r="K17" s="38">
        <v>1</v>
      </c>
      <c r="L17" s="21" t="s">
        <v>81</v>
      </c>
      <c r="M17" s="21" t="s">
        <v>98</v>
      </c>
      <c r="N17" s="22" t="s">
        <v>88</v>
      </c>
      <c r="O17" s="32" t="s">
        <v>117</v>
      </c>
      <c r="P17" s="33" t="s">
        <v>94</v>
      </c>
      <c r="Q17" s="34" t="s">
        <v>111</v>
      </c>
      <c r="R17" s="23" t="str">
        <f t="shared" si="0"/>
        <v>하나은행/694-9043-121446</v>
      </c>
      <c r="S17" s="23" t="str">
        <f t="shared" si="1"/>
        <v>남</v>
      </c>
      <c r="T17" s="23" t="str">
        <f t="shared" si="2"/>
        <v>941099</v>
      </c>
      <c r="U17" s="23" t="str">
        <f t="shared" si="3"/>
        <v>1994</v>
      </c>
      <c r="V17" s="23">
        <f t="shared" ca="1" si="4"/>
        <v>30</v>
      </c>
      <c r="W17" s="23" t="str">
        <f t="shared" si="5"/>
        <v>수도권</v>
      </c>
    </row>
    <row r="18" spans="1:23" ht="16.5">
      <c r="A18" s="2">
        <v>16</v>
      </c>
    </row>
    <row r="19" spans="1:23" ht="16.5">
      <c r="A19" s="2">
        <v>17</v>
      </c>
    </row>
    <row r="20" spans="1:23" ht="16.5">
      <c r="A20" s="2">
        <v>18</v>
      </c>
    </row>
    <row r="21" spans="1:23" ht="16.5">
      <c r="A21" s="2">
        <v>19</v>
      </c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23" ht="16.5">
      <c r="A22" s="2">
        <v>20</v>
      </c>
      <c r="G22" s="36"/>
      <c r="J22" s="36"/>
      <c r="K22" s="36"/>
      <c r="M22" s="36"/>
      <c r="P22" s="36"/>
      <c r="Q22" s="36"/>
    </row>
    <row r="23" spans="1:23" ht="16.5">
      <c r="A23" s="2">
        <v>21</v>
      </c>
      <c r="G23" s="36"/>
      <c r="J23" s="36"/>
      <c r="K23" s="36"/>
      <c r="M23" s="36"/>
      <c r="P23" s="36"/>
      <c r="Q23" s="36"/>
    </row>
    <row r="24" spans="1:23" ht="16.5">
      <c r="A24" s="2">
        <v>22</v>
      </c>
      <c r="E24" s="36"/>
      <c r="F24" s="36"/>
      <c r="G24" s="36"/>
      <c r="H24" s="299"/>
      <c r="I24" s="299"/>
      <c r="J24" s="299"/>
      <c r="K24" s="36"/>
      <c r="L24" s="36"/>
      <c r="M24" s="36"/>
      <c r="N24" s="36"/>
      <c r="O24" s="36"/>
      <c r="P24" s="36"/>
      <c r="Q24" s="36"/>
    </row>
    <row r="25" spans="1:23" ht="16.5">
      <c r="A25" s="2">
        <v>23</v>
      </c>
      <c r="E25" s="36"/>
      <c r="G25" s="36"/>
      <c r="H25" s="299"/>
      <c r="I25" s="299"/>
      <c r="J25" s="299"/>
      <c r="K25" s="36"/>
      <c r="L25" s="30"/>
      <c r="M25" s="36"/>
      <c r="N25" s="36"/>
      <c r="O25" s="36"/>
      <c r="P25" s="36"/>
      <c r="Q25" s="36"/>
    </row>
    <row r="26" spans="1:23" ht="16.5">
      <c r="A26" s="2">
        <v>24</v>
      </c>
      <c r="E26" s="36"/>
      <c r="G26" s="36"/>
      <c r="H26" s="299"/>
      <c r="I26" s="299"/>
      <c r="J26" s="299"/>
      <c r="K26" s="36"/>
      <c r="L26" s="31"/>
      <c r="M26" s="36"/>
      <c r="N26" s="36"/>
      <c r="O26" s="36"/>
      <c r="P26" s="36"/>
      <c r="Q26" s="36"/>
    </row>
    <row r="27" spans="1:23" ht="16.5">
      <c r="A27" s="2">
        <v>25</v>
      </c>
      <c r="E27" s="36"/>
      <c r="G27" s="36"/>
      <c r="H27" s="299"/>
      <c r="I27" s="299"/>
      <c r="J27" s="299"/>
      <c r="K27" s="36"/>
      <c r="L27" s="36"/>
      <c r="M27" s="36"/>
      <c r="N27" s="30"/>
      <c r="O27" s="36"/>
      <c r="P27" s="36"/>
      <c r="Q27" s="36"/>
    </row>
    <row r="28" spans="1:23" ht="16.5">
      <c r="A28" s="2">
        <v>26</v>
      </c>
      <c r="E28" s="36"/>
      <c r="G28" s="36"/>
      <c r="H28" s="299"/>
      <c r="I28" s="299"/>
      <c r="J28" s="299"/>
      <c r="K28" s="36"/>
      <c r="L28" s="36"/>
      <c r="M28" s="36"/>
      <c r="N28" s="36"/>
      <c r="O28" s="36"/>
      <c r="P28" s="36"/>
      <c r="Q28" s="36"/>
    </row>
    <row r="29" spans="1:23" ht="16.5">
      <c r="A29" s="2">
        <v>27</v>
      </c>
      <c r="E29" s="36"/>
      <c r="G29" s="36"/>
      <c r="H29" s="299"/>
      <c r="I29" s="299"/>
      <c r="J29" s="299"/>
      <c r="K29" s="36"/>
      <c r="L29" s="36"/>
      <c r="M29" s="36"/>
      <c r="N29" s="36"/>
      <c r="O29" s="36"/>
      <c r="P29" s="36"/>
      <c r="Q29" s="36"/>
    </row>
    <row r="30" spans="1:23" ht="16.5">
      <c r="A30" s="2">
        <v>28</v>
      </c>
      <c r="E30" s="36"/>
      <c r="N30" s="36"/>
      <c r="O30" s="36"/>
      <c r="P30" s="36"/>
      <c r="Q30" s="36"/>
    </row>
    <row r="31" spans="1:23" ht="16.5">
      <c r="A31" s="2">
        <v>29</v>
      </c>
      <c r="E31" s="36"/>
      <c r="N31" s="36"/>
      <c r="O31" s="36"/>
      <c r="P31" s="36"/>
      <c r="Q31" s="36"/>
    </row>
    <row r="32" spans="1:23" ht="16.5">
      <c r="A32" s="2">
        <v>30</v>
      </c>
      <c r="E32" s="36"/>
      <c r="N32" s="30"/>
      <c r="O32" s="36"/>
      <c r="P32" s="36"/>
      <c r="Q32" s="36"/>
    </row>
    <row r="33" spans="1:17" ht="16.5">
      <c r="A33" s="2">
        <v>31</v>
      </c>
      <c r="E33" s="36"/>
      <c r="N33" s="36"/>
      <c r="O33" s="36"/>
      <c r="P33" s="36"/>
      <c r="Q33" s="36"/>
    </row>
    <row r="34" spans="1:17" ht="16.5">
      <c r="A34" s="2">
        <v>32</v>
      </c>
      <c r="E34" s="36"/>
      <c r="N34" s="36"/>
      <c r="O34" s="36"/>
      <c r="P34" s="36"/>
      <c r="Q34" s="36"/>
    </row>
    <row r="35" spans="1:17" ht="16.5">
      <c r="A35" s="2">
        <v>33</v>
      </c>
      <c r="E35" s="36"/>
      <c r="N35" s="36"/>
      <c r="O35" s="36"/>
      <c r="P35" s="36"/>
      <c r="Q35" s="36"/>
    </row>
    <row r="36" spans="1:17" ht="16.5">
      <c r="A36" s="2">
        <v>34</v>
      </c>
      <c r="E36" s="36"/>
      <c r="N36" s="30"/>
      <c r="O36" s="36"/>
      <c r="P36" s="36"/>
      <c r="Q36" s="36"/>
    </row>
    <row r="37" spans="1:17" ht="16.5">
      <c r="A37" s="2">
        <v>35</v>
      </c>
      <c r="E37" s="36"/>
      <c r="N37" s="36"/>
      <c r="O37" s="36"/>
    </row>
    <row r="38" spans="1:17" ht="16.5">
      <c r="A38" s="2">
        <v>36</v>
      </c>
      <c r="E38" s="36"/>
      <c r="N38" s="30"/>
      <c r="O38" s="36"/>
    </row>
    <row r="39" spans="1:17" ht="16.5">
      <c r="A39" s="2">
        <v>37</v>
      </c>
      <c r="E39" s="36"/>
      <c r="N39" s="36"/>
      <c r="O39" s="36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8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K69"/>
  <sheetViews>
    <sheetView showGridLines="0" tabSelected="1" topLeftCell="A23" zoomScaleNormal="100" workbookViewId="0">
      <selection activeCell="D53" sqref="D53"/>
    </sheetView>
    <sheetView showGridLines="0" workbookViewId="1">
      <selection activeCell="B33" sqref="B33"/>
    </sheetView>
  </sheetViews>
  <sheetFormatPr defaultColWidth="9.140625" defaultRowHeight="12.75"/>
  <cols>
    <col min="1" max="1" width="14" style="152" customWidth="1"/>
    <col min="2" max="2" width="26.5703125" style="152" customWidth="1"/>
    <col min="3" max="3" width="30.85546875" style="152" bestFit="1" customWidth="1"/>
    <col min="4" max="4" width="50.7109375" style="152" bestFit="1" customWidth="1"/>
    <col min="5" max="5" width="28.42578125" style="152" bestFit="1" customWidth="1"/>
    <col min="6" max="6" width="29.42578125" style="181" bestFit="1" customWidth="1"/>
    <col min="7" max="16384" width="9.140625" style="152"/>
  </cols>
  <sheetData>
    <row r="1" spans="1:9" ht="24">
      <c r="A1" s="26" t="s">
        <v>43</v>
      </c>
      <c r="B1" s="156">
        <v>1</v>
      </c>
      <c r="C1" s="156">
        <v>2</v>
      </c>
      <c r="D1" s="156">
        <v>3</v>
      </c>
      <c r="E1" s="156">
        <v>4</v>
      </c>
      <c r="F1" s="188">
        <v>5</v>
      </c>
      <c r="G1" s="156">
        <v>6</v>
      </c>
      <c r="H1" s="156">
        <v>7</v>
      </c>
      <c r="I1" s="156">
        <v>8</v>
      </c>
    </row>
    <row r="2" spans="1:9" ht="26.25">
      <c r="A2" s="28">
        <v>0</v>
      </c>
      <c r="B2" s="491" t="s">
        <v>342</v>
      </c>
      <c r="C2" s="492"/>
      <c r="D2" s="492"/>
      <c r="E2" s="492"/>
      <c r="F2" s="492"/>
    </row>
    <row r="3" spans="1:9" ht="18.75" thickBot="1">
      <c r="A3" s="29">
        <v>1</v>
      </c>
      <c r="B3" s="189" t="s">
        <v>383</v>
      </c>
      <c r="C3" s="189" t="s">
        <v>345</v>
      </c>
      <c r="D3" s="189" t="s">
        <v>346</v>
      </c>
      <c r="E3" s="189" t="s">
        <v>345</v>
      </c>
      <c r="F3" s="190" t="s">
        <v>346</v>
      </c>
    </row>
    <row r="4" spans="1:9" ht="17.25" customHeight="1" thickTop="1">
      <c r="A4" s="29">
        <v>2</v>
      </c>
      <c r="B4" s="493" t="s">
        <v>532</v>
      </c>
      <c r="C4" s="157" t="s">
        <v>291</v>
      </c>
      <c r="D4" s="184" t="s">
        <v>353</v>
      </c>
      <c r="E4" s="157" t="s">
        <v>46</v>
      </c>
      <c r="F4" s="40">
        <v>45455</v>
      </c>
    </row>
    <row r="5" spans="1:9" ht="16.5" customHeight="1">
      <c r="A5" s="29">
        <v>3</v>
      </c>
      <c r="B5" s="494"/>
      <c r="C5" s="158" t="s">
        <v>292</v>
      </c>
      <c r="D5" s="5" t="s">
        <v>0</v>
      </c>
      <c r="E5" s="161"/>
      <c r="F5" s="160"/>
    </row>
    <row r="6" spans="1:9" ht="16.5" customHeight="1">
      <c r="A6" s="29">
        <v>4</v>
      </c>
      <c r="B6" s="494"/>
      <c r="C6" s="282" t="s">
        <v>467</v>
      </c>
      <c r="D6" s="5" t="s">
        <v>466</v>
      </c>
      <c r="E6" s="158"/>
      <c r="F6" s="160"/>
    </row>
    <row r="7" spans="1:9" ht="16.5" customHeight="1">
      <c r="A7" s="29">
        <v>5</v>
      </c>
      <c r="B7" s="494"/>
      <c r="C7" s="158" t="s">
        <v>356</v>
      </c>
      <c r="D7" s="5" t="s">
        <v>139</v>
      </c>
      <c r="E7" s="161"/>
      <c r="F7" s="171"/>
      <c r="H7"/>
      <c r="I7"/>
    </row>
    <row r="8" spans="1:9" ht="16.5" customHeight="1">
      <c r="A8" s="29">
        <v>6</v>
      </c>
      <c r="B8" s="494"/>
      <c r="C8" s="161" t="s">
        <v>140</v>
      </c>
      <c r="D8" s="160">
        <v>222222222</v>
      </c>
      <c r="E8" s="279"/>
      <c r="F8" s="171"/>
      <c r="H8"/>
      <c r="I8"/>
    </row>
    <row r="9" spans="1:9" ht="15.75" customHeight="1">
      <c r="A9" s="29">
        <v>7</v>
      </c>
      <c r="B9" s="494"/>
      <c r="C9" s="158" t="s">
        <v>293</v>
      </c>
      <c r="D9" s="5" t="s">
        <v>1</v>
      </c>
      <c r="E9" s="258"/>
      <c r="F9" s="160"/>
      <c r="H9"/>
      <c r="I9"/>
    </row>
    <row r="10" spans="1:9" ht="16.5" customHeight="1">
      <c r="A10" s="29">
        <v>8</v>
      </c>
      <c r="B10" s="494"/>
      <c r="C10" s="158" t="s">
        <v>357</v>
      </c>
      <c r="D10" s="5" t="s">
        <v>358</v>
      </c>
      <c r="E10" s="258" t="s">
        <v>464</v>
      </c>
      <c r="F10" s="160" t="s">
        <v>358</v>
      </c>
      <c r="H10"/>
      <c r="I10"/>
    </row>
    <row r="11" spans="1:9" ht="17.25" customHeight="1">
      <c r="A11" s="29">
        <v>9</v>
      </c>
      <c r="B11" s="494"/>
      <c r="C11" s="161" t="s">
        <v>354</v>
      </c>
      <c r="D11" s="171" t="s">
        <v>355</v>
      </c>
      <c r="E11" s="161" t="s">
        <v>141</v>
      </c>
      <c r="F11" s="160"/>
      <c r="H11"/>
      <c r="I11"/>
    </row>
    <row r="12" spans="1:9" ht="17.25" customHeight="1">
      <c r="A12" s="29">
        <v>10</v>
      </c>
      <c r="B12" s="494"/>
      <c r="C12" s="279" t="s">
        <v>165</v>
      </c>
      <c r="D12" s="171" t="s">
        <v>378</v>
      </c>
      <c r="E12" s="161"/>
      <c r="F12" s="160"/>
      <c r="H12"/>
      <c r="I12"/>
    </row>
    <row r="13" spans="1:9" ht="18" customHeight="1">
      <c r="A13" s="29">
        <v>11</v>
      </c>
      <c r="B13" s="494"/>
      <c r="C13" s="158" t="s">
        <v>294</v>
      </c>
      <c r="D13" s="5" t="s">
        <v>3</v>
      </c>
      <c r="E13" s="279"/>
      <c r="F13" s="171"/>
      <c r="H13"/>
      <c r="I13"/>
    </row>
    <row r="14" spans="1:9" ht="16.5" customHeight="1">
      <c r="A14" s="29">
        <v>12</v>
      </c>
      <c r="B14" s="494"/>
      <c r="C14" s="282" t="s">
        <v>465</v>
      </c>
      <c r="D14" s="5" t="s">
        <v>4</v>
      </c>
      <c r="E14" s="161"/>
      <c r="F14" s="160"/>
      <c r="H14"/>
      <c r="I14"/>
    </row>
    <row r="15" spans="1:9" ht="16.5" customHeight="1">
      <c r="A15" s="29">
        <v>13</v>
      </c>
      <c r="B15" s="494"/>
      <c r="C15" s="279" t="s">
        <v>165</v>
      </c>
      <c r="D15" s="171" t="s">
        <v>378</v>
      </c>
      <c r="E15" s="161"/>
      <c r="F15" s="160"/>
    </row>
    <row r="16" spans="1:9" ht="16.5" customHeight="1">
      <c r="A16" s="29">
        <v>14</v>
      </c>
      <c r="B16" s="494"/>
      <c r="C16" s="496" t="s">
        <v>468</v>
      </c>
      <c r="D16" s="498" t="s">
        <v>4</v>
      </c>
      <c r="E16" s="463"/>
      <c r="F16" s="463"/>
    </row>
    <row r="17" spans="1:11" ht="16.5" customHeight="1">
      <c r="A17" s="29">
        <v>15</v>
      </c>
      <c r="B17" s="494"/>
      <c r="C17" s="497"/>
      <c r="D17" s="499"/>
      <c r="E17" s="500"/>
      <c r="F17" s="500"/>
    </row>
    <row r="18" spans="1:11" ht="16.5" customHeight="1">
      <c r="A18" s="29">
        <v>16</v>
      </c>
      <c r="B18" s="494"/>
      <c r="C18" s="161" t="s">
        <v>359</v>
      </c>
      <c r="D18" s="160" t="s">
        <v>360</v>
      </c>
      <c r="E18" s="161"/>
      <c r="F18" s="160"/>
    </row>
    <row r="19" spans="1:11" ht="17.25" customHeight="1">
      <c r="A19" s="29">
        <v>17</v>
      </c>
      <c r="B19" s="494"/>
      <c r="C19" s="161" t="s">
        <v>361</v>
      </c>
      <c r="D19" s="160" t="s">
        <v>289</v>
      </c>
      <c r="E19" s="161"/>
      <c r="F19" s="160"/>
    </row>
    <row r="20" spans="1:11" ht="17.25" customHeight="1">
      <c r="A20" s="29">
        <v>18</v>
      </c>
      <c r="B20" s="494"/>
      <c r="C20" s="161" t="s">
        <v>362</v>
      </c>
      <c r="D20" s="160" t="s">
        <v>363</v>
      </c>
      <c r="E20" s="161"/>
      <c r="F20" s="160"/>
    </row>
    <row r="21" spans="1:11" ht="16.899999999999999" customHeight="1">
      <c r="A21" s="29">
        <v>19</v>
      </c>
      <c r="B21" s="494"/>
      <c r="C21" s="161"/>
      <c r="D21" s="160"/>
      <c r="E21" s="161"/>
      <c r="F21" s="160"/>
    </row>
    <row r="22" spans="1:11" ht="17.25" customHeight="1" thickBot="1">
      <c r="A22" s="29">
        <v>20</v>
      </c>
      <c r="B22" s="495"/>
      <c r="C22" s="165"/>
      <c r="D22" s="155"/>
      <c r="E22" s="165"/>
      <c r="F22" s="155"/>
    </row>
    <row r="23" spans="1:11" ht="15">
      <c r="A23" s="29">
        <v>21</v>
      </c>
      <c r="B23" s="281"/>
      <c r="C23" s="266"/>
      <c r="D23" s="289"/>
      <c r="E23" s="290"/>
      <c r="F23" s="280"/>
    </row>
    <row r="24" spans="1:11" ht="15">
      <c r="A24" s="29">
        <v>22</v>
      </c>
      <c r="B24" s="281"/>
      <c r="C24" s="266"/>
      <c r="D24" s="287"/>
      <c r="E24" s="288"/>
      <c r="F24" s="280"/>
    </row>
    <row r="25" spans="1:11" ht="16.899999999999999" customHeight="1">
      <c r="A25" s="29">
        <v>23</v>
      </c>
      <c r="B25" s="488" t="s">
        <v>384</v>
      </c>
      <c r="C25" s="158" t="s">
        <v>295</v>
      </c>
      <c r="D25" s="5" t="s">
        <v>364</v>
      </c>
      <c r="E25" s="169"/>
      <c r="F25" s="183"/>
    </row>
    <row r="26" spans="1:11" ht="16.899999999999999" customHeight="1">
      <c r="A26" s="29">
        <v>24</v>
      </c>
      <c r="B26" s="489"/>
      <c r="C26" s="158" t="s">
        <v>365</v>
      </c>
      <c r="D26" s="5" t="s">
        <v>6</v>
      </c>
      <c r="E26" s="159"/>
      <c r="F26" s="160"/>
    </row>
    <row r="27" spans="1:11" ht="16.5" customHeight="1">
      <c r="A27" s="29">
        <v>25</v>
      </c>
      <c r="B27" s="489"/>
      <c r="C27" s="158" t="s">
        <v>366</v>
      </c>
      <c r="D27" s="6" t="s">
        <v>367</v>
      </c>
      <c r="E27" s="161" t="s">
        <v>142</v>
      </c>
      <c r="F27" s="160" t="s">
        <v>7</v>
      </c>
    </row>
    <row r="28" spans="1:11" ht="16.5" customHeight="1">
      <c r="A28" s="29">
        <v>26</v>
      </c>
      <c r="B28" s="489"/>
      <c r="C28" s="158" t="s">
        <v>296</v>
      </c>
      <c r="D28" s="6" t="s">
        <v>8</v>
      </c>
      <c r="E28" s="159"/>
      <c r="F28" s="160"/>
    </row>
    <row r="29" spans="1:11" ht="16.5" customHeight="1">
      <c r="A29" s="29">
        <v>27</v>
      </c>
      <c r="B29" s="489"/>
      <c r="C29" s="158" t="s">
        <v>368</v>
      </c>
      <c r="D29" s="6" t="s">
        <v>9</v>
      </c>
      <c r="E29" s="159"/>
      <c r="F29" s="160"/>
    </row>
    <row r="30" spans="1:11" ht="15.75" customHeight="1">
      <c r="A30" s="29">
        <v>28</v>
      </c>
      <c r="B30" s="489"/>
      <c r="C30" s="158" t="s">
        <v>297</v>
      </c>
      <c r="D30" s="6" t="s">
        <v>10</v>
      </c>
      <c r="E30" s="159"/>
      <c r="F30" s="160"/>
    </row>
    <row r="31" spans="1:11" ht="16.5" customHeight="1">
      <c r="A31" s="29">
        <v>29</v>
      </c>
      <c r="B31" s="489"/>
      <c r="C31" s="164" t="s">
        <v>298</v>
      </c>
      <c r="D31" s="149" t="s">
        <v>11</v>
      </c>
      <c r="E31" s="159"/>
      <c r="F31" s="160"/>
    </row>
    <row r="32" spans="1:11" ht="16.5" thickBot="1">
      <c r="A32" s="29">
        <v>30</v>
      </c>
      <c r="B32" s="490"/>
      <c r="C32" s="165" t="s">
        <v>299</v>
      </c>
      <c r="D32" s="41"/>
      <c r="E32" s="166"/>
      <c r="F32" s="155"/>
      <c r="I32" s="260"/>
      <c r="K32" s="260"/>
    </row>
    <row r="33" spans="1:11" ht="15">
      <c r="A33" s="29">
        <v>31</v>
      </c>
      <c r="C33" s="163"/>
      <c r="D33" s="283"/>
      <c r="E33" s="264"/>
      <c r="F33" s="286"/>
      <c r="I33" s="260"/>
      <c r="K33" s="260"/>
    </row>
    <row r="34" spans="1:11" ht="15">
      <c r="A34" s="29">
        <v>32</v>
      </c>
      <c r="C34" s="163"/>
      <c r="D34" s="284"/>
      <c r="E34" s="264"/>
      <c r="F34" s="285"/>
      <c r="I34" s="259"/>
    </row>
    <row r="35" spans="1:11" ht="17.25">
      <c r="A35" s="29">
        <v>33</v>
      </c>
      <c r="B35" s="488" t="s">
        <v>533</v>
      </c>
      <c r="C35" s="258" t="s">
        <v>461</v>
      </c>
      <c r="D35" s="6" t="s">
        <v>369</v>
      </c>
      <c r="E35" s="158" t="s">
        <v>461</v>
      </c>
      <c r="F35" s="150" t="s">
        <v>370</v>
      </c>
      <c r="I35" s="259"/>
    </row>
    <row r="36" spans="1:11" ht="15.75">
      <c r="A36" s="29">
        <v>34</v>
      </c>
      <c r="B36" s="489"/>
      <c r="C36" s="158" t="s">
        <v>371</v>
      </c>
      <c r="D36" s="6" t="s">
        <v>12</v>
      </c>
      <c r="E36" s="158" t="s">
        <v>371</v>
      </c>
      <c r="F36" s="150" t="s">
        <v>372</v>
      </c>
    </row>
    <row r="37" spans="1:11" ht="17.25">
      <c r="A37" s="29">
        <v>35</v>
      </c>
      <c r="B37" s="489"/>
      <c r="C37" s="158" t="s">
        <v>300</v>
      </c>
      <c r="D37" s="6" t="s">
        <v>8</v>
      </c>
      <c r="E37" s="158" t="s">
        <v>300</v>
      </c>
      <c r="F37" s="197" t="s">
        <v>386</v>
      </c>
    </row>
    <row r="38" spans="1:11" ht="15.75">
      <c r="A38" s="29">
        <v>36</v>
      </c>
      <c r="B38" s="489"/>
      <c r="C38" s="158" t="s">
        <v>301</v>
      </c>
      <c r="D38" s="6" t="s">
        <v>10</v>
      </c>
      <c r="E38" s="158" t="s">
        <v>301</v>
      </c>
      <c r="F38" s="150" t="s">
        <v>290</v>
      </c>
    </row>
    <row r="39" spans="1:11" ht="15.75">
      <c r="A39" s="29">
        <v>37</v>
      </c>
      <c r="B39" s="489"/>
      <c r="C39" s="158" t="s">
        <v>302</v>
      </c>
      <c r="D39" s="167" t="s">
        <v>288</v>
      </c>
      <c r="E39" s="158" t="s">
        <v>302</v>
      </c>
      <c r="F39" s="168" t="s">
        <v>287</v>
      </c>
    </row>
    <row r="40" spans="1:11" ht="15.75">
      <c r="A40" s="29">
        <v>38</v>
      </c>
      <c r="B40" s="489"/>
      <c r="C40" s="158" t="s">
        <v>303</v>
      </c>
      <c r="D40" s="167"/>
      <c r="E40" s="158" t="s">
        <v>303</v>
      </c>
      <c r="F40" s="168"/>
    </row>
    <row r="41" spans="1:11" ht="15.75">
      <c r="A41" s="29">
        <v>39</v>
      </c>
      <c r="B41" s="489"/>
      <c r="C41" s="158" t="s">
        <v>459</v>
      </c>
      <c r="D41" s="167"/>
      <c r="E41" s="158" t="s">
        <v>459</v>
      </c>
      <c r="F41" s="168"/>
    </row>
    <row r="42" spans="1:11" ht="19.5" customHeight="1" thickBot="1">
      <c r="A42" s="29">
        <v>40</v>
      </c>
      <c r="B42" s="490"/>
      <c r="C42" s="162" t="s">
        <v>460</v>
      </c>
      <c r="D42" s="153"/>
      <c r="E42" s="162" t="s">
        <v>460</v>
      </c>
      <c r="F42" s="154"/>
    </row>
    <row r="43" spans="1:11" ht="15">
      <c r="A43" s="29">
        <v>41</v>
      </c>
      <c r="C43" s="163"/>
      <c r="D43" s="283"/>
      <c r="E43" s="264"/>
      <c r="F43" s="286"/>
    </row>
    <row r="44" spans="1:11" ht="15">
      <c r="A44" s="29">
        <v>42</v>
      </c>
      <c r="C44" s="163"/>
      <c r="D44" s="284"/>
      <c r="E44" s="264"/>
      <c r="F44" s="285"/>
    </row>
    <row r="45" spans="1:11" ht="15.75" customHeight="1">
      <c r="A45" s="29">
        <v>43</v>
      </c>
      <c r="B45" s="488" t="s">
        <v>385</v>
      </c>
      <c r="C45" s="158" t="s">
        <v>497</v>
      </c>
      <c r="D45" s="256" t="s">
        <v>463</v>
      </c>
      <c r="E45" s="257" t="s">
        <v>462</v>
      </c>
      <c r="F45" s="194">
        <v>1</v>
      </c>
    </row>
    <row r="46" spans="1:11" ht="15.75" customHeight="1">
      <c r="A46" s="29">
        <v>44</v>
      </c>
      <c r="B46" s="489"/>
      <c r="C46" s="158" t="s">
        <v>496</v>
      </c>
      <c r="D46" s="262"/>
      <c r="E46" s="263"/>
      <c r="F46" s="262"/>
    </row>
    <row r="47" spans="1:11" ht="15.75" customHeight="1">
      <c r="A47" s="29">
        <v>45</v>
      </c>
      <c r="B47" s="489"/>
      <c r="C47" s="310"/>
      <c r="D47" s="262"/>
      <c r="E47" s="263"/>
      <c r="F47" s="262"/>
    </row>
    <row r="48" spans="1:11" ht="15.75">
      <c r="A48" s="29">
        <v>46</v>
      </c>
      <c r="B48" s="489"/>
      <c r="C48" s="310" t="s">
        <v>485</v>
      </c>
      <c r="D48" s="6" t="s">
        <v>13</v>
      </c>
      <c r="E48" s="158"/>
      <c r="F48" s="194"/>
    </row>
    <row r="49" spans="1:6" ht="15.75" customHeight="1">
      <c r="A49" s="29">
        <v>47</v>
      </c>
      <c r="B49" s="489"/>
      <c r="C49" s="310" t="s">
        <v>486</v>
      </c>
      <c r="D49" s="6" t="s">
        <v>14</v>
      </c>
      <c r="E49" s="158"/>
      <c r="F49" s="170"/>
    </row>
    <row r="50" spans="1:6" ht="30">
      <c r="A50" s="29">
        <v>48</v>
      </c>
      <c r="B50" s="489"/>
      <c r="C50" s="310" t="s">
        <v>487</v>
      </c>
      <c r="D50" s="192" t="s">
        <v>15</v>
      </c>
      <c r="E50" s="158"/>
      <c r="F50" s="193"/>
    </row>
    <row r="51" spans="1:6" ht="15.75" customHeight="1">
      <c r="A51" s="29">
        <v>49</v>
      </c>
      <c r="B51" s="489"/>
      <c r="C51" s="310" t="s">
        <v>304</v>
      </c>
      <c r="D51" s="239" t="s">
        <v>536</v>
      </c>
      <c r="E51" s="158" t="s">
        <v>305</v>
      </c>
      <c r="F51" s="150" t="s">
        <v>51</v>
      </c>
    </row>
    <row r="52" spans="1:6" ht="15.75" customHeight="1">
      <c r="A52" s="29">
        <v>50</v>
      </c>
      <c r="B52" s="489"/>
      <c r="C52" s="310"/>
      <c r="D52" s="239" t="str">
        <f>D35</f>
        <v>세종대왕</v>
      </c>
      <c r="E52" s="158" t="s">
        <v>306</v>
      </c>
      <c r="F52" s="150" t="s">
        <v>52</v>
      </c>
    </row>
    <row r="53" spans="1:6" ht="16.5" customHeight="1">
      <c r="A53" s="29">
        <v>51</v>
      </c>
      <c r="B53" s="489"/>
      <c r="C53" s="310"/>
      <c r="D53" s="239"/>
      <c r="E53" s="158" t="s">
        <v>373</v>
      </c>
      <c r="F53" s="151" t="str">
        <f>LEFT(F51, FIND("~", F51) - 2)</f>
        <v>2024.11.18</v>
      </c>
    </row>
    <row r="54" spans="1:6" ht="16.5" customHeight="1">
      <c r="A54" s="29">
        <v>52</v>
      </c>
      <c r="B54" s="489"/>
      <c r="C54" s="310"/>
      <c r="D54" s="239"/>
      <c r="E54" s="158" t="s">
        <v>374</v>
      </c>
      <c r="F54" s="150" t="str">
        <f>LEFT(F52, FIND("~", F52) - 2)</f>
        <v>2024.12.16</v>
      </c>
    </row>
    <row r="55" spans="1:6" ht="16.5" customHeight="1">
      <c r="A55" s="29">
        <v>53</v>
      </c>
      <c r="B55" s="489"/>
      <c r="C55" s="310" t="s">
        <v>488</v>
      </c>
      <c r="D55" s="186" t="s">
        <v>379</v>
      </c>
      <c r="E55" s="158"/>
      <c r="F55" s="193"/>
    </row>
    <row r="56" spans="1:6" ht="16.5" customHeight="1">
      <c r="A56" s="29">
        <v>54</v>
      </c>
      <c r="B56" s="489"/>
      <c r="C56" s="310" t="s">
        <v>489</v>
      </c>
      <c r="D56" s="186" t="s">
        <v>380</v>
      </c>
      <c r="E56" s="158"/>
      <c r="F56" s="193"/>
    </row>
    <row r="57" spans="1:6" ht="16.5" customHeight="1">
      <c r="A57" s="29">
        <v>55</v>
      </c>
      <c r="B57" s="489"/>
      <c r="C57" s="310" t="s">
        <v>490</v>
      </c>
      <c r="D57" s="187" t="s">
        <v>16</v>
      </c>
      <c r="E57" s="158"/>
      <c r="F57" s="193"/>
    </row>
    <row r="58" spans="1:6" ht="16.5" customHeight="1">
      <c r="A58" s="29">
        <v>56</v>
      </c>
      <c r="B58" s="489"/>
      <c r="C58" s="310" t="s">
        <v>491</v>
      </c>
      <c r="D58" s="186" t="s">
        <v>17</v>
      </c>
      <c r="E58" s="158"/>
      <c r="F58" s="193"/>
    </row>
    <row r="59" spans="1:6" ht="16.5" customHeight="1">
      <c r="A59" s="29">
        <v>57</v>
      </c>
      <c r="B59" s="489"/>
      <c r="C59" s="310" t="s">
        <v>492</v>
      </c>
      <c r="D59" s="186" t="s">
        <v>381</v>
      </c>
      <c r="E59" s="158"/>
      <c r="F59" s="193"/>
    </row>
    <row r="60" spans="1:6" ht="16.5" customHeight="1">
      <c r="A60" s="29">
        <v>58</v>
      </c>
      <c r="B60" s="489"/>
      <c r="C60" s="310" t="s">
        <v>493</v>
      </c>
      <c r="D60" s="186" t="s">
        <v>382</v>
      </c>
      <c r="E60" s="158"/>
      <c r="F60" s="193"/>
    </row>
    <row r="61" spans="1:6" ht="19.5" customHeight="1">
      <c r="A61" s="29">
        <v>59</v>
      </c>
      <c r="B61" s="489"/>
      <c r="C61" s="310" t="s">
        <v>494</v>
      </c>
      <c r="D61" s="187" t="s">
        <v>18</v>
      </c>
      <c r="E61" s="158"/>
      <c r="F61" s="193"/>
    </row>
    <row r="62" spans="1:6" ht="19.5" customHeight="1">
      <c r="A62" s="29">
        <v>60</v>
      </c>
      <c r="B62" s="489"/>
      <c r="C62" s="310" t="s">
        <v>495</v>
      </c>
      <c r="D62" s="186" t="s">
        <v>19</v>
      </c>
      <c r="E62" s="158"/>
      <c r="F62" s="193"/>
    </row>
    <row r="63" spans="1:6" ht="19.5" customHeight="1">
      <c r="A63" s="29">
        <v>61</v>
      </c>
      <c r="B63" s="489"/>
      <c r="C63" s="261"/>
      <c r="D63" s="262"/>
      <c r="E63" s="263"/>
      <c r="F63" s="262"/>
    </row>
    <row r="64" spans="1:6" ht="16.5" customHeight="1" thickBot="1">
      <c r="A64" s="29">
        <v>62</v>
      </c>
      <c r="B64" s="490"/>
      <c r="C64" s="195"/>
      <c r="D64" s="196"/>
      <c r="E64" s="195"/>
      <c r="F64" s="196"/>
    </row>
    <row r="65" spans="1:5" ht="14.25">
      <c r="A65" s="29">
        <v>63</v>
      </c>
      <c r="B65" s="191"/>
    </row>
    <row r="66" spans="1:5" ht="14.25">
      <c r="A66" s="29">
        <v>64</v>
      </c>
      <c r="B66" s="8"/>
      <c r="C66"/>
      <c r="D66"/>
      <c r="E66"/>
    </row>
    <row r="67" spans="1:5">
      <c r="B67" s="8"/>
      <c r="C67"/>
      <c r="D67"/>
      <c r="E67"/>
    </row>
    <row r="68" spans="1:5">
      <c r="B68" s="8"/>
      <c r="C68"/>
      <c r="D68"/>
      <c r="E68"/>
    </row>
    <row r="69" spans="1:5">
      <c r="B69" s="8"/>
      <c r="C69"/>
      <c r="D69"/>
      <c r="E69"/>
    </row>
  </sheetData>
  <mergeCells count="7">
    <mergeCell ref="B45:B64"/>
    <mergeCell ref="B2:F2"/>
    <mergeCell ref="B25:B32"/>
    <mergeCell ref="B35:B42"/>
    <mergeCell ref="B4:B22"/>
    <mergeCell ref="C16:C17"/>
    <mergeCell ref="D16:F17"/>
  </mergeCells>
  <phoneticPr fontId="8" type="noConversion"/>
  <dataValidations xWindow="748" yWindow="630" count="7">
    <dataValidation type="list" allowBlank="1" showErrorMessage="1" sqref="D2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3" xr:uid="{81E7F5DE-630E-44EA-8AA1-3B840AA01CEF}">
      <formula1>"중소기업,중견기업,대기업,기타(비영리 법인 등)"</formula1>
    </dataValidation>
    <dataValidation type="list" allowBlank="1" showInputMessage="1" showErrorMessage="1" error="드롭다운 사용" sqref="D45" xr:uid="{27C588E9-5649-43EA-AD1E-28E68F59991C}">
      <formula1>"인턴형,프로젝트형"</formula1>
    </dataValidation>
    <dataValidation type="list" allowBlank="1" showInputMessage="1" showErrorMessage="1" error="드롭다운 사용" sqref="F45" xr:uid="{FC445C84-B227-4960-9833-1CF98DAA52B2}">
      <formula1>"1,2,3,4,5,6"</formula1>
    </dataValidation>
    <dataValidation type="list" allowBlank="1" showInputMessage="1" showErrorMessage="1" sqref="D48" xr:uid="{01246E6C-BFF3-4A21-A670-B0F13BAD9A00}">
      <formula1>"광고마케팅,IT,행정,회계"</formula1>
    </dataValidation>
    <dataValidation allowBlank="1" showInputMessage="1" showErrorMessage="1" promptTitle="연락처" prompt="직통번호만 가능합니다._x000a_예)_x000a_1866-9999 (X)_x000a_051-000-0000 (0)_x000a_" sqref="D6" xr:uid="{F8E76DFE-8543-4B53-BB53-68A689A6B0B8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6FB06-C47A-4F83-9A67-FF5AF3376151}">
  <dimension ref="A1:AL63"/>
  <sheetViews>
    <sheetView workbookViewId="0"/>
    <sheetView tabSelected="1" workbookViewId="1">
      <selection activeCell="E27" sqref="E27"/>
    </sheetView>
  </sheetViews>
  <sheetFormatPr defaultRowHeight="12.75"/>
  <cols>
    <col min="1" max="1" width="14" customWidth="1"/>
  </cols>
  <sheetData>
    <row r="1" spans="1:38" ht="24">
      <c r="A1" s="1" t="s">
        <v>20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Drop Down 1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showGridLines="0" workbookViewId="0">
      <selection activeCell="B13" sqref="B13"/>
    </sheetView>
    <sheetView showGridLines="0" workbookViewId="1">
      <selection activeCell="D24" sqref="D24"/>
    </sheetView>
  </sheetViews>
  <sheetFormatPr defaultColWidth="9" defaultRowHeight="12.75"/>
  <cols>
    <col min="1" max="1" width="14" style="8" customWidth="1"/>
    <col min="2" max="2" width="19.5703125" style="8" customWidth="1"/>
    <col min="3" max="3" width="19.5703125" style="8" bestFit="1" customWidth="1"/>
    <col min="4" max="4" width="38.140625" style="8" bestFit="1" customWidth="1"/>
    <col min="5" max="6" width="9" style="8"/>
    <col min="7" max="9" width="7.140625" style="8" customWidth="1"/>
    <col min="10" max="20" width="6.42578125" style="8" customWidth="1"/>
    <col min="21" max="27" width="9" style="8"/>
    <col min="28" max="29" width="9" style="8" customWidth="1"/>
    <col min="30" max="16384" width="9" style="8"/>
  </cols>
  <sheetData>
    <row r="1" spans="1:38" ht="24">
      <c r="A1" s="26" t="s">
        <v>43</v>
      </c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>
        <v>6</v>
      </c>
      <c r="H1" s="27">
        <v>7</v>
      </c>
      <c r="I1" s="27">
        <v>8</v>
      </c>
      <c r="J1" s="27">
        <v>9</v>
      </c>
      <c r="K1" s="27">
        <v>10</v>
      </c>
      <c r="L1" s="27">
        <v>11</v>
      </c>
      <c r="M1" s="27">
        <v>12</v>
      </c>
      <c r="N1" s="27">
        <v>13</v>
      </c>
      <c r="O1" s="27">
        <v>14</v>
      </c>
      <c r="P1" s="27">
        <v>15</v>
      </c>
      <c r="Q1" s="27">
        <v>16</v>
      </c>
      <c r="R1" s="27">
        <v>17</v>
      </c>
      <c r="S1" s="27">
        <v>18</v>
      </c>
      <c r="T1" s="27">
        <v>19</v>
      </c>
      <c r="U1" s="27">
        <v>20</v>
      </c>
      <c r="V1" s="27">
        <v>21</v>
      </c>
      <c r="W1" s="27">
        <v>22</v>
      </c>
      <c r="X1" s="27">
        <v>23</v>
      </c>
      <c r="Y1" s="27">
        <v>24</v>
      </c>
      <c r="Z1" s="27">
        <v>25</v>
      </c>
      <c r="AA1" s="27">
        <v>26</v>
      </c>
      <c r="AB1" s="27">
        <v>27</v>
      </c>
      <c r="AC1" s="27">
        <v>28</v>
      </c>
      <c r="AD1" s="27">
        <v>29</v>
      </c>
      <c r="AE1" s="27">
        <v>30</v>
      </c>
      <c r="AF1" s="27">
        <v>31</v>
      </c>
      <c r="AG1" s="27">
        <v>32</v>
      </c>
      <c r="AH1" s="27">
        <v>33</v>
      </c>
      <c r="AI1" s="27">
        <v>34</v>
      </c>
      <c r="AJ1" s="27">
        <v>35</v>
      </c>
      <c r="AK1" s="27">
        <v>36</v>
      </c>
      <c r="AL1" s="27">
        <v>37</v>
      </c>
    </row>
    <row r="2" spans="1:38" ht="27" customHeight="1">
      <c r="A2" s="28">
        <v>0</v>
      </c>
      <c r="B2" s="491" t="s">
        <v>390</v>
      </c>
      <c r="C2" s="492"/>
      <c r="D2" s="492"/>
      <c r="E2" s="267"/>
      <c r="F2" s="268"/>
      <c r="G2" s="524" t="s">
        <v>403</v>
      </c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6"/>
    </row>
    <row r="3" spans="1:38" ht="18.75" thickBot="1">
      <c r="A3" s="29">
        <v>1</v>
      </c>
      <c r="B3" s="189" t="s">
        <v>387</v>
      </c>
      <c r="C3" s="189" t="s">
        <v>391</v>
      </c>
      <c r="D3" s="189" t="s">
        <v>392</v>
      </c>
      <c r="E3" s="269"/>
      <c r="F3" s="270"/>
      <c r="G3" s="527"/>
      <c r="H3" s="528"/>
      <c r="I3" s="528"/>
      <c r="J3" s="528"/>
      <c r="K3" s="528"/>
      <c r="L3" s="528"/>
      <c r="M3" s="528"/>
      <c r="N3" s="528"/>
      <c r="O3" s="528"/>
      <c r="P3" s="528"/>
      <c r="Q3" s="528"/>
      <c r="R3" s="528"/>
      <c r="S3" s="528"/>
      <c r="T3" s="528"/>
    </row>
    <row r="4" spans="1:38" ht="19.5" customHeight="1" thickTop="1">
      <c r="A4" s="29">
        <v>2</v>
      </c>
      <c r="B4" s="522"/>
      <c r="C4" s="161" t="s">
        <v>397</v>
      </c>
      <c r="D4" s="203" t="s">
        <v>393</v>
      </c>
      <c r="E4" s="271"/>
      <c r="F4" s="272"/>
      <c r="G4" s="501" t="s">
        <v>404</v>
      </c>
      <c r="H4" s="502"/>
      <c r="I4" s="502"/>
      <c r="J4" s="503"/>
      <c r="K4" s="514" t="s">
        <v>405</v>
      </c>
      <c r="L4" s="510"/>
      <c r="M4" s="510"/>
      <c r="N4" s="510"/>
      <c r="O4" s="510"/>
      <c r="P4" s="510" t="s">
        <v>406</v>
      </c>
      <c r="Q4" s="510"/>
      <c r="R4" s="510"/>
      <c r="S4" s="510"/>
      <c r="T4" s="511"/>
    </row>
    <row r="5" spans="1:38" ht="19.149999999999999" customHeight="1">
      <c r="A5" s="29">
        <v>3</v>
      </c>
      <c r="B5" s="522"/>
      <c r="C5" s="158" t="s">
        <v>398</v>
      </c>
      <c r="D5" s="5" t="s">
        <v>394</v>
      </c>
      <c r="E5" s="273"/>
      <c r="F5" s="274"/>
      <c r="G5" s="501" t="s">
        <v>407</v>
      </c>
      <c r="H5" s="502"/>
      <c r="I5" s="502"/>
      <c r="J5" s="503"/>
      <c r="K5" s="506" t="s">
        <v>408</v>
      </c>
      <c r="L5" s="507"/>
      <c r="M5" s="507"/>
      <c r="N5" s="507"/>
      <c r="O5" s="507"/>
      <c r="P5" s="507"/>
      <c r="Q5" s="507"/>
      <c r="R5" s="507"/>
      <c r="S5" s="507"/>
      <c r="T5" s="508"/>
    </row>
    <row r="6" spans="1:38" ht="19.149999999999999" customHeight="1">
      <c r="A6" s="29">
        <v>4</v>
      </c>
      <c r="B6" s="522"/>
      <c r="C6" s="158" t="s">
        <v>399</v>
      </c>
      <c r="D6" s="5" t="s">
        <v>395</v>
      </c>
      <c r="E6" s="273"/>
      <c r="F6" s="270"/>
      <c r="G6" s="501" t="s">
        <v>409</v>
      </c>
      <c r="H6" s="502"/>
      <c r="I6" s="502"/>
      <c r="J6" s="503"/>
      <c r="K6" s="515" t="s">
        <v>410</v>
      </c>
      <c r="L6" s="516"/>
      <c r="M6" s="516"/>
      <c r="N6" s="516"/>
      <c r="O6" s="516"/>
      <c r="P6" s="516"/>
      <c r="Q6" s="516"/>
      <c r="R6" s="516"/>
      <c r="S6" s="516"/>
      <c r="T6" s="517"/>
    </row>
    <row r="7" spans="1:38" ht="19.149999999999999" customHeight="1">
      <c r="A7" s="29">
        <v>5</v>
      </c>
      <c r="B7" s="522"/>
      <c r="C7" s="158" t="s">
        <v>400</v>
      </c>
      <c r="D7" s="5" t="s">
        <v>402</v>
      </c>
      <c r="E7" s="269"/>
      <c r="F7" s="270"/>
      <c r="G7" s="501" t="s">
        <v>411</v>
      </c>
      <c r="H7" s="502"/>
      <c r="I7" s="502"/>
      <c r="J7" s="503"/>
      <c r="K7" s="515" t="s">
        <v>412</v>
      </c>
      <c r="L7" s="516"/>
      <c r="M7" s="516"/>
      <c r="N7" s="516"/>
      <c r="O7" s="516"/>
      <c r="P7" s="516"/>
      <c r="Q7" s="516"/>
      <c r="R7" s="516"/>
      <c r="S7" s="516"/>
      <c r="T7" s="517"/>
    </row>
    <row r="8" spans="1:38" ht="19.5" customHeight="1" thickBot="1">
      <c r="A8" s="199">
        <v>6</v>
      </c>
      <c r="B8" s="523"/>
      <c r="C8" s="165" t="s">
        <v>401</v>
      </c>
      <c r="D8" s="202" t="s">
        <v>396</v>
      </c>
      <c r="E8" s="271"/>
      <c r="F8" s="272"/>
      <c r="G8" s="518" t="s">
        <v>413</v>
      </c>
      <c r="H8" s="519"/>
      <c r="I8" s="501" t="s">
        <v>415</v>
      </c>
      <c r="J8" s="503"/>
      <c r="K8" s="515" t="s">
        <v>412</v>
      </c>
      <c r="L8" s="516"/>
      <c r="M8" s="516"/>
      <c r="N8" s="516"/>
      <c r="O8" s="516"/>
      <c r="P8" s="516"/>
      <c r="Q8" s="516"/>
      <c r="R8" s="516"/>
      <c r="S8" s="516"/>
      <c r="T8" s="517"/>
    </row>
    <row r="9" spans="1:38" ht="19.149999999999999" customHeight="1">
      <c r="A9" s="29">
        <v>7</v>
      </c>
      <c r="B9" s="200"/>
      <c r="C9" s="201"/>
      <c r="D9" s="201"/>
      <c r="E9" s="275"/>
      <c r="F9" s="270"/>
      <c r="G9" s="520" t="s">
        <v>414</v>
      </c>
      <c r="H9" s="521"/>
      <c r="I9" s="501" t="s">
        <v>416</v>
      </c>
      <c r="J9" s="503"/>
      <c r="K9" s="515"/>
      <c r="L9" s="516"/>
      <c r="M9" s="516"/>
      <c r="N9" s="516"/>
      <c r="O9" s="516"/>
      <c r="P9" s="516"/>
      <c r="Q9" s="516"/>
      <c r="R9" s="516"/>
      <c r="S9" s="516"/>
      <c r="T9" s="517"/>
    </row>
    <row r="10" spans="1:38" ht="19.149999999999999" customHeight="1">
      <c r="A10" s="199">
        <v>8</v>
      </c>
      <c r="B10" s="10"/>
      <c r="C10" s="9"/>
      <c r="D10" s="7"/>
      <c r="E10" s="276"/>
      <c r="F10" s="277"/>
      <c r="G10" s="501" t="s">
        <v>417</v>
      </c>
      <c r="H10" s="502"/>
      <c r="I10" s="502"/>
      <c r="J10" s="503"/>
      <c r="K10" s="506" t="s">
        <v>417</v>
      </c>
      <c r="L10" s="507"/>
      <c r="M10" s="507"/>
      <c r="N10" s="507"/>
      <c r="O10" s="507"/>
      <c r="P10" s="507"/>
      <c r="Q10" s="507"/>
      <c r="R10" s="507"/>
      <c r="S10" s="507"/>
      <c r="T10" s="508"/>
    </row>
    <row r="11" spans="1:38" ht="15">
      <c r="A11" s="29">
        <v>9</v>
      </c>
      <c r="E11" s="278"/>
      <c r="F11" s="278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509"/>
      <c r="R11" s="509"/>
      <c r="S11" s="509"/>
      <c r="T11" s="509"/>
    </row>
    <row r="12" spans="1:38" ht="30.75" customHeight="1">
      <c r="A12" s="29">
        <v>10</v>
      </c>
      <c r="G12" s="501" t="s">
        <v>418</v>
      </c>
      <c r="H12" s="502"/>
      <c r="I12" s="502"/>
      <c r="J12" s="503"/>
      <c r="K12" s="515" t="s">
        <v>419</v>
      </c>
      <c r="L12" s="516"/>
      <c r="M12" s="516"/>
      <c r="N12" s="517"/>
      <c r="O12" s="501" t="s">
        <v>420</v>
      </c>
      <c r="P12" s="502"/>
      <c r="Q12" s="502"/>
      <c r="R12" s="503"/>
      <c r="S12" s="515" t="s">
        <v>421</v>
      </c>
      <c r="T12" s="517"/>
    </row>
    <row r="13" spans="1:38" ht="27" customHeight="1">
      <c r="A13" s="29">
        <v>11</v>
      </c>
      <c r="G13" s="501" t="s">
        <v>144</v>
      </c>
      <c r="H13" s="502"/>
      <c r="I13" s="502"/>
      <c r="J13" s="503"/>
      <c r="K13" s="504" t="s">
        <v>422</v>
      </c>
      <c r="L13" s="513"/>
      <c r="M13" s="513"/>
      <c r="N13" s="505"/>
      <c r="O13" s="501" t="s">
        <v>5</v>
      </c>
      <c r="P13" s="502"/>
      <c r="Q13" s="502"/>
      <c r="R13" s="503"/>
      <c r="S13" s="504" t="s">
        <v>11</v>
      </c>
      <c r="T13" s="505"/>
    </row>
    <row r="14" spans="1:38" ht="14.25">
      <c r="A14" s="29">
        <v>12</v>
      </c>
      <c r="G14" s="513"/>
      <c r="H14" s="513"/>
      <c r="I14" s="513"/>
      <c r="J14" s="513"/>
      <c r="K14" s="513"/>
      <c r="L14" s="513"/>
      <c r="M14" s="513"/>
      <c r="N14" s="513"/>
      <c r="O14" s="513"/>
      <c r="P14" s="513"/>
      <c r="Q14" s="513"/>
      <c r="R14" s="513"/>
      <c r="S14" s="513"/>
      <c r="T14" s="513"/>
    </row>
    <row r="15" spans="1:38" ht="38.25" customHeight="1">
      <c r="A15" s="29">
        <v>13</v>
      </c>
      <c r="G15" s="501" t="s">
        <v>423</v>
      </c>
      <c r="H15" s="502"/>
      <c r="I15" s="502"/>
      <c r="J15" s="503"/>
      <c r="K15" s="514" t="s">
        <v>424</v>
      </c>
      <c r="L15" s="510"/>
      <c r="M15" s="512" t="s">
        <v>425</v>
      </c>
      <c r="N15" s="512"/>
      <c r="O15" s="512"/>
      <c r="P15" s="512"/>
      <c r="Q15" s="510" t="s">
        <v>426</v>
      </c>
      <c r="R15" s="510"/>
      <c r="S15" s="510"/>
      <c r="T15" s="511"/>
    </row>
    <row r="16" spans="1:38" ht="19.149999999999999" customHeight="1">
      <c r="A16" s="29">
        <v>14</v>
      </c>
      <c r="G16" s="501" t="s">
        <v>388</v>
      </c>
      <c r="H16" s="502"/>
      <c r="I16" s="502"/>
      <c r="J16" s="503"/>
      <c r="K16" s="504" t="s">
        <v>427</v>
      </c>
      <c r="L16" s="513"/>
      <c r="M16" s="513"/>
      <c r="N16" s="513"/>
      <c r="O16" s="513"/>
      <c r="P16" s="513"/>
      <c r="Q16" s="513"/>
      <c r="R16" s="513"/>
      <c r="S16" s="513"/>
      <c r="T16" s="505"/>
    </row>
    <row r="17" spans="1:20" ht="19.149999999999999" customHeight="1">
      <c r="A17" s="29">
        <v>15</v>
      </c>
      <c r="G17" s="501" t="s">
        <v>389</v>
      </c>
      <c r="H17" s="502"/>
      <c r="I17" s="502"/>
      <c r="J17" s="503"/>
      <c r="K17" s="506" t="s">
        <v>389</v>
      </c>
      <c r="L17" s="507"/>
      <c r="M17" s="507"/>
      <c r="N17" s="507"/>
      <c r="O17" s="507"/>
      <c r="P17" s="507"/>
      <c r="Q17" s="507"/>
      <c r="R17" s="507"/>
      <c r="S17" s="507"/>
      <c r="T17" s="508"/>
    </row>
    <row r="18" spans="1:20" ht="19.149999999999999" customHeight="1">
      <c r="A18" s="29">
        <v>16</v>
      </c>
      <c r="G18" s="501" t="s">
        <v>428</v>
      </c>
      <c r="H18" s="502"/>
      <c r="I18" s="502"/>
      <c r="J18" s="503"/>
      <c r="K18" s="506" t="s">
        <v>428</v>
      </c>
      <c r="L18" s="507"/>
      <c r="M18" s="507"/>
      <c r="N18" s="507"/>
      <c r="O18" s="507"/>
      <c r="P18" s="507"/>
      <c r="Q18" s="507"/>
      <c r="R18" s="507"/>
      <c r="S18" s="507"/>
      <c r="T18" s="508"/>
    </row>
    <row r="19" spans="1:20" ht="15">
      <c r="A19" s="29">
        <v>17</v>
      </c>
      <c r="G19" s="509"/>
      <c r="H19" s="509"/>
      <c r="I19" s="509"/>
      <c r="J19" s="509"/>
      <c r="K19" s="509"/>
      <c r="L19" s="509"/>
      <c r="M19" s="509"/>
      <c r="N19" s="509"/>
      <c r="O19" s="509"/>
      <c r="P19" s="509"/>
      <c r="Q19" s="509"/>
      <c r="R19" s="509"/>
      <c r="S19" s="509"/>
      <c r="T19" s="509"/>
    </row>
    <row r="20" spans="1:20" ht="16.899999999999999" customHeight="1">
      <c r="A20" s="29">
        <v>18</v>
      </c>
      <c r="G20" s="204" t="s">
        <v>429</v>
      </c>
      <c r="H20" s="215" t="s">
        <v>430</v>
      </c>
      <c r="I20" s="217"/>
      <c r="J20" s="215" t="s">
        <v>145</v>
      </c>
      <c r="K20" s="217"/>
      <c r="L20" s="215" t="s">
        <v>146</v>
      </c>
      <c r="M20" s="217"/>
      <c r="N20" s="215" t="s">
        <v>147</v>
      </c>
      <c r="O20" s="216"/>
      <c r="P20" s="216"/>
      <c r="Q20" s="217"/>
      <c r="R20" s="215" t="s">
        <v>148</v>
      </c>
      <c r="S20" s="217"/>
      <c r="T20" s="222" t="s">
        <v>149</v>
      </c>
    </row>
    <row r="21" spans="1:20" ht="16.899999999999999" customHeight="1">
      <c r="A21" s="29">
        <v>19</v>
      </c>
      <c r="G21" s="205" t="s">
        <v>431</v>
      </c>
      <c r="H21" s="218" t="s">
        <v>433</v>
      </c>
      <c r="I21" s="219"/>
      <c r="J21" s="209"/>
      <c r="K21" s="211"/>
      <c r="L21" s="209"/>
      <c r="M21" s="211"/>
      <c r="N21" s="209"/>
      <c r="O21" s="210"/>
      <c r="P21" s="210"/>
      <c r="Q21" s="211"/>
      <c r="R21" s="209"/>
      <c r="S21" s="211"/>
      <c r="T21" s="220"/>
    </row>
    <row r="22" spans="1:20" ht="16.899999999999999" customHeight="1">
      <c r="A22" s="29">
        <v>20</v>
      </c>
      <c r="G22" s="206" t="s">
        <v>432</v>
      </c>
      <c r="H22" s="218" t="s">
        <v>434</v>
      </c>
      <c r="I22" s="219"/>
      <c r="J22" s="209"/>
      <c r="K22" s="211"/>
      <c r="L22" s="209"/>
      <c r="M22" s="211"/>
      <c r="N22" s="209"/>
      <c r="O22" s="210"/>
      <c r="P22" s="210"/>
      <c r="Q22" s="211"/>
      <c r="R22" s="209"/>
      <c r="S22" s="211"/>
      <c r="T22" s="220"/>
    </row>
    <row r="23" spans="1:20" ht="16.899999999999999" customHeight="1">
      <c r="A23" s="29">
        <v>21</v>
      </c>
      <c r="G23" s="207"/>
      <c r="H23" s="218" t="s">
        <v>414</v>
      </c>
      <c r="I23" s="219"/>
      <c r="J23" s="212"/>
      <c r="K23" s="214"/>
      <c r="L23" s="212"/>
      <c r="M23" s="214"/>
      <c r="N23" s="212"/>
      <c r="O23" s="213"/>
      <c r="P23" s="213"/>
      <c r="Q23" s="214"/>
      <c r="R23" s="212"/>
      <c r="S23" s="214"/>
      <c r="T23" s="221"/>
    </row>
    <row r="24" spans="1:20" ht="16.899999999999999" customHeight="1">
      <c r="A24" s="29">
        <v>22</v>
      </c>
      <c r="G24" s="208"/>
      <c r="H24" s="218" t="s">
        <v>435</v>
      </c>
      <c r="I24" s="219"/>
      <c r="J24" s="209"/>
      <c r="K24" s="211"/>
      <c r="L24" s="209"/>
      <c r="M24" s="211"/>
      <c r="N24" s="209"/>
      <c r="O24" s="210"/>
      <c r="P24" s="210"/>
      <c r="Q24" s="211"/>
      <c r="R24" s="209"/>
      <c r="S24" s="211"/>
      <c r="T24" s="220"/>
    </row>
    <row r="25" spans="1:20" ht="16.899999999999999" customHeight="1">
      <c r="A25" s="29">
        <v>23</v>
      </c>
      <c r="G25" s="205" t="s">
        <v>436</v>
      </c>
      <c r="H25" s="218" t="s">
        <v>433</v>
      </c>
      <c r="I25" s="219"/>
      <c r="J25" s="209"/>
      <c r="K25" s="211"/>
      <c r="L25" s="209"/>
      <c r="M25" s="211"/>
      <c r="N25" s="209"/>
      <c r="O25" s="210"/>
      <c r="P25" s="210"/>
      <c r="Q25" s="211"/>
      <c r="R25" s="209"/>
      <c r="S25" s="211"/>
      <c r="T25" s="220"/>
    </row>
    <row r="26" spans="1:20" ht="16.899999999999999" customHeight="1">
      <c r="A26" s="29">
        <v>24</v>
      </c>
      <c r="G26" s="206" t="s">
        <v>432</v>
      </c>
      <c r="H26" s="218" t="s">
        <v>434</v>
      </c>
      <c r="I26" s="219"/>
      <c r="J26" s="209"/>
      <c r="K26" s="211"/>
      <c r="L26" s="209"/>
      <c r="M26" s="211"/>
      <c r="N26" s="209"/>
      <c r="O26" s="210"/>
      <c r="P26" s="210"/>
      <c r="Q26" s="211"/>
      <c r="R26" s="209"/>
      <c r="S26" s="211"/>
      <c r="T26" s="220"/>
    </row>
    <row r="27" spans="1:20" ht="16.899999999999999" customHeight="1">
      <c r="A27" s="29">
        <v>25</v>
      </c>
      <c r="G27" s="207"/>
      <c r="H27" s="218" t="s">
        <v>414</v>
      </c>
      <c r="I27" s="219"/>
      <c r="J27" s="212"/>
      <c r="K27" s="214"/>
      <c r="L27" s="212"/>
      <c r="M27" s="214"/>
      <c r="N27" s="212"/>
      <c r="O27" s="213"/>
      <c r="P27" s="213"/>
      <c r="Q27" s="214"/>
      <c r="R27" s="212"/>
      <c r="S27" s="214"/>
      <c r="T27" s="221"/>
    </row>
    <row r="28" spans="1:20" ht="16.899999999999999" customHeight="1">
      <c r="A28" s="29">
        <v>26</v>
      </c>
      <c r="G28" s="208"/>
      <c r="H28" s="218" t="s">
        <v>435</v>
      </c>
      <c r="I28" s="219"/>
      <c r="J28" s="209"/>
      <c r="K28" s="211"/>
      <c r="L28" s="209"/>
      <c r="M28" s="211"/>
      <c r="N28" s="209"/>
      <c r="O28" s="210"/>
      <c r="P28" s="210"/>
      <c r="Q28" s="211"/>
      <c r="R28" s="209"/>
      <c r="S28" s="211"/>
      <c r="T28" s="220"/>
    </row>
    <row r="29" spans="1:20" ht="16.899999999999999" customHeight="1">
      <c r="A29" s="29">
        <v>27</v>
      </c>
      <c r="G29" s="205" t="s">
        <v>437</v>
      </c>
      <c r="H29" s="218" t="s">
        <v>433</v>
      </c>
      <c r="I29" s="219"/>
      <c r="J29" s="209"/>
      <c r="K29" s="211"/>
      <c r="L29" s="209"/>
      <c r="M29" s="211"/>
      <c r="N29" s="209"/>
      <c r="O29" s="210"/>
      <c r="P29" s="210"/>
      <c r="Q29" s="211"/>
      <c r="R29" s="209"/>
      <c r="S29" s="211"/>
      <c r="T29" s="220"/>
    </row>
    <row r="30" spans="1:20" ht="16.899999999999999" customHeight="1">
      <c r="A30" s="29">
        <v>28</v>
      </c>
      <c r="G30" s="206" t="s">
        <v>432</v>
      </c>
      <c r="H30" s="218" t="s">
        <v>434</v>
      </c>
      <c r="I30" s="219"/>
      <c r="J30" s="209"/>
      <c r="K30" s="211"/>
      <c r="L30" s="209"/>
      <c r="M30" s="211"/>
      <c r="N30" s="209"/>
      <c r="O30" s="210"/>
      <c r="P30" s="210"/>
      <c r="Q30" s="211"/>
      <c r="R30" s="209"/>
      <c r="S30" s="211"/>
      <c r="T30" s="220"/>
    </row>
    <row r="31" spans="1:20" ht="16.899999999999999" customHeight="1">
      <c r="A31" s="29">
        <v>29</v>
      </c>
      <c r="G31" s="207"/>
      <c r="H31" s="218" t="s">
        <v>414</v>
      </c>
      <c r="I31" s="219"/>
      <c r="J31" s="209"/>
      <c r="K31" s="211"/>
      <c r="L31" s="209"/>
      <c r="M31" s="211"/>
      <c r="N31" s="209"/>
      <c r="O31" s="210"/>
      <c r="P31" s="210"/>
      <c r="Q31" s="211"/>
      <c r="R31" s="209"/>
      <c r="S31" s="211"/>
      <c r="T31" s="220"/>
    </row>
    <row r="32" spans="1:20" ht="16.899999999999999" customHeight="1">
      <c r="A32" s="29">
        <v>30</v>
      </c>
      <c r="G32" s="208"/>
      <c r="H32" s="218" t="s">
        <v>435</v>
      </c>
      <c r="I32" s="219"/>
      <c r="J32" s="209"/>
      <c r="K32" s="211"/>
      <c r="L32" s="209"/>
      <c r="M32" s="211"/>
      <c r="N32" s="209"/>
      <c r="O32" s="210"/>
      <c r="P32" s="210"/>
      <c r="Q32" s="211"/>
      <c r="R32" s="209"/>
      <c r="S32" s="211"/>
      <c r="T32" s="220"/>
    </row>
    <row r="33" spans="1:1" ht="14.25">
      <c r="A33" s="29">
        <v>31</v>
      </c>
    </row>
    <row r="34" spans="1:1" ht="14.25">
      <c r="A34" s="29">
        <v>32</v>
      </c>
    </row>
    <row r="35" spans="1:1" ht="14.25">
      <c r="A35" s="29">
        <v>33</v>
      </c>
    </row>
    <row r="36" spans="1:1" ht="14.25">
      <c r="A36" s="29">
        <v>34</v>
      </c>
    </row>
    <row r="37" spans="1:1" ht="14.25">
      <c r="A37" s="29">
        <v>35</v>
      </c>
    </row>
    <row r="38" spans="1:1" ht="14.25">
      <c r="A38" s="29">
        <v>36</v>
      </c>
    </row>
    <row r="39" spans="1:1" ht="14.25">
      <c r="A39" s="29">
        <v>37</v>
      </c>
    </row>
    <row r="40" spans="1:1" ht="14.25">
      <c r="A40" s="29">
        <v>38</v>
      </c>
    </row>
    <row r="41" spans="1:1" ht="14.25">
      <c r="A41" s="29">
        <v>39</v>
      </c>
    </row>
    <row r="42" spans="1:1" ht="14.25">
      <c r="A42" s="29">
        <v>40</v>
      </c>
    </row>
    <row r="43" spans="1:1" ht="14.25">
      <c r="A43" s="29">
        <v>41</v>
      </c>
    </row>
    <row r="44" spans="1:1" ht="14.25">
      <c r="A44" s="29">
        <v>42</v>
      </c>
    </row>
    <row r="45" spans="1:1" ht="14.25">
      <c r="A45" s="29">
        <v>43</v>
      </c>
    </row>
    <row r="46" spans="1:1" ht="14.25">
      <c r="A46" s="29">
        <v>44</v>
      </c>
    </row>
    <row r="47" spans="1:1" ht="14.25">
      <c r="A47" s="29">
        <v>45</v>
      </c>
    </row>
    <row r="48" spans="1:1" ht="14.25">
      <c r="A48" s="29">
        <v>46</v>
      </c>
    </row>
    <row r="49" spans="1:1" ht="14.25">
      <c r="A49" s="29">
        <v>47</v>
      </c>
    </row>
    <row r="50" spans="1:1" ht="14.25">
      <c r="A50" s="29">
        <v>48</v>
      </c>
    </row>
    <row r="51" spans="1:1" ht="14.25">
      <c r="A51" s="29">
        <v>49</v>
      </c>
    </row>
    <row r="52" spans="1:1" ht="14.25">
      <c r="A52" s="29">
        <v>50</v>
      </c>
    </row>
    <row r="53" spans="1:1" ht="14.25">
      <c r="A53" s="29">
        <v>51</v>
      </c>
    </row>
    <row r="54" spans="1:1" ht="14.25">
      <c r="A54" s="29">
        <v>52</v>
      </c>
    </row>
    <row r="55" spans="1:1" ht="14.25">
      <c r="A55" s="29">
        <v>53</v>
      </c>
    </row>
    <row r="56" spans="1:1" ht="14.25">
      <c r="A56" s="29">
        <v>54</v>
      </c>
    </row>
    <row r="57" spans="1:1" ht="14.25">
      <c r="A57" s="29">
        <v>55</v>
      </c>
    </row>
    <row r="58" spans="1:1" ht="14.25">
      <c r="A58" s="29">
        <v>56</v>
      </c>
    </row>
    <row r="59" spans="1:1" ht="14.25">
      <c r="A59" s="29">
        <v>57</v>
      </c>
    </row>
    <row r="60" spans="1:1" ht="14.25">
      <c r="A60" s="29">
        <v>58</v>
      </c>
    </row>
    <row r="61" spans="1:1" ht="14.25">
      <c r="A61" s="29">
        <v>59</v>
      </c>
    </row>
    <row r="62" spans="1:1" ht="14.25">
      <c r="A62" s="29">
        <v>60</v>
      </c>
    </row>
    <row r="63" spans="1:1" ht="14.25">
      <c r="A63" s="29">
        <v>61</v>
      </c>
    </row>
  </sheetData>
  <mergeCells count="42">
    <mergeCell ref="B2:D2"/>
    <mergeCell ref="B4:B8"/>
    <mergeCell ref="K5:T5"/>
    <mergeCell ref="K6:T6"/>
    <mergeCell ref="K7:T7"/>
    <mergeCell ref="G2:T2"/>
    <mergeCell ref="G3:T3"/>
    <mergeCell ref="G4:J4"/>
    <mergeCell ref="K4:O4"/>
    <mergeCell ref="P4:T4"/>
    <mergeCell ref="G5:J5"/>
    <mergeCell ref="G6:J6"/>
    <mergeCell ref="G7:J7"/>
    <mergeCell ref="K10:T10"/>
    <mergeCell ref="G11:T11"/>
    <mergeCell ref="K8:T8"/>
    <mergeCell ref="K9:T9"/>
    <mergeCell ref="G12:J12"/>
    <mergeCell ref="K12:N12"/>
    <mergeCell ref="G8:H8"/>
    <mergeCell ref="G9:H9"/>
    <mergeCell ref="I8:J8"/>
    <mergeCell ref="I9:J9"/>
    <mergeCell ref="G10:J10"/>
    <mergeCell ref="O12:R12"/>
    <mergeCell ref="S12:T12"/>
    <mergeCell ref="O13:R13"/>
    <mergeCell ref="S13:T13"/>
    <mergeCell ref="K17:T17"/>
    <mergeCell ref="K18:T18"/>
    <mergeCell ref="G19:T19"/>
    <mergeCell ref="Q15:T15"/>
    <mergeCell ref="M15:P15"/>
    <mergeCell ref="K16:T16"/>
    <mergeCell ref="G17:J17"/>
    <mergeCell ref="G18:J18"/>
    <mergeCell ref="G15:J15"/>
    <mergeCell ref="K15:L15"/>
    <mergeCell ref="G16:J16"/>
    <mergeCell ref="G14:T14"/>
    <mergeCell ref="G13:J13"/>
    <mergeCell ref="K13:N13"/>
  </mergeCells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8814-833C-4184-BB1C-31D15119EBD4}">
  <sheetPr codeName="Sheet5"/>
  <dimension ref="A1:AN63"/>
  <sheetViews>
    <sheetView workbookViewId="0"/>
    <sheetView showGridLines="0" zoomScale="85" zoomScaleNormal="85" workbookViewId="1">
      <selection activeCell="D24" sqref="D24"/>
    </sheetView>
  </sheetViews>
  <sheetFormatPr defaultRowHeight="12.75"/>
  <cols>
    <col min="1" max="1" width="14" style="531" customWidth="1"/>
    <col min="2" max="2" width="14" style="531" bestFit="1" customWidth="1"/>
    <col min="3" max="3" width="11" style="531" bestFit="1" customWidth="1"/>
    <col min="4" max="4" width="9.42578125" style="531" bestFit="1" customWidth="1"/>
    <col min="5" max="5" width="14.140625" style="531" bestFit="1" customWidth="1"/>
    <col min="6" max="6" width="11.5703125" style="531" bestFit="1" customWidth="1"/>
    <col min="7" max="7" width="14.140625" style="531" bestFit="1" customWidth="1"/>
    <col min="8" max="8" width="17.7109375" style="531" bestFit="1" customWidth="1"/>
    <col min="9" max="10" width="14.140625" style="531" customWidth="1"/>
    <col min="11" max="11" width="16.42578125" style="531" customWidth="1"/>
    <col min="12" max="13" width="18.85546875" style="531" customWidth="1"/>
    <col min="14" max="14" width="20.7109375" style="531" customWidth="1"/>
    <col min="15" max="15" width="17" style="531" customWidth="1"/>
    <col min="16" max="16" width="37.7109375" style="531" customWidth="1"/>
    <col min="17" max="17" width="20.7109375" style="531" customWidth="1"/>
    <col min="18" max="18" width="21.42578125" style="531" bestFit="1" customWidth="1"/>
    <col min="19" max="19" width="35.7109375" style="531" bestFit="1" customWidth="1"/>
    <col min="20" max="20" width="34.42578125" style="531" customWidth="1"/>
    <col min="21" max="21" width="33.28515625" style="531" bestFit="1" customWidth="1"/>
    <col min="22" max="22" width="22.7109375" style="531" bestFit="1" customWidth="1"/>
    <col min="23" max="23" width="14" style="531" bestFit="1" customWidth="1"/>
    <col min="24" max="24" width="22.5703125" style="531" bestFit="1" customWidth="1"/>
    <col min="25" max="25" width="8.140625" style="531" bestFit="1" customWidth="1"/>
    <col min="26" max="27" width="9.5703125" style="531" bestFit="1" customWidth="1"/>
    <col min="28" max="28" width="8.140625" style="531" bestFit="1" customWidth="1"/>
    <col min="29" max="29" width="5.5703125" style="531" customWidth="1"/>
    <col min="30" max="30" width="3.28515625" style="531" customWidth="1"/>
    <col min="31" max="31" width="16.28515625" style="531" bestFit="1" customWidth="1"/>
    <col min="32" max="32" width="30.28515625" style="531" customWidth="1"/>
    <col min="33" max="33" width="5.5703125" style="531" customWidth="1"/>
    <col min="34" max="34" width="14" style="531" bestFit="1" customWidth="1"/>
    <col min="35" max="35" width="9.5703125" style="531" bestFit="1" customWidth="1"/>
    <col min="36" max="36" width="8.140625" style="531" bestFit="1" customWidth="1"/>
    <col min="37" max="40" width="7" style="531" bestFit="1" customWidth="1"/>
    <col min="41" max="16384" width="9.140625" style="531"/>
  </cols>
  <sheetData>
    <row r="1" spans="1:40" ht="24">
      <c r="A1" s="529" t="s">
        <v>20</v>
      </c>
      <c r="B1" s="530">
        <v>1</v>
      </c>
      <c r="C1" s="530">
        <v>2</v>
      </c>
      <c r="D1" s="530">
        <v>3</v>
      </c>
      <c r="E1" s="530">
        <v>4</v>
      </c>
      <c r="F1" s="530">
        <v>5</v>
      </c>
      <c r="G1" s="530">
        <v>6</v>
      </c>
      <c r="H1" s="530">
        <v>7</v>
      </c>
      <c r="I1" s="530"/>
      <c r="J1" s="530"/>
      <c r="K1" s="530">
        <v>8</v>
      </c>
      <c r="L1" s="530">
        <v>9</v>
      </c>
      <c r="M1" s="530">
        <v>10</v>
      </c>
      <c r="N1" s="530">
        <v>11</v>
      </c>
      <c r="O1" s="530">
        <v>12</v>
      </c>
      <c r="P1" s="530">
        <v>13</v>
      </c>
      <c r="Q1" s="530">
        <v>14</v>
      </c>
      <c r="R1" s="530">
        <v>15</v>
      </c>
      <c r="S1" s="530">
        <v>16</v>
      </c>
      <c r="T1" s="530">
        <v>17</v>
      </c>
      <c r="U1" s="530">
        <v>18</v>
      </c>
      <c r="V1" s="530">
        <v>19</v>
      </c>
      <c r="W1" s="530">
        <v>20</v>
      </c>
      <c r="X1" s="530">
        <v>21</v>
      </c>
      <c r="Y1" s="530">
        <v>22</v>
      </c>
      <c r="Z1" s="530">
        <v>23</v>
      </c>
      <c r="AA1" s="530">
        <v>24</v>
      </c>
      <c r="AB1" s="530">
        <v>25</v>
      </c>
      <c r="AC1" s="530">
        <v>26</v>
      </c>
      <c r="AD1" s="530">
        <v>27</v>
      </c>
      <c r="AE1" s="530">
        <v>28</v>
      </c>
      <c r="AF1" s="530">
        <v>29</v>
      </c>
      <c r="AG1" s="530">
        <v>30</v>
      </c>
      <c r="AH1" s="530">
        <v>31</v>
      </c>
      <c r="AI1" s="530">
        <v>32</v>
      </c>
      <c r="AJ1" s="530">
        <v>33</v>
      </c>
      <c r="AK1" s="530">
        <v>34</v>
      </c>
      <c r="AL1" s="530">
        <v>35</v>
      </c>
      <c r="AM1" s="530">
        <v>36</v>
      </c>
      <c r="AN1" s="530">
        <v>37</v>
      </c>
    </row>
    <row r="2" spans="1:40" ht="16.5">
      <c r="A2" s="3">
        <v>0</v>
      </c>
      <c r="B2" s="536" t="s">
        <v>23</v>
      </c>
      <c r="C2" s="537" t="s">
        <v>25</v>
      </c>
      <c r="D2" s="538" t="s">
        <v>537</v>
      </c>
      <c r="E2" s="537" t="s">
        <v>538</v>
      </c>
      <c r="F2" s="537" t="s">
        <v>539</v>
      </c>
      <c r="G2" s="537" t="s">
        <v>540</v>
      </c>
      <c r="H2" s="537" t="s">
        <v>541</v>
      </c>
      <c r="I2" s="537" t="s">
        <v>534</v>
      </c>
      <c r="J2" s="537" t="s">
        <v>535</v>
      </c>
      <c r="K2" s="537" t="s">
        <v>549</v>
      </c>
      <c r="L2" s="537" t="s">
        <v>542</v>
      </c>
      <c r="M2" s="537" t="s">
        <v>543</v>
      </c>
      <c r="N2" s="537" t="s">
        <v>544</v>
      </c>
      <c r="O2" s="537" t="s">
        <v>545</v>
      </c>
      <c r="P2" s="537" t="s">
        <v>546</v>
      </c>
      <c r="Q2" s="537" t="s">
        <v>547</v>
      </c>
      <c r="R2" s="537" t="s">
        <v>548</v>
      </c>
    </row>
    <row r="3" spans="1:40" ht="33.75">
      <c r="A3" s="2">
        <v>1</v>
      </c>
      <c r="B3" s="541">
        <v>1</v>
      </c>
      <c r="C3" s="539" t="str">
        <f>참여자명단!F3</f>
        <v>이민수</v>
      </c>
      <c r="D3" s="25" t="str">
        <f>'참여기업 정보'!$D35</f>
        <v>세종대왕</v>
      </c>
      <c r="E3" s="25" t="str">
        <f>'참여기업 정보'!$D36</f>
        <v>연구 1팀</v>
      </c>
      <c r="F3" s="25" t="str">
        <f>'참여기업 정보'!$D37</f>
        <v>프로</v>
      </c>
      <c r="G3" s="25" t="str">
        <f>'참여기업 정보'!$D38</f>
        <v>010-0000-0000</v>
      </c>
      <c r="H3" s="25" t="str">
        <f>'참여기업 정보'!$D39</f>
        <v>example1@nate.com</v>
      </c>
      <c r="I3" s="25"/>
      <c r="J3" s="25"/>
      <c r="K3" s="543" t="s">
        <v>550</v>
      </c>
      <c r="L3" s="543" t="s">
        <v>550</v>
      </c>
      <c r="M3" s="543" t="s">
        <v>550</v>
      </c>
      <c r="N3" s="543" t="s">
        <v>550</v>
      </c>
      <c r="O3" s="543" t="s">
        <v>550</v>
      </c>
      <c r="P3" s="543" t="s">
        <v>550</v>
      </c>
      <c r="Q3" s="543" t="s">
        <v>550</v>
      </c>
      <c r="R3" s="543" t="s">
        <v>550</v>
      </c>
    </row>
    <row r="4" spans="1:40" ht="16.5">
      <c r="A4" s="2">
        <v>2</v>
      </c>
      <c r="B4" s="541">
        <v>2</v>
      </c>
      <c r="C4" s="539" t="str">
        <f>참여자명단!F4</f>
        <v>정지우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1:40" ht="16.5">
      <c r="A5" s="2">
        <v>3</v>
      </c>
      <c r="B5" s="541">
        <v>3</v>
      </c>
      <c r="C5" s="539" t="str">
        <f>참여자명단!F5</f>
        <v>박지우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1:40" ht="16.5">
      <c r="A6" s="2">
        <v>4</v>
      </c>
      <c r="B6" s="541">
        <v>4</v>
      </c>
      <c r="C6" s="539" t="str">
        <f>참여자명단!F6</f>
        <v>김예은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</row>
    <row r="7" spans="1:40" ht="16.5">
      <c r="A7" s="2">
        <v>5</v>
      </c>
      <c r="B7" s="541">
        <v>5</v>
      </c>
      <c r="C7" s="539" t="str">
        <f>참여자명단!F7</f>
        <v>이민수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</row>
    <row r="8" spans="1:40" ht="16.5">
      <c r="A8" s="2">
        <v>6</v>
      </c>
      <c r="B8" s="541">
        <v>6</v>
      </c>
      <c r="C8" s="539" t="str">
        <f>참여자명단!F8</f>
        <v>박현우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1:40" ht="16.5">
      <c r="A9" s="2">
        <v>7</v>
      </c>
      <c r="B9" s="541">
        <v>7</v>
      </c>
      <c r="C9" s="539" t="str">
        <f>참여자명단!F9</f>
        <v>이현우</v>
      </c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1:40" ht="16.5">
      <c r="A10" s="2">
        <v>8</v>
      </c>
      <c r="B10" s="541">
        <v>8</v>
      </c>
      <c r="C10" s="539" t="str">
        <f>참여자명단!F10</f>
        <v>김지우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1:40" ht="16.5">
      <c r="A11" s="2">
        <v>9</v>
      </c>
      <c r="B11" s="541">
        <v>9</v>
      </c>
      <c r="C11" s="539" t="str">
        <f>참여자명단!F11</f>
        <v>박현우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1:40" ht="16.5">
      <c r="A12" s="2">
        <v>10</v>
      </c>
      <c r="B12" s="541">
        <v>10</v>
      </c>
      <c r="C12" s="539" t="str">
        <f>참여자명단!F12</f>
        <v>김현우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1:40" ht="16.5">
      <c r="A13" s="2">
        <v>11</v>
      </c>
      <c r="B13" s="541">
        <v>11</v>
      </c>
      <c r="C13" s="539" t="str">
        <f>참여자명단!F13</f>
        <v>정지우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40" ht="16.5">
      <c r="A14" s="2">
        <v>12</v>
      </c>
      <c r="B14" s="541">
        <v>12</v>
      </c>
      <c r="C14" s="539" t="str">
        <f>참여자명단!F14</f>
        <v>박예은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1:40" ht="16.5">
      <c r="A15" s="2">
        <v>13</v>
      </c>
      <c r="B15" s="541">
        <v>13</v>
      </c>
      <c r="C15" s="539" t="str">
        <f>참여자명단!F15</f>
        <v>최현우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1:40" ht="16.5">
      <c r="A16" s="2">
        <v>14</v>
      </c>
      <c r="B16" s="541">
        <v>14</v>
      </c>
      <c r="C16" s="539" t="str">
        <f>참여자명단!F16</f>
        <v>이현우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1:20" ht="16.5">
      <c r="A17" s="2">
        <v>15</v>
      </c>
      <c r="B17" s="542">
        <v>15</v>
      </c>
      <c r="C17" s="540" t="str">
        <f>참여자명단!F17</f>
        <v>최예은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1:20" ht="16.5">
      <c r="A18" s="2">
        <v>16</v>
      </c>
    </row>
    <row r="19" spans="1:20" ht="16.5">
      <c r="A19" s="2">
        <v>17</v>
      </c>
    </row>
    <row r="20" spans="1:20" ht="16.5">
      <c r="A20" s="2">
        <v>18</v>
      </c>
    </row>
    <row r="21" spans="1:20" ht="16.5">
      <c r="A21" s="2">
        <v>19</v>
      </c>
      <c r="G21" s="532"/>
      <c r="H21" s="532"/>
      <c r="I21" s="532"/>
      <c r="J21" s="532"/>
      <c r="K21" s="532"/>
      <c r="L21" s="532"/>
      <c r="M21" s="532"/>
      <c r="N21" s="532"/>
      <c r="O21" s="532"/>
      <c r="P21" s="532"/>
      <c r="Q21" s="532"/>
      <c r="R21" s="532"/>
      <c r="S21" s="532"/>
      <c r="T21" s="532"/>
    </row>
    <row r="22" spans="1:20" ht="16.5">
      <c r="A22" s="2">
        <v>20</v>
      </c>
      <c r="G22" s="532"/>
      <c r="L22" s="532"/>
      <c r="M22" s="532"/>
      <c r="O22" s="532"/>
      <c r="R22" s="532"/>
      <c r="S22" s="532"/>
    </row>
    <row r="23" spans="1:20" ht="16.5">
      <c r="A23" s="2">
        <v>21</v>
      </c>
      <c r="G23" s="532"/>
      <c r="L23" s="532"/>
      <c r="M23" s="532"/>
      <c r="O23" s="532"/>
      <c r="R23" s="532"/>
      <c r="S23" s="532"/>
    </row>
    <row r="24" spans="1:20" ht="16.5">
      <c r="A24" s="2">
        <v>22</v>
      </c>
      <c r="E24" s="532"/>
      <c r="F24" s="532"/>
      <c r="G24" s="532"/>
      <c r="H24" s="533"/>
      <c r="I24" s="533"/>
      <c r="J24" s="533"/>
      <c r="K24" s="533"/>
      <c r="L24" s="533"/>
      <c r="M24" s="532"/>
      <c r="N24" s="532"/>
      <c r="O24" s="532"/>
      <c r="P24" s="532"/>
      <c r="Q24" s="532"/>
      <c r="R24" s="532"/>
      <c r="S24" s="532"/>
    </row>
    <row r="25" spans="1:20" ht="16.5">
      <c r="A25" s="2">
        <v>23</v>
      </c>
      <c r="E25" s="532"/>
      <c r="G25" s="532"/>
      <c r="H25" s="533"/>
      <c r="I25" s="533"/>
      <c r="J25" s="533"/>
      <c r="K25" s="533"/>
      <c r="L25" s="533"/>
      <c r="M25" s="532"/>
      <c r="N25" s="534"/>
      <c r="O25" s="532"/>
      <c r="P25" s="532"/>
      <c r="Q25" s="532"/>
      <c r="R25" s="532"/>
      <c r="S25" s="532"/>
    </row>
    <row r="26" spans="1:20" ht="16.5">
      <c r="A26" s="2">
        <v>24</v>
      </c>
      <c r="E26" s="532"/>
      <c r="G26" s="532"/>
      <c r="H26" s="533"/>
      <c r="I26" s="533"/>
      <c r="J26" s="533"/>
      <c r="K26" s="533"/>
      <c r="L26" s="533"/>
      <c r="M26" s="532"/>
      <c r="N26" s="535"/>
      <c r="O26" s="532"/>
      <c r="P26" s="532"/>
      <c r="Q26" s="532"/>
      <c r="R26" s="532"/>
      <c r="S26" s="532"/>
    </row>
    <row r="27" spans="1:20" ht="16.5">
      <c r="A27" s="2">
        <v>25</v>
      </c>
      <c r="E27" s="532"/>
      <c r="G27" s="532"/>
      <c r="H27" s="533"/>
      <c r="I27" s="533"/>
      <c r="J27" s="533"/>
      <c r="K27" s="533"/>
      <c r="L27" s="533"/>
      <c r="M27" s="532"/>
      <c r="N27" s="532"/>
      <c r="O27" s="532"/>
      <c r="P27" s="534"/>
      <c r="Q27" s="532"/>
      <c r="R27" s="532"/>
      <c r="S27" s="532"/>
    </row>
    <row r="28" spans="1:20" ht="16.5">
      <c r="A28" s="2">
        <v>26</v>
      </c>
      <c r="E28" s="532"/>
      <c r="G28" s="532"/>
      <c r="H28" s="533"/>
      <c r="I28" s="533"/>
      <c r="J28" s="533"/>
      <c r="K28" s="533"/>
      <c r="L28" s="533"/>
      <c r="M28" s="532"/>
      <c r="N28" s="532"/>
      <c r="O28" s="532"/>
      <c r="P28" s="532"/>
      <c r="Q28" s="532"/>
      <c r="R28" s="532"/>
      <c r="S28" s="532"/>
    </row>
    <row r="29" spans="1:20" ht="16.5">
      <c r="A29" s="2">
        <v>27</v>
      </c>
      <c r="E29" s="532"/>
      <c r="G29" s="532"/>
      <c r="H29" s="533"/>
      <c r="I29" s="533"/>
      <c r="J29" s="533"/>
      <c r="K29" s="533"/>
      <c r="L29" s="533"/>
      <c r="M29" s="532"/>
      <c r="N29" s="532"/>
      <c r="O29" s="532"/>
      <c r="P29" s="532"/>
      <c r="Q29" s="532"/>
      <c r="R29" s="532"/>
      <c r="S29" s="532"/>
    </row>
    <row r="30" spans="1:20" ht="16.5">
      <c r="A30" s="2">
        <v>28</v>
      </c>
      <c r="E30" s="532"/>
      <c r="P30" s="532"/>
      <c r="Q30" s="532"/>
      <c r="R30" s="532"/>
      <c r="S30" s="532"/>
    </row>
    <row r="31" spans="1:20" ht="16.5">
      <c r="A31" s="2">
        <v>29</v>
      </c>
      <c r="E31" s="532"/>
      <c r="P31" s="532"/>
      <c r="Q31" s="532"/>
      <c r="R31" s="532"/>
      <c r="S31" s="532"/>
    </row>
    <row r="32" spans="1:20" ht="16.5">
      <c r="A32" s="2">
        <v>30</v>
      </c>
      <c r="E32" s="532"/>
      <c r="P32" s="534"/>
      <c r="Q32" s="532"/>
      <c r="R32" s="532"/>
      <c r="S32" s="532"/>
    </row>
    <row r="33" spans="1:19" ht="16.5">
      <c r="A33" s="2">
        <v>31</v>
      </c>
      <c r="E33" s="532"/>
      <c r="P33" s="532"/>
      <c r="Q33" s="532"/>
      <c r="R33" s="532"/>
      <c r="S33" s="532"/>
    </row>
    <row r="34" spans="1:19" ht="16.5">
      <c r="A34" s="2">
        <v>32</v>
      </c>
      <c r="E34" s="532"/>
      <c r="P34" s="532"/>
      <c r="Q34" s="532"/>
      <c r="R34" s="532"/>
      <c r="S34" s="532"/>
    </row>
    <row r="35" spans="1:19" ht="16.5">
      <c r="A35" s="2">
        <v>33</v>
      </c>
      <c r="E35" s="532"/>
      <c r="P35" s="532"/>
      <c r="Q35" s="532"/>
      <c r="R35" s="532"/>
      <c r="S35" s="532"/>
    </row>
    <row r="36" spans="1:19" ht="16.5">
      <c r="A36" s="2">
        <v>34</v>
      </c>
      <c r="E36" s="532"/>
      <c r="P36" s="534"/>
      <c r="Q36" s="532"/>
      <c r="R36" s="532"/>
      <c r="S36" s="532"/>
    </row>
    <row r="37" spans="1:19" ht="16.5">
      <c r="A37" s="2">
        <v>35</v>
      </c>
      <c r="E37" s="532"/>
      <c r="P37" s="532"/>
      <c r="Q37" s="532"/>
    </row>
    <row r="38" spans="1:19" ht="16.5">
      <c r="A38" s="2">
        <v>36</v>
      </c>
      <c r="E38" s="532"/>
      <c r="P38" s="534"/>
      <c r="Q38" s="532"/>
    </row>
    <row r="39" spans="1:19" ht="16.5">
      <c r="A39" s="2">
        <v>37</v>
      </c>
      <c r="E39" s="532"/>
      <c r="P39" s="532"/>
      <c r="Q39" s="532"/>
    </row>
    <row r="40" spans="1:19" ht="16.5">
      <c r="A40" s="2">
        <v>38</v>
      </c>
    </row>
    <row r="41" spans="1:19" ht="16.5">
      <c r="A41" s="2">
        <v>39</v>
      </c>
    </row>
    <row r="42" spans="1:19" ht="16.5">
      <c r="A42" s="2">
        <v>40</v>
      </c>
    </row>
    <row r="43" spans="1:19" ht="16.5">
      <c r="A43" s="2">
        <v>41</v>
      </c>
    </row>
    <row r="44" spans="1:19" ht="16.5">
      <c r="A44" s="2">
        <v>42</v>
      </c>
    </row>
    <row r="45" spans="1:19" ht="16.5">
      <c r="A45" s="2">
        <v>43</v>
      </c>
    </row>
    <row r="46" spans="1:19" ht="16.5">
      <c r="A46" s="2">
        <v>44</v>
      </c>
    </row>
    <row r="47" spans="1:19" ht="16.5">
      <c r="A47" s="2">
        <v>45</v>
      </c>
    </row>
    <row r="48" spans="1:19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체크리스트</vt:lpstr>
      <vt:lpstr>목차</vt:lpstr>
      <vt:lpstr>기본양식</vt:lpstr>
      <vt:lpstr>참여자명단</vt:lpstr>
      <vt:lpstr>참여기업 정보</vt:lpstr>
      <vt:lpstr>17. 청년 일경험 프로그램 출석부</vt:lpstr>
      <vt:lpstr>102. 사전직무교육 운영 계획서</vt:lpstr>
      <vt:lpstr>105. (참여기업 멘토) 청년 일경험 참여청년 면담일지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2024-12-17T08:48:28Z</dcterms:modified>
</cp:coreProperties>
</file>