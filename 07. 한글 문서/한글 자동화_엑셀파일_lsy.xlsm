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미래내일일경험 공유\07. 한글 문서\"/>
    </mc:Choice>
  </mc:AlternateContent>
  <xr:revisionPtr revIDLastSave="0" documentId="13_ncr:1_{6420AF7F-140D-4A9E-9AEE-56FEA286D089}" xr6:coauthVersionLast="47" xr6:coauthVersionMax="47" xr10:uidLastSave="{00000000-0000-0000-0000-000000000000}"/>
  <bookViews>
    <workbookView xWindow="28680" yWindow="-120" windowWidth="29040" windowHeight="15840" firstSheet="3" activeTab="3" xr2:uid="{AD418BF7-E810-4CC1-8987-FCAB80FFD850}"/>
  </bookViews>
  <sheets>
    <sheet name="목차" sheetId="22" r:id="rId1"/>
    <sheet name="기본양식" sheetId="6" r:id="rId2"/>
    <sheet name="참여자명단" sheetId="24" r:id="rId3"/>
    <sheet name="참여기업 정보" sheetId="7" r:id="rId4"/>
    <sheet name="일경험 운영계획서" sheetId="8" r:id="rId5"/>
    <sheet name="멘토일지" sheetId="9" r:id="rId6"/>
    <sheet name="종합보고서" sheetId="10" r:id="rId7"/>
    <sheet name="중간점검일지" sheetId="11" r:id="rId8"/>
    <sheet name="102. 사전직무교육 운영 계획서" sheetId="16" r:id="rId9"/>
    <sheet name="108. 일경험 운영 계획서" sheetId="17" r:id="rId10"/>
    <sheet name="12. 청년 일경험 프로그램 참여기업 신청서 " sheetId="18" r:id="rId11"/>
    <sheet name="42. 청년 일경험 지원사업 기업 참여 의향서" sheetId="21" r:id="rId12"/>
    <sheet name="125. (공통직무교육기관) 사전직무교육 실시보고" sheetId="20" r:id="rId13"/>
    <sheet name="34. 인턴형 일경험 실시보고" sheetId="19" r:id="rId14"/>
    <sheet name="33. 인턴형 일경험 참여신청서" sheetId="25" r:id="rId15"/>
    <sheet name="40. 개인정보 활용에 관한 동의서" sheetId="26" r:id="rId16"/>
    <sheet name="46. 참여 청년용 확인서" sheetId="27" r:id="rId17"/>
    <sheet name="118. 인턴형 프로그램 표준계약서" sheetId="28" r:id="rId18"/>
    <sheet name="13. 참여기업 지원금 지급 신청서" sheetId="29" r:id="rId19"/>
    <sheet name="기본양식 (2)" sheetId="31" r:id="rId20"/>
  </sheets>
  <definedNames>
    <definedName name="_xleta.LEFT" hidden="1" xlm="1">#NAME?</definedName>
    <definedName name="_xlpm.지역셀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8" i="31" l="1"/>
  <c r="AE18" i="31"/>
  <c r="M19" i="31"/>
  <c r="M20" i="31"/>
  <c r="M21" i="31"/>
  <c r="M22" i="31"/>
  <c r="M23" i="31"/>
  <c r="M24" i="31"/>
  <c r="M25" i="31"/>
  <c r="M18" i="31"/>
  <c r="H19" i="31"/>
  <c r="H20" i="31"/>
  <c r="H21" i="31"/>
  <c r="H22" i="31"/>
  <c r="H23" i="31"/>
  <c r="H24" i="31"/>
  <c r="H25" i="31"/>
  <c r="H18" i="31"/>
  <c r="AC13" i="31"/>
  <c r="O13" i="31"/>
  <c r="AC12" i="31"/>
  <c r="O12" i="31"/>
  <c r="M11" i="31"/>
  <c r="AB9" i="31"/>
  <c r="M9" i="31"/>
  <c r="AB8" i="31"/>
  <c r="M8" i="31"/>
  <c r="V14" i="24"/>
  <c r="W3" i="24"/>
  <c r="W4" i="24"/>
  <c r="W5" i="24"/>
  <c r="W6" i="24"/>
  <c r="W7" i="24"/>
  <c r="W8" i="24"/>
  <c r="W9" i="24"/>
  <c r="W10" i="24"/>
  <c r="W11" i="24"/>
  <c r="W12" i="24"/>
  <c r="W13" i="24"/>
  <c r="W14" i="24"/>
  <c r="W15" i="24"/>
  <c r="W16" i="24"/>
  <c r="W17" i="24"/>
  <c r="V4" i="24"/>
  <c r="V5" i="24"/>
  <c r="V6" i="24"/>
  <c r="V7" i="24"/>
  <c r="V8" i="24"/>
  <c r="V9" i="24"/>
  <c r="V10" i="24"/>
  <c r="V11" i="24"/>
  <c r="V12" i="24"/>
  <c r="V13" i="24"/>
  <c r="V15" i="24"/>
  <c r="V16" i="24"/>
  <c r="V17" i="24"/>
  <c r="V3" i="24"/>
  <c r="U4" i="24"/>
  <c r="U5" i="24"/>
  <c r="U6" i="24"/>
  <c r="U7" i="24"/>
  <c r="U8" i="24"/>
  <c r="U9" i="24"/>
  <c r="U10" i="24"/>
  <c r="U11" i="24"/>
  <c r="U12" i="24"/>
  <c r="U13" i="24"/>
  <c r="U14" i="24"/>
  <c r="U15" i="24"/>
  <c r="U16" i="24"/>
  <c r="U17" i="24"/>
  <c r="U3" i="24"/>
  <c r="T4" i="24"/>
  <c r="T5" i="24"/>
  <c r="T6" i="24"/>
  <c r="T7" i="24"/>
  <c r="T8" i="24"/>
  <c r="T9" i="24"/>
  <c r="T10" i="24"/>
  <c r="T11" i="24"/>
  <c r="T12" i="24"/>
  <c r="T13" i="24"/>
  <c r="T14" i="24"/>
  <c r="T15" i="24"/>
  <c r="T16" i="24"/>
  <c r="T17" i="24"/>
  <c r="T3" i="24"/>
  <c r="S5" i="24"/>
  <c r="S4" i="24"/>
  <c r="S6" i="24"/>
  <c r="S7" i="24"/>
  <c r="S8" i="24"/>
  <c r="S9" i="24"/>
  <c r="S10" i="24"/>
  <c r="S11" i="24"/>
  <c r="S12" i="24"/>
  <c r="S13" i="24"/>
  <c r="S14" i="24"/>
  <c r="S15" i="24"/>
  <c r="S16" i="24"/>
  <c r="S17" i="24"/>
  <c r="S3" i="24"/>
  <c r="R3" i="24"/>
  <c r="R6" i="24"/>
  <c r="R7" i="24"/>
  <c r="R9" i="24"/>
  <c r="R10" i="24"/>
  <c r="R13" i="24"/>
  <c r="R14" i="24"/>
  <c r="R15" i="24"/>
  <c r="R16" i="24"/>
  <c r="R4" i="24"/>
  <c r="R5" i="24"/>
  <c r="R8" i="24"/>
  <c r="R11" i="24"/>
  <c r="R12" i="24"/>
  <c r="R17" i="24"/>
  <c r="C9" i="11" l="1"/>
  <c r="C6" i="11"/>
  <c r="C7" i="11"/>
  <c r="C8" i="11"/>
  <c r="C10" i="11"/>
  <c r="D34" i="10"/>
  <c r="D31" i="10"/>
  <c r="D28" i="10"/>
  <c r="D25" i="10"/>
  <c r="D22" i="10"/>
  <c r="D19" i="10"/>
  <c r="D16" i="10"/>
  <c r="D13" i="10"/>
  <c r="C5" i="11"/>
  <c r="C4" i="11"/>
  <c r="C3" i="11"/>
  <c r="C5" i="10"/>
  <c r="C6" i="10"/>
  <c r="C7" i="10"/>
  <c r="C8" i="10"/>
  <c r="C9" i="10"/>
  <c r="C4" i="10"/>
  <c r="C5" i="9"/>
  <c r="C6" i="9"/>
  <c r="C7" i="9"/>
  <c r="C8" i="9"/>
  <c r="C9" i="9"/>
  <c r="C4" i="9"/>
  <c r="C11" i="8"/>
  <c r="C10" i="8"/>
  <c r="C9" i="8"/>
  <c r="C8" i="8"/>
  <c r="C6" i="8"/>
  <c r="C4" i="8"/>
  <c r="C5" i="8"/>
  <c r="C7" i="8"/>
  <c r="C12" i="8"/>
  <c r="C13" i="8"/>
  <c r="C14" i="8"/>
  <c r="C15" i="8"/>
  <c r="C16" i="8"/>
  <c r="C17" i="8"/>
  <c r="C3" i="10"/>
  <c r="C3" i="9"/>
  <c r="C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<sst xmlns="http://schemas.openxmlformats.org/spreadsheetml/2006/main" count="801" uniqueCount="512">
  <si>
    <t>참여기업 및 일경험정보</t>
  </si>
  <si>
    <t>사업장명</t>
  </si>
  <si>
    <t>대표자명</t>
  </si>
  <si>
    <t>홍길동</t>
  </si>
  <si>
    <t>사업자등록번호
(법인번호)</t>
  </si>
  <si>
    <t>111-11-11111</t>
  </si>
  <si>
    <t>고용보험 사업장 
관리번호</t>
  </si>
  <si>
    <t>222-22-22222-2</t>
  </si>
  <si>
    <t>연락처</t>
  </si>
  <si>
    <t>051)111-1111</t>
  </si>
  <si>
    <t>소재지</t>
  </si>
  <si>
    <t>부산</t>
  </si>
  <si>
    <t xml:space="preserve">기업구분 </t>
  </si>
  <si>
    <t>중소기업</t>
  </si>
  <si>
    <t>중소기업일때만체크</t>
  </si>
  <si>
    <t>회사 소개 및 
주요사업</t>
  </si>
  <si>
    <t>디자인</t>
  </si>
  <si>
    <t>담당부서</t>
  </si>
  <si>
    <t>경영지원</t>
  </si>
  <si>
    <t>담당자명</t>
  </si>
  <si>
    <t>이메일</t>
  </si>
  <si>
    <t>abc@hanmail.com</t>
  </si>
  <si>
    <t>없음</t>
  </si>
  <si>
    <t>자격내용1</t>
  </si>
  <si>
    <t>참여기업 담당자</t>
  </si>
  <si>
    <t>김주혁</t>
  </si>
  <si>
    <t>참여기업 직위</t>
  </si>
  <si>
    <t>프로</t>
  </si>
  <si>
    <t>참여기업 부서명</t>
  </si>
  <si>
    <t>마케팅팀</t>
  </si>
  <si>
    <t>참여기업 연락처</t>
  </si>
  <si>
    <t>010-0000-0000</t>
  </si>
  <si>
    <t>참여기업 이메일</t>
  </si>
  <si>
    <t>work@kseta.or.kr</t>
  </si>
  <si>
    <t>멘토 명</t>
  </si>
  <si>
    <t>이소연</t>
  </si>
  <si>
    <t>멘토 부서명</t>
  </si>
  <si>
    <t>연구 1팀</t>
  </si>
  <si>
    <t>멘토 직위</t>
  </si>
  <si>
    <t>멘토 연락처</t>
  </si>
  <si>
    <t>멘토 이메일</t>
  </si>
  <si>
    <t>참여자 직무</t>
  </si>
  <si>
    <t>IT</t>
  </si>
  <si>
    <t>참여자 근무부서</t>
  </si>
  <si>
    <t>개발팀</t>
  </si>
  <si>
    <t>참여자 주요업무</t>
  </si>
  <si>
    <t>소프트웨어 개발 업무에 대한 전반적인 기초 능력 배양 및 현업에 대한 경험</t>
  </si>
  <si>
    <t>참여기업</t>
  </si>
  <si>
    <t>주차별 업무는 협회측에서 임의 계획서로 작성하였으며 변경 및 수정 가능합니다.</t>
  </si>
  <si>
    <t>주차별 업무</t>
  </si>
  <si>
    <t xml:space="preserve">1주차 </t>
  </si>
  <si>
    <t>모바일 앱 개발 기초와 필수 도구 소개</t>
  </si>
  <si>
    <t xml:space="preserve">2주차 </t>
  </si>
  <si>
    <t>앱 화면 설계 및 사용자 경험(UX) 기초</t>
  </si>
  <si>
    <t xml:space="preserve">3주차 </t>
  </si>
  <si>
    <t>앱 레이아웃 구성 – XML 및 기본 위젯 활용</t>
  </si>
  <si>
    <t xml:space="preserve">4주차 </t>
  </si>
  <si>
    <t>사용자 인터랙션 추가 – 이벤트 및 터치 기능</t>
  </si>
  <si>
    <t xml:space="preserve">5주차 </t>
  </si>
  <si>
    <t>데이터 저장 및 관리 – SQLite와 로컬 데이터</t>
  </si>
  <si>
    <t xml:space="preserve">6주차 </t>
  </si>
  <si>
    <t>네트워크 통신 – API 활용 및 데이터 연동</t>
  </si>
  <si>
    <t xml:space="preserve">7주차 </t>
  </si>
  <si>
    <t>앱 성능 최적화와 디버깅</t>
  </si>
  <si>
    <t xml:space="preserve">8주차 </t>
  </si>
  <si>
    <t>앱 배포 및 유지 관리 전략</t>
  </si>
  <si>
    <t>참여기업 및 멘토정보</t>
  </si>
  <si>
    <t>일경험 기간</t>
  </si>
  <si>
    <t>면담날짜는 매주 특정한 요일을 정한 뒤 진행해주시면 됩니다.</t>
  </si>
  <si>
    <t xml:space="preserve">면담내용은 참여자와 프로젝트 및 업무 관련 또는 회사를 지내면서 불편한 점, 개선 사항 등을 면담 후 적어주시면 됩니다. </t>
  </si>
  <si>
    <t>멘토면담일지</t>
  </si>
  <si>
    <t>면담날짜</t>
  </si>
  <si>
    <t>면담내용</t>
  </si>
  <si>
    <t>면담내용 : 
조치사항:
문의 및 건의사항 :</t>
  </si>
  <si>
    <t>종합보고서는 참여자 분이 작성해주시면 됩니다.</t>
  </si>
  <si>
    <t>종합보고서</t>
  </si>
  <si>
    <t>프로그램 내용</t>
  </si>
  <si>
    <t>실무이행 내용</t>
  </si>
  <si>
    <t>느낀점</t>
  </si>
  <si>
    <t>참여기업 담당자가 작성</t>
  </si>
  <si>
    <t>중감점검 일지</t>
  </si>
  <si>
    <t>청년
요청 사항</t>
  </si>
  <si>
    <t>프로젝트
진행현황</t>
  </si>
  <si>
    <t>피드백 내용</t>
  </si>
  <si>
    <t xml:space="preserve">         로우
인덱스</t>
    <phoneticPr fontId="18" type="noConversion"/>
  </si>
  <si>
    <r>
      <t>(</t>
    </r>
    <r>
      <rPr>
        <sz val="12"/>
        <color theme="1"/>
        <rFont val="돋움체"/>
        <family val="2"/>
        <charset val="129"/>
      </rPr>
      <t>주</t>
    </r>
    <r>
      <rPr>
        <sz val="12"/>
        <color theme="1"/>
        <rFont val="Arial"/>
        <family val="2"/>
        <scheme val="minor"/>
      </rPr>
      <t>)</t>
    </r>
    <r>
      <rPr>
        <sz val="12"/>
        <color theme="1"/>
        <rFont val="돋움체"/>
        <family val="2"/>
        <charset val="129"/>
      </rPr>
      <t>소연</t>
    </r>
    <phoneticPr fontId="17" type="noConversion"/>
  </si>
  <si>
    <r>
      <rPr>
        <sz val="13"/>
        <color theme="1"/>
        <rFont val="맑은 고딕"/>
        <family val="2"/>
        <charset val="129"/>
      </rPr>
      <t>면담내용</t>
    </r>
    <r>
      <rPr>
        <sz val="13"/>
        <color theme="1"/>
        <rFont val="Arial"/>
        <family val="2"/>
        <scheme val="minor"/>
      </rPr>
      <t xml:space="preserve"> : 
</t>
    </r>
    <r>
      <rPr>
        <sz val="13"/>
        <color theme="1"/>
        <rFont val="맑은 고딕"/>
        <family val="2"/>
        <charset val="129"/>
      </rPr>
      <t>조치사항</t>
    </r>
    <r>
      <rPr>
        <sz val="13"/>
        <color theme="1"/>
        <rFont val="Arial"/>
        <family val="2"/>
        <scheme val="minor"/>
      </rPr>
      <t xml:space="preserve">:
</t>
    </r>
    <r>
      <rPr>
        <sz val="13"/>
        <color theme="1"/>
        <rFont val="맑은 고딕"/>
        <family val="2"/>
        <charset val="129"/>
      </rPr>
      <t>문의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및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건의사항</t>
    </r>
    <r>
      <rPr>
        <sz val="13"/>
        <color theme="1"/>
        <rFont val="Arial"/>
        <family val="2"/>
        <scheme val="minor"/>
      </rPr>
      <t xml:space="preserve"> :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</si>
  <si>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매칭</t>
    </r>
    <r>
      <rPr>
        <sz val="13"/>
        <color theme="1"/>
        <rFont val="Arial"/>
        <family val="2"/>
        <scheme val="minor"/>
      </rPr>
      <t>-</t>
    </r>
    <r>
      <rPr>
        <sz val="13"/>
        <color theme="1"/>
        <rFont val="Arial"/>
        <family val="2"/>
        <charset val="129"/>
        <scheme val="minor"/>
      </rPr>
      <t>프로그램명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</si>
  <si>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직무분야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</si>
  <si>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교육목적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</si>
  <si>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</si>
  <si>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사업자등록번호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</si>
  <si>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대표자명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</si>
  <si>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종업원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수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</si>
  <si>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본사</t>
    </r>
    <r>
      <rPr>
        <sz val="13"/>
        <color theme="1"/>
        <rFont val="Arial"/>
        <family val="2"/>
        <scheme val="minor"/>
      </rPr>
      <t>)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</si>
  <si>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일경험</t>
    </r>
    <r>
      <rPr>
        <sz val="13"/>
        <color theme="1"/>
        <rFont val="Arial"/>
        <family val="2"/>
        <scheme val="minor"/>
      </rPr>
      <t>)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</si>
  <si>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홈페이지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</si>
  <si>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기업소개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</si>
  <si>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담당자부서명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</si>
  <si>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담당자성명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</si>
  <si>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담당자직위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</si>
  <si>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담당자전화번호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</si>
  <si>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담당자이메일</t>
    </r>
    <phoneticPr fontId="17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</si>
  <si>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참여기업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기본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정보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</si>
  <si>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기간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</si>
  <si>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직무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</si>
  <si>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근무부서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</si>
  <si>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주요업무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</si>
  <si>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1</t>
    </r>
    <r>
      <rPr>
        <sz val="13"/>
        <color theme="1"/>
        <rFont val="Arial"/>
        <family val="2"/>
        <charset val="129"/>
        <scheme val="minor"/>
      </rPr>
      <t>주차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</si>
  <si>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2</t>
    </r>
    <r>
      <rPr>
        <sz val="13"/>
        <color theme="1"/>
        <rFont val="Arial"/>
        <family val="2"/>
        <charset val="129"/>
        <scheme val="minor"/>
      </rPr>
      <t>주차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</si>
  <si>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3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</si>
  <si>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4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</si>
  <si>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5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</si>
  <si>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6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</si>
  <si>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7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</si>
  <si>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8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</si>
  <si>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기업멘토부서명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</si>
  <si>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기업멘토성명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</si>
  <si>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기업멘토직위</t>
    </r>
    <phoneticPr fontId="17" type="noConversion"/>
  </si>
  <si>
    <t>111-2222</t>
    <phoneticPr fontId="17" type="noConversion"/>
  </si>
  <si>
    <t>www.example.com</t>
    <phoneticPr fontId="17" type="noConversion"/>
  </si>
  <si>
    <t>010-111-2222</t>
    <phoneticPr fontId="17" type="noConversion"/>
  </si>
  <si>
    <t>www.example2.com</t>
    <phoneticPr fontId="17" type="noConversion"/>
  </si>
  <si>
    <t>2024.11.18 ~ 2025.01.10</t>
    <phoneticPr fontId="17" type="noConversion"/>
  </si>
  <si>
    <t>2024.11.18 ~ 2025.01.10</t>
    <phoneticPr fontId="17" type="noConversion"/>
  </si>
  <si>
    <r>
      <rPr>
        <sz val="13"/>
        <color theme="1"/>
        <rFont val="Arial"/>
        <family val="2"/>
        <charset val="129"/>
        <scheme val="minor"/>
      </rPr>
      <t>㈜노마드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</si>
  <si>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홍길동</t>
    </r>
    <phoneticPr fontId="17" type="noConversion"/>
  </si>
  <si>
    <r>
      <t>10</t>
    </r>
    <r>
      <rPr>
        <sz val="13"/>
        <color theme="1"/>
        <rFont val="Arial"/>
        <family val="2"/>
        <charset val="129"/>
        <scheme val="minor"/>
      </rPr>
      <t>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</si>
  <si>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부산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진구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</si>
  <si>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기업소개란입니다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</si>
  <si>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개발팀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</si>
  <si>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이순신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</si>
  <si>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팀장</t>
    </r>
    <phoneticPr fontId="17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</si>
  <si>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일경험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프로그램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</si>
  <si>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직무</t>
    </r>
    <r>
      <rPr>
        <sz val="10"/>
        <color rgb="FF000000"/>
        <rFont val="Arial"/>
        <family val="2"/>
        <scheme val="minor"/>
      </rPr>
      <t>1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</si>
  <si>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1</t>
    </r>
    <r>
      <rPr>
        <sz val="10"/>
        <color rgb="FF000000"/>
        <rFont val="Arial"/>
        <family val="2"/>
        <charset val="129"/>
        <scheme val="minor"/>
      </rPr>
      <t>팀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</si>
  <si>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ㅇㅇㅇ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</si>
  <si>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2</t>
    </r>
    <r>
      <rPr>
        <sz val="10"/>
        <color rgb="FF000000"/>
        <rFont val="Arial"/>
        <family val="2"/>
        <charset val="129"/>
        <scheme val="minor"/>
      </rPr>
      <t>팀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</si>
  <si>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장보고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</si>
  <si>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직위</t>
    </r>
    <r>
      <rPr>
        <sz val="10"/>
        <color rgb="FF000000"/>
        <rFont val="Arial"/>
        <family val="2"/>
        <scheme val="minor"/>
      </rPr>
      <t>1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</si>
  <si>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프로그램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명입니다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</si>
  <si>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연구개발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</si>
  <si>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교육목적입니다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</si>
  <si>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b/>
        <sz val="20"/>
        <color theme="1"/>
        <rFont val="Arial"/>
        <family val="2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계획서</t>
    </r>
    <phoneticPr fontId="17" type="noConversion"/>
  </si>
  <si>
    <r>
      <rPr>
        <b/>
        <sz val="20"/>
        <color theme="1"/>
        <rFont val="돋움체"/>
        <family val="2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계획서</t>
    </r>
    <phoneticPr fontId="17" type="noConversion"/>
  </si>
  <si>
    <t>111-222-3333</t>
    <phoneticPr fontId="17" type="noConversion"/>
  </si>
  <si>
    <r>
      <t>(</t>
    </r>
    <r>
      <rPr>
        <sz val="12"/>
        <color theme="1"/>
        <rFont val="Arial"/>
        <family val="2"/>
        <charset val="129"/>
        <scheme val="major"/>
      </rPr>
      <t>주</t>
    </r>
    <r>
      <rPr>
        <sz val="12"/>
        <color theme="1"/>
        <rFont val="Arial"/>
        <family val="2"/>
        <scheme val="major"/>
      </rPr>
      <t>)</t>
    </r>
    <r>
      <rPr>
        <sz val="12"/>
        <color theme="1"/>
        <rFont val="Arial"/>
        <family val="2"/>
        <charset val="129"/>
        <scheme val="major"/>
      </rPr>
      <t>소연</t>
    </r>
    <phoneticPr fontId="17" type="noConversion"/>
  </si>
  <si>
    <r>
      <rPr>
        <b/>
        <sz val="14"/>
        <color theme="1"/>
        <rFont val="Arial"/>
        <family val="2"/>
        <charset val="129"/>
        <scheme val="major"/>
      </rPr>
      <t>주된업종</t>
    </r>
    <phoneticPr fontId="17" type="noConversion"/>
  </si>
  <si>
    <r>
      <rPr>
        <sz val="12"/>
        <color theme="1"/>
        <rFont val="Arial"/>
        <family val="2"/>
        <charset val="129"/>
        <scheme val="major"/>
      </rPr>
      <t>주된업종</t>
    </r>
    <r>
      <rPr>
        <sz val="12"/>
        <color theme="1"/>
        <rFont val="Arial"/>
        <family val="2"/>
        <scheme val="major"/>
      </rPr>
      <t>1</t>
    </r>
    <phoneticPr fontId="17" type="noConversion"/>
  </si>
  <si>
    <r>
      <rPr>
        <b/>
        <sz val="14"/>
        <color theme="1"/>
        <rFont val="Arial"/>
        <family val="2"/>
        <charset val="129"/>
        <scheme val="major"/>
      </rPr>
      <t>고용보험피보험자수</t>
    </r>
    <phoneticPr fontId="17" type="noConversion"/>
  </si>
  <si>
    <r>
      <t>00</t>
    </r>
    <r>
      <rPr>
        <sz val="12"/>
        <color theme="1"/>
        <rFont val="Arial"/>
        <family val="2"/>
        <charset val="129"/>
        <scheme val="major"/>
      </rPr>
      <t>명</t>
    </r>
    <phoneticPr fontId="17" type="noConversion"/>
  </si>
  <si>
    <r>
      <rPr>
        <b/>
        <sz val="14"/>
        <color theme="1"/>
        <rFont val="Arial"/>
        <family val="2"/>
        <charset val="129"/>
        <scheme val="major"/>
      </rPr>
      <t>전화번호</t>
    </r>
    <phoneticPr fontId="17" type="noConversion"/>
  </si>
  <si>
    <r>
      <t>0000</t>
    </r>
    <r>
      <rPr>
        <b/>
        <sz val="14"/>
        <color theme="1"/>
        <rFont val="Arial"/>
        <family val="2"/>
        <charset val="129"/>
        <scheme val="major"/>
      </rPr>
      <t>년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월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일</t>
    </r>
    <phoneticPr fontId="17" type="noConversion"/>
  </si>
  <si>
    <r>
      <rPr>
        <b/>
        <sz val="20"/>
        <color theme="1"/>
        <rFont val="Arial"/>
        <family val="2"/>
        <charset val="129"/>
        <scheme val="minor"/>
      </rPr>
      <t>청년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지원사업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참여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의향서</t>
    </r>
    <phoneticPr fontId="17" type="noConversion"/>
  </si>
  <si>
    <t>000-111-2222</t>
    <phoneticPr fontId="17" type="noConversion"/>
  </si>
  <si>
    <t>010-0000-0000</t>
    <phoneticPr fontId="17" type="noConversion"/>
  </si>
  <si>
    <r>
      <rPr>
        <sz val="13"/>
        <color theme="1"/>
        <rFont val="Arial"/>
        <family val="2"/>
        <charset val="129"/>
        <scheme val="minor"/>
      </rPr>
      <t>참여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기업명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</si>
  <si>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참여프로그램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</si>
  <si>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참여프로그램입니다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</si>
  <si>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담당자부서</t>
    </r>
    <phoneticPr fontId="17" type="noConversion"/>
  </si>
  <si>
    <r>
      <t>00</t>
    </r>
    <r>
      <rPr>
        <sz val="13"/>
        <color theme="1"/>
        <rFont val="Arial"/>
        <family val="2"/>
        <charset val="129"/>
        <scheme val="minor"/>
      </rPr>
      <t>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실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</si>
  <si>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차장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</si>
  <si>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이순신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</si>
  <si>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담당자연락처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</si>
  <si>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작성날짜</t>
    </r>
    <phoneticPr fontId="17" type="noConversion"/>
  </si>
  <si>
    <r>
      <t>8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1</t>
    </r>
    <r>
      <rPr>
        <sz val="13"/>
        <color theme="1"/>
        <rFont val="Arial"/>
        <family val="2"/>
        <charset val="129"/>
        <scheme val="minor"/>
      </rPr>
      <t>일</t>
    </r>
    <phoneticPr fontId="17" type="noConversion"/>
  </si>
  <si>
    <t>시트 명</t>
    <phoneticPr fontId="17" type="noConversion"/>
  </si>
  <si>
    <t>102. 사전직무교육 운영 계획서</t>
    <phoneticPr fontId="17" type="noConversion"/>
  </si>
  <si>
    <t>108. 일경험 운영 계획서</t>
    <phoneticPr fontId="17" type="noConversion"/>
  </si>
  <si>
    <t>12. 청년 일경험 프로ㅡ램 참여기업 신청서</t>
    <phoneticPr fontId="17" type="noConversion"/>
  </si>
  <si>
    <t>42. 청년 일경험 지원사업 기업 참여 의향서</t>
    <phoneticPr fontId="17" type="noConversion"/>
  </si>
  <si>
    <t>24.08.14 ~ 24.08.28</t>
    <phoneticPr fontId="17" type="noConversion"/>
  </si>
  <si>
    <t>이름</t>
    <phoneticPr fontId="17" type="noConversion"/>
  </si>
  <si>
    <t>생년월일</t>
    <phoneticPr fontId="17" type="noConversion"/>
  </si>
  <si>
    <t>성별</t>
    <phoneticPr fontId="17" type="noConversion"/>
  </si>
  <si>
    <t>연락처</t>
    <phoneticPr fontId="17" type="noConversion"/>
  </si>
  <si>
    <r>
      <rPr>
        <sz val="13"/>
        <color theme="1"/>
        <rFont val="Arial"/>
        <family val="3"/>
        <charset val="129"/>
        <scheme val="minor"/>
      </rPr>
      <t>프로그램명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</si>
  <si>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직무분야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</si>
  <si>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직무</t>
    </r>
    <r>
      <rPr>
        <sz val="13"/>
        <color theme="1"/>
        <rFont val="Arial"/>
        <family val="2"/>
        <scheme val="minor"/>
      </rPr>
      <t>1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</si>
  <si>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한국무선인터넷솔루션협회</t>
    </r>
    <phoneticPr fontId="17" type="noConversion"/>
  </si>
  <si>
    <r>
      <t>00</t>
    </r>
    <r>
      <rPr>
        <sz val="13"/>
        <color theme="1"/>
        <rFont val="Arial"/>
        <family val="3"/>
        <charset val="129"/>
        <scheme val="minor"/>
      </rPr>
      <t>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</si>
  <si>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교육명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</si>
  <si>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주요내용</t>
    </r>
    <phoneticPr fontId="17" type="noConversion"/>
  </si>
  <si>
    <r>
      <t>00</t>
    </r>
    <r>
      <rPr>
        <sz val="13"/>
        <color theme="1"/>
        <rFont val="Arial"/>
        <family val="2"/>
        <charset val="129"/>
        <scheme val="minor"/>
      </rPr>
      <t>명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</si>
  <si>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작성날짜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</si>
  <si>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연락처</t>
    </r>
    <phoneticPr fontId="17" type="noConversion"/>
  </si>
  <si>
    <t>홍길동</t>
    <phoneticPr fontId="17" type="noConversion"/>
  </si>
  <si>
    <t>작성날짜</t>
    <phoneticPr fontId="18" type="noConversion"/>
  </si>
  <si>
    <t>특이사항 기재</t>
  </si>
  <si>
    <t>순번</t>
  </si>
  <si>
    <t>프로그램명</t>
  </si>
  <si>
    <t>성명</t>
  </si>
  <si>
    <t>주민등록번호</t>
    <phoneticPr fontId="18" type="noConversion"/>
  </si>
  <si>
    <t>연락처</t>
    <phoneticPr fontId="18" type="noConversion"/>
  </si>
  <si>
    <t>이메일</t>
    <phoneticPr fontId="18" type="noConversion"/>
  </si>
  <si>
    <t>학년</t>
  </si>
  <si>
    <t>최종학교명</t>
    <phoneticPr fontId="18" type="noConversion"/>
  </si>
  <si>
    <t>최종학과</t>
  </si>
  <si>
    <t>주소</t>
    <phoneticPr fontId="18" type="noConversion"/>
  </si>
  <si>
    <t>은행</t>
  </si>
  <si>
    <t>계좌번호
(실제 인턴비 받을 계좌, 번복 불가)</t>
  </si>
  <si>
    <t>은행명 / 계좌번호</t>
  </si>
  <si>
    <t>성별</t>
  </si>
  <si>
    <t>생년월일</t>
  </si>
  <si>
    <t>출생연도</t>
  </si>
  <si>
    <t>만나이</t>
    <phoneticPr fontId="18" type="noConversion"/>
  </si>
  <si>
    <t>지역</t>
  </si>
  <si>
    <t>졸업</t>
    <phoneticPr fontId="18" type="noConversion"/>
  </si>
  <si>
    <t>국민은행</t>
  </si>
  <si>
    <t>참여자명단</t>
    <phoneticPr fontId="17" type="noConversion"/>
  </si>
  <si>
    <t>참고용</t>
    <phoneticPr fontId="17" type="noConversion"/>
  </si>
  <si>
    <t>051-123-1234</t>
    <phoneticPr fontId="17" type="noConversion"/>
  </si>
  <si>
    <t>asd@asd.net</t>
    <phoneticPr fontId="17" type="noConversion"/>
  </si>
  <si>
    <t>2024.00.00 ~ 2024.00.00</t>
    <phoneticPr fontId="17" type="noConversion"/>
  </si>
  <si>
    <t>010-1234-1233</t>
    <phoneticPr fontId="17" type="noConversion"/>
  </si>
  <si>
    <t>010-2134-2134</t>
    <phoneticPr fontId="17" type="noConversion"/>
  </si>
  <si>
    <r>
      <t xml:space="preserve">         </t>
    </r>
    <r>
      <rPr>
        <sz val="9"/>
        <color rgb="FF000000"/>
        <rFont val="Arial"/>
        <family val="3"/>
        <charset val="129"/>
        <scheme val="minor"/>
      </rPr>
      <t>로우
인덱스</t>
    </r>
    <phoneticPr fontId="18" type="noConversion"/>
  </si>
  <si>
    <r>
      <rPr>
        <sz val="13"/>
        <color theme="1"/>
        <rFont val="Arial"/>
        <family val="3"/>
        <charset val="129"/>
        <scheme val="minor"/>
      </rPr>
      <t>㈜</t>
    </r>
    <r>
      <rPr>
        <sz val="13"/>
        <color theme="1"/>
        <rFont val="Arial"/>
        <family val="2"/>
        <scheme val="minor"/>
      </rPr>
      <t>000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</si>
  <si>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소재지</t>
    </r>
    <phoneticPr fontId="17" type="noConversion"/>
  </si>
  <si>
    <r>
      <t>00</t>
    </r>
    <r>
      <rPr>
        <sz val="13"/>
        <color theme="1"/>
        <rFont val="Arial"/>
        <family val="2"/>
        <charset val="129"/>
        <scheme val="minor"/>
      </rPr>
      <t>광역시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구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로</t>
    </r>
    <r>
      <rPr>
        <sz val="13"/>
        <color theme="1"/>
        <rFont val="Arial"/>
        <family val="2"/>
        <scheme val="minor"/>
      </rPr>
      <t xml:space="preserve"> 123-5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</si>
  <si>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업종</t>
    </r>
    <phoneticPr fontId="17" type="noConversion"/>
  </si>
  <si>
    <r>
      <t>00</t>
    </r>
    <r>
      <rPr>
        <sz val="13"/>
        <color theme="1"/>
        <rFont val="Arial"/>
        <family val="2"/>
        <charset val="129"/>
        <scheme val="minor"/>
      </rPr>
      <t>업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외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</si>
  <si>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피보험자수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</si>
  <si>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담당부서</t>
    </r>
    <phoneticPr fontId="17" type="noConversion"/>
  </si>
  <si>
    <r>
      <t>00</t>
    </r>
    <r>
      <rPr>
        <sz val="13"/>
        <color theme="1"/>
        <rFont val="Arial"/>
        <family val="3"/>
        <charset val="129"/>
        <scheme val="minor"/>
      </rPr>
      <t>부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</si>
  <si>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담당자명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</si>
  <si>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이순신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</si>
  <si>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전화번호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</si>
  <si>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이메일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</si>
  <si>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운영계획서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참조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</si>
  <si>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프로그램내용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</si>
  <si>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프로그램기간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</si>
  <si>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프로그램장소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</si>
  <si>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프로그램참여인원</t>
    </r>
    <phoneticPr fontId="17" type="noConversion"/>
  </si>
  <si>
    <r>
      <t>2024</t>
    </r>
    <r>
      <rPr>
        <sz val="13"/>
        <color theme="1"/>
        <rFont val="Arial"/>
        <family val="2"/>
        <charset val="129"/>
        <scheme val="minor"/>
      </rPr>
      <t>년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일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</si>
  <si>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성명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</si>
  <si>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참여일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</si>
  <si>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홍길동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</si>
  <si>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남</t>
    </r>
    <phoneticPr fontId="17" type="noConversion"/>
  </si>
  <si>
    <t>2024년 00월 00일</t>
    <phoneticPr fontId="17" type="noConversion"/>
  </si>
  <si>
    <r>
      <rPr>
        <sz val="10"/>
        <color rgb="FF000000"/>
        <rFont val="Arial"/>
        <family val="3"/>
        <charset val="129"/>
        <scheme val="minor"/>
      </rPr>
      <t>수지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</si>
  <si>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7" type="noConversion"/>
  </si>
  <si>
    <r>
      <t>2024</t>
    </r>
    <r>
      <rPr>
        <sz val="10"/>
        <color rgb="FF000000"/>
        <rFont val="Arial"/>
        <family val="3"/>
        <charset val="129"/>
        <scheme val="minor"/>
      </rPr>
      <t>년</t>
    </r>
    <r>
      <rPr>
        <sz val="10"/>
        <color rgb="FF000000"/>
        <rFont val="Arial"/>
        <family val="2"/>
        <scheme val="minor"/>
      </rPr>
      <t xml:space="preserve"> 00</t>
    </r>
    <r>
      <rPr>
        <sz val="10"/>
        <color rgb="FF000000"/>
        <rFont val="Arial"/>
        <family val="3"/>
        <charset val="129"/>
        <scheme val="minor"/>
      </rPr>
      <t>월</t>
    </r>
    <r>
      <rPr>
        <sz val="10"/>
        <color rgb="FF000000"/>
        <rFont val="Arial"/>
        <family val="2"/>
        <scheme val="minor"/>
      </rPr>
      <t xml:space="preserve"> 00</t>
    </r>
    <r>
      <rPr>
        <sz val="10"/>
        <color rgb="FF000000"/>
        <rFont val="Arial"/>
        <family val="3"/>
        <charset val="129"/>
        <scheme val="minor"/>
      </rPr>
      <t>일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</si>
  <si>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사업장명</t>
    </r>
    <phoneticPr fontId="17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</si>
  <si>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3"/>
        <charset val="129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3"/>
        <charset val="129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phoneticPr fontId="17" type="noConversion"/>
  </si>
  <si>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참여신청서</t>
    </r>
    <phoneticPr fontId="17" type="noConversion"/>
  </si>
  <si>
    <t>성명</t>
    <phoneticPr fontId="17" type="noConversion"/>
  </si>
  <si>
    <t>주민등록번호</t>
    <phoneticPr fontId="17" type="noConversion"/>
  </si>
  <si>
    <t>주소</t>
    <phoneticPr fontId="17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</si>
  <si>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이메일</t>
    </r>
    <phoneticPr fontId="17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</si>
  <si>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휴대폰</t>
    </r>
    <phoneticPr fontId="17" type="noConversion"/>
  </si>
  <si>
    <t>최종학력구분</t>
    <phoneticPr fontId="17" type="noConversion"/>
  </si>
  <si>
    <t>학년</t>
    <phoneticPr fontId="17" type="noConversion"/>
  </si>
  <si>
    <t>최종학력상태</t>
    <phoneticPr fontId="17" type="noConversion"/>
  </si>
  <si>
    <t>최종학교명</t>
    <phoneticPr fontId="17" type="noConversion"/>
  </si>
  <si>
    <t>최종학과</t>
    <phoneticPr fontId="17" type="noConversion"/>
  </si>
  <si>
    <t>동의대학교</t>
    <phoneticPr fontId="17" type="noConversion"/>
  </si>
  <si>
    <t>일본어학과</t>
    <phoneticPr fontId="17" type="noConversion"/>
  </si>
  <si>
    <t>123412-1212221</t>
    <phoneticPr fontId="17" type="noConversion"/>
  </si>
  <si>
    <t>010-1233-1223</t>
    <phoneticPr fontId="17" type="noConversion"/>
  </si>
  <si>
    <t>example@nate.com</t>
    <phoneticPr fontId="17" type="noConversion"/>
  </si>
  <si>
    <t>최종학력구분</t>
    <phoneticPr fontId="17" type="noConversion"/>
  </si>
  <si>
    <r>
      <rPr>
        <sz val="10"/>
        <color rgb="FF000000"/>
        <rFont val="맑은 고딕"/>
        <family val="3"/>
        <charset val="129"/>
      </rPr>
      <t>대학교</t>
    </r>
    <r>
      <rPr>
        <sz val="10"/>
        <color rgb="FF000000"/>
        <rFont val="Arial"/>
        <family val="3"/>
      </rPr>
      <t>_4</t>
    </r>
    <r>
      <rPr>
        <sz val="10"/>
        <color rgb="FF000000"/>
        <rFont val="맑은 고딕"/>
        <family val="3"/>
        <charset val="129"/>
      </rPr>
      <t>년제</t>
    </r>
    <phoneticPr fontId="18" type="noConversion"/>
  </si>
  <si>
    <t>작성날짜</t>
    <phoneticPr fontId="17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</si>
  <si>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  <scheme val="minor"/>
      </rPr>
      <t xml:space="preserve"> 01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7" type="noConversion"/>
  </si>
  <si>
    <r>
      <rPr>
        <b/>
        <sz val="20"/>
        <color theme="1"/>
        <rFont val="Malgun Gothic"/>
        <family val="3"/>
        <charset val="129"/>
      </rPr>
      <t>개인정보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활용에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관한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동의서</t>
    </r>
    <phoneticPr fontId="17" type="noConversion"/>
  </si>
  <si>
    <r>
      <rPr>
        <b/>
        <sz val="20"/>
        <color theme="1"/>
        <rFont val="Malgun Gothic"/>
        <family val="3"/>
        <charset val="129"/>
      </rPr>
      <t>참여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청년용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확인서</t>
    </r>
    <phoneticPr fontId="17" type="noConversion"/>
  </si>
  <si>
    <t>일경험기간시작일</t>
    <phoneticPr fontId="17" type="noConversion"/>
  </si>
  <si>
    <t>일경험기간종료일</t>
    <phoneticPr fontId="17" type="noConversion"/>
  </si>
  <si>
    <t>주업무</t>
    <phoneticPr fontId="17" type="noConversion"/>
  </si>
  <si>
    <t>콘텐츠 마케팅</t>
    <phoneticPr fontId="17" type="noConversion"/>
  </si>
  <si>
    <t>부산광역시 금정구</t>
    <phoneticPr fontId="17" type="noConversion"/>
  </si>
  <si>
    <t>계좌번호</t>
    <phoneticPr fontId="17" type="noConversion"/>
  </si>
  <si>
    <r>
      <t>1234-12-123243424(</t>
    </r>
    <r>
      <rPr>
        <sz val="13"/>
        <color theme="1"/>
        <rFont val="Arial Unicode MS"/>
        <family val="2"/>
        <charset val="129"/>
      </rPr>
      <t>이름)</t>
    </r>
    <phoneticPr fontId="17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</si>
  <si>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09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7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</si>
  <si>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11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7" type="noConversion"/>
  </si>
  <si>
    <t>참여인원</t>
    <phoneticPr fontId="17" type="noConversion"/>
  </si>
  <si>
    <r>
      <t>00</t>
    </r>
    <r>
      <rPr>
        <sz val="13"/>
        <color theme="1"/>
        <rFont val="맑은 고딕"/>
        <family val="3"/>
        <charset val="129"/>
      </rPr>
      <t>명</t>
    </r>
    <phoneticPr fontId="17" type="noConversion"/>
  </si>
  <si>
    <r>
      <rPr>
        <sz val="13"/>
        <color theme="1"/>
        <rFont val="맑은 고딕"/>
        <family val="3"/>
        <charset val="129"/>
      </rPr>
      <t>프로그램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프로젝트</t>
    </r>
    <r>
      <rPr>
        <sz val="13"/>
        <color theme="1"/>
        <rFont val="Arial"/>
        <family val="2"/>
        <scheme val="minor"/>
      </rPr>
      <t>)</t>
    </r>
    <r>
      <rPr>
        <sz val="13"/>
        <color theme="1"/>
        <rFont val="맑은 고딕"/>
        <family val="3"/>
        <charset val="129"/>
      </rPr>
      <t>명</t>
    </r>
    <phoneticPr fontId="17" type="noConversion"/>
  </si>
  <si>
    <t>직무분야</t>
    <phoneticPr fontId="17" type="noConversion"/>
  </si>
  <si>
    <t>운영기관명</t>
    <phoneticPr fontId="17" type="noConversion"/>
  </si>
  <si>
    <t>직무교육명</t>
    <phoneticPr fontId="17" type="noConversion"/>
  </si>
  <si>
    <t>교육주요내용</t>
    <phoneticPr fontId="17" type="noConversion"/>
  </si>
  <si>
    <r>
      <rPr>
        <sz val="13"/>
        <color theme="1"/>
        <rFont val="맑은 고딕"/>
        <family val="3"/>
        <charset val="129"/>
      </rPr>
      <t>장소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소재지</t>
    </r>
    <r>
      <rPr>
        <sz val="13"/>
        <color theme="1"/>
        <rFont val="Arial"/>
        <family val="2"/>
        <scheme val="minor"/>
      </rPr>
      <t>)</t>
    </r>
    <phoneticPr fontId="17" type="noConversion"/>
  </si>
  <si>
    <t>교육기간</t>
    <phoneticPr fontId="17" type="noConversion"/>
  </si>
  <si>
    <t>남</t>
    <phoneticPr fontId="17" type="noConversion"/>
  </si>
  <si>
    <t>010-111-2223</t>
    <phoneticPr fontId="17" type="noConversion"/>
  </si>
  <si>
    <r>
      <rPr>
        <sz val="13"/>
        <color theme="1"/>
        <rFont val="Arial"/>
        <family val="3"/>
        <charset val="129"/>
        <scheme val="minor"/>
      </rPr>
      <t>참여프로그램명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</si>
  <si>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홍길동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</si>
  <si>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1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</si>
  <si>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수지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</si>
  <si>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7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</si>
  <si>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2</t>
    </r>
    <phoneticPr fontId="17" type="noConversion"/>
  </si>
  <si>
    <r>
      <rPr>
        <b/>
        <sz val="20"/>
        <color theme="1"/>
        <rFont val="Malgun Gothic"/>
        <family val="3"/>
        <charset val="129"/>
      </rPr>
      <t>참여기업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지원금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지급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신청서</t>
    </r>
    <phoneticPr fontId="17" type="noConversion"/>
  </si>
  <si>
    <t>사업장명</t>
    <phoneticPr fontId="17" type="noConversion"/>
  </si>
  <si>
    <t>대표자명</t>
    <phoneticPr fontId="17" type="noConversion"/>
  </si>
  <si>
    <t>고용보험사업장관리번호</t>
    <phoneticPr fontId="17" type="noConversion"/>
  </si>
  <si>
    <t>사업자등록번호
(법인등록번호)</t>
    <phoneticPr fontId="17" type="noConversion"/>
  </si>
  <si>
    <t>소재지</t>
    <phoneticPr fontId="17" type="noConversion"/>
  </si>
  <si>
    <t>담당자성명</t>
    <phoneticPr fontId="17" type="noConversion"/>
  </si>
  <si>
    <t>담당자전화번호</t>
    <phoneticPr fontId="17" type="noConversion"/>
  </si>
  <si>
    <t>담당자이메일</t>
    <phoneticPr fontId="17" type="noConversion"/>
  </si>
  <si>
    <t>담당자팩스번호</t>
    <phoneticPr fontId="17" type="noConversion"/>
  </si>
  <si>
    <r>
      <rPr>
        <sz val="13"/>
        <color theme="1"/>
        <rFont val="맑은 고딕"/>
        <family val="3"/>
        <charset val="129"/>
      </rPr>
      <t>신청금액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원</t>
    </r>
    <r>
      <rPr>
        <sz val="13"/>
        <color theme="1"/>
        <rFont val="Arial"/>
        <family val="3"/>
      </rPr>
      <t>)</t>
    </r>
    <phoneticPr fontId="17" type="noConversion"/>
  </si>
  <si>
    <r>
      <rPr>
        <sz val="13"/>
        <color theme="1"/>
        <rFont val="맑은 고딕"/>
        <family val="3"/>
        <charset val="129"/>
      </rPr>
      <t>신청기간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 xml:space="preserve"> ~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7" type="noConversion"/>
  </si>
  <si>
    <r>
      <rPr>
        <sz val="13"/>
        <color theme="1"/>
        <rFont val="맑은 고딕"/>
        <family val="3"/>
        <charset val="129"/>
      </rPr>
      <t>참여일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7" type="noConversion"/>
  </si>
  <si>
    <r>
      <rPr>
        <sz val="13"/>
        <color theme="1"/>
        <rFont val="맑은 고딕"/>
        <family val="3"/>
        <charset val="129"/>
      </rPr>
      <t>참여청년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성명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주민등록번호</t>
    </r>
    <r>
      <rPr>
        <sz val="13"/>
        <color theme="1"/>
        <rFont val="Arial"/>
        <family val="3"/>
      </rPr>
      <t>)</t>
    </r>
    <phoneticPr fontId="17" type="noConversion"/>
  </si>
  <si>
    <t>㈜노마드랩</t>
    <phoneticPr fontId="17" type="noConversion"/>
  </si>
  <si>
    <t>㈜노마드</t>
    <phoneticPr fontId="17" type="noConversion"/>
  </si>
  <si>
    <t>한국무선인터넷솔루션협회</t>
    <phoneticPr fontId="17" type="noConversion"/>
  </si>
  <si>
    <t>2024.11.18 ~ 2024.12.13</t>
    <phoneticPr fontId="17" type="noConversion"/>
  </si>
  <si>
    <t>참여일</t>
    <phoneticPr fontId="17" type="noConversion"/>
  </si>
  <si>
    <t>2024.11.18</t>
    <phoneticPr fontId="17" type="noConversion"/>
  </si>
  <si>
    <t>2024.12.16</t>
    <phoneticPr fontId="17" type="noConversion"/>
  </si>
  <si>
    <t>2024.12.16 ~ 2024.01.07</t>
    <phoneticPr fontId="17" type="noConversion"/>
  </si>
  <si>
    <t>참여기간</t>
    <phoneticPr fontId="17" type="noConversion"/>
  </si>
  <si>
    <r>
      <rPr>
        <b/>
        <sz val="20"/>
        <color theme="1"/>
        <rFont val="Arial"/>
        <family val="3"/>
        <charset val="129"/>
        <scheme val="major"/>
      </rPr>
      <t>사전직무교육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실시보고</t>
    </r>
    <phoneticPr fontId="17" type="noConversion"/>
  </si>
  <si>
    <t>대학교_2년제</t>
  </si>
  <si>
    <t>이민수</t>
  </si>
  <si>
    <t>이민수@naver.com</t>
  </si>
  <si>
    <t>고등학교</t>
  </si>
  <si>
    <t>졸업</t>
  </si>
  <si>
    <t>신한은행</t>
  </si>
  <si>
    <t>605-2241-148731</t>
  </si>
  <si>
    <t>정지우</t>
  </si>
  <si>
    <t>정지우@gmail.com</t>
  </si>
  <si>
    <t>부산광역시 해운대구</t>
  </si>
  <si>
    <t>296-6536-108357</t>
  </si>
  <si>
    <t>박지우</t>
  </si>
  <si>
    <t>박지우@naver.com</t>
  </si>
  <si>
    <t>휴학</t>
  </si>
  <si>
    <t>이화여자대학교</t>
  </si>
  <si>
    <t>경영학과</t>
  </si>
  <si>
    <t>309-4311-417843</t>
  </si>
  <si>
    <t>김예은</t>
  </si>
  <si>
    <t>김예은@gmail.com</t>
  </si>
  <si>
    <t>컴퓨터공학과</t>
  </si>
  <si>
    <t>916-4781-629387</t>
  </si>
  <si>
    <t>대학교_4년제</t>
  </si>
  <si>
    <t>부산대학교</t>
  </si>
  <si>
    <t>전자공학과</t>
  </si>
  <si>
    <t>우리은행</t>
  </si>
  <si>
    <t>165-6075-449479</t>
  </si>
  <si>
    <t>박현우</t>
  </si>
  <si>
    <t>박현우@gmail.com</t>
  </si>
  <si>
    <t>재학</t>
  </si>
  <si>
    <t>사회복지학과</t>
  </si>
  <si>
    <t>농협</t>
  </si>
  <si>
    <t>894-4629-468857</t>
  </si>
  <si>
    <t>이현우</t>
  </si>
  <si>
    <t>이현우@daum.net</t>
  </si>
  <si>
    <t>대학교_2/3년제</t>
  </si>
  <si>
    <t>디자인학과</t>
  </si>
  <si>
    <t>273-7528-862196</t>
  </si>
  <si>
    <t>김지우</t>
  </si>
  <si>
    <t>김지우@gmail.com</t>
  </si>
  <si>
    <t>295-1855-371274</t>
  </si>
  <si>
    <t>박현우@naver.com</t>
  </si>
  <si>
    <t>하나은행</t>
  </si>
  <si>
    <t>869-2828-526225</t>
  </si>
  <si>
    <t>김현우</t>
  </si>
  <si>
    <t>김현우@naver.com</t>
  </si>
  <si>
    <t>고려대학교</t>
  </si>
  <si>
    <t>954-9797-760181</t>
  </si>
  <si>
    <t>서울대학교</t>
  </si>
  <si>
    <t>129-2235-418768</t>
  </si>
  <si>
    <t>박예은</t>
  </si>
  <si>
    <t>박예은@daum.net</t>
  </si>
  <si>
    <t>404-5984-950896</t>
  </si>
  <si>
    <t>최현우</t>
  </si>
  <si>
    <t>최현우@daum.net</t>
  </si>
  <si>
    <t>756-6616-606584</t>
  </si>
  <si>
    <t>588-1300-685386</t>
  </si>
  <si>
    <t>최예은</t>
  </si>
  <si>
    <t>최예은@gmail.com</t>
  </si>
  <si>
    <t>694-9043-121446</t>
  </si>
  <si>
    <t>해운대여자고등학교</t>
  </si>
  <si>
    <t>대진정보통신고등학교</t>
  </si>
  <si>
    <t>부산광역시 수영구</t>
  </si>
  <si>
    <t>부산광역시 부산진구</t>
  </si>
  <si>
    <t>010-1234-5678</t>
    <phoneticPr fontId="17" type="noConversion"/>
  </si>
  <si>
    <r>
      <rPr>
        <sz val="10"/>
        <color rgb="FF000000"/>
        <rFont val="맑은 고딕"/>
        <family val="3"/>
        <charset val="129"/>
      </rPr>
      <t>서울광역시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부산진구</t>
    </r>
    <phoneticPr fontId="17" type="noConversion"/>
  </si>
  <si>
    <r>
      <rPr>
        <sz val="10"/>
        <color rgb="FF000000"/>
        <rFont val="맑은 고딕"/>
        <family val="3"/>
        <charset val="129"/>
      </rPr>
      <t>광주광역시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7" type="noConversion"/>
  </si>
  <si>
    <t xml:space="preserve"> 경상남도 부산진구</t>
    <phoneticPr fontId="17" type="noConversion"/>
  </si>
  <si>
    <r>
      <rPr>
        <sz val="10"/>
        <color rgb="FF000000"/>
        <rFont val="Arial Unicode MS"/>
        <family val="2"/>
        <charset val="129"/>
      </rPr>
      <t>충청북도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7" type="noConversion"/>
  </si>
  <si>
    <t>제주특별시</t>
    <phoneticPr fontId="17" type="noConversion"/>
  </si>
  <si>
    <t>900699-1254973</t>
  </si>
  <si>
    <t>950499-2978157</t>
  </si>
  <si>
    <t>960399-2963832</t>
  </si>
  <si>
    <t>930699-1258129</t>
  </si>
  <si>
    <t>930899-1736570</t>
  </si>
  <si>
    <t>920699-1184953</t>
  </si>
  <si>
    <t>900699-2193659</t>
  </si>
  <si>
    <t>900799-1246303</t>
  </si>
  <si>
    <t>910699-1891360</t>
  </si>
  <si>
    <t>921299-2639872</t>
  </si>
  <si>
    <t>901199-1109002</t>
  </si>
  <si>
    <t>941099-1190164</t>
  </si>
  <si>
    <t>000899-4865061</t>
    <phoneticPr fontId="17" type="noConversion"/>
  </si>
  <si>
    <t>001199-3301932</t>
    <phoneticPr fontId="17" type="noConversion"/>
  </si>
  <si>
    <t>020699-3626178</t>
    <phoneticPr fontId="17" type="noConversion"/>
  </si>
  <si>
    <t>[SY컴퍼니] 마케팅 인턴십</t>
    <phoneticPr fontId="17" type="noConversion"/>
  </si>
  <si>
    <t>2024년 12월 03일</t>
    <phoneticPr fontId="18" type="noConversion"/>
  </si>
  <si>
    <r>
      <rPr>
        <sz val="12"/>
        <color theme="1"/>
        <rFont val="맑은 고딕"/>
        <family val="3"/>
        <charset val="129"/>
      </rPr>
      <t>부산</t>
    </r>
    <r>
      <rPr>
        <sz val="12"/>
        <color theme="1"/>
        <rFont val="Arial Unicode MS"/>
        <family val="2"/>
        <charset val="129"/>
      </rPr>
      <t>광역시 연제구</t>
    </r>
    <phoneticPr fontId="17" type="noConversion"/>
  </si>
  <si>
    <t>디자인</t>
    <phoneticPr fontId="17" type="noConversion"/>
  </si>
  <si>
    <r>
      <rPr>
        <b/>
        <sz val="16"/>
        <color rgb="FF000000"/>
        <rFont val="Arial"/>
        <family val="3"/>
        <charset val="129"/>
        <scheme val="minor"/>
      </rPr>
      <t>기본양식</t>
    </r>
    <phoneticPr fontId="17" type="noConversion"/>
  </si>
  <si>
    <r>
      <rPr>
        <b/>
        <sz val="16"/>
        <color rgb="FF000000"/>
        <rFont val="Arial"/>
        <family val="3"/>
        <charset val="129"/>
        <scheme val="minor"/>
      </rPr>
      <t>참여기업</t>
    </r>
    <r>
      <rPr>
        <b/>
        <sz val="16"/>
        <color rgb="FF000000"/>
        <rFont val="Arial"/>
        <family val="2"/>
        <scheme val="minor"/>
      </rPr>
      <t xml:space="preserve"> </t>
    </r>
    <r>
      <rPr>
        <b/>
        <sz val="16"/>
        <color rgb="FF000000"/>
        <rFont val="Arial"/>
        <family val="3"/>
        <charset val="129"/>
        <scheme val="minor"/>
      </rPr>
      <t>정보</t>
    </r>
    <phoneticPr fontId="17" type="noConversion"/>
  </si>
  <si>
    <r>
      <rPr>
        <b/>
        <sz val="16"/>
        <color rgb="FF000000"/>
        <rFont val="Arial"/>
        <family val="3"/>
        <charset val="129"/>
        <scheme val="minor"/>
      </rPr>
      <t>일경험</t>
    </r>
    <r>
      <rPr>
        <b/>
        <sz val="16"/>
        <color rgb="FF000000"/>
        <rFont val="Arial"/>
        <family val="2"/>
        <scheme val="minor"/>
      </rPr>
      <t xml:space="preserve"> </t>
    </r>
    <r>
      <rPr>
        <b/>
        <sz val="16"/>
        <color rgb="FF000000"/>
        <rFont val="Arial"/>
        <family val="3"/>
        <charset val="129"/>
        <scheme val="minor"/>
      </rPr>
      <t>운영계획서</t>
    </r>
    <phoneticPr fontId="17" type="noConversion"/>
  </si>
  <si>
    <r>
      <rPr>
        <b/>
        <sz val="16"/>
        <color rgb="FF000000"/>
        <rFont val="Arial"/>
        <family val="3"/>
        <charset val="129"/>
        <scheme val="minor"/>
      </rPr>
      <t>멘토일지</t>
    </r>
    <phoneticPr fontId="17" type="noConversion"/>
  </si>
  <si>
    <r>
      <rPr>
        <b/>
        <sz val="16"/>
        <color rgb="FF000000"/>
        <rFont val="Arial"/>
        <family val="3"/>
        <charset val="129"/>
        <scheme val="minor"/>
      </rPr>
      <t>종합보고서</t>
    </r>
    <phoneticPr fontId="17" type="noConversion"/>
  </si>
  <si>
    <r>
      <rPr>
        <b/>
        <sz val="16"/>
        <color rgb="FF000000"/>
        <rFont val="Arial"/>
        <family val="3"/>
        <charset val="129"/>
        <scheme val="minor"/>
      </rPr>
      <t>중간점검일지</t>
    </r>
    <phoneticPr fontId="17" type="noConversion"/>
  </si>
  <si>
    <r>
      <t>125. (</t>
    </r>
    <r>
      <rPr>
        <b/>
        <sz val="16"/>
        <color rgb="FF000000"/>
        <rFont val="Arial"/>
        <family val="2"/>
        <charset val="129"/>
        <scheme val="minor"/>
      </rPr>
      <t>공통직무교육기관</t>
    </r>
    <r>
      <rPr>
        <b/>
        <sz val="16"/>
        <color rgb="FF000000"/>
        <rFont val="Arial"/>
        <family val="2"/>
        <scheme val="minor"/>
      </rPr>
      <t xml:space="preserve">) </t>
    </r>
    <r>
      <rPr>
        <b/>
        <sz val="16"/>
        <color rgb="FF000000"/>
        <rFont val="Arial"/>
        <family val="2"/>
        <charset val="129"/>
        <scheme val="minor"/>
      </rPr>
      <t>사전직무교육</t>
    </r>
    <r>
      <rPr>
        <b/>
        <sz val="16"/>
        <color rgb="FF000000"/>
        <rFont val="Arial"/>
        <family val="2"/>
        <scheme val="minor"/>
      </rPr>
      <t xml:space="preserve"> </t>
    </r>
    <r>
      <rPr>
        <b/>
        <sz val="16"/>
        <color rgb="FF000000"/>
        <rFont val="Arial"/>
        <family val="2"/>
        <charset val="129"/>
        <scheme val="minor"/>
      </rPr>
      <t>실시보고</t>
    </r>
    <phoneticPr fontId="17" type="noConversion"/>
  </si>
  <si>
    <r>
      <t xml:space="preserve">34. </t>
    </r>
    <r>
      <rPr>
        <b/>
        <sz val="16"/>
        <color rgb="FF000000"/>
        <rFont val="Arial"/>
        <family val="3"/>
        <charset val="129"/>
        <scheme val="minor"/>
      </rPr>
      <t>인턴형</t>
    </r>
    <r>
      <rPr>
        <b/>
        <sz val="16"/>
        <color rgb="FF000000"/>
        <rFont val="Arial"/>
        <family val="2"/>
        <scheme val="minor"/>
      </rPr>
      <t xml:space="preserve"> </t>
    </r>
    <r>
      <rPr>
        <b/>
        <sz val="16"/>
        <color rgb="FF000000"/>
        <rFont val="Arial"/>
        <family val="3"/>
        <charset val="129"/>
        <scheme val="minor"/>
      </rPr>
      <t>일경험</t>
    </r>
    <r>
      <rPr>
        <b/>
        <sz val="16"/>
        <color rgb="FF000000"/>
        <rFont val="Arial"/>
        <family val="2"/>
        <scheme val="minor"/>
      </rPr>
      <t xml:space="preserve"> </t>
    </r>
    <r>
      <rPr>
        <b/>
        <sz val="16"/>
        <color rgb="FF000000"/>
        <rFont val="Arial"/>
        <family val="3"/>
        <charset val="129"/>
        <scheme val="minor"/>
      </rPr>
      <t>실시보고</t>
    </r>
    <phoneticPr fontId="17" type="noConversion"/>
  </si>
  <si>
    <r>
      <t xml:space="preserve">33. </t>
    </r>
    <r>
      <rPr>
        <b/>
        <sz val="16"/>
        <color rgb="FF000000"/>
        <rFont val="Arial"/>
        <family val="3"/>
        <charset val="129"/>
        <scheme val="minor"/>
      </rPr>
      <t>인턴형</t>
    </r>
    <r>
      <rPr>
        <b/>
        <sz val="16"/>
        <color rgb="FF000000"/>
        <rFont val="Arial"/>
        <family val="2"/>
        <scheme val="minor"/>
      </rPr>
      <t xml:space="preserve"> </t>
    </r>
    <r>
      <rPr>
        <b/>
        <sz val="16"/>
        <color rgb="FF000000"/>
        <rFont val="Arial"/>
        <family val="3"/>
        <charset val="129"/>
        <scheme val="minor"/>
      </rPr>
      <t>일경험</t>
    </r>
    <r>
      <rPr>
        <b/>
        <sz val="16"/>
        <color rgb="FF000000"/>
        <rFont val="Arial"/>
        <family val="2"/>
        <scheme val="minor"/>
      </rPr>
      <t xml:space="preserve"> </t>
    </r>
    <r>
      <rPr>
        <b/>
        <sz val="16"/>
        <color rgb="FF000000"/>
        <rFont val="Arial"/>
        <family val="3"/>
        <charset val="129"/>
        <scheme val="minor"/>
      </rPr>
      <t>참여신청서</t>
    </r>
  </si>
  <si>
    <r>
      <t xml:space="preserve">40. </t>
    </r>
    <r>
      <rPr>
        <b/>
        <sz val="16"/>
        <color rgb="FF000000"/>
        <rFont val="Arial Unicode MS"/>
        <family val="2"/>
      </rPr>
      <t>개인정보 활용에 관한 동의서</t>
    </r>
    <phoneticPr fontId="17" type="noConversion"/>
  </si>
  <si>
    <r>
      <t xml:space="preserve">46. </t>
    </r>
    <r>
      <rPr>
        <b/>
        <sz val="16"/>
        <color rgb="FF000000"/>
        <rFont val="Arial Unicode MS"/>
        <family val="2"/>
      </rPr>
      <t>참여 청년용 확인서</t>
    </r>
    <phoneticPr fontId="17" type="noConversion"/>
  </si>
  <si>
    <r>
      <t xml:space="preserve">118. </t>
    </r>
    <r>
      <rPr>
        <b/>
        <sz val="16"/>
        <color rgb="FF000000"/>
        <rFont val="Arial Unicode MS"/>
        <family val="2"/>
      </rPr>
      <t>인턴형 프로그램 표준계약서</t>
    </r>
    <phoneticPr fontId="17" type="noConversion"/>
  </si>
  <si>
    <r>
      <t xml:space="preserve">13. </t>
    </r>
    <r>
      <rPr>
        <b/>
        <sz val="16"/>
        <color rgb="FF000000"/>
        <rFont val="맑은 고딕"/>
        <family val="3"/>
        <charset val="129"/>
      </rPr>
      <t>참여기업</t>
    </r>
    <r>
      <rPr>
        <b/>
        <sz val="16"/>
        <color rgb="FF000000"/>
        <rFont val="Arial"/>
        <family val="2"/>
        <scheme val="minor"/>
      </rPr>
      <t xml:space="preserve"> </t>
    </r>
    <r>
      <rPr>
        <b/>
        <sz val="16"/>
        <color rgb="FF000000"/>
        <rFont val="맑은 고딕"/>
        <family val="3"/>
        <charset val="129"/>
      </rPr>
      <t>지원금</t>
    </r>
    <r>
      <rPr>
        <b/>
        <sz val="16"/>
        <color rgb="FF000000"/>
        <rFont val="Arial"/>
        <family val="2"/>
        <scheme val="minor"/>
      </rPr>
      <t xml:space="preserve"> </t>
    </r>
    <r>
      <rPr>
        <b/>
        <sz val="16"/>
        <color rgb="FF000000"/>
        <rFont val="맑은 고딕"/>
        <family val="3"/>
        <charset val="129"/>
      </rPr>
      <t>지급</t>
    </r>
    <r>
      <rPr>
        <b/>
        <sz val="16"/>
        <color rgb="FF000000"/>
        <rFont val="Arial"/>
        <family val="2"/>
        <scheme val="minor"/>
      </rPr>
      <t xml:space="preserve"> </t>
    </r>
    <r>
      <rPr>
        <b/>
        <sz val="16"/>
        <color rgb="FF000000"/>
        <rFont val="맑은 고딕"/>
        <family val="3"/>
        <charset val="129"/>
      </rPr>
      <t>신청서</t>
    </r>
    <phoneticPr fontId="17" type="noConversion"/>
  </si>
  <si>
    <t>기업통장명</t>
    <phoneticPr fontId="17" type="noConversion"/>
  </si>
  <si>
    <t>기업통장 계좌번호</t>
    <phoneticPr fontId="17" type="noConversion"/>
  </si>
  <si>
    <t>111-11-11111</t>
    <phoneticPr fontId="17" type="noConversion"/>
  </si>
  <si>
    <t>법인번호</t>
    <phoneticPr fontId="17" type="noConversion"/>
  </si>
  <si>
    <t>중소기업일때만체크</t>
    <phoneticPr fontId="17" type="noConversion"/>
  </si>
  <si>
    <t>필요서식</t>
    <phoneticPr fontId="17" type="noConversion"/>
  </si>
  <si>
    <t>필드</t>
    <phoneticPr fontId="17" type="noConversion"/>
  </si>
  <si>
    <t>입력</t>
    <phoneticPr fontId="17" type="noConversion"/>
  </si>
  <si>
    <t>일경험 기간</t>
    <phoneticPr fontId="17" type="noConversion"/>
  </si>
  <si>
    <r>
      <rPr>
        <b/>
        <sz val="11"/>
        <color theme="1"/>
        <rFont val="Arial"/>
        <family val="3"/>
        <charset val="129"/>
        <scheme val="minor"/>
      </rPr>
      <t>사업장명</t>
    </r>
    <phoneticPr fontId="17" type="noConversion"/>
  </si>
  <si>
    <r>
      <rPr>
        <b/>
        <sz val="11"/>
        <color theme="1"/>
        <rFont val="Arial"/>
        <family val="3"/>
        <charset val="129"/>
        <scheme val="minor"/>
      </rPr>
      <t>대표자명</t>
    </r>
  </si>
  <si>
    <r>
      <rPr>
        <b/>
        <sz val="11"/>
        <color theme="1"/>
        <rFont val="Arial"/>
        <family val="3"/>
        <charset val="129"/>
        <scheme val="minor"/>
      </rPr>
      <t xml:space="preserve">사업자등록번호
</t>
    </r>
    <r>
      <rPr>
        <b/>
        <sz val="11"/>
        <color theme="1"/>
        <rFont val="Arial"/>
        <family val="2"/>
        <scheme val="minor"/>
      </rPr>
      <t>(</t>
    </r>
    <r>
      <rPr>
        <b/>
        <sz val="11"/>
        <color theme="1"/>
        <rFont val="Arial"/>
        <family val="3"/>
        <charset val="129"/>
        <scheme val="minor"/>
      </rPr>
      <t>법인번호</t>
    </r>
    <r>
      <rPr>
        <b/>
        <sz val="11"/>
        <color theme="1"/>
        <rFont val="Arial"/>
        <family val="2"/>
        <scheme val="minor"/>
      </rPr>
      <t>)</t>
    </r>
  </si>
  <si>
    <r>
      <rPr>
        <b/>
        <sz val="11"/>
        <color theme="1"/>
        <rFont val="Arial"/>
        <family val="3"/>
        <charset val="129"/>
        <scheme val="minor"/>
      </rPr>
      <t>고용보험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사업장</t>
    </r>
    <r>
      <rPr>
        <b/>
        <sz val="11"/>
        <color theme="1"/>
        <rFont val="Arial"/>
        <family val="2"/>
        <scheme val="minor"/>
      </rPr>
      <t xml:space="preserve"> 
</t>
    </r>
    <r>
      <rPr>
        <b/>
        <sz val="11"/>
        <color theme="1"/>
        <rFont val="Arial"/>
        <family val="3"/>
        <charset val="129"/>
        <scheme val="minor"/>
      </rPr>
      <t>관리번호</t>
    </r>
  </si>
  <si>
    <r>
      <rPr>
        <b/>
        <sz val="11"/>
        <color theme="1"/>
        <rFont val="Arial"/>
        <family val="3"/>
        <charset val="129"/>
        <scheme val="minor"/>
      </rPr>
      <t>연락처</t>
    </r>
  </si>
  <si>
    <r>
      <rPr>
        <b/>
        <sz val="11"/>
        <color theme="1"/>
        <rFont val="Arial"/>
        <family val="3"/>
        <charset val="129"/>
        <scheme val="minor"/>
      </rPr>
      <t>소재지</t>
    </r>
  </si>
  <si>
    <r>
      <rPr>
        <b/>
        <sz val="11"/>
        <color theme="1"/>
        <rFont val="Arial"/>
        <family val="3"/>
        <charset val="129"/>
        <scheme val="minor"/>
      </rPr>
      <t>기업구분</t>
    </r>
    <r>
      <rPr>
        <b/>
        <sz val="11"/>
        <color theme="1"/>
        <rFont val="Arial"/>
        <family val="2"/>
        <scheme val="minor"/>
      </rPr>
      <t xml:space="preserve"> </t>
    </r>
  </si>
  <si>
    <r>
      <rPr>
        <b/>
        <sz val="11"/>
        <color theme="1"/>
        <rFont val="Arial"/>
        <family val="3"/>
        <charset val="129"/>
        <scheme val="minor"/>
      </rPr>
      <t>회사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소개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및</t>
    </r>
    <r>
      <rPr>
        <b/>
        <sz val="11"/>
        <color theme="1"/>
        <rFont val="Arial"/>
        <family val="2"/>
        <scheme val="minor"/>
      </rPr>
      <t xml:space="preserve"> 
</t>
    </r>
    <r>
      <rPr>
        <b/>
        <sz val="11"/>
        <color theme="1"/>
        <rFont val="Arial"/>
        <family val="3"/>
        <charset val="129"/>
        <scheme val="minor"/>
      </rPr>
      <t>주요사업</t>
    </r>
  </si>
  <si>
    <r>
      <rPr>
        <b/>
        <sz val="11"/>
        <color theme="1"/>
        <rFont val="Arial"/>
        <family val="3"/>
        <charset val="129"/>
        <scheme val="minor"/>
      </rPr>
      <t>수행업무</t>
    </r>
    <r>
      <rPr>
        <b/>
        <sz val="11"/>
        <color theme="1"/>
        <rFont val="Arial"/>
        <family val="2"/>
        <scheme val="minor"/>
      </rPr>
      <t>(</t>
    </r>
    <r>
      <rPr>
        <b/>
        <sz val="11"/>
        <color theme="1"/>
        <rFont val="Arial"/>
        <family val="3"/>
        <charset val="129"/>
        <scheme val="minor"/>
      </rPr>
      <t>직무</t>
    </r>
    <r>
      <rPr>
        <b/>
        <sz val="11"/>
        <color theme="1"/>
        <rFont val="Arial"/>
        <family val="2"/>
        <scheme val="minor"/>
      </rPr>
      <t>)</t>
    </r>
  </si>
  <si>
    <r>
      <rPr>
        <b/>
        <sz val="11"/>
        <color theme="1"/>
        <rFont val="Arial"/>
        <family val="3"/>
        <charset val="129"/>
        <scheme val="minor"/>
      </rPr>
      <t>참여자자격요건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</si>
  <si>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담당자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</si>
  <si>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직위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</si>
  <si>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부서명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</si>
  <si>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연락처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</si>
  <si>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이메일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</si>
  <si>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명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</si>
  <si>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부서명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</si>
  <si>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직위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</si>
  <si>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연락처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</si>
  <si>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이메일</t>
    </r>
  </si>
  <si>
    <r>
      <rPr>
        <b/>
        <sz val="11"/>
        <color theme="1"/>
        <rFont val="Arial"/>
        <family val="3"/>
        <charset val="129"/>
        <scheme val="minor"/>
      </rPr>
      <t>일경험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기간</t>
    </r>
    <phoneticPr fontId="17" type="noConversion"/>
  </si>
  <si>
    <r>
      <rPr>
        <b/>
        <sz val="11"/>
        <color theme="1"/>
        <rFont val="Arial"/>
        <family val="3"/>
        <charset val="129"/>
        <scheme val="minor"/>
      </rPr>
      <t>참여자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직무</t>
    </r>
  </si>
  <si>
    <r>
      <rPr>
        <b/>
        <sz val="11"/>
        <color theme="1"/>
        <rFont val="Arial"/>
        <family val="3"/>
        <charset val="129"/>
        <scheme val="minor"/>
      </rPr>
      <t>참여자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근무부서</t>
    </r>
  </si>
  <si>
    <r>
      <rPr>
        <b/>
        <sz val="11"/>
        <color theme="1"/>
        <rFont val="Arial"/>
        <family val="3"/>
        <charset val="129"/>
        <scheme val="minor"/>
      </rPr>
      <t>참여자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주요업무</t>
    </r>
  </si>
  <si>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>(1~4</t>
    </r>
    <r>
      <rPr>
        <b/>
        <sz val="11"/>
        <color rgb="FF000000"/>
        <rFont val="Arial"/>
        <family val="3"/>
        <charset val="129"/>
        <scheme val="minor"/>
      </rPr>
      <t>주</t>
    </r>
    <r>
      <rPr>
        <b/>
        <sz val="11"/>
        <color rgb="FF000000"/>
        <rFont val="Arial"/>
        <family val="2"/>
        <scheme val="minor"/>
      </rPr>
      <t>)</t>
    </r>
    <phoneticPr fontId="17" type="noConversion"/>
  </si>
  <si>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>(5~8</t>
    </r>
    <r>
      <rPr>
        <b/>
        <sz val="11"/>
        <color rgb="FF000000"/>
        <rFont val="Arial"/>
        <family val="3"/>
        <charset val="129"/>
        <scheme val="minor"/>
      </rPr>
      <t>주</t>
    </r>
    <r>
      <rPr>
        <b/>
        <sz val="11"/>
        <color rgb="FF000000"/>
        <rFont val="Arial"/>
        <family val="2"/>
        <scheme val="minor"/>
      </rPr>
      <t>)</t>
    </r>
    <phoneticPr fontId="17" type="noConversion"/>
  </si>
  <si>
    <t>참여기업 및 일경험정보</t>
    <phoneticPr fontId="17" type="noConversion"/>
  </si>
  <si>
    <t>작성날짜</t>
    <phoneticPr fontId="17" type="noConversion"/>
  </si>
  <si>
    <t>있음일경우에만 자격내용</t>
    <phoneticPr fontId="17" type="noConversion"/>
  </si>
  <si>
    <t>청년 일경험 지원사업 참여기업 지원금 지급 신청서</t>
  </si>
  <si>
    <t>접수번호</t>
  </si>
  <si>
    <t>접수일자</t>
  </si>
  <si>
    <t>사업자등록번호</t>
  </si>
  <si>
    <t>(법인등록번호)</t>
  </si>
  <si>
    <t>고용보험</t>
  </si>
  <si>
    <t>사업장관리번호</t>
  </si>
  <si>
    <t>담당자</t>
  </si>
  <si>
    <t>전화번호</t>
  </si>
  <si>
    <t>팩스번호</t>
  </si>
  <si>
    <t>신청내용</t>
  </si>
  <si>
    <t>참여청년 성명</t>
  </si>
  <si>
    <t>(주민등록번호)</t>
  </si>
  <si>
    <t>참여일</t>
  </si>
  <si>
    <t>( 년 월 일)</t>
  </si>
  <si>
    <t>신청기간</t>
  </si>
  <si>
    <t>( 년 월 일 ~ 년 월 일)</t>
  </si>
  <si>
    <t>신청금액</t>
  </si>
  <si>
    <t>(원)</t>
  </si>
  <si>
    <t>지원금 총 신청인원</t>
  </si>
  <si>
    <t>( ) 명 ,</t>
  </si>
  <si>
    <t>( ) 원</t>
  </si>
  <si>
    <t>기업명의 계좌번호</t>
  </si>
  <si>
    <t>( ) 은행</t>
  </si>
  <si>
    <t>(예금주 : )</t>
  </si>
  <si>
    <t>『청년 일경험 지원사업｣ 지침에 따라 위와 같이 지원금 지급을 신청합니다.</t>
  </si>
  <si>
    <t>2024년 00월 00일</t>
  </si>
  <si>
    <t>확인자(대표자)</t>
  </si>
  <si>
    <t>(서명 또는 인)</t>
  </si>
  <si>
    <t>한국무선인터넷솔루션협회 운영기관장</t>
  </si>
  <si>
    <t>귀하</t>
  </si>
  <si>
    <t>첨부서류</t>
  </si>
  <si>
    <t>1. 프로그램 운영 증빙자료(프로그램 계획서, 참여청년 명단 등)</t>
  </si>
  <si>
    <t>2. 기업명의 통장사본(최초 1회 신청 시에만 제출)</t>
  </si>
  <si>
    <t xml:space="preserve">※ 아래 란은 적지 않습니다. </t>
  </si>
  <si>
    <t>접수</t>
  </si>
  <si>
    <t>접수 연월일</t>
  </si>
  <si>
    <t>처리부서</t>
  </si>
  <si>
    <t>선람</t>
  </si>
  <si>
    <t>담당</t>
  </si>
  <si>
    <t>팀장</t>
  </si>
  <si>
    <t>과장</t>
  </si>
  <si>
    <t>결재 연월일</t>
  </si>
  <si>
    <t>. . .</t>
  </si>
  <si>
    <t>미리보기</t>
    <phoneticPr fontId="17" type="noConversion"/>
  </si>
  <si>
    <t>사업장명</t>
    <phoneticPr fontId="17" type="noConversion"/>
  </si>
  <si>
    <t>대표자명</t>
    <phoneticPr fontId="17" type="noConversion"/>
  </si>
  <si>
    <r>
      <rPr>
        <sz val="15"/>
        <color theme="1"/>
        <rFont val="맑은 고딕"/>
        <family val="3"/>
        <charset val="129"/>
      </rPr>
      <t>참여기업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맑은 고딕"/>
        <family val="3"/>
        <charset val="129"/>
      </rPr>
      <t>및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맑은 고딕"/>
        <family val="3"/>
        <charset val="129"/>
      </rPr>
      <t>일경험정보</t>
    </r>
    <phoneticPr fontId="17" type="noConversion"/>
  </si>
  <si>
    <t xml:space="preserve">                 로우
인덱스</t>
    <phoneticPr fontId="18" type="noConversion"/>
  </si>
  <si>
    <t>11111-1111-111
(121212121)</t>
    <phoneticPr fontId="17" type="noConversion"/>
  </si>
  <si>
    <r>
      <rPr>
        <sz val="13"/>
        <color theme="1"/>
        <rFont val="맑은 고딕"/>
        <family val="3"/>
        <charset val="129"/>
      </rPr>
      <t>부산</t>
    </r>
    <r>
      <rPr>
        <sz val="13"/>
        <color theme="1"/>
        <rFont val="Arial Unicode MS"/>
        <family val="3"/>
        <charset val="129"/>
      </rPr>
      <t>광역시 부산진구</t>
    </r>
    <phoneticPr fontId="17" type="noConversion"/>
  </si>
  <si>
    <t>이순신</t>
    <phoneticPr fontId="17" type="noConversion"/>
  </si>
  <si>
    <t>KJH5848@GMAIL.COM</t>
    <phoneticPr fontId="17" type="noConversion"/>
  </si>
  <si>
    <t>참여기업</t>
    <phoneticPr fontId="17" type="noConversion"/>
  </si>
  <si>
    <t>참여기업 
담당자</t>
    <phoneticPr fontId="17" type="noConversion"/>
  </si>
  <si>
    <t xml:space="preserve"> 참여기업
멘토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</si>
</sst>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년&quot;\ m&quot;월&quot;\ d&quot;일&quot;"/>
    <numFmt numFmtId="177" formatCode="yyyy&quot;. &quot;mm&quot; .&quot;dd&quot;(&quot;ddd&quot;)&quot;"/>
    <numFmt numFmtId="178" formatCode="yyyy\-mm\-&quot;D&quot;&quot;D&quot;;@"/>
    <numFmt numFmtId="179" formatCode="0_);[Red]\(0\)"/>
  </numFmts>
  <fonts count="108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0"/>
      <name val="Arial"/>
      <family val="2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휴먼명조"/>
      <family val="3"/>
      <charset val="129"/>
    </font>
    <font>
      <sz val="12"/>
      <color rgb="FF00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0"/>
      <color theme="1"/>
      <name val="함초롬바탕"/>
      <family val="1"/>
      <charset val="128"/>
    </font>
    <font>
      <sz val="13"/>
      <color theme="1"/>
      <name val="Malgun Gothic"/>
      <family val="3"/>
      <charset val="129"/>
    </font>
    <font>
      <b/>
      <sz val="13"/>
      <color rgb="FFFF0000"/>
      <name val="Arial"/>
      <family val="2"/>
      <scheme val="minor"/>
    </font>
    <font>
      <b/>
      <sz val="15"/>
      <color rgb="FFFF0000"/>
      <name val="Arial"/>
      <family val="2"/>
      <scheme val="minor"/>
    </font>
    <font>
      <sz val="11"/>
      <color theme="1"/>
      <name val="Malgun Gothic"/>
      <family val="3"/>
      <charset val="129"/>
    </font>
    <font>
      <sz val="11"/>
      <color theme="1"/>
      <name val="Arial"/>
      <family val="2"/>
      <scheme val="minor"/>
    </font>
    <font>
      <sz val="15"/>
      <color rgb="FFFF0000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sz val="12"/>
      <color theme="1"/>
      <name val="돋움체"/>
      <family val="2"/>
      <charset val="129"/>
    </font>
    <font>
      <sz val="13"/>
      <color theme="1"/>
      <name val="맑은 고딕"/>
      <family val="2"/>
      <charset val="129"/>
    </font>
    <font>
      <b/>
      <sz val="14"/>
      <color theme="1"/>
      <name val="Arial"/>
      <family val="2"/>
      <scheme val="minor"/>
    </font>
    <font>
      <sz val="13"/>
      <color theme="1"/>
      <name val="Arial"/>
      <family val="2"/>
      <charset val="129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5"/>
      <color theme="1"/>
      <name val="Arial"/>
      <family val="2"/>
      <scheme val="major"/>
    </font>
    <font>
      <sz val="10"/>
      <name val="Arial"/>
      <family val="2"/>
      <scheme val="major"/>
    </font>
    <font>
      <sz val="15"/>
      <color theme="1"/>
      <name val="Arial"/>
      <family val="2"/>
      <charset val="129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20"/>
      <color theme="1"/>
      <name val="Arial"/>
      <family val="2"/>
      <scheme val="minor"/>
    </font>
    <font>
      <b/>
      <sz val="20"/>
      <color theme="1"/>
      <name val="Arial"/>
      <family val="2"/>
      <charset val="129"/>
      <scheme val="minor"/>
    </font>
    <font>
      <sz val="10"/>
      <color rgb="FF000000"/>
      <name val="Arial"/>
      <family val="2"/>
      <charset val="129"/>
      <scheme val="minor"/>
    </font>
    <font>
      <b/>
      <sz val="20"/>
      <color theme="1"/>
      <name val="돋움체"/>
      <family val="2"/>
      <charset val="129"/>
    </font>
    <font>
      <b/>
      <sz val="18"/>
      <name val="Arial"/>
      <family val="2"/>
      <scheme val="minor"/>
    </font>
    <font>
      <b/>
      <sz val="18"/>
      <color theme="1"/>
      <name val="Arial"/>
      <family val="2"/>
      <scheme val="major"/>
    </font>
    <font>
      <b/>
      <sz val="14"/>
      <color theme="1"/>
      <name val="Arial"/>
      <family val="2"/>
      <scheme val="major"/>
    </font>
    <font>
      <sz val="12"/>
      <color theme="1"/>
      <name val="Arial"/>
      <family val="2"/>
      <scheme val="major"/>
    </font>
    <font>
      <sz val="12"/>
      <color theme="1"/>
      <name val="Arial"/>
      <family val="2"/>
      <charset val="129"/>
      <scheme val="major"/>
    </font>
    <font>
      <b/>
      <sz val="14"/>
      <color theme="1"/>
      <name val="Arial"/>
      <family val="2"/>
      <charset val="129"/>
      <scheme val="major"/>
    </font>
    <font>
      <sz val="10"/>
      <color rgb="FF000000"/>
      <name val="Arial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sz val="14"/>
      <color rgb="FF000000"/>
      <name val="Arial Unicode MS"/>
      <family val="2"/>
    </font>
    <font>
      <sz val="13"/>
      <color theme="1"/>
      <name val="Arial"/>
      <family val="3"/>
      <charset val="129"/>
      <scheme val="minor"/>
    </font>
    <font>
      <sz val="13"/>
      <color theme="1"/>
      <name val="Arial Unicode MS"/>
      <family val="2"/>
      <charset val="129"/>
    </font>
    <font>
      <sz val="10"/>
      <color rgb="FF000000"/>
      <name val="Arial Unicode MS"/>
      <family val="2"/>
      <charset val="129"/>
    </font>
    <font>
      <b/>
      <sz val="20"/>
      <color theme="1"/>
      <name val="Arial"/>
      <family val="3"/>
      <charset val="129"/>
      <scheme val="minor"/>
    </font>
    <font>
      <b/>
      <sz val="20"/>
      <color theme="1"/>
      <name val="맑은 고딕"/>
      <family val="3"/>
      <charset val="129"/>
    </font>
    <font>
      <sz val="8"/>
      <color rgb="FF000000"/>
      <name val="Malgun Gothic"/>
      <family val="3"/>
      <charset val="129"/>
    </font>
    <font>
      <b/>
      <sz val="8"/>
      <color rgb="FF000000"/>
      <name val="Malgun Gothic"/>
      <family val="3"/>
      <charset val="129"/>
    </font>
    <font>
      <b/>
      <sz val="11"/>
      <color rgb="FFFF0000"/>
      <name val="&quot;\&quot;Malgun Gothic\&quot;&quot;"/>
    </font>
    <font>
      <b/>
      <sz val="11"/>
      <color rgb="FFFF0000"/>
      <name val="새굴림"/>
      <family val="1"/>
      <charset val="129"/>
    </font>
    <font>
      <sz val="10"/>
      <color rgb="FFFF0000"/>
      <name val="Arial"/>
      <family val="2"/>
      <scheme val="minor"/>
    </font>
    <font>
      <sz val="9"/>
      <color rgb="FF000000"/>
      <name val="Arial"/>
      <family val="2"/>
      <scheme val="minor"/>
    </font>
    <font>
      <sz val="9"/>
      <color rgb="FF000000"/>
      <name val="Arial"/>
      <family val="3"/>
      <charset val="129"/>
      <scheme val="minor"/>
    </font>
    <font>
      <sz val="11"/>
      <color rgb="FF000000"/>
      <name val="Arial"/>
      <family val="2"/>
      <scheme val="minor"/>
    </font>
    <font>
      <b/>
      <sz val="20"/>
      <color theme="1"/>
      <name val="Arial"/>
      <family val="3"/>
    </font>
    <font>
      <b/>
      <sz val="20"/>
      <color theme="1"/>
      <name val="Malgun Gothic"/>
      <family val="3"/>
      <charset val="129"/>
    </font>
    <font>
      <b/>
      <sz val="20"/>
      <color theme="1"/>
      <name val="Arial"/>
      <family val="3"/>
      <charset val="129"/>
    </font>
    <font>
      <sz val="13"/>
      <color theme="1"/>
      <name val="맑은 고딕"/>
      <family val="3"/>
      <charset val="129"/>
    </font>
    <font>
      <sz val="13"/>
      <color theme="1"/>
      <name val="Arial"/>
      <family val="3"/>
    </font>
    <font>
      <sz val="13"/>
      <color theme="1"/>
      <name val="Arial"/>
      <family val="3"/>
      <charset val="129"/>
    </font>
    <font>
      <sz val="10"/>
      <color rgb="FF000000"/>
      <name val="Arial"/>
      <family val="3"/>
    </font>
    <font>
      <sz val="10"/>
      <color rgb="FF000000"/>
      <name val="Arial"/>
      <family val="3"/>
      <charset val="129"/>
    </font>
    <font>
      <sz val="10"/>
      <color rgb="FF000000"/>
      <name val="돋움"/>
      <family val="2"/>
      <charset val="129"/>
    </font>
    <font>
      <sz val="13"/>
      <color theme="1"/>
      <name val="Arial"/>
      <family val="2"/>
    </font>
    <font>
      <sz val="10"/>
      <color rgb="FF000000"/>
      <name val="Arial Unicode MS"/>
      <family val="2"/>
    </font>
    <font>
      <sz val="10"/>
      <color rgb="FF000000"/>
      <name val="돋움"/>
      <family val="3"/>
      <charset val="129"/>
    </font>
    <font>
      <sz val="10"/>
      <color rgb="FF000000"/>
      <name val="Arial"/>
      <family val="2"/>
    </font>
    <font>
      <b/>
      <sz val="20"/>
      <color theme="1"/>
      <name val="Arial"/>
      <family val="2"/>
      <scheme val="major"/>
    </font>
    <font>
      <b/>
      <sz val="20"/>
      <color theme="1"/>
      <name val="Arial"/>
      <family val="3"/>
      <charset val="129"/>
      <scheme val="major"/>
    </font>
    <font>
      <sz val="10"/>
      <color rgb="FF000000"/>
      <name val="Arial"/>
      <family val="2"/>
      <charset val="129"/>
    </font>
    <font>
      <sz val="12"/>
      <color theme="1"/>
      <name val="맑은 고딕"/>
      <family val="3"/>
      <charset val="129"/>
    </font>
    <font>
      <sz val="12"/>
      <color theme="1"/>
      <name val="Arial Unicode MS"/>
      <family val="2"/>
      <charset val="129"/>
    </font>
    <font>
      <sz val="12"/>
      <color theme="1"/>
      <name val="Arial"/>
      <family val="3"/>
      <charset val="129"/>
    </font>
    <font>
      <b/>
      <sz val="16"/>
      <color rgb="FF000000"/>
      <name val="Arial"/>
      <family val="2"/>
      <scheme val="minor"/>
    </font>
    <font>
      <b/>
      <sz val="16"/>
      <color rgb="FF000000"/>
      <name val="Arial"/>
      <family val="3"/>
      <charset val="129"/>
      <scheme val="minor"/>
    </font>
    <font>
      <b/>
      <sz val="16"/>
      <color rgb="FF000000"/>
      <name val="Arial"/>
      <family val="2"/>
      <charset val="129"/>
      <scheme val="minor"/>
    </font>
    <font>
      <b/>
      <sz val="16"/>
      <color rgb="FF000000"/>
      <name val="Arial Unicode MS"/>
      <family val="2"/>
    </font>
    <font>
      <b/>
      <sz val="16"/>
      <color rgb="FF000000"/>
      <name val="맑은 고딕"/>
      <family val="3"/>
      <charset val="129"/>
    </font>
    <font>
      <b/>
      <sz val="18"/>
      <color rgb="FF000000"/>
      <name val="맑은 고딕"/>
      <family val="3"/>
      <charset val="129"/>
    </font>
    <font>
      <b/>
      <sz val="14"/>
      <color theme="1"/>
      <name val="G마켓 산스 Bold"/>
      <family val="3"/>
      <charset val="129"/>
    </font>
    <font>
      <b/>
      <sz val="14"/>
      <color theme="1"/>
      <name val="G마켓 산스 Medium"/>
      <family val="3"/>
      <charset val="129"/>
    </font>
    <font>
      <b/>
      <sz val="11"/>
      <color theme="1"/>
      <name val="Arial"/>
      <family val="2"/>
      <scheme val="minor"/>
    </font>
    <font>
      <b/>
      <sz val="11"/>
      <color theme="1"/>
      <name val="Arial"/>
      <family val="3"/>
      <charset val="129"/>
      <scheme val="minor"/>
    </font>
    <font>
      <b/>
      <sz val="11"/>
      <color rgb="FF000000"/>
      <name val="Arial"/>
      <family val="3"/>
      <charset val="129"/>
      <scheme val="minor"/>
    </font>
    <font>
      <b/>
      <sz val="11"/>
      <color rgb="FF000000"/>
      <name val="Arial"/>
      <family val="2"/>
      <scheme val="minor"/>
    </font>
    <font>
      <b/>
      <sz val="18"/>
      <color theme="1"/>
      <name val="G마켓 산스 Bold"/>
      <family val="3"/>
      <charset val="129"/>
    </font>
    <font>
      <sz val="16"/>
      <color rgb="FF000000"/>
      <name val="KoPub돋움체 Bold"/>
      <family val="3"/>
      <charset val="129"/>
    </font>
    <font>
      <sz val="15"/>
      <color theme="1"/>
      <name val="Arial"/>
      <family val="3"/>
      <charset val="129"/>
      <scheme val="minor"/>
    </font>
    <font>
      <sz val="15"/>
      <color theme="1"/>
      <name val="맑은 고딕"/>
      <family val="3"/>
      <charset val="129"/>
    </font>
    <font>
      <sz val="9"/>
      <name val="KoPubWorld돋움체 Light"/>
      <family val="3"/>
      <charset val="129"/>
    </font>
    <font>
      <sz val="9"/>
      <name val="Arial"/>
      <family val="2"/>
      <scheme val="minor"/>
    </font>
    <font>
      <b/>
      <sz val="9"/>
      <name val="Arial"/>
      <family val="2"/>
      <scheme val="minor"/>
    </font>
    <font>
      <sz val="2"/>
      <name val="Arial"/>
      <family val="2"/>
      <scheme val="minor"/>
    </font>
    <font>
      <vertAlign val="superscript"/>
      <sz val="9"/>
      <name val="Arial"/>
      <family val="2"/>
      <scheme val="minor"/>
    </font>
    <font>
      <u/>
      <sz val="9"/>
      <name val="Arial"/>
      <family val="2"/>
      <scheme val="minor"/>
    </font>
    <font>
      <b/>
      <sz val="10"/>
      <name val="KoPubWorld돋움체 Light"/>
      <family val="3"/>
      <charset val="129"/>
    </font>
    <font>
      <b/>
      <sz val="9"/>
      <name val="KoPub돋움체 Light"/>
      <family val="3"/>
      <charset val="129"/>
    </font>
    <font>
      <sz val="8"/>
      <name val="KoPubWorld돋움체 Light"/>
      <family val="3"/>
      <charset val="129"/>
    </font>
    <font>
      <b/>
      <sz val="9"/>
      <name val="KoPubWorld돋움체 Light"/>
      <family val="3"/>
      <charset val="129"/>
    </font>
    <font>
      <sz val="14"/>
      <name val="Arial"/>
      <family val="2"/>
      <scheme val="minor"/>
    </font>
    <font>
      <sz val="13"/>
      <color theme="1"/>
      <name val="Arial Unicode MS"/>
      <family val="3"/>
      <charset val="129"/>
    </font>
    <font>
      <u/>
      <sz val="20"/>
      <color rgb="FF000000"/>
      <name val="HY견고딕"/>
      <family val="1"/>
      <charset val="129"/>
    </font>
    <font>
      <sz val="10"/>
      <color rgb="FF000000"/>
      <name val="HY견고딕"/>
      <family val="1"/>
      <charset val="129"/>
    </font>
  </fonts>
  <fills count="21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rgb="FFFFF2CC"/>
        <bgColor rgb="FFFFF2CC"/>
      </patternFill>
    </fill>
    <fill>
      <patternFill patternType="solid">
        <fgColor rgb="FFFCE5CD"/>
        <bgColor rgb="FFFCE5CD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9DAF8"/>
      </patternFill>
    </fill>
    <fill>
      <patternFill patternType="solid">
        <fgColor theme="4" tint="0.59999389629810485"/>
        <bgColor rgb="FFC9DAF8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rgb="FFFFF2CC"/>
      </patternFill>
    </fill>
    <fill>
      <patternFill patternType="solid">
        <fgColor theme="2" tint="-4.9989318521683403E-2"/>
        <bgColor rgb="FFFFF2CC"/>
      </patternFill>
    </fill>
    <fill>
      <patternFill patternType="solid">
        <fgColor rgb="FFBFBFB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theme="8" tint="0.79998168889431442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rgb="FF5D5D5D"/>
      </top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 style="thin">
        <color rgb="FF999999"/>
      </bottom>
      <diagonal/>
    </border>
    <border>
      <left/>
      <right/>
      <top style="thin">
        <color rgb="FF000000"/>
      </top>
      <bottom style="thin">
        <color rgb="FF999999"/>
      </bottom>
      <diagonal/>
    </border>
    <border>
      <left style="thin">
        <color rgb="FF999999"/>
      </left>
      <right/>
      <top style="thin">
        <color rgb="FF000000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999999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 style="thin">
        <color rgb="FF000000"/>
      </bottom>
      <diagonal/>
    </border>
    <border>
      <left/>
      <right/>
      <top style="thin">
        <color rgb="FF999999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/>
      <diagonal/>
    </border>
    <border>
      <left style="thin">
        <color rgb="FF999999"/>
      </left>
      <right/>
      <top style="thin">
        <color rgb="FF000000"/>
      </top>
      <bottom/>
      <diagonal/>
    </border>
    <border>
      <left/>
      <right style="thin">
        <color rgb="FFA6A6A6"/>
      </right>
      <top style="thin">
        <color rgb="FF000000"/>
      </top>
      <bottom style="thin">
        <color rgb="FF000000"/>
      </bottom>
      <diagonal/>
    </border>
    <border>
      <left style="thin">
        <color rgb="FFA6A6A6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ck">
        <color rgb="FF666666"/>
      </bottom>
      <diagonal/>
    </border>
    <border>
      <left/>
      <right/>
      <top style="thick">
        <color rgb="FF666666"/>
      </top>
      <bottom style="thin">
        <color rgb="FF5D5D5D"/>
      </bottom>
      <diagonal/>
    </border>
    <border>
      <left/>
      <right style="thin">
        <color rgb="FF5D5D5D"/>
      </right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/>
      <diagonal/>
    </border>
    <border>
      <left/>
      <right style="thin">
        <color rgb="FF5D5D5D"/>
      </right>
      <top style="thin">
        <color rgb="FF5D5D5D"/>
      </top>
      <bottom/>
      <diagonal/>
    </border>
    <border>
      <left/>
      <right/>
      <top/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/>
      <right style="thin">
        <color rgb="FF7F7F7F"/>
      </right>
      <top style="medium">
        <color rgb="FF000000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medium">
        <color rgb="FF000000"/>
      </top>
      <bottom style="thin">
        <color rgb="FF7F7F7F"/>
      </bottom>
      <diagonal/>
    </border>
    <border>
      <left/>
      <right/>
      <top style="medium">
        <color rgb="FF000000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thin">
        <color rgb="FF7F7F7F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 style="medium">
        <color rgb="FF000000"/>
      </bottom>
      <diagonal/>
    </border>
    <border>
      <left/>
      <right/>
      <top style="thin">
        <color rgb="FF7F7F7F"/>
      </top>
      <bottom style="medium">
        <color rgb="FF000000"/>
      </bottom>
      <diagonal/>
    </border>
    <border>
      <left/>
      <right style="thin">
        <color rgb="FF5D5D5D"/>
      </right>
      <top/>
      <bottom style="medium">
        <color rgb="FF000000"/>
      </bottom>
      <diagonal/>
    </border>
    <border>
      <left style="thin">
        <color rgb="FF5D5D5D"/>
      </left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370">
    <xf numFmtId="0" fontId="0" fillId="0" borderId="0" xfId="0"/>
    <xf numFmtId="0" fontId="16" fillId="6" borderId="2" xfId="0" applyFont="1" applyFill="1" applyBorder="1" applyAlignment="1">
      <alignment horizontal="left" vertical="center" wrapText="1"/>
    </xf>
    <xf numFmtId="0" fontId="19" fillId="6" borderId="1" xfId="0" applyFont="1" applyFill="1" applyBorder="1" applyAlignment="1">
      <alignment horizontal="center" vertical="center"/>
    </xf>
    <xf numFmtId="0" fontId="19" fillId="6" borderId="3" xfId="0" applyFont="1" applyFill="1" applyBorder="1" applyAlignment="1">
      <alignment horizontal="center" vertical="center"/>
    </xf>
    <xf numFmtId="0" fontId="0" fillId="7" borderId="1" xfId="0" applyFill="1" applyBorder="1"/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4" fillId="4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176" fontId="5" fillId="2" borderId="1" xfId="0" applyNumberFormat="1" applyFont="1" applyFill="1" applyBorder="1" applyAlignment="1">
      <alignment horizontal="left" vertical="center"/>
    </xf>
    <xf numFmtId="0" fontId="1" fillId="0" borderId="1" xfId="0" applyFont="1" applyBorder="1"/>
    <xf numFmtId="0" fontId="8" fillId="0" borderId="1" xfId="0" applyFont="1" applyBorder="1"/>
    <xf numFmtId="0" fontId="4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/>
    </xf>
    <xf numFmtId="177" fontId="10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1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0" fillId="0" borderId="8" xfId="0" applyBorder="1"/>
    <xf numFmtId="0" fontId="1" fillId="2" borderId="9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0" fillId="0" borderId="9" xfId="0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0" fontId="1" fillId="2" borderId="16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1" fillId="2" borderId="18" xfId="0" applyFont="1" applyFill="1" applyBorder="1" applyAlignment="1">
      <alignment vertical="center"/>
    </xf>
    <xf numFmtId="0" fontId="4" fillId="8" borderId="22" xfId="0" applyFont="1" applyFill="1" applyBorder="1" applyAlignment="1">
      <alignment vertical="center"/>
    </xf>
    <xf numFmtId="0" fontId="27" fillId="0" borderId="0" xfId="0" applyFont="1"/>
    <xf numFmtId="0" fontId="30" fillId="2" borderId="16" xfId="0" applyFont="1" applyFill="1" applyBorder="1" applyAlignment="1">
      <alignment vertical="center"/>
    </xf>
    <xf numFmtId="0" fontId="30" fillId="2" borderId="9" xfId="0" applyFont="1" applyFill="1" applyBorder="1" applyAlignment="1">
      <alignment vertical="center"/>
    </xf>
    <xf numFmtId="0" fontId="30" fillId="2" borderId="10" xfId="0" applyFont="1" applyFill="1" applyBorder="1" applyAlignment="1">
      <alignment vertical="center"/>
    </xf>
    <xf numFmtId="0" fontId="30" fillId="2" borderId="12" xfId="0" applyFont="1" applyFill="1" applyBorder="1" applyAlignment="1">
      <alignment vertical="center"/>
    </xf>
    <xf numFmtId="0" fontId="30" fillId="2" borderId="0" xfId="0" applyFont="1" applyFill="1" applyAlignment="1">
      <alignment vertical="center"/>
    </xf>
    <xf numFmtId="0" fontId="26" fillId="2" borderId="16" xfId="0" applyFont="1" applyFill="1" applyBorder="1" applyAlignment="1">
      <alignment horizontal="center" vertical="center"/>
    </xf>
    <xf numFmtId="0" fontId="26" fillId="2" borderId="10" xfId="0" applyFont="1" applyFill="1" applyBorder="1" applyAlignment="1">
      <alignment horizontal="center" vertical="center"/>
    </xf>
    <xf numFmtId="0" fontId="31" fillId="0" borderId="12" xfId="0" applyFont="1" applyBorder="1"/>
    <xf numFmtId="0" fontId="31" fillId="0" borderId="0" xfId="0" applyFont="1"/>
    <xf numFmtId="0" fontId="31" fillId="0" borderId="15" xfId="0" applyFont="1" applyBorder="1"/>
    <xf numFmtId="0" fontId="31" fillId="0" borderId="8" xfId="0" applyFont="1" applyBorder="1"/>
    <xf numFmtId="0" fontId="0" fillId="7" borderId="6" xfId="0" applyFill="1" applyBorder="1"/>
    <xf numFmtId="0" fontId="27" fillId="9" borderId="18" xfId="0" applyFont="1" applyFill="1" applyBorder="1"/>
    <xf numFmtId="0" fontId="0" fillId="0" borderId="26" xfId="0" applyBorder="1"/>
    <xf numFmtId="0" fontId="27" fillId="0" borderId="11" xfId="0" applyFont="1" applyBorder="1"/>
    <xf numFmtId="0" fontId="27" fillId="9" borderId="27" xfId="0" applyFont="1" applyFill="1" applyBorder="1"/>
    <xf numFmtId="0" fontId="27" fillId="9" borderId="17" xfId="0" applyFont="1" applyFill="1" applyBorder="1"/>
    <xf numFmtId="0" fontId="4" fillId="4" borderId="3" xfId="0" applyFont="1" applyFill="1" applyBorder="1" applyAlignment="1">
      <alignment vertical="center"/>
    </xf>
    <xf numFmtId="0" fontId="24" fillId="0" borderId="6" xfId="0" applyFont="1" applyBorder="1"/>
    <xf numFmtId="0" fontId="24" fillId="0" borderId="1" xfId="0" applyFont="1" applyBorder="1"/>
    <xf numFmtId="0" fontId="24" fillId="0" borderId="19" xfId="0" applyFont="1" applyBorder="1"/>
    <xf numFmtId="0" fontId="24" fillId="0" borderId="3" xfId="0" applyFont="1" applyBorder="1"/>
    <xf numFmtId="0" fontId="1" fillId="2" borderId="29" xfId="0" applyFont="1" applyFill="1" applyBorder="1" applyAlignment="1">
      <alignment vertical="center"/>
    </xf>
    <xf numFmtId="0" fontId="1" fillId="2" borderId="30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/>
    </xf>
    <xf numFmtId="0" fontId="1" fillId="2" borderId="31" xfId="0" applyFont="1" applyFill="1" applyBorder="1" applyAlignment="1">
      <alignment vertical="center"/>
    </xf>
    <xf numFmtId="0" fontId="1" fillId="2" borderId="25" xfId="0" applyFont="1" applyFill="1" applyBorder="1" applyAlignment="1">
      <alignment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9" fillId="0" borderId="21" xfId="0" applyFont="1" applyBorder="1"/>
    <xf numFmtId="0" fontId="29" fillId="0" borderId="17" xfId="0" applyFont="1" applyBorder="1"/>
    <xf numFmtId="0" fontId="29" fillId="0" borderId="20" xfId="0" applyFont="1" applyBorder="1"/>
    <xf numFmtId="0" fontId="25" fillId="2" borderId="4" xfId="1" applyFill="1" applyBorder="1" applyAlignment="1">
      <alignment vertical="center"/>
    </xf>
    <xf numFmtId="0" fontId="25" fillId="0" borderId="1" xfId="1" applyBorder="1"/>
    <xf numFmtId="0" fontId="24" fillId="0" borderId="3" xfId="0" applyFont="1" applyBorder="1" applyAlignment="1">
      <alignment horizontal="left"/>
    </xf>
    <xf numFmtId="0" fontId="24" fillId="0" borderId="1" xfId="0" applyFont="1" applyBorder="1" applyAlignment="1">
      <alignment horizontal="left"/>
    </xf>
    <xf numFmtId="0" fontId="24" fillId="0" borderId="19" xfId="0" applyFont="1" applyBorder="1" applyAlignment="1">
      <alignment horizontal="left"/>
    </xf>
    <xf numFmtId="0" fontId="24" fillId="0" borderId="0" xfId="0" applyFont="1"/>
    <xf numFmtId="0" fontId="24" fillId="0" borderId="24" xfId="0" applyFont="1" applyBorder="1"/>
    <xf numFmtId="0" fontId="19" fillId="6" borderId="4" xfId="0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vertical="center"/>
    </xf>
    <xf numFmtId="0" fontId="4" fillId="12" borderId="13" xfId="0" applyFont="1" applyFill="1" applyBorder="1" applyAlignment="1">
      <alignment vertical="center"/>
    </xf>
    <xf numFmtId="0" fontId="4" fillId="8" borderId="21" xfId="0" applyFont="1" applyFill="1" applyBorder="1" applyAlignment="1">
      <alignment vertical="center"/>
    </xf>
    <xf numFmtId="0" fontId="4" fillId="12" borderId="32" xfId="0" applyFont="1" applyFill="1" applyBorder="1" applyAlignment="1">
      <alignment vertical="center"/>
    </xf>
    <xf numFmtId="0" fontId="4" fillId="8" borderId="16" xfId="0" applyFont="1" applyFill="1" applyBorder="1" applyAlignment="1">
      <alignment vertical="center"/>
    </xf>
    <xf numFmtId="0" fontId="4" fillId="8" borderId="12" xfId="0" applyFont="1" applyFill="1" applyBorder="1" applyAlignment="1">
      <alignment vertical="center"/>
    </xf>
    <xf numFmtId="0" fontId="4" fillId="12" borderId="5" xfId="0" applyFont="1" applyFill="1" applyBorder="1" applyAlignment="1">
      <alignment vertical="center"/>
    </xf>
    <xf numFmtId="0" fontId="26" fillId="2" borderId="9" xfId="0" applyFont="1" applyFill="1" applyBorder="1" applyAlignment="1">
      <alignment horizontal="center" vertical="center"/>
    </xf>
    <xf numFmtId="0" fontId="0" fillId="9" borderId="28" xfId="0" applyFill="1" applyBorder="1"/>
    <xf numFmtId="0" fontId="0" fillId="0" borderId="28" xfId="0" applyBorder="1"/>
    <xf numFmtId="0" fontId="22" fillId="8" borderId="0" xfId="0" applyFont="1" applyFill="1" applyAlignment="1">
      <alignment vertical="center"/>
    </xf>
    <xf numFmtId="0" fontId="1" fillId="12" borderId="31" xfId="0" applyFont="1" applyFill="1" applyBorder="1" applyAlignment="1">
      <alignment vertical="center"/>
    </xf>
    <xf numFmtId="0" fontId="1" fillId="12" borderId="30" xfId="0" applyFont="1" applyFill="1" applyBorder="1" applyAlignment="1">
      <alignment vertical="center"/>
    </xf>
    <xf numFmtId="0" fontId="1" fillId="12" borderId="34" xfId="0" applyFont="1" applyFill="1" applyBorder="1" applyAlignment="1">
      <alignment vertical="center"/>
    </xf>
    <xf numFmtId="0" fontId="1" fillId="12" borderId="25" xfId="0" applyFont="1" applyFill="1" applyBorder="1" applyAlignment="1">
      <alignment vertical="center"/>
    </xf>
    <xf numFmtId="0" fontId="0" fillId="9" borderId="30" xfId="0" applyFill="1" applyBorder="1"/>
    <xf numFmtId="0" fontId="1" fillId="12" borderId="12" xfId="0" applyFont="1" applyFill="1" applyBorder="1" applyAlignment="1">
      <alignment vertical="center"/>
    </xf>
    <xf numFmtId="0" fontId="22" fillId="8" borderId="15" xfId="0" applyFont="1" applyFill="1" applyBorder="1" applyAlignment="1">
      <alignment vertical="center"/>
    </xf>
    <xf numFmtId="0" fontId="1" fillId="12" borderId="13" xfId="0" applyFont="1" applyFill="1" applyBorder="1" applyAlignment="1">
      <alignment vertical="center"/>
    </xf>
    <xf numFmtId="0" fontId="0" fillId="0" borderId="30" xfId="0" applyBorder="1"/>
    <xf numFmtId="0" fontId="5" fillId="12" borderId="9" xfId="0" applyFont="1" applyFill="1" applyBorder="1" applyAlignment="1">
      <alignment horizontal="left" vertical="center"/>
    </xf>
    <xf numFmtId="176" fontId="5" fillId="12" borderId="25" xfId="0" applyNumberFormat="1" applyFont="1" applyFill="1" applyBorder="1" applyAlignment="1">
      <alignment horizontal="left" vertical="center"/>
    </xf>
    <xf numFmtId="0" fontId="5" fillId="12" borderId="25" xfId="0" applyFont="1" applyFill="1" applyBorder="1" applyAlignment="1">
      <alignment horizontal="left" vertical="center"/>
    </xf>
    <xf numFmtId="0" fontId="7" fillId="12" borderId="25" xfId="0" applyFont="1" applyFill="1" applyBorder="1" applyAlignment="1">
      <alignment horizontal="left" vertical="center"/>
    </xf>
    <xf numFmtId="0" fontId="0" fillId="9" borderId="25" xfId="0" applyFill="1" applyBorder="1"/>
    <xf numFmtId="0" fontId="0" fillId="0" borderId="25" xfId="0" applyBorder="1"/>
    <xf numFmtId="0" fontId="5" fillId="9" borderId="34" xfId="0" applyFont="1" applyFill="1" applyBorder="1" applyAlignment="1">
      <alignment horizontal="left"/>
    </xf>
    <xf numFmtId="0" fontId="0" fillId="9" borderId="33" xfId="0" applyFill="1" applyBorder="1"/>
    <xf numFmtId="0" fontId="5" fillId="9" borderId="18" xfId="0" applyFont="1" applyFill="1" applyBorder="1" applyAlignment="1">
      <alignment horizontal="left"/>
    </xf>
    <xf numFmtId="0" fontId="0" fillId="9" borderId="18" xfId="0" applyFill="1" applyBorder="1"/>
    <xf numFmtId="0" fontId="7" fillId="12" borderId="9" xfId="0" applyFont="1" applyFill="1" applyBorder="1" applyAlignment="1">
      <alignment horizontal="left" vertical="center"/>
    </xf>
    <xf numFmtId="0" fontId="0" fillId="9" borderId="13" xfId="0" applyFill="1" applyBorder="1"/>
    <xf numFmtId="0" fontId="22" fillId="8" borderId="12" xfId="0" applyFont="1" applyFill="1" applyBorder="1" applyAlignment="1">
      <alignment vertical="center"/>
    </xf>
    <xf numFmtId="0" fontId="6" fillId="9" borderId="9" xfId="0" applyFont="1" applyFill="1" applyBorder="1" applyAlignment="1">
      <alignment horizontal="left"/>
    </xf>
    <xf numFmtId="0" fontId="1" fillId="12" borderId="9" xfId="0" applyFont="1" applyFill="1" applyBorder="1" applyAlignment="1">
      <alignment vertical="center"/>
    </xf>
    <xf numFmtId="0" fontId="0" fillId="9" borderId="9" xfId="0" applyFill="1" applyBorder="1"/>
    <xf numFmtId="0" fontId="22" fillId="8" borderId="29" xfId="0" applyFont="1" applyFill="1" applyBorder="1" applyAlignment="1">
      <alignment vertical="center"/>
    </xf>
    <xf numFmtId="0" fontId="19" fillId="6" borderId="6" xfId="0" applyFont="1" applyFill="1" applyBorder="1" applyAlignment="1">
      <alignment horizontal="center" vertical="center"/>
    </xf>
    <xf numFmtId="0" fontId="19" fillId="6" borderId="36" xfId="0" applyFont="1" applyFill="1" applyBorder="1" applyAlignment="1">
      <alignment horizontal="center" vertical="center"/>
    </xf>
    <xf numFmtId="0" fontId="19" fillId="6" borderId="37" xfId="0" applyFont="1" applyFill="1" applyBorder="1" applyAlignment="1">
      <alignment horizontal="center" vertical="center"/>
    </xf>
    <xf numFmtId="0" fontId="5" fillId="12" borderId="18" xfId="0" applyFont="1" applyFill="1" applyBorder="1" applyAlignment="1">
      <alignment horizontal="left" vertical="center"/>
    </xf>
    <xf numFmtId="0" fontId="0" fillId="0" borderId="13" xfId="0" applyBorder="1"/>
    <xf numFmtId="0" fontId="22" fillId="8" borderId="11" xfId="0" applyFont="1" applyFill="1" applyBorder="1" applyAlignment="1">
      <alignment vertical="center"/>
    </xf>
    <xf numFmtId="0" fontId="5" fillId="2" borderId="17" xfId="0" applyFont="1" applyFill="1" applyBorder="1" applyAlignment="1">
      <alignment horizontal="left" vertical="center"/>
    </xf>
    <xf numFmtId="0" fontId="1" fillId="2" borderId="20" xfId="0" applyFont="1" applyFill="1" applyBorder="1" applyAlignment="1">
      <alignment vertical="center"/>
    </xf>
    <xf numFmtId="0" fontId="22" fillId="8" borderId="38" xfId="0" applyFont="1" applyFill="1" applyBorder="1" applyAlignment="1">
      <alignment vertical="center"/>
    </xf>
    <xf numFmtId="0" fontId="1" fillId="2" borderId="39" xfId="0" applyFont="1" applyFill="1" applyBorder="1" applyAlignment="1">
      <alignment vertical="center"/>
    </xf>
    <xf numFmtId="0" fontId="22" fillId="8" borderId="16" xfId="0" applyFont="1" applyFill="1" applyBorder="1" applyAlignment="1">
      <alignment vertical="center"/>
    </xf>
    <xf numFmtId="0" fontId="36" fillId="0" borderId="38" xfId="0" applyFont="1" applyBorder="1"/>
    <xf numFmtId="0" fontId="38" fillId="4" borderId="1" xfId="0" applyFont="1" applyFill="1" applyBorder="1" applyAlignment="1">
      <alignment vertical="center"/>
    </xf>
    <xf numFmtId="0" fontId="39" fillId="2" borderId="1" xfId="0" applyFont="1" applyFill="1" applyBorder="1" applyAlignment="1">
      <alignment horizontal="left" vertical="center"/>
    </xf>
    <xf numFmtId="0" fontId="30" fillId="2" borderId="1" xfId="0" applyFont="1" applyFill="1" applyBorder="1" applyAlignment="1">
      <alignment vertical="center"/>
    </xf>
    <xf numFmtId="0" fontId="30" fillId="4" borderId="1" xfId="0" applyFont="1" applyFill="1" applyBorder="1" applyAlignment="1">
      <alignment vertical="center"/>
    </xf>
    <xf numFmtId="0" fontId="38" fillId="8" borderId="4" xfId="0" applyFont="1" applyFill="1" applyBorder="1" applyAlignment="1">
      <alignment vertical="center"/>
    </xf>
    <xf numFmtId="0" fontId="39" fillId="12" borderId="40" xfId="0" applyFont="1" applyFill="1" applyBorder="1" applyAlignment="1">
      <alignment horizontal="left" vertical="center"/>
    </xf>
    <xf numFmtId="0" fontId="30" fillId="12" borderId="40" xfId="0" applyFont="1" applyFill="1" applyBorder="1" applyAlignment="1">
      <alignment vertical="center"/>
    </xf>
    <xf numFmtId="0" fontId="38" fillId="8" borderId="22" xfId="0" applyFont="1" applyFill="1" applyBorder="1" applyAlignment="1">
      <alignment vertical="center"/>
    </xf>
    <xf numFmtId="0" fontId="39" fillId="12" borderId="5" xfId="0" applyFont="1" applyFill="1" applyBorder="1" applyAlignment="1">
      <alignment horizontal="left" vertical="center"/>
    </xf>
    <xf numFmtId="0" fontId="30" fillId="12" borderId="35" xfId="0" applyFont="1" applyFill="1" applyBorder="1" applyAlignment="1">
      <alignment vertical="center"/>
    </xf>
    <xf numFmtId="176" fontId="39" fillId="2" borderId="1" xfId="0" applyNumberFormat="1" applyFont="1" applyFill="1" applyBorder="1" applyAlignment="1">
      <alignment horizontal="left" vertical="center"/>
    </xf>
    <xf numFmtId="0" fontId="43" fillId="0" borderId="0" xfId="0" applyFont="1" applyAlignment="1">
      <alignment vertical="center"/>
    </xf>
    <xf numFmtId="0" fontId="0" fillId="0" borderId="0" xfId="0" applyAlignment="1">
      <alignment vertical="center"/>
    </xf>
    <xf numFmtId="0" fontId="42" fillId="0" borderId="0" xfId="0" applyFont="1" applyAlignment="1">
      <alignment vertical="center"/>
    </xf>
    <xf numFmtId="0" fontId="0" fillId="0" borderId="29" xfId="0" applyBorder="1" applyAlignment="1">
      <alignment vertical="center"/>
    </xf>
    <xf numFmtId="0" fontId="44" fillId="9" borderId="10" xfId="0" applyFont="1" applyFill="1" applyBorder="1" applyAlignment="1">
      <alignment vertical="center"/>
    </xf>
    <xf numFmtId="0" fontId="45" fillId="0" borderId="0" xfId="0" applyFont="1" applyAlignment="1">
      <alignment vertical="center"/>
    </xf>
    <xf numFmtId="31" fontId="4" fillId="2" borderId="1" xfId="0" applyNumberFormat="1" applyFont="1" applyFill="1" applyBorder="1" applyAlignment="1">
      <alignment vertical="center"/>
    </xf>
    <xf numFmtId="0" fontId="48" fillId="0" borderId="0" xfId="0" applyFont="1"/>
    <xf numFmtId="0" fontId="52" fillId="14" borderId="41" xfId="0" applyFont="1" applyFill="1" applyBorder="1" applyAlignment="1">
      <alignment horizontal="center" vertical="center"/>
    </xf>
    <xf numFmtId="0" fontId="52" fillId="14" borderId="42" xfId="0" applyFont="1" applyFill="1" applyBorder="1" applyAlignment="1">
      <alignment horizontal="center" vertical="center"/>
    </xf>
    <xf numFmtId="0" fontId="52" fillId="14" borderId="43" xfId="0" applyFont="1" applyFill="1" applyBorder="1" applyAlignment="1">
      <alignment horizontal="center" vertical="center"/>
    </xf>
    <xf numFmtId="0" fontId="53" fillId="2" borderId="42" xfId="0" applyFont="1" applyFill="1" applyBorder="1" applyAlignment="1">
      <alignment horizontal="center" vertical="center"/>
    </xf>
    <xf numFmtId="0" fontId="53" fillId="2" borderId="44" xfId="0" applyFont="1" applyFill="1" applyBorder="1" applyAlignment="1">
      <alignment horizontal="center" vertical="center"/>
    </xf>
    <xf numFmtId="0" fontId="54" fillId="2" borderId="46" xfId="0" applyFont="1" applyFill="1" applyBorder="1" applyAlignment="1">
      <alignment horizontal="center" vertical="center"/>
    </xf>
    <xf numFmtId="49" fontId="51" fillId="0" borderId="44" xfId="0" applyNumberFormat="1" applyFont="1" applyBorder="1" applyAlignment="1">
      <alignment horizontal="center" vertical="center"/>
    </xf>
    <xf numFmtId="0" fontId="51" fillId="0" borderId="44" xfId="0" applyFont="1" applyBorder="1" applyAlignment="1">
      <alignment horizontal="center" vertical="center"/>
    </xf>
    <xf numFmtId="0" fontId="51" fillId="0" borderId="43" xfId="0" applyFont="1" applyBorder="1" applyAlignment="1">
      <alignment horizontal="center" vertical="center"/>
    </xf>
    <xf numFmtId="49" fontId="51" fillId="0" borderId="43" xfId="0" applyNumberFormat="1" applyFont="1" applyBorder="1" applyAlignment="1">
      <alignment horizontal="center" vertical="center"/>
    </xf>
    <xf numFmtId="0" fontId="51" fillId="0" borderId="42" xfId="0" applyFont="1" applyBorder="1" applyAlignment="1">
      <alignment horizontal="center" vertical="center"/>
    </xf>
    <xf numFmtId="179" fontId="51" fillId="0" borderId="45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51" fillId="0" borderId="1" xfId="0" applyNumberFormat="1" applyFont="1" applyBorder="1" applyAlignment="1">
      <alignment horizontal="center" vertical="center"/>
    </xf>
    <xf numFmtId="0" fontId="51" fillId="0" borderId="1" xfId="0" applyFont="1" applyBorder="1" applyAlignment="1">
      <alignment horizontal="center" vertical="center"/>
    </xf>
    <xf numFmtId="0" fontId="55" fillId="0" borderId="0" xfId="0" applyFont="1"/>
    <xf numFmtId="0" fontId="56" fillId="6" borderId="2" xfId="0" applyFont="1" applyFill="1" applyBorder="1" applyAlignment="1">
      <alignment horizontal="left" vertical="center" wrapText="1"/>
    </xf>
    <xf numFmtId="0" fontId="24" fillId="7" borderId="1" xfId="0" applyFont="1" applyFill="1" applyBorder="1"/>
    <xf numFmtId="0" fontId="58" fillId="6" borderId="3" xfId="0" applyFont="1" applyFill="1" applyBorder="1" applyAlignment="1">
      <alignment horizontal="center" vertical="center"/>
    </xf>
    <xf numFmtId="0" fontId="58" fillId="6" borderId="1" xfId="0" applyFont="1" applyFill="1" applyBorder="1" applyAlignment="1">
      <alignment horizontal="center" vertical="center"/>
    </xf>
    <xf numFmtId="0" fontId="25" fillId="2" borderId="1" xfId="1" applyFill="1" applyBorder="1" applyAlignment="1">
      <alignment vertical="center"/>
    </xf>
    <xf numFmtId="0" fontId="62" fillId="4" borderId="1" xfId="0" applyFont="1" applyFill="1" applyBorder="1" applyAlignment="1">
      <alignment vertical="center"/>
    </xf>
    <xf numFmtId="0" fontId="64" fillId="4" borderId="1" xfId="0" applyFont="1" applyFill="1" applyBorder="1" applyAlignment="1">
      <alignment vertical="center"/>
    </xf>
    <xf numFmtId="0" fontId="43" fillId="0" borderId="0" xfId="0" applyFont="1"/>
    <xf numFmtId="0" fontId="66" fillId="0" borderId="0" xfId="0" applyFont="1"/>
    <xf numFmtId="0" fontId="67" fillId="0" borderId="0" xfId="0" applyFont="1"/>
    <xf numFmtId="0" fontId="62" fillId="2" borderId="1" xfId="0" applyFont="1" applyFill="1" applyBorder="1" applyAlignment="1">
      <alignment vertical="center"/>
    </xf>
    <xf numFmtId="0" fontId="62" fillId="2" borderId="1" xfId="0" applyFont="1" applyFill="1" applyBorder="1" applyAlignment="1">
      <alignment horizontal="left" vertical="center"/>
    </xf>
    <xf numFmtId="0" fontId="21" fillId="2" borderId="1" xfId="0" applyFont="1" applyFill="1" applyBorder="1" applyAlignment="1">
      <alignment vertical="center"/>
    </xf>
    <xf numFmtId="0" fontId="46" fillId="4" borderId="1" xfId="0" applyFont="1" applyFill="1" applyBorder="1" applyAlignment="1">
      <alignment vertical="center"/>
    </xf>
    <xf numFmtId="0" fontId="62" fillId="4" borderId="1" xfId="0" applyFont="1" applyFill="1" applyBorder="1" applyAlignment="1">
      <alignment vertical="center" wrapText="1"/>
    </xf>
    <xf numFmtId="0" fontId="64" fillId="4" borderId="1" xfId="0" applyFont="1" applyFill="1" applyBorder="1" applyAlignment="1">
      <alignment vertical="center" wrapText="1"/>
    </xf>
    <xf numFmtId="0" fontId="69" fillId="0" borderId="0" xfId="0" applyFont="1"/>
    <xf numFmtId="0" fontId="66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53" fillId="2" borderId="45" xfId="0" applyFont="1" applyFill="1" applyBorder="1" applyAlignment="1">
      <alignment horizontal="center" vertical="center"/>
    </xf>
    <xf numFmtId="0" fontId="42" fillId="0" borderId="0" xfId="0" applyFont="1"/>
    <xf numFmtId="0" fontId="74" fillId="0" borderId="1" xfId="0" applyFont="1" applyBorder="1" applyAlignment="1">
      <alignment horizontal="center" vertical="center"/>
    </xf>
    <xf numFmtId="0" fontId="51" fillId="0" borderId="47" xfId="0" applyFont="1" applyBorder="1" applyAlignment="1">
      <alignment horizontal="center" vertical="center"/>
    </xf>
    <xf numFmtId="49" fontId="51" fillId="0" borderId="47" xfId="0" applyNumberFormat="1" applyFont="1" applyBorder="1" applyAlignment="1">
      <alignment horizontal="center" vertical="center"/>
    </xf>
    <xf numFmtId="0" fontId="77" fillId="2" borderId="1" xfId="0" applyFont="1" applyFill="1" applyBorder="1" applyAlignment="1">
      <alignment horizontal="left" vertical="center"/>
    </xf>
    <xf numFmtId="0" fontId="75" fillId="2" borderId="1" xfId="0" applyFont="1" applyFill="1" applyBorder="1" applyAlignment="1">
      <alignment horizontal="left" vertical="center"/>
    </xf>
    <xf numFmtId="0" fontId="78" fillId="0" borderId="0" xfId="0" applyFont="1" applyAlignment="1">
      <alignment vertical="center"/>
    </xf>
    <xf numFmtId="0" fontId="47" fillId="4" borderId="1" xfId="0" applyFont="1" applyFill="1" applyBorder="1" applyAlignment="1">
      <alignment vertical="center"/>
    </xf>
    <xf numFmtId="0" fontId="85" fillId="8" borderId="1" xfId="0" applyFont="1" applyFill="1" applyBorder="1" applyAlignment="1">
      <alignment vertical="center"/>
    </xf>
    <xf numFmtId="0" fontId="86" fillId="16" borderId="1" xfId="0" applyFont="1" applyFill="1" applyBorder="1" applyAlignment="1">
      <alignment vertical="center"/>
    </xf>
    <xf numFmtId="0" fontId="86" fillId="16" borderId="3" xfId="0" applyFont="1" applyFill="1" applyBorder="1" applyAlignment="1">
      <alignment vertical="center"/>
    </xf>
    <xf numFmtId="0" fontId="84" fillId="15" borderId="49" xfId="0" applyFont="1" applyFill="1" applyBorder="1" applyAlignment="1">
      <alignment horizontal="center" vertical="center"/>
    </xf>
    <xf numFmtId="0" fontId="84" fillId="15" borderId="5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vertical="center"/>
    </xf>
    <xf numFmtId="0" fontId="86" fillId="16" borderId="52" xfId="0" applyFont="1" applyFill="1" applyBorder="1" applyAlignment="1">
      <alignment vertical="center"/>
    </xf>
    <xf numFmtId="0" fontId="5" fillId="2" borderId="52" xfId="0" applyFont="1" applyFill="1" applyBorder="1" applyAlignment="1">
      <alignment horizontal="left" vertical="center"/>
    </xf>
    <xf numFmtId="176" fontId="5" fillId="2" borderId="53" xfId="0" applyNumberFormat="1" applyFont="1" applyFill="1" applyBorder="1" applyAlignment="1">
      <alignment horizontal="left" vertical="center"/>
    </xf>
    <xf numFmtId="0" fontId="86" fillId="16" borderId="54" xfId="0" applyFont="1" applyFill="1" applyBorder="1" applyAlignment="1">
      <alignment vertical="center"/>
    </xf>
    <xf numFmtId="0" fontId="5" fillId="2" borderId="54" xfId="0" applyFont="1" applyFill="1" applyBorder="1" applyAlignment="1">
      <alignment horizontal="left" vertical="center"/>
    </xf>
    <xf numFmtId="0" fontId="1" fillId="2" borderId="54" xfId="0" applyFont="1" applyFill="1" applyBorder="1" applyAlignment="1">
      <alignment vertical="center"/>
    </xf>
    <xf numFmtId="0" fontId="1" fillId="2" borderId="55" xfId="0" applyFont="1" applyFill="1" applyBorder="1" applyAlignment="1">
      <alignment vertical="center"/>
    </xf>
    <xf numFmtId="176" fontId="5" fillId="2" borderId="54" xfId="0" applyNumberFormat="1" applyFont="1" applyFill="1" applyBorder="1" applyAlignment="1">
      <alignment horizontal="left" vertical="center"/>
    </xf>
    <xf numFmtId="0" fontId="83" fillId="13" borderId="0" xfId="0" applyFont="1" applyFill="1" applyAlignment="1">
      <alignment horizontal="center" vertical="center"/>
    </xf>
    <xf numFmtId="0" fontId="83" fillId="13" borderId="48" xfId="0" applyFont="1" applyFill="1" applyBorder="1" applyAlignment="1">
      <alignment horizontal="center" vertical="center"/>
    </xf>
    <xf numFmtId="0" fontId="90" fillId="3" borderId="21" xfId="0" applyFont="1" applyFill="1" applyBorder="1" applyAlignment="1">
      <alignment horizontal="center" vertical="center"/>
    </xf>
    <xf numFmtId="0" fontId="90" fillId="3" borderId="20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1" xfId="0" applyFont="1" applyBorder="1"/>
    <xf numFmtId="0" fontId="4" fillId="4" borderId="1" xfId="0" applyFont="1" applyFill="1" applyBorder="1" applyAlignment="1">
      <alignment horizontal="center" vertical="center"/>
    </xf>
    <xf numFmtId="177" fontId="10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23" fillId="2" borderId="1" xfId="0" applyFont="1" applyFill="1" applyBorder="1" applyAlignment="1">
      <alignment vertical="center" wrapText="1"/>
    </xf>
    <xf numFmtId="178" fontId="10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/>
    <xf numFmtId="177" fontId="13" fillId="0" borderId="1" xfId="0" applyNumberFormat="1" applyFont="1" applyBorder="1" applyAlignment="1">
      <alignment horizontal="center" vertical="center"/>
    </xf>
    <xf numFmtId="0" fontId="14" fillId="2" borderId="1" xfId="0" applyFont="1" applyFill="1" applyBorder="1" applyAlignment="1">
      <alignment vertical="center"/>
    </xf>
    <xf numFmtId="0" fontId="12" fillId="2" borderId="1" xfId="0" applyFont="1" applyFill="1" applyBorder="1" applyAlignment="1">
      <alignment horizontal="left" vertical="center"/>
    </xf>
    <xf numFmtId="0" fontId="0" fillId="0" borderId="1" xfId="0" applyBorder="1"/>
    <xf numFmtId="0" fontId="32" fillId="3" borderId="4" xfId="0" applyFont="1" applyFill="1" applyBorder="1" applyAlignment="1">
      <alignment horizontal="center" vertical="center"/>
    </xf>
    <xf numFmtId="0" fontId="32" fillId="3" borderId="23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vertical="center"/>
    </xf>
    <xf numFmtId="0" fontId="2" fillId="10" borderId="5" xfId="0" applyFont="1" applyFill="1" applyBorder="1" applyAlignment="1">
      <alignment vertical="center"/>
    </xf>
    <xf numFmtId="0" fontId="33" fillId="11" borderId="4" xfId="0" applyFont="1" applyFill="1" applyBorder="1" applyAlignment="1">
      <alignment horizontal="center" vertical="center"/>
    </xf>
    <xf numFmtId="0" fontId="32" fillId="11" borderId="5" xfId="0" applyFont="1" applyFill="1" applyBorder="1" applyAlignment="1">
      <alignment horizontal="center" vertical="center"/>
    </xf>
    <xf numFmtId="0" fontId="37" fillId="3" borderId="4" xfId="0" applyFont="1" applyFill="1" applyBorder="1" applyAlignment="1">
      <alignment horizontal="center" vertical="center"/>
    </xf>
    <xf numFmtId="0" fontId="37" fillId="3" borderId="5" xfId="0" applyFont="1" applyFill="1" applyBorder="1" applyAlignment="1">
      <alignment horizontal="center" vertical="center"/>
    </xf>
    <xf numFmtId="0" fontId="72" fillId="3" borderId="4" xfId="0" applyFont="1" applyFill="1" applyBorder="1" applyAlignment="1">
      <alignment horizontal="center" vertical="center"/>
    </xf>
    <xf numFmtId="0" fontId="72" fillId="3" borderId="23" xfId="0" applyFont="1" applyFill="1" applyBorder="1" applyAlignment="1">
      <alignment horizontal="center" vertical="center"/>
    </xf>
    <xf numFmtId="0" fontId="49" fillId="3" borderId="4" xfId="0" applyFont="1" applyFill="1" applyBorder="1" applyAlignment="1">
      <alignment horizontal="center" vertical="center"/>
    </xf>
    <xf numFmtId="0" fontId="61" fillId="3" borderId="4" xfId="0" applyFont="1" applyFill="1" applyBorder="1" applyAlignment="1">
      <alignment horizontal="center" vertical="center"/>
    </xf>
    <xf numFmtId="0" fontId="91" fillId="0" borderId="89" xfId="0" applyFont="1" applyBorder="1" applyAlignment="1">
      <alignment horizontal="center" vertical="center" wrapText="1"/>
    </xf>
    <xf numFmtId="0" fontId="69" fillId="0" borderId="20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2" fillId="3" borderId="1" xfId="0" applyFont="1" applyFill="1" applyBorder="1" applyAlignment="1">
      <alignment horizontal="center" vertical="center"/>
    </xf>
    <xf numFmtId="0" fontId="94" fillId="17" borderId="57" xfId="0" applyFont="1" applyFill="1" applyBorder="1" applyAlignment="1">
      <alignment horizontal="justify" vertical="center" wrapText="1"/>
    </xf>
    <xf numFmtId="0" fontId="95" fillId="17" borderId="57" xfId="0" applyFont="1" applyFill="1" applyBorder="1" applyAlignment="1">
      <alignment vertical="top" wrapText="1"/>
    </xf>
    <xf numFmtId="0" fontId="95" fillId="17" borderId="86" xfId="0" applyFont="1" applyFill="1" applyBorder="1" applyAlignment="1">
      <alignment vertical="top" wrapText="1"/>
    </xf>
    <xf numFmtId="0" fontId="94" fillId="17" borderId="58" xfId="0" applyFont="1" applyFill="1" applyBorder="1" applyAlignment="1">
      <alignment horizontal="justify" vertical="center" wrapText="1"/>
    </xf>
    <xf numFmtId="0" fontId="96" fillId="17" borderId="57" xfId="0" applyFont="1" applyFill="1" applyBorder="1" applyAlignment="1">
      <alignment vertical="top" wrapText="1"/>
    </xf>
    <xf numFmtId="0" fontId="97" fillId="0" borderId="59" xfId="0" applyFont="1" applyBorder="1" applyAlignment="1">
      <alignment horizontal="justify" vertical="center" wrapText="1"/>
    </xf>
    <xf numFmtId="0" fontId="94" fillId="0" borderId="61" xfId="0" applyFont="1" applyBorder="1" applyAlignment="1">
      <alignment horizontal="justify" vertical="center" wrapText="1"/>
    </xf>
    <xf numFmtId="0" fontId="94" fillId="0" borderId="60" xfId="0" applyFont="1" applyBorder="1" applyAlignment="1">
      <alignment horizontal="justify" vertical="center" wrapText="1"/>
    </xf>
    <xf numFmtId="0" fontId="94" fillId="0" borderId="62" xfId="0" applyFont="1" applyBorder="1" applyAlignment="1">
      <alignment horizontal="justify" vertical="center" wrapText="1"/>
    </xf>
    <xf numFmtId="0" fontId="95" fillId="0" borderId="61" xfId="0" applyFont="1" applyBorder="1" applyAlignment="1">
      <alignment horizontal="center" vertical="center" wrapText="1"/>
    </xf>
    <xf numFmtId="0" fontId="94" fillId="0" borderId="64" xfId="0" applyFont="1" applyBorder="1" applyAlignment="1">
      <alignment horizontal="justify" vertical="center" wrapText="1"/>
    </xf>
    <xf numFmtId="0" fontId="94" fillId="0" borderId="65" xfId="0" applyFont="1" applyBorder="1" applyAlignment="1">
      <alignment horizontal="justify" vertical="center" wrapText="1"/>
    </xf>
    <xf numFmtId="0" fontId="95" fillId="0" borderId="68" xfId="0" applyFont="1" applyBorder="1" applyAlignment="1">
      <alignment horizontal="center" vertical="center" wrapText="1"/>
    </xf>
    <xf numFmtId="0" fontId="95" fillId="0" borderId="64" xfId="0" applyFont="1" applyBorder="1" applyAlignment="1">
      <alignment horizontal="center" vertical="center" wrapText="1"/>
    </xf>
    <xf numFmtId="0" fontId="95" fillId="0" borderId="65" xfId="0" applyFont="1" applyBorder="1" applyAlignment="1">
      <alignment horizontal="center" vertical="center" wrapText="1"/>
    </xf>
    <xf numFmtId="0" fontId="94" fillId="0" borderId="68" xfId="0" applyFont="1" applyBorder="1" applyAlignment="1">
      <alignment horizontal="justify" vertical="center" wrapText="1"/>
    </xf>
    <xf numFmtId="0" fontId="94" fillId="0" borderId="66" xfId="0" applyFont="1" applyBorder="1" applyAlignment="1">
      <alignment horizontal="justify" vertical="center" wrapText="1"/>
    </xf>
    <xf numFmtId="0" fontId="94" fillId="0" borderId="67" xfId="0" applyFont="1" applyBorder="1" applyAlignment="1">
      <alignment horizontal="justify" vertical="center" wrapText="1"/>
    </xf>
    <xf numFmtId="0" fontId="95" fillId="0" borderId="69" xfId="0" applyFont="1" applyBorder="1" applyAlignment="1">
      <alignment horizontal="center" vertical="center" wrapText="1"/>
    </xf>
    <xf numFmtId="0" fontId="95" fillId="0" borderId="66" xfId="0" applyFont="1" applyBorder="1" applyAlignment="1">
      <alignment horizontal="center" vertical="center" wrapText="1"/>
    </xf>
    <xf numFmtId="0" fontId="95" fillId="0" borderId="67" xfId="0" applyFont="1" applyBorder="1" applyAlignment="1">
      <alignment horizontal="center" vertical="center" wrapText="1"/>
    </xf>
    <xf numFmtId="0" fontId="94" fillId="0" borderId="69" xfId="0" applyFont="1" applyBorder="1" applyAlignment="1">
      <alignment horizontal="justify" vertical="center" wrapText="1"/>
    </xf>
    <xf numFmtId="0" fontId="94" fillId="0" borderId="71" xfId="0" applyFont="1" applyBorder="1" applyAlignment="1">
      <alignment horizontal="justify" vertical="center" wrapText="1"/>
    </xf>
    <xf numFmtId="0" fontId="94" fillId="0" borderId="63" xfId="0" applyFont="1" applyBorder="1" applyAlignment="1">
      <alignment horizontal="justify" vertical="center" wrapText="1"/>
    </xf>
    <xf numFmtId="0" fontId="29" fillId="0" borderId="70" xfId="0" applyFont="1" applyBorder="1" applyAlignment="1">
      <alignment horizontal="center" vertical="center" wrapText="1"/>
    </xf>
    <xf numFmtId="0" fontId="29" fillId="0" borderId="71" xfId="0" applyFont="1" applyBorder="1" applyAlignment="1">
      <alignment horizontal="center" vertical="center" wrapText="1"/>
    </xf>
    <xf numFmtId="0" fontId="94" fillId="0" borderId="70" xfId="0" applyFont="1" applyBorder="1" applyAlignment="1">
      <alignment horizontal="justify" vertical="center" wrapText="1"/>
    </xf>
    <xf numFmtId="0" fontId="95" fillId="0" borderId="70" xfId="0" applyFont="1" applyBorder="1" applyAlignment="1">
      <alignment horizontal="center" vertical="center" wrapText="1"/>
    </xf>
    <xf numFmtId="0" fontId="95" fillId="0" borderId="71" xfId="0" applyFont="1" applyBorder="1" applyAlignment="1">
      <alignment horizontal="center" vertical="center" wrapText="1"/>
    </xf>
    <xf numFmtId="0" fontId="95" fillId="0" borderId="63" xfId="0" applyFont="1" applyBorder="1" applyAlignment="1">
      <alignment horizontal="center" vertical="center" wrapText="1"/>
    </xf>
    <xf numFmtId="0" fontId="94" fillId="0" borderId="73" xfId="0" applyFont="1" applyBorder="1" applyAlignment="1">
      <alignment horizontal="justify" vertical="center" wrapText="1"/>
    </xf>
    <xf numFmtId="0" fontId="94" fillId="0" borderId="74" xfId="0" applyFont="1" applyBorder="1" applyAlignment="1">
      <alignment horizontal="justify" vertical="center" wrapText="1"/>
    </xf>
    <xf numFmtId="0" fontId="94" fillId="0" borderId="75" xfId="0" applyFont="1" applyBorder="1" applyAlignment="1">
      <alignment horizontal="justify" vertical="center" wrapText="1"/>
    </xf>
    <xf numFmtId="0" fontId="94" fillId="0" borderId="72" xfId="0" applyFont="1" applyBorder="1" applyAlignment="1">
      <alignment horizontal="justify" vertical="center" wrapText="1"/>
    </xf>
    <xf numFmtId="0" fontId="95" fillId="0" borderId="75" xfId="0" applyFont="1" applyBorder="1" applyAlignment="1">
      <alignment horizontal="center" vertical="center" wrapText="1"/>
    </xf>
    <xf numFmtId="0" fontId="95" fillId="0" borderId="76" xfId="0" applyFont="1" applyBorder="1" applyAlignment="1">
      <alignment horizontal="center" vertical="center" wrapText="1"/>
    </xf>
    <xf numFmtId="0" fontId="95" fillId="0" borderId="72" xfId="0" applyFont="1" applyBorder="1" applyAlignment="1">
      <alignment horizontal="center" vertical="center" wrapText="1"/>
    </xf>
    <xf numFmtId="0" fontId="94" fillId="0" borderId="76" xfId="0" applyFont="1" applyBorder="1" applyAlignment="1">
      <alignment horizontal="justify" vertical="center" wrapText="1"/>
    </xf>
    <xf numFmtId="0" fontId="95" fillId="0" borderId="75" xfId="0" applyFont="1" applyBorder="1" applyAlignment="1">
      <alignment horizontal="justify" vertical="center" wrapText="1"/>
    </xf>
    <xf numFmtId="0" fontId="95" fillId="0" borderId="76" xfId="0" applyFont="1" applyBorder="1" applyAlignment="1">
      <alignment horizontal="justify" vertical="center" wrapText="1"/>
    </xf>
    <xf numFmtId="0" fontId="98" fillId="0" borderId="46" xfId="0" applyFont="1" applyBorder="1" applyAlignment="1">
      <alignment horizontal="center" vertical="center" wrapText="1"/>
    </xf>
    <xf numFmtId="0" fontId="94" fillId="0" borderId="78" xfId="0" applyFont="1" applyBorder="1" applyAlignment="1">
      <alignment horizontal="justify" vertical="center" wrapText="1"/>
    </xf>
    <xf numFmtId="0" fontId="94" fillId="0" borderId="77" xfId="0" applyFont="1" applyBorder="1" applyAlignment="1">
      <alignment horizontal="justify" vertical="center" wrapText="1"/>
    </xf>
    <xf numFmtId="0" fontId="98" fillId="0" borderId="79" xfId="0" applyFont="1" applyBorder="1" applyAlignment="1">
      <alignment horizontal="center" vertical="center" wrapText="1"/>
    </xf>
    <xf numFmtId="0" fontId="98" fillId="0" borderId="73" xfId="0" applyFont="1" applyBorder="1" applyAlignment="1">
      <alignment horizontal="center" vertical="center" wrapText="1"/>
    </xf>
    <xf numFmtId="0" fontId="94" fillId="0" borderId="46" xfId="0" applyFont="1" applyBorder="1" applyAlignment="1">
      <alignment horizontal="center" vertical="center" wrapText="1"/>
    </xf>
    <xf numFmtId="0" fontId="94" fillId="0" borderId="80" xfId="0" applyFont="1" applyBorder="1" applyAlignment="1">
      <alignment horizontal="center" vertical="center" wrapText="1"/>
    </xf>
    <xf numFmtId="0" fontId="94" fillId="0" borderId="81" xfId="0" applyFont="1" applyBorder="1" applyAlignment="1">
      <alignment horizontal="center" vertical="center" wrapText="1"/>
    </xf>
    <xf numFmtId="0" fontId="94" fillId="0" borderId="81" xfId="0" applyFont="1" applyBorder="1" applyAlignment="1">
      <alignment horizontal="center" vertical="center" wrapText="1"/>
    </xf>
    <xf numFmtId="0" fontId="94" fillId="0" borderId="66" xfId="0" applyFont="1" applyBorder="1" applyAlignment="1">
      <alignment horizontal="center" vertical="center" wrapText="1"/>
    </xf>
    <xf numFmtId="0" fontId="94" fillId="0" borderId="67" xfId="0" applyFont="1" applyBorder="1" applyAlignment="1">
      <alignment horizontal="center" vertical="center" wrapText="1"/>
    </xf>
    <xf numFmtId="0" fontId="94" fillId="0" borderId="69" xfId="0" applyFont="1" applyBorder="1" applyAlignment="1">
      <alignment horizontal="center" vertical="center" wrapText="1"/>
    </xf>
    <xf numFmtId="0" fontId="94" fillId="0" borderId="69" xfId="0" applyFont="1" applyBorder="1" applyAlignment="1">
      <alignment horizontal="center" vertical="center" wrapText="1"/>
    </xf>
    <xf numFmtId="0" fontId="95" fillId="0" borderId="70" xfId="0" applyFont="1" applyBorder="1" applyAlignment="1">
      <alignment horizontal="right" vertical="center" wrapText="1"/>
    </xf>
    <xf numFmtId="0" fontId="94" fillId="0" borderId="76" xfId="0" applyFont="1" applyBorder="1" applyAlignment="1">
      <alignment horizontal="right" vertical="center" wrapText="1"/>
    </xf>
    <xf numFmtId="0" fontId="97" fillId="0" borderId="78" xfId="0" applyFont="1" applyBorder="1" applyAlignment="1">
      <alignment horizontal="right" vertical="center" wrapText="1"/>
    </xf>
    <xf numFmtId="0" fontId="94" fillId="17" borderId="78" xfId="0" applyFont="1" applyFill="1" applyBorder="1" applyAlignment="1">
      <alignment horizontal="center" vertical="center" wrapText="1"/>
    </xf>
    <xf numFmtId="0" fontId="94" fillId="17" borderId="82" xfId="0" applyFont="1" applyFill="1" applyBorder="1" applyAlignment="1">
      <alignment horizontal="center" vertical="center" wrapText="1"/>
    </xf>
    <xf numFmtId="0" fontId="94" fillId="17" borderId="83" xfId="0" applyFont="1" applyFill="1" applyBorder="1" applyAlignment="1">
      <alignment horizontal="right" vertical="center" wrapText="1"/>
    </xf>
    <xf numFmtId="0" fontId="94" fillId="17" borderId="78" xfId="0" applyFont="1" applyFill="1" applyBorder="1" applyAlignment="1">
      <alignment horizontal="right" vertical="center" wrapText="1"/>
    </xf>
    <xf numFmtId="0" fontId="99" fillId="17" borderId="78" xfId="0" applyFont="1" applyFill="1" applyBorder="1" applyAlignment="1">
      <alignment vertical="center" wrapText="1"/>
    </xf>
    <xf numFmtId="0" fontId="95" fillId="0" borderId="46" xfId="0" applyFont="1" applyBorder="1" applyAlignment="1">
      <alignment horizontal="justify" vertical="center" wrapText="1"/>
    </xf>
    <xf numFmtId="0" fontId="100" fillId="0" borderId="0" xfId="0" applyFont="1" applyAlignment="1">
      <alignment horizontal="justify" vertical="center" wrapText="1"/>
    </xf>
    <xf numFmtId="0" fontId="94" fillId="0" borderId="0" xfId="0" applyFont="1" applyAlignment="1">
      <alignment horizontal="right" vertical="center" wrapText="1"/>
    </xf>
    <xf numFmtId="0" fontId="95" fillId="0" borderId="0" xfId="0" applyFont="1" applyAlignment="1">
      <alignment vertical="top" wrapText="1"/>
    </xf>
    <xf numFmtId="0" fontId="94" fillId="0" borderId="0" xfId="0" applyFont="1" applyAlignment="1">
      <alignment horizontal="center" vertical="center" wrapText="1"/>
    </xf>
    <xf numFmtId="0" fontId="95" fillId="0" borderId="0" xfId="0" applyFont="1" applyAlignment="1">
      <alignment horizontal="center" vertical="center" wrapText="1"/>
    </xf>
    <xf numFmtId="0" fontId="94" fillId="0" borderId="0" xfId="0" applyFont="1" applyAlignment="1">
      <alignment horizontal="center" vertical="center" wrapText="1"/>
    </xf>
    <xf numFmtId="0" fontId="101" fillId="0" borderId="84" xfId="0" applyFont="1" applyBorder="1" applyAlignment="1">
      <alignment horizontal="right" vertical="center" wrapText="1"/>
    </xf>
    <xf numFmtId="0" fontId="94" fillId="0" borderId="84" xfId="0" applyFont="1" applyBorder="1" applyAlignment="1">
      <alignment horizontal="justify" vertical="center" wrapText="1"/>
    </xf>
    <xf numFmtId="0" fontId="95" fillId="0" borderId="85" xfId="0" applyFont="1" applyBorder="1" applyAlignment="1">
      <alignment horizontal="center" vertical="center" wrapText="1"/>
    </xf>
    <xf numFmtId="0" fontId="102" fillId="0" borderId="87" xfId="0" applyFont="1" applyBorder="1" applyAlignment="1">
      <alignment horizontal="center" vertical="center" wrapText="1"/>
    </xf>
    <xf numFmtId="0" fontId="102" fillId="0" borderId="88" xfId="0" applyFont="1" applyBorder="1" applyAlignment="1">
      <alignment horizontal="center" vertical="center" wrapText="1"/>
    </xf>
    <xf numFmtId="0" fontId="102" fillId="0" borderId="90" xfId="0" applyFont="1" applyBorder="1" applyAlignment="1">
      <alignment horizontal="justify" vertical="center" wrapText="1"/>
    </xf>
    <xf numFmtId="0" fontId="102" fillId="0" borderId="87" xfId="0" applyFont="1" applyBorder="1" applyAlignment="1">
      <alignment horizontal="justify" vertical="center" wrapText="1"/>
    </xf>
    <xf numFmtId="0" fontId="102" fillId="0" borderId="105" xfId="0" applyFont="1" applyBorder="1" applyAlignment="1">
      <alignment horizontal="center" vertical="center" wrapText="1"/>
    </xf>
    <xf numFmtId="0" fontId="102" fillId="0" borderId="108" xfId="0" applyFont="1" applyBorder="1" applyAlignment="1">
      <alignment horizontal="center" vertical="center" wrapText="1"/>
    </xf>
    <xf numFmtId="0" fontId="102" fillId="0" borderId="109" xfId="0" applyFont="1" applyBorder="1" applyAlignment="1">
      <alignment horizontal="justify" vertical="center" wrapText="1"/>
    </xf>
    <xf numFmtId="0" fontId="102" fillId="0" borderId="105" xfId="0" applyFont="1" applyBorder="1" applyAlignment="1">
      <alignment horizontal="justify" vertical="center" wrapText="1"/>
    </xf>
    <xf numFmtId="0" fontId="103" fillId="0" borderId="91" xfId="0" applyFont="1" applyBorder="1" applyAlignment="1">
      <alignment horizontal="justify" vertical="center" wrapText="1"/>
    </xf>
    <xf numFmtId="0" fontId="103" fillId="18" borderId="93" xfId="0" applyFont="1" applyFill="1" applyBorder="1" applyAlignment="1">
      <alignment horizontal="center" vertical="center" wrapText="1"/>
    </xf>
    <xf numFmtId="0" fontId="94" fillId="19" borderId="95" xfId="0" applyFont="1" applyFill="1" applyBorder="1" applyAlignment="1">
      <alignment horizontal="center" vertical="center" wrapText="1"/>
    </xf>
    <xf numFmtId="0" fontId="94" fillId="19" borderId="96" xfId="0" applyFont="1" applyFill="1" applyBorder="1" applyAlignment="1">
      <alignment horizontal="center" vertical="center" wrapText="1"/>
    </xf>
    <xf numFmtId="0" fontId="94" fillId="19" borderId="92" xfId="0" applyFont="1" applyFill="1" applyBorder="1" applyAlignment="1">
      <alignment horizontal="center" vertical="center" wrapText="1"/>
    </xf>
    <xf numFmtId="0" fontId="103" fillId="18" borderId="94" xfId="0" applyFont="1" applyFill="1" applyBorder="1" applyAlignment="1">
      <alignment horizontal="center" vertical="center" wrapText="1"/>
    </xf>
    <xf numFmtId="0" fontId="104" fillId="19" borderId="97" xfId="0" applyFont="1" applyFill="1" applyBorder="1" applyAlignment="1">
      <alignment horizontal="center" vertical="center" wrapText="1"/>
    </xf>
    <xf numFmtId="0" fontId="104" fillId="19" borderId="98" xfId="0" applyFont="1" applyFill="1" applyBorder="1" applyAlignment="1">
      <alignment horizontal="center" vertical="center" wrapText="1"/>
    </xf>
    <xf numFmtId="0" fontId="104" fillId="19" borderId="99" xfId="0" applyFont="1" applyFill="1" applyBorder="1" applyAlignment="1">
      <alignment horizontal="center" vertical="center" wrapText="1"/>
    </xf>
    <xf numFmtId="0" fontId="104" fillId="19" borderId="97" xfId="0" applyFont="1" applyFill="1" applyBorder="1" applyAlignment="1">
      <alignment horizontal="justify" vertical="center" wrapText="1"/>
    </xf>
    <xf numFmtId="0" fontId="104" fillId="19" borderId="98" xfId="0" applyFont="1" applyFill="1" applyBorder="1" applyAlignment="1">
      <alignment horizontal="justify" vertical="center" wrapText="1"/>
    </xf>
    <xf numFmtId="0" fontId="104" fillId="19" borderId="99" xfId="0" applyFont="1" applyFill="1" applyBorder="1" applyAlignment="1">
      <alignment horizontal="justify" vertical="center" wrapText="1"/>
    </xf>
    <xf numFmtId="0" fontId="103" fillId="18" borderId="100" xfId="0" applyFont="1" applyFill="1" applyBorder="1" applyAlignment="1">
      <alignment horizontal="center" vertical="center" wrapText="1"/>
    </xf>
    <xf numFmtId="0" fontId="94" fillId="19" borderId="102" xfId="0" applyFont="1" applyFill="1" applyBorder="1" applyAlignment="1">
      <alignment horizontal="center" vertical="center" wrapText="1"/>
    </xf>
    <xf numFmtId="0" fontId="94" fillId="19" borderId="103" xfId="0" applyFont="1" applyFill="1" applyBorder="1" applyAlignment="1">
      <alignment horizontal="center" vertical="center" wrapText="1"/>
    </xf>
    <xf numFmtId="0" fontId="94" fillId="19" borderId="100" xfId="0" applyFont="1" applyFill="1" applyBorder="1" applyAlignment="1">
      <alignment horizontal="center" vertical="center" wrapText="1"/>
    </xf>
    <xf numFmtId="0" fontId="104" fillId="19" borderId="102" xfId="0" applyFont="1" applyFill="1" applyBorder="1" applyAlignment="1">
      <alignment horizontal="center" vertical="center" wrapText="1"/>
    </xf>
    <xf numFmtId="0" fontId="104" fillId="19" borderId="100" xfId="0" applyFont="1" applyFill="1" applyBorder="1" applyAlignment="1">
      <alignment horizontal="center" vertical="center" wrapText="1"/>
    </xf>
    <xf numFmtId="0" fontId="104" fillId="19" borderId="103" xfId="0" applyFont="1" applyFill="1" applyBorder="1" applyAlignment="1">
      <alignment horizontal="center" vertical="center" wrapText="1"/>
    </xf>
    <xf numFmtId="0" fontId="104" fillId="19" borderId="102" xfId="0" applyFont="1" applyFill="1" applyBorder="1" applyAlignment="1">
      <alignment horizontal="justify" vertical="center" wrapText="1"/>
    </xf>
    <xf numFmtId="0" fontId="104" fillId="19" borderId="103" xfId="0" applyFont="1" applyFill="1" applyBorder="1" applyAlignment="1">
      <alignment horizontal="justify" vertical="center" wrapText="1"/>
    </xf>
    <xf numFmtId="0" fontId="104" fillId="19" borderId="100" xfId="0" applyFont="1" applyFill="1" applyBorder="1" applyAlignment="1">
      <alignment horizontal="justify" vertical="center" wrapText="1"/>
    </xf>
    <xf numFmtId="0" fontId="94" fillId="19" borderId="97" xfId="0" applyFont="1" applyFill="1" applyBorder="1" applyAlignment="1">
      <alignment horizontal="center" vertical="center" wrapText="1"/>
    </xf>
    <xf numFmtId="0" fontId="94" fillId="19" borderId="98" xfId="0" applyFont="1" applyFill="1" applyBorder="1" applyAlignment="1">
      <alignment horizontal="center" vertical="center" wrapText="1"/>
    </xf>
    <xf numFmtId="0" fontId="103" fillId="18" borderId="101" xfId="0" applyFont="1" applyFill="1" applyBorder="1" applyAlignment="1">
      <alignment horizontal="center" vertical="center" wrapText="1"/>
    </xf>
    <xf numFmtId="0" fontId="94" fillId="19" borderId="104" xfId="0" applyFont="1" applyFill="1" applyBorder="1" applyAlignment="1">
      <alignment horizontal="center" vertical="center" wrapText="1"/>
    </xf>
    <xf numFmtId="0" fontId="94" fillId="19" borderId="105" xfId="0" applyFont="1" applyFill="1" applyBorder="1" applyAlignment="1">
      <alignment horizontal="center" vertical="center" wrapText="1"/>
    </xf>
    <xf numFmtId="0" fontId="94" fillId="19" borderId="101" xfId="0" applyFont="1" applyFill="1" applyBorder="1" applyAlignment="1">
      <alignment horizontal="center" vertical="center" wrapText="1"/>
    </xf>
    <xf numFmtId="0" fontId="104" fillId="19" borderId="104" xfId="0" applyFont="1" applyFill="1" applyBorder="1" applyAlignment="1">
      <alignment horizontal="center" vertical="center" wrapText="1"/>
    </xf>
    <xf numFmtId="0" fontId="104" fillId="19" borderId="101" xfId="0" applyFont="1" applyFill="1" applyBorder="1" applyAlignment="1">
      <alignment horizontal="center" vertical="center" wrapText="1"/>
    </xf>
    <xf numFmtId="0" fontId="104" fillId="19" borderId="105" xfId="0" applyFont="1" applyFill="1" applyBorder="1" applyAlignment="1">
      <alignment horizontal="center" vertical="center" wrapText="1"/>
    </xf>
    <xf numFmtId="0" fontId="104" fillId="19" borderId="104" xfId="0" applyFont="1" applyFill="1" applyBorder="1" applyAlignment="1">
      <alignment horizontal="justify" vertical="center" wrapText="1"/>
    </xf>
    <xf numFmtId="0" fontId="104" fillId="19" borderId="105" xfId="0" applyFont="1" applyFill="1" applyBorder="1" applyAlignment="1">
      <alignment horizontal="justify" vertical="center" wrapText="1"/>
    </xf>
    <xf numFmtId="0" fontId="104" fillId="19" borderId="101" xfId="0" applyFont="1" applyFill="1" applyBorder="1" applyAlignment="1">
      <alignment horizontal="justify" vertical="center" wrapText="1"/>
    </xf>
    <xf numFmtId="0" fontId="94" fillId="19" borderId="106" xfId="0" applyFont="1" applyFill="1" applyBorder="1" applyAlignment="1">
      <alignment horizontal="center" vertical="center" wrapText="1"/>
    </xf>
    <xf numFmtId="0" fontId="94" fillId="19" borderId="107" xfId="0" applyFont="1" applyFill="1" applyBorder="1" applyAlignment="1">
      <alignment horizontal="center" vertical="center" wrapText="1"/>
    </xf>
    <xf numFmtId="176" fontId="95" fillId="0" borderId="62" xfId="0" applyNumberFormat="1" applyFont="1" applyBorder="1" applyAlignment="1">
      <alignment horizontal="center" vertical="center" wrapText="1"/>
    </xf>
    <xf numFmtId="176" fontId="94" fillId="0" borderId="62" xfId="0" applyNumberFormat="1" applyFont="1" applyBorder="1" applyAlignment="1">
      <alignment horizontal="center" vertical="center" wrapText="1"/>
    </xf>
    <xf numFmtId="0" fontId="94" fillId="0" borderId="61" xfId="0" applyFont="1" applyBorder="1" applyAlignment="1">
      <alignment horizontal="center" vertical="center" wrapText="1"/>
    </xf>
    <xf numFmtId="0" fontId="94" fillId="0" borderId="60" xfId="0" applyFont="1" applyBorder="1" applyAlignment="1">
      <alignment horizontal="center" vertical="center" wrapText="1"/>
    </xf>
    <xf numFmtId="0" fontId="62" fillId="2" borderId="1" xfId="0" applyFont="1" applyFill="1" applyBorder="1" applyAlignment="1">
      <alignment vertical="center" wrapText="1"/>
    </xf>
    <xf numFmtId="0" fontId="64" fillId="2" borderId="1" xfId="0" applyFont="1" applyFill="1" applyBorder="1" applyAlignment="1">
      <alignment vertical="center"/>
    </xf>
    <xf numFmtId="0" fontId="47" fillId="2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0" borderId="56" xfId="0" applyBorder="1" applyAlignment="1">
      <alignment vertical="center"/>
    </xf>
    <xf numFmtId="0" fontId="0" fillId="0" borderId="50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69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106" fillId="20" borderId="110" xfId="0" applyFont="1" applyFill="1" applyBorder="1" applyAlignment="1">
      <alignment horizontal="center" vertical="center"/>
    </xf>
    <xf numFmtId="0" fontId="106" fillId="20" borderId="19" xfId="0" applyFont="1" applyFill="1" applyBorder="1" applyAlignment="1">
      <alignment horizontal="center" vertical="center"/>
    </xf>
    <xf numFmtId="0" fontId="106" fillId="20" borderId="111" xfId="0" applyFont="1" applyFill="1" applyBorder="1" applyAlignment="1">
      <alignment horizontal="center" vertical="center"/>
    </xf>
    <xf numFmtId="0" fontId="107" fillId="0" borderId="0" xfId="0" applyFont="1" applyAlignment="1">
      <alignment vertical="center"/>
    </xf>
    <xf numFmtId="0" fontId="106" fillId="20" borderId="6" xfId="0" applyFont="1" applyFill="1" applyBorder="1" applyAlignment="1">
      <alignment horizontal="center" vertical="center" wrapText="1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목차!$B$1" fmlaRange="$C$5:$C$28" noThreeD="1" sel="17" val="3"/>
</file>

<file path=xl/ctrlProps/ctrlProp2.xml><?xml version="1.0" encoding="utf-8"?>
<formControlPr xmlns="http://schemas.microsoft.com/office/spreadsheetml/2009/9/main" objectType="Drop" dropStyle="combo" dx="22" fmlaLink="목차!$B$1" fmlaRange="목차!$C$5:$C$42" noThreeD="1" sel="17" val="5"/>
</file>

<file path=xl/ctrlProps/ctrlProp3.xml><?xml version="1.0" encoding="utf-8"?>
<formControlPr xmlns="http://schemas.microsoft.com/office/spreadsheetml/2009/9/main" objectType="Drop" dropStyle="combo" dx="22" fmlaLink="목차!$B$1" fmlaRange="목차!$C$5:$C$42" noThreeD="1" sel="17" val="5"/>
</file>

<file path=xl/ctrlProps/ctrlProp4.xml><?xml version="1.0" encoding="utf-8"?>
<formControlPr xmlns="http://schemas.microsoft.com/office/spreadsheetml/2009/9/main" objectType="Drop" dropStyle="combo" dx="22" fmlaLink="목차!$B$1" fmlaRange="목차!$C$5:$C$42" noThreeD="1" sel="17" val="0"/>
</file>

<file path=xl/ctrlProps/ctrlProp5.xml><?xml version="1.0" encoding="utf-8"?>
<formControlPr xmlns="http://schemas.microsoft.com/office/spreadsheetml/2009/9/main" objectType="Drop" dropStyle="combo" dx="22" fmlaLink="목차!$B$1" fmlaRange="목차!$C$5:$C$42" noThreeD="1" sel="17" val="5"/>
</file>

<file path=xl/ctrlProps/ctrlProp6.xml><?xml version="1.0" encoding="utf-8"?>
<formControlPr xmlns="http://schemas.microsoft.com/office/spreadsheetml/2009/9/main" objectType="Drop" dropStyle="combo" dx="22" fmlaLink="목차!$B$1" fmlaRange="목차!$C$5:$C$42" noThreeD="1" sel="17" val="3"/>
</file>

<file path=xl/ctrlProps/ctrlProp7.xml><?xml version="1.0" encoding="utf-8"?>
<formControlPr xmlns="http://schemas.microsoft.com/office/spreadsheetml/2009/9/main" objectType="Drop" dropStyle="combo" dx="22" fmlaLink="목차!$B$1" fmlaRange="목차!$C$5:$C$42" noThreeD="1" sel="17" val="0"/>
</file>

<file path=xl/ctrlProps/ctrlProp8.xml><?xml version="1.0" encoding="utf-8"?>
<formControlPr xmlns="http://schemas.microsoft.com/office/spreadsheetml/2009/9/main" objectType="Drop" dropStyle="combo" dx="22" fmlaLink="목차!$B$1" fmlaRange="목차!$C$5:$C$42" noThreeD="1" sel="17" val="5"/>
</file>

<file path=xl/ctrlProps/ctrlProp9.xml><?xml version="1.0" encoding="utf-8"?>
<formControlPr xmlns="http://schemas.microsoft.com/office/spreadsheetml/2009/9/main" objectType="Drop" dropStyle="combo" dx="22" fmlaLink="목차!$B$1" fmlaRange="목차!$C$5:$C$42" noThreeD="1" sel="17" val="5"/>
</file>

<file path=xl/ctrlProps/ctrlProp10.xml><?xml version="1.0" encoding="utf-8"?>
<formControlPr xmlns="http://schemas.microsoft.com/office/spreadsheetml/2009/9/main" objectType="Drop" dropStyle="combo" dx="22" fmlaLink="목차!$B$1" fmlaRange="목차!$C$5:$C$42" noThreeD="1" sel="17" val="3"/>
</file>

<file path=xl/ctrlProps/ctrlProp11.xml><?xml version="1.0" encoding="utf-8"?>
<formControlPr xmlns="http://schemas.microsoft.com/office/spreadsheetml/2009/9/main" objectType="Drop" dropStyle="combo" dx="22" fmlaLink="목차!$B$1" fmlaRange="목차!$C$5:$C$42" noThreeD="1" sel="17" val="0"/>
</file>

<file path=xl/ctrlProps/ctrlProp12.xml><?xml version="1.0" encoding="utf-8"?>
<formControlPr xmlns="http://schemas.microsoft.com/office/spreadsheetml/2009/9/main" objectType="Drop" dropStyle="combo" dx="22" fmlaLink="목차!$B$1" fmlaRange="목차!$C$5:$C$42" noThreeD="1" sel="17" val="0"/>
</file>

<file path=xl/ctrlProps/ctrlProp13.xml><?xml version="1.0" encoding="utf-8"?>
<formControlPr xmlns="http://schemas.microsoft.com/office/spreadsheetml/2009/9/main" objectType="Drop" dropStyle="combo" dx="22" fmlaLink="목차!$B$1" fmlaRange="목차!$C$5:$C$42" noThreeD="1" sel="17" val="5"/>
</file>

<file path=xl/ctrlProps/ctrlProp14.xml><?xml version="1.0" encoding="utf-8"?>
<formControlPr xmlns="http://schemas.microsoft.com/office/spreadsheetml/2009/9/main" objectType="Drop" dropStyle="combo" dx="22" fmlaLink="목차!$B$1" fmlaRange="목차!$C$5:$C$42" noThreeD="1" sel="17" val="0"/>
</file>

<file path=xl/ctrlProps/ctrlProp15.xml><?xml version="1.0" encoding="utf-8"?>
<formControlPr xmlns="http://schemas.microsoft.com/office/spreadsheetml/2009/9/main" objectType="Drop" dropStyle="combo" dx="22" fmlaLink="목차!$B$1" fmlaRange="목차!$C$5:$C$42" noThreeD="1" sel="17" val="0"/>
</file>

<file path=xl/ctrlProps/ctrlProp16.xml><?xml version="1.0" encoding="utf-8"?>
<formControlPr xmlns="http://schemas.microsoft.com/office/spreadsheetml/2009/9/main" objectType="Drop" dropStyle="combo" dx="22" fmlaLink="목차!$B$1" fmlaRange="목차!$C$5:$C$42" noThreeD="1" sel="17" val="8"/>
</file>

<file path=xl/ctrlProps/ctrlProp17.xml><?xml version="1.0" encoding="utf-8"?>
<formControlPr xmlns="http://schemas.microsoft.com/office/spreadsheetml/2009/9/main" objectType="Drop" dropStyle="combo" dx="22" fmlaLink="목차!$B$1" fmlaRange="목차!$C$5:$C$42" noThreeD="1" sel="17" val="15"/>
</file>

<file path=xl/ctrlProps/ctrlProp18.xml><?xml version="1.0" encoding="utf-8"?>
<formControlPr xmlns="http://schemas.microsoft.com/office/spreadsheetml/2009/9/main" objectType="Drop" dropStyle="combo" dx="22" fmlaLink="목차!$B$1" fmlaRange="목차!$C$5:$C$42" noThreeD="1" sel="17" val="7"/>
</file>

<file path=xl/ctrlProps/ctrlProp19.xml><?xml version="1.0" encoding="utf-8"?>
<formControlPr xmlns="http://schemas.microsoft.com/office/spreadsheetml/2009/9/main" objectType="Drop" dropStyle="combo" dx="22" fmlaLink="목차!$B$1" fmlaRange="목차!$C$5:$C$42" noThreeD="1" sel="17" val="0"/>
</file>

<file path=xl/ctrlProps/ctrlProp20.xml><?xml version="1.0" encoding="utf-8"?>
<formControlPr xmlns="http://schemas.microsoft.com/office/spreadsheetml/2009/9/main" objectType="Drop" dropStyle="combo" dx="22" fmlaLink="목차!$B$1" fmlaRange="목차!$C$5:$C$42" noThreeD="1" sel="17" val="16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19050</xdr:rowOff>
        </xdr:from>
        <xdr:to>
          <xdr:col>7</xdr:col>
          <xdr:colOff>400050</xdr:colOff>
          <xdr:row>5</xdr:row>
          <xdr:rowOff>200025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647700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133350</xdr:rowOff>
        </xdr:from>
        <xdr:to>
          <xdr:col>4</xdr:col>
          <xdr:colOff>1514475</xdr:colOff>
          <xdr:row>21</xdr:row>
          <xdr:rowOff>57150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171450</xdr:rowOff>
        </xdr:from>
        <xdr:to>
          <xdr:col>10</xdr:col>
          <xdr:colOff>409575</xdr:colOff>
          <xdr:row>4</xdr:row>
          <xdr:rowOff>161925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</xdr:row>
          <xdr:rowOff>0</xdr:rowOff>
        </xdr:from>
        <xdr:to>
          <xdr:col>9</xdr:col>
          <xdr:colOff>419100</xdr:colOff>
          <xdr:row>5</xdr:row>
          <xdr:rowOff>152400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19050</xdr:rowOff>
        </xdr:from>
        <xdr:to>
          <xdr:col>10</xdr:col>
          <xdr:colOff>419100</xdr:colOff>
          <xdr:row>5</xdr:row>
          <xdr:rowOff>152400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1</xdr:row>
          <xdr:rowOff>228600</xdr:rowOff>
        </xdr:from>
        <xdr:to>
          <xdr:col>10</xdr:col>
          <xdr:colOff>400050</xdr:colOff>
          <xdr:row>5</xdr:row>
          <xdr:rowOff>47625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2</xdr:row>
          <xdr:rowOff>0</xdr:rowOff>
        </xdr:from>
        <xdr:to>
          <xdr:col>10</xdr:col>
          <xdr:colOff>400050</xdr:colOff>
          <xdr:row>5</xdr:row>
          <xdr:rowOff>133350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285750</xdr:rowOff>
        </xdr:from>
        <xdr:to>
          <xdr:col>7</xdr:col>
          <xdr:colOff>419100</xdr:colOff>
          <xdr:row>5</xdr:row>
          <xdr:rowOff>114300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</xdr:row>
          <xdr:rowOff>228600</xdr:rowOff>
        </xdr:from>
        <xdr:to>
          <xdr:col>6</xdr:col>
          <xdr:colOff>476250</xdr:colOff>
          <xdr:row>5</xdr:row>
          <xdr:rowOff>38100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285750</xdr:rowOff>
        </xdr:from>
        <xdr:to>
          <xdr:col>8</xdr:col>
          <xdr:colOff>457200</xdr:colOff>
          <xdr:row>5</xdr:row>
          <xdr:rowOff>114300</xdr:rowOff>
        </xdr:to>
        <xdr:sp macro="" textlink="">
          <xdr:nvSpPr>
            <xdr:cNvPr id="17409" name="Drop Dow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A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7</xdr:col>
          <xdr:colOff>419100</xdr:colOff>
          <xdr:row>5</xdr:row>
          <xdr:rowOff>114300</xdr:rowOff>
        </xdr:to>
        <xdr:sp macro="" textlink="">
          <xdr:nvSpPr>
            <xdr:cNvPr id="18433" name="Drop Dow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B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0</xdr:rowOff>
        </xdr:from>
        <xdr:to>
          <xdr:col>11</xdr:col>
          <xdr:colOff>400050</xdr:colOff>
          <xdr:row>5</xdr:row>
          <xdr:rowOff>47625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171450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D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19050</xdr:rowOff>
        </xdr:to>
        <xdr:sp macro="" textlink="">
          <xdr:nvSpPr>
            <xdr:cNvPr id="33793" name="Drop Dow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4817" name="Drop Dow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2</xdr:row>
          <xdr:rowOff>0</xdr:rowOff>
        </xdr:from>
        <xdr:to>
          <xdr:col>5</xdr:col>
          <xdr:colOff>0</xdr:colOff>
          <xdr:row>4</xdr:row>
          <xdr:rowOff>295275</xdr:rowOff>
        </xdr:to>
        <xdr:sp macro="" textlink="">
          <xdr:nvSpPr>
            <xdr:cNvPr id="37889" name="Drop Dow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95250</xdr:colOff>
          <xdr:row>1</xdr:row>
          <xdr:rowOff>38100</xdr:rowOff>
        </xdr:from>
        <xdr:to>
          <xdr:col>36</xdr:col>
          <xdr:colOff>390525</xdr:colOff>
          <xdr:row>3</xdr:row>
          <xdr:rowOff>171450</xdr:rowOff>
        </xdr:to>
        <xdr:sp macro="" textlink="">
          <xdr:nvSpPr>
            <xdr:cNvPr id="39937" name="Drop Dow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3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http://www.example2.com/" TargetMode="External"/><Relationship Id="rId1" Type="http://schemas.openxmlformats.org/officeDocument/2006/relationships/hyperlink" Target="http://www.example.com/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hyperlink" Target="mailto:asd@asd.net" TargetMode="External"/><Relationship Id="rId4" Type="http://schemas.openxmlformats.org/officeDocument/2006/relationships/ctrlProp" Target="../ctrlProps/ctrlProp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hyperlink" Target="mailto:example@nate.com" TargetMode="External"/><Relationship Id="rId4" Type="http://schemas.openxmlformats.org/officeDocument/2006/relationships/ctrlProp" Target="../ctrlProps/ctrlProp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hyperlink" Target="mailto:KJH5848@GMAIL.COM" TargetMode="Externa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D014-9676-4E13-B2B2-FAFAD162B641}">
  <sheetPr codeName="Sheet13"/>
  <dimension ref="A1:M24"/>
  <sheetViews>
    <sheetView workbookViewId="0"/>
  </sheetViews>
  <sheetFormatPr defaultColWidth="9" defaultRowHeight="12.75"/>
  <cols>
    <col min="1" max="2" width="9" style="136"/>
    <col min="3" max="3" width="73.5703125" style="136" bestFit="1" customWidth="1"/>
    <col min="4" max="16384" width="9" style="136"/>
  </cols>
  <sheetData>
    <row r="1" spans="1:13" ht="13.5">
      <c r="A1" s="135"/>
      <c r="B1" s="136">
        <v>17</v>
      </c>
    </row>
    <row r="2" spans="1:13">
      <c r="A2" s="137"/>
      <c r="B2" s="138"/>
    </row>
    <row r="3" spans="1:13" ht="12.75" customHeight="1">
      <c r="A3" s="137"/>
      <c r="B3" s="139"/>
      <c r="C3" s="202" t="s">
        <v>166</v>
      </c>
      <c r="D3" s="140"/>
      <c r="E3" s="140"/>
      <c r="F3" s="140"/>
      <c r="G3" s="140"/>
      <c r="H3" s="140"/>
    </row>
    <row r="4" spans="1:13" ht="12.75" customHeight="1">
      <c r="B4" s="139"/>
      <c r="C4" s="203"/>
      <c r="D4" s="140"/>
      <c r="E4" s="140"/>
      <c r="F4" s="140"/>
      <c r="G4" s="140"/>
      <c r="H4" s="140"/>
    </row>
    <row r="5" spans="1:13" ht="20.25">
      <c r="B5" s="135"/>
      <c r="C5" s="186" t="s">
        <v>405</v>
      </c>
    </row>
    <row r="6" spans="1:13" ht="20.25">
      <c r="B6" s="135"/>
      <c r="C6" s="186" t="s">
        <v>209</v>
      </c>
    </row>
    <row r="7" spans="1:13" ht="20.25">
      <c r="B7" s="135"/>
      <c r="C7" s="186" t="s">
        <v>406</v>
      </c>
      <c r="D7" s="135"/>
      <c r="E7" s="135"/>
      <c r="F7" s="135"/>
      <c r="G7" s="135"/>
      <c r="J7" s="135"/>
      <c r="L7" s="135"/>
    </row>
    <row r="8" spans="1:13" ht="20.25">
      <c r="B8" s="135"/>
      <c r="C8" s="186" t="s">
        <v>407</v>
      </c>
      <c r="D8" s="137"/>
      <c r="E8" s="137"/>
      <c r="F8" s="137"/>
      <c r="G8" s="137"/>
      <c r="J8" s="137"/>
      <c r="L8" s="137"/>
      <c r="M8" s="135"/>
    </row>
    <row r="9" spans="1:13" ht="20.25">
      <c r="B9" s="135"/>
      <c r="C9" s="186" t="s">
        <v>408</v>
      </c>
      <c r="D9" s="137"/>
      <c r="E9" s="137"/>
      <c r="F9" s="137"/>
      <c r="G9" s="137"/>
      <c r="J9" s="137"/>
      <c r="L9" s="137"/>
      <c r="M9" s="137"/>
    </row>
    <row r="10" spans="1:13" ht="20.25">
      <c r="B10" s="135"/>
      <c r="C10" s="186" t="s">
        <v>409</v>
      </c>
      <c r="L10" s="137"/>
      <c r="M10" s="137"/>
    </row>
    <row r="11" spans="1:13" ht="20.25">
      <c r="B11" s="135"/>
      <c r="C11" s="186" t="s">
        <v>410</v>
      </c>
    </row>
    <row r="12" spans="1:13" ht="20.25">
      <c r="B12" s="135"/>
      <c r="C12" s="186" t="s">
        <v>167</v>
      </c>
    </row>
    <row r="13" spans="1:13" ht="20.25">
      <c r="B13" s="135"/>
      <c r="C13" s="186" t="s">
        <v>168</v>
      </c>
    </row>
    <row r="14" spans="1:13" ht="20.25">
      <c r="B14" s="135"/>
      <c r="C14" s="186" t="s">
        <v>169</v>
      </c>
    </row>
    <row r="15" spans="1:13" ht="20.25">
      <c r="B15" s="135"/>
      <c r="C15" s="186" t="s">
        <v>170</v>
      </c>
    </row>
    <row r="16" spans="1:13" ht="20.25">
      <c r="B16" s="135"/>
      <c r="C16" s="186" t="s">
        <v>411</v>
      </c>
    </row>
    <row r="17" spans="2:3" ht="20.25">
      <c r="B17" s="135"/>
      <c r="C17" s="186" t="s">
        <v>412</v>
      </c>
    </row>
    <row r="18" spans="2:3" ht="20.25">
      <c r="B18" s="135"/>
      <c r="C18" s="186" t="s">
        <v>413</v>
      </c>
    </row>
    <row r="19" spans="2:3" ht="20.25">
      <c r="B19" s="135"/>
      <c r="C19" s="186" t="s">
        <v>414</v>
      </c>
    </row>
    <row r="20" spans="2:3" ht="20.25">
      <c r="B20" s="135"/>
      <c r="C20" s="186" t="s">
        <v>415</v>
      </c>
    </row>
    <row r="21" spans="2:3" ht="20.25">
      <c r="B21" s="135"/>
      <c r="C21" s="186" t="s">
        <v>416</v>
      </c>
    </row>
    <row r="22" spans="2:3" ht="26.25">
      <c r="B22" s="135"/>
      <c r="C22" s="186" t="s">
        <v>417</v>
      </c>
    </row>
    <row r="23" spans="2:3" ht="13.5">
      <c r="B23" s="135"/>
    </row>
    <row r="24" spans="2:3" ht="13.5">
      <c r="B24" s="135"/>
    </row>
  </sheetData>
  <mergeCells count="1">
    <mergeCell ref="C3:C4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3" name="Drop Down 18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19050</xdr:rowOff>
                  </from>
                  <to>
                    <xdr:col>7</xdr:col>
                    <xdr:colOff>400050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workbookViewId="0"/>
  </sheetViews>
  <sheetFormatPr defaultRowHeight="12.75"/>
  <cols>
    <col min="1" max="1" width="14" customWidth="1"/>
  </cols>
  <sheetData>
    <row r="1" spans="1:38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5">
      <c r="A2" s="3">
        <v>0</v>
      </c>
    </row>
    <row r="3" spans="1:38" ht="16.5">
      <c r="A3" s="2">
        <v>1</v>
      </c>
    </row>
    <row r="4" spans="1:38" ht="16.5">
      <c r="A4" s="2">
        <v>2</v>
      </c>
    </row>
    <row r="5" spans="1:38" ht="16.5">
      <c r="A5" s="2">
        <v>3</v>
      </c>
    </row>
    <row r="6" spans="1:38" ht="16.5">
      <c r="A6" s="2">
        <v>4</v>
      </c>
    </row>
    <row r="7" spans="1:38" ht="16.5">
      <c r="A7" s="2">
        <v>5</v>
      </c>
    </row>
    <row r="8" spans="1:38" ht="16.5">
      <c r="A8" s="2">
        <v>6</v>
      </c>
    </row>
    <row r="9" spans="1:38" ht="16.5">
      <c r="A9" s="2">
        <v>7</v>
      </c>
    </row>
    <row r="10" spans="1:38" ht="16.5">
      <c r="A10" s="2">
        <v>8</v>
      </c>
    </row>
    <row r="11" spans="1:38" ht="16.5">
      <c r="A11" s="2">
        <v>9</v>
      </c>
    </row>
    <row r="12" spans="1:38" ht="16.5">
      <c r="A12" s="2">
        <v>10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Drop Down 8">
              <controlPr defaultSize="0" autoLine="0" autoPict="0" macro="[0]!목차드롭다운">
                <anchor moveWithCells="1">
                  <from>
                    <xdr:col>14</xdr:col>
                    <xdr:colOff>647700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6899F-5218-4068-B3C6-D64A19C648D9}">
  <sheetPr codeName="Sheet14"/>
  <dimension ref="A1:AL63"/>
  <sheetViews>
    <sheetView topLeftCell="O1" workbookViewId="0">
      <selection activeCell="R21" sqref="R21"/>
    </sheetView>
  </sheetViews>
  <sheetFormatPr defaultRowHeight="12.75"/>
  <cols>
    <col min="1" max="1" width="14" customWidth="1"/>
    <col min="2" max="2" width="14" bestFit="1" customWidth="1"/>
    <col min="3" max="3" width="11" bestFit="1" customWidth="1"/>
    <col min="4" max="4" width="4.42578125" bestFit="1" customWidth="1"/>
    <col min="5" max="5" width="29.5703125" bestFit="1" customWidth="1"/>
    <col min="6" max="6" width="12" customWidth="1"/>
    <col min="7" max="7" width="12.140625" bestFit="1" customWidth="1"/>
    <col min="8" max="8" width="12.140625" customWidth="1"/>
    <col min="9" max="9" width="16.42578125" customWidth="1"/>
    <col min="10" max="11" width="18.85546875" customWidth="1"/>
    <col min="12" max="12" width="20.7109375" customWidth="1"/>
    <col min="13" max="13" width="17" customWidth="1"/>
    <col min="14" max="14" width="37.7109375" customWidth="1"/>
    <col min="15" max="15" width="20.7109375" customWidth="1"/>
    <col min="16" max="16" width="21.42578125" bestFit="1" customWidth="1"/>
    <col min="17" max="17" width="35.7109375" bestFit="1" customWidth="1"/>
    <col min="18" max="18" width="34.42578125" customWidth="1"/>
    <col min="19" max="19" width="33.28515625" bestFit="1" customWidth="1"/>
    <col min="20" max="20" width="22.7109375" bestFit="1" customWidth="1"/>
    <col min="21" max="21" width="14" bestFit="1" customWidth="1"/>
    <col min="22" max="22" width="22.5703125" bestFit="1" customWidth="1"/>
    <col min="23" max="23" width="8.140625" bestFit="1" customWidth="1"/>
    <col min="24" max="25" width="9.5703125" bestFit="1" customWidth="1"/>
    <col min="26" max="26" width="8.140625" bestFit="1" customWidth="1"/>
    <col min="27" max="27" width="5.5703125" customWidth="1"/>
    <col min="28" max="28" width="3.28515625" customWidth="1"/>
    <col min="29" max="29" width="16.28515625" bestFit="1" customWidth="1"/>
    <col min="30" max="30" width="30.28515625" customWidth="1"/>
    <col min="31" max="31" width="5.5703125" customWidth="1"/>
    <col min="32" max="32" width="14" bestFit="1" customWidth="1"/>
    <col min="33" max="33" width="9.5703125" bestFit="1" customWidth="1"/>
    <col min="34" max="34" width="8.140625" bestFit="1" customWidth="1"/>
    <col min="35" max="38" width="7" bestFit="1" customWidth="1"/>
  </cols>
  <sheetData>
    <row r="1" spans="1:38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5">
      <c r="A2" s="3">
        <v>0</v>
      </c>
      <c r="B2" s="143" t="s">
        <v>187</v>
      </c>
      <c r="C2" s="144" t="s">
        <v>188</v>
      </c>
      <c r="D2" s="144" t="s">
        <v>189</v>
      </c>
      <c r="E2" s="144" t="s">
        <v>190</v>
      </c>
      <c r="F2" s="144" t="s">
        <v>191</v>
      </c>
      <c r="G2" s="144" t="s">
        <v>192</v>
      </c>
      <c r="H2" s="144" t="s">
        <v>193</v>
      </c>
      <c r="I2" s="144" t="s">
        <v>194</v>
      </c>
      <c r="J2" s="144" t="s">
        <v>261</v>
      </c>
      <c r="K2" s="144" t="s">
        <v>195</v>
      </c>
      <c r="L2" s="144" t="s">
        <v>253</v>
      </c>
      <c r="M2" s="144" t="s">
        <v>196</v>
      </c>
      <c r="N2" s="144" t="s">
        <v>197</v>
      </c>
      <c r="O2" s="145" t="s">
        <v>198</v>
      </c>
      <c r="P2" s="145" t="s">
        <v>199</v>
      </c>
      <c r="Q2" s="145" t="s">
        <v>200</v>
      </c>
      <c r="R2" s="179" t="s">
        <v>201</v>
      </c>
      <c r="S2" s="146" t="s">
        <v>202</v>
      </c>
      <c r="T2" s="147" t="s">
        <v>203</v>
      </c>
      <c r="U2" s="147" t="s">
        <v>204</v>
      </c>
      <c r="V2" s="148" t="s">
        <v>205</v>
      </c>
      <c r="W2" s="146" t="s">
        <v>206</v>
      </c>
    </row>
    <row r="3" spans="1:38" ht="16.5">
      <c r="A3" s="2">
        <v>1</v>
      </c>
      <c r="B3" s="149" t="s">
        <v>402</v>
      </c>
      <c r="C3" s="150"/>
      <c r="D3" s="151">
        <v>1</v>
      </c>
      <c r="E3" s="152" t="s">
        <v>401</v>
      </c>
      <c r="F3" s="152" t="s">
        <v>318</v>
      </c>
      <c r="G3" s="152" t="s">
        <v>386</v>
      </c>
      <c r="H3" s="152" t="s">
        <v>380</v>
      </c>
      <c r="I3" s="152" t="s">
        <v>319</v>
      </c>
      <c r="J3" s="152" t="s">
        <v>320</v>
      </c>
      <c r="K3" s="153">
        <v>3</v>
      </c>
      <c r="L3" s="153" t="s">
        <v>321</v>
      </c>
      <c r="M3" s="153" t="s">
        <v>377</v>
      </c>
      <c r="N3" s="154"/>
      <c r="O3" s="176" t="s">
        <v>379</v>
      </c>
      <c r="P3" s="177" t="s">
        <v>322</v>
      </c>
      <c r="Q3" s="178" t="s">
        <v>323</v>
      </c>
      <c r="R3" s="155" t="str">
        <f t="shared" ref="R3:R17" si="0">P3&amp; "/" &amp;Q3</f>
        <v>신한은행/605-2241-148731</v>
      </c>
      <c r="S3" s="155" t="str">
        <f>IF(OR(MID(G3, 8, 1) = "3", MOD(MID(G3, 8, 1), 2) = 1), "남", "여")</f>
        <v>남</v>
      </c>
      <c r="T3" s="155" t="str">
        <f>LEFT(G3, 6)</f>
        <v>900699</v>
      </c>
      <c r="U3" s="155" t="str">
        <f>IF(VALUE(MID(G3, 8, 1)) &lt;= 2, "19" &amp; LEFT(G3, 2), "20" &amp; LEFT(G3, 2))</f>
        <v>1990</v>
      </c>
      <c r="V3" s="155">
        <f ca="1">YEAR(TODAY()) - VALUE(IF(VALUE(MID(G3, 8, 1)) &lt;= 2, "19" &amp; LEFT(G3, 2), "20" &amp; LEFT(G3, 2)))</f>
        <v>34</v>
      </c>
      <c r="W3" s="155" t="str">
        <f>IF(OR(ISNUMBER(SEARCH("서울", O3)), ISNUMBER(SEARCH("인천", O3)), ISNUMBER(SEARCH("경기", O3))), "수도권",
   IF(OR(ISNUMBER(SEARCH("부산", O3)), ISNUMBER(SEARCH("대구", O3)), ISNUMBER(SEARCH("울산", O3)), ISNUMBER(SEARCH("경북", O3)), ISNUMBER(SEARCH("경남", O3)), ISNUMBER(SEARCH("양산", O3)), ISNUMBER(SEARCH("김해", O3)), ISNUMBER(SEARCH("창원", O3)), ISNUMBER(SEARCH("경상북도", O3)), ISNUMBER(SEARCH("경상남도", O3))), "경상권",
   IF(OR(ISNUMBER(SEARCH("광주", O3)), ISNUMBER(SEARCH("전북", O3)), ISNUMBER(SEARCH("전남", O3)), ISNUMBER(SEARCH("전라북도", O3)), ISNUMBER(SEARCH("전라남도", O3))), "호남권",
   IF(OR(ISNUMBER(SEARCH("대전", O3)), ISNUMBER(SEARCH("충북", O3)), ISNUMBER(SEARCH("세종", O3)), ISNUMBER(SEARCH("충남", O3)), ISNUMBER(SEARCH("충청북도", O3)), ISNUMBER(SEARCH("충청남도", O3))), "충청권",
   IF(ISNUMBER(SEARCH("강원", O3)), "강원권",
   IF(ISNUMBER(SEARCH("제주", O3)), "제주"))))))</f>
        <v>경상권</v>
      </c>
    </row>
    <row r="4" spans="1:38" ht="16.5">
      <c r="A4" s="2">
        <v>2</v>
      </c>
      <c r="B4" s="149" t="s">
        <v>402</v>
      </c>
      <c r="C4" s="157"/>
      <c r="D4" s="151">
        <v>2</v>
      </c>
      <c r="E4" s="152" t="s">
        <v>401</v>
      </c>
      <c r="F4" s="156" t="s">
        <v>324</v>
      </c>
      <c r="G4" s="156" t="s">
        <v>387</v>
      </c>
      <c r="H4" s="152" t="s">
        <v>380</v>
      </c>
      <c r="I4" s="156" t="s">
        <v>325</v>
      </c>
      <c r="J4" s="156" t="s">
        <v>320</v>
      </c>
      <c r="K4" s="153">
        <v>3</v>
      </c>
      <c r="L4" s="153" t="s">
        <v>321</v>
      </c>
      <c r="M4" s="153" t="s">
        <v>376</v>
      </c>
      <c r="N4" s="154"/>
      <c r="O4" s="176" t="s">
        <v>326</v>
      </c>
      <c r="P4" s="177" t="s">
        <v>208</v>
      </c>
      <c r="Q4" s="178" t="s">
        <v>327</v>
      </c>
      <c r="R4" s="155" t="str">
        <f t="shared" si="0"/>
        <v>국민은행/296-6536-108357</v>
      </c>
      <c r="S4" s="155" t="str">
        <f t="shared" ref="S4:S17" si="1">IF(OR(MID(G4, 8, 1) = "3", MOD(MID(G4, 8, 1), 2) = 1), "남", "여")</f>
        <v>여</v>
      </c>
      <c r="T4" s="155" t="str">
        <f t="shared" ref="T4:T17" si="2">LEFT(G4, 6)</f>
        <v>950499</v>
      </c>
      <c r="U4" s="155" t="str">
        <f t="shared" ref="U4:U17" si="3">IF(VALUE(MID(G4, 8, 1)) &lt;= 2, "19" &amp; LEFT(G4, 2), "20" &amp; LEFT(G4, 2))</f>
        <v>1995</v>
      </c>
      <c r="V4" s="155">
        <f t="shared" ref="V4:V17" ca="1" si="4">YEAR(TODAY()) - VALUE(IF(VALUE(MID(G4, 8, 1)) &lt;= 2, "19" &amp; LEFT(G4, 2), "20" &amp; LEFT(G4, 2)))</f>
        <v>29</v>
      </c>
      <c r="W4" s="155" t="str">
        <f t="shared" ref="W4:W17" si="5">IF(OR(ISNUMBER(SEARCH("서울", O4)), ISNUMBER(SEARCH("인천", O4)), ISNUMBER(SEARCH("경기", O4))), "수도권",
   IF(OR(ISNUMBER(SEARCH("부산", O4)), ISNUMBER(SEARCH("대구", O4)), ISNUMBER(SEARCH("울산", O4)), ISNUMBER(SEARCH("경북", O4)), ISNUMBER(SEARCH("경남", O4)), ISNUMBER(SEARCH("양산", O4)), ISNUMBER(SEARCH("김해", O4)), ISNUMBER(SEARCH("창원", O4)), ISNUMBER(SEARCH("경상북도", O4)), ISNUMBER(SEARCH("경상남도", O4))), "경상권",
   IF(OR(ISNUMBER(SEARCH("광주", O4)), ISNUMBER(SEARCH("전북", O4)), ISNUMBER(SEARCH("전남", O4)), ISNUMBER(SEARCH("전라북도", O4)), ISNUMBER(SEARCH("전라남도", O4))), "호남권",
   IF(OR(ISNUMBER(SEARCH("대전", O4)), ISNUMBER(SEARCH("충북", O4)), ISNUMBER(SEARCH("세종", O4)), ISNUMBER(SEARCH("충남", O4)), ISNUMBER(SEARCH("충청북도", O4)), ISNUMBER(SEARCH("충청남도", O4))), "충청권",
   IF(ISNUMBER(SEARCH("강원", O4)), "강원권",
   IF(ISNUMBER(SEARCH("제주", O4)), "제주"))))))</f>
        <v>경상권</v>
      </c>
    </row>
    <row r="5" spans="1:38" ht="16.5">
      <c r="A5" s="2">
        <v>3</v>
      </c>
      <c r="B5" s="149" t="s">
        <v>402</v>
      </c>
      <c r="C5" s="157"/>
      <c r="D5" s="151">
        <v>3</v>
      </c>
      <c r="E5" s="152" t="s">
        <v>401</v>
      </c>
      <c r="F5" s="156" t="s">
        <v>328</v>
      </c>
      <c r="G5" s="156" t="s">
        <v>388</v>
      </c>
      <c r="H5" s="152" t="s">
        <v>380</v>
      </c>
      <c r="I5" s="156" t="s">
        <v>329</v>
      </c>
      <c r="J5" s="156" t="s">
        <v>317</v>
      </c>
      <c r="K5" s="153">
        <v>2</v>
      </c>
      <c r="L5" s="153" t="s">
        <v>330</v>
      </c>
      <c r="M5" s="153" t="s">
        <v>331</v>
      </c>
      <c r="N5" s="154" t="s">
        <v>332</v>
      </c>
      <c r="O5" s="176" t="s">
        <v>378</v>
      </c>
      <c r="P5" s="177" t="s">
        <v>322</v>
      </c>
      <c r="Q5" s="178" t="s">
        <v>333</v>
      </c>
      <c r="R5" s="155" t="str">
        <f t="shared" si="0"/>
        <v>신한은행/309-4311-417843</v>
      </c>
      <c r="S5" s="155" t="str">
        <f>IF(OR(MID(G5, 8, 1) = "3", MOD(MID(G5, 8, 1), 2) = 1), "남", "여")</f>
        <v>여</v>
      </c>
      <c r="T5" s="155" t="str">
        <f t="shared" si="2"/>
        <v>960399</v>
      </c>
      <c r="U5" s="155" t="str">
        <f t="shared" si="3"/>
        <v>1996</v>
      </c>
      <c r="V5" s="155">
        <f t="shared" ca="1" si="4"/>
        <v>28</v>
      </c>
      <c r="W5" s="155" t="str">
        <f t="shared" si="5"/>
        <v>경상권</v>
      </c>
    </row>
    <row r="6" spans="1:38" ht="16.5">
      <c r="A6" s="2">
        <v>4</v>
      </c>
      <c r="B6" s="149" t="s">
        <v>402</v>
      </c>
      <c r="C6" s="157"/>
      <c r="D6" s="151">
        <v>4</v>
      </c>
      <c r="E6" s="152" t="s">
        <v>401</v>
      </c>
      <c r="F6" s="156" t="s">
        <v>334</v>
      </c>
      <c r="G6" s="156" t="s">
        <v>389</v>
      </c>
      <c r="H6" s="152" t="s">
        <v>380</v>
      </c>
      <c r="I6" s="156" t="s">
        <v>335</v>
      </c>
      <c r="J6" s="156" t="s">
        <v>317</v>
      </c>
      <c r="K6" s="153">
        <v>2</v>
      </c>
      <c r="L6" s="153" t="s">
        <v>330</v>
      </c>
      <c r="M6" s="153" t="s">
        <v>331</v>
      </c>
      <c r="N6" s="154" t="s">
        <v>336</v>
      </c>
      <c r="O6" s="176" t="s">
        <v>326</v>
      </c>
      <c r="P6" s="177" t="s">
        <v>322</v>
      </c>
      <c r="Q6" s="178" t="s">
        <v>337</v>
      </c>
      <c r="R6" s="155" t="str">
        <f t="shared" si="0"/>
        <v>신한은행/916-4781-629387</v>
      </c>
      <c r="S6" s="155" t="str">
        <f t="shared" si="1"/>
        <v>남</v>
      </c>
      <c r="T6" s="155" t="str">
        <f t="shared" si="2"/>
        <v>930699</v>
      </c>
      <c r="U6" s="155" t="str">
        <f t="shared" si="3"/>
        <v>1993</v>
      </c>
      <c r="V6" s="155">
        <f t="shared" ca="1" si="4"/>
        <v>31</v>
      </c>
      <c r="W6" s="155" t="str">
        <f t="shared" si="5"/>
        <v>경상권</v>
      </c>
    </row>
    <row r="7" spans="1:38" ht="16.5">
      <c r="A7" s="2">
        <v>5</v>
      </c>
      <c r="B7" s="149" t="s">
        <v>402</v>
      </c>
      <c r="C7" s="157"/>
      <c r="D7" s="151">
        <v>5</v>
      </c>
      <c r="E7" s="152" t="s">
        <v>401</v>
      </c>
      <c r="F7" s="156" t="s">
        <v>318</v>
      </c>
      <c r="G7" s="156" t="s">
        <v>400</v>
      </c>
      <c r="H7" s="152" t="s">
        <v>380</v>
      </c>
      <c r="I7" s="156" t="s">
        <v>319</v>
      </c>
      <c r="J7" s="156" t="s">
        <v>338</v>
      </c>
      <c r="K7" s="153">
        <v>4</v>
      </c>
      <c r="L7" s="153" t="s">
        <v>321</v>
      </c>
      <c r="M7" s="153" t="s">
        <v>339</v>
      </c>
      <c r="N7" s="154" t="s">
        <v>340</v>
      </c>
      <c r="O7" s="176" t="s">
        <v>379</v>
      </c>
      <c r="P7" s="177" t="s">
        <v>341</v>
      </c>
      <c r="Q7" s="178" t="s">
        <v>342</v>
      </c>
      <c r="R7" s="155" t="str">
        <f t="shared" si="0"/>
        <v>우리은행/165-6075-449479</v>
      </c>
      <c r="S7" s="155" t="str">
        <f t="shared" si="1"/>
        <v>남</v>
      </c>
      <c r="T7" s="155" t="str">
        <f t="shared" si="2"/>
        <v>020699</v>
      </c>
      <c r="U7" s="155" t="str">
        <f t="shared" si="3"/>
        <v>2002</v>
      </c>
      <c r="V7" s="155">
        <f t="shared" ca="1" si="4"/>
        <v>22</v>
      </c>
      <c r="W7" s="155" t="str">
        <f t="shared" si="5"/>
        <v>경상권</v>
      </c>
    </row>
    <row r="8" spans="1:38" ht="16.5">
      <c r="A8" s="2">
        <v>6</v>
      </c>
      <c r="B8" s="149" t="s">
        <v>402</v>
      </c>
      <c r="C8" s="157"/>
      <c r="D8" s="151">
        <v>6</v>
      </c>
      <c r="E8" s="152" t="s">
        <v>401</v>
      </c>
      <c r="F8" s="156" t="s">
        <v>343</v>
      </c>
      <c r="G8" s="156" t="s">
        <v>390</v>
      </c>
      <c r="H8" s="152" t="s">
        <v>380</v>
      </c>
      <c r="I8" s="156" t="s">
        <v>344</v>
      </c>
      <c r="J8" s="156" t="s">
        <v>317</v>
      </c>
      <c r="K8" s="153">
        <v>1</v>
      </c>
      <c r="L8" s="153" t="s">
        <v>345</v>
      </c>
      <c r="M8" s="153" t="s">
        <v>331</v>
      </c>
      <c r="N8" s="154" t="s">
        <v>346</v>
      </c>
      <c r="O8" s="176" t="s">
        <v>326</v>
      </c>
      <c r="P8" s="177" t="s">
        <v>347</v>
      </c>
      <c r="Q8" s="178" t="s">
        <v>348</v>
      </c>
      <c r="R8" s="155" t="str">
        <f t="shared" si="0"/>
        <v>농협/894-4629-468857</v>
      </c>
      <c r="S8" s="155" t="str">
        <f t="shared" si="1"/>
        <v>남</v>
      </c>
      <c r="T8" s="155" t="str">
        <f t="shared" si="2"/>
        <v>930899</v>
      </c>
      <c r="U8" s="155" t="str">
        <f t="shared" si="3"/>
        <v>1993</v>
      </c>
      <c r="V8" s="155">
        <f t="shared" ca="1" si="4"/>
        <v>31</v>
      </c>
      <c r="W8" s="155" t="str">
        <f t="shared" si="5"/>
        <v>경상권</v>
      </c>
    </row>
    <row r="9" spans="1:38" ht="16.5">
      <c r="A9" s="2">
        <v>7</v>
      </c>
      <c r="B9" s="149" t="s">
        <v>402</v>
      </c>
      <c r="C9" s="157"/>
      <c r="D9" s="151">
        <v>7</v>
      </c>
      <c r="E9" s="152" t="s">
        <v>401</v>
      </c>
      <c r="F9" s="156" t="s">
        <v>349</v>
      </c>
      <c r="G9" s="156" t="s">
        <v>399</v>
      </c>
      <c r="H9" s="152" t="s">
        <v>380</v>
      </c>
      <c r="I9" s="156" t="s">
        <v>350</v>
      </c>
      <c r="J9" s="156" t="s">
        <v>351</v>
      </c>
      <c r="K9" s="153">
        <v>2</v>
      </c>
      <c r="L9" s="153" t="s">
        <v>345</v>
      </c>
      <c r="M9" s="153" t="s">
        <v>331</v>
      </c>
      <c r="N9" s="154" t="s">
        <v>352</v>
      </c>
      <c r="O9" s="176" t="s">
        <v>379</v>
      </c>
      <c r="P9" s="177" t="s">
        <v>347</v>
      </c>
      <c r="Q9" s="178" t="s">
        <v>353</v>
      </c>
      <c r="R9" s="155" t="str">
        <f t="shared" si="0"/>
        <v>농협/273-7528-862196</v>
      </c>
      <c r="S9" s="155" t="str">
        <f t="shared" si="1"/>
        <v>남</v>
      </c>
      <c r="T9" s="155" t="str">
        <f t="shared" si="2"/>
        <v>001199</v>
      </c>
      <c r="U9" s="155" t="str">
        <f t="shared" si="3"/>
        <v>2000</v>
      </c>
      <c r="V9" s="155">
        <f t="shared" ca="1" si="4"/>
        <v>24</v>
      </c>
      <c r="W9" s="155" t="str">
        <f t="shared" si="5"/>
        <v>경상권</v>
      </c>
    </row>
    <row r="10" spans="1:38" ht="16.5">
      <c r="A10" s="2">
        <v>8</v>
      </c>
      <c r="B10" s="149" t="s">
        <v>402</v>
      </c>
      <c r="C10" s="157"/>
      <c r="D10" s="151">
        <v>8</v>
      </c>
      <c r="E10" s="152" t="s">
        <v>401</v>
      </c>
      <c r="F10" s="156" t="s">
        <v>354</v>
      </c>
      <c r="G10" s="156" t="s">
        <v>391</v>
      </c>
      <c r="H10" s="152" t="s">
        <v>380</v>
      </c>
      <c r="I10" s="156" t="s">
        <v>355</v>
      </c>
      <c r="J10" s="156" t="s">
        <v>338</v>
      </c>
      <c r="K10" s="153">
        <v>4</v>
      </c>
      <c r="L10" s="153" t="s">
        <v>330</v>
      </c>
      <c r="M10" s="153" t="s">
        <v>339</v>
      </c>
      <c r="N10" s="154" t="s">
        <v>346</v>
      </c>
      <c r="O10" s="176" t="s">
        <v>378</v>
      </c>
      <c r="P10" s="177" t="s">
        <v>341</v>
      </c>
      <c r="Q10" s="178" t="s">
        <v>356</v>
      </c>
      <c r="R10" s="155" t="str">
        <f t="shared" si="0"/>
        <v>우리은행/295-1855-371274</v>
      </c>
      <c r="S10" s="155" t="str">
        <f t="shared" si="1"/>
        <v>남</v>
      </c>
      <c r="T10" s="155" t="str">
        <f t="shared" si="2"/>
        <v>920699</v>
      </c>
      <c r="U10" s="155" t="str">
        <f t="shared" si="3"/>
        <v>1992</v>
      </c>
      <c r="V10" s="155">
        <f t="shared" ca="1" si="4"/>
        <v>32</v>
      </c>
      <c r="W10" s="155" t="str">
        <f t="shared" si="5"/>
        <v>경상권</v>
      </c>
    </row>
    <row r="11" spans="1:38" ht="16.5">
      <c r="A11" s="2">
        <v>9</v>
      </c>
      <c r="B11" s="149" t="s">
        <v>402</v>
      </c>
      <c r="C11" s="157"/>
      <c r="D11" s="151">
        <v>9</v>
      </c>
      <c r="E11" s="152" t="s">
        <v>401</v>
      </c>
      <c r="F11" s="156" t="s">
        <v>343</v>
      </c>
      <c r="G11" s="156" t="s">
        <v>392</v>
      </c>
      <c r="H11" s="152" t="s">
        <v>380</v>
      </c>
      <c r="I11" s="156" t="s">
        <v>357</v>
      </c>
      <c r="J11" s="156" t="s">
        <v>351</v>
      </c>
      <c r="K11" s="153">
        <v>2</v>
      </c>
      <c r="L11" s="153" t="s">
        <v>330</v>
      </c>
      <c r="M11" s="153" t="s">
        <v>339</v>
      </c>
      <c r="N11" s="154" t="s">
        <v>346</v>
      </c>
      <c r="O11" s="176" t="s">
        <v>379</v>
      </c>
      <c r="P11" s="177" t="s">
        <v>358</v>
      </c>
      <c r="Q11" s="178" t="s">
        <v>359</v>
      </c>
      <c r="R11" s="155" t="str">
        <f t="shared" si="0"/>
        <v>하나은행/869-2828-526225</v>
      </c>
      <c r="S11" s="155" t="str">
        <f t="shared" si="1"/>
        <v>여</v>
      </c>
      <c r="T11" s="155" t="str">
        <f t="shared" si="2"/>
        <v>900699</v>
      </c>
      <c r="U11" s="155" t="str">
        <f t="shared" si="3"/>
        <v>1990</v>
      </c>
      <c r="V11" s="155">
        <f t="shared" ca="1" si="4"/>
        <v>34</v>
      </c>
      <c r="W11" s="155" t="str">
        <f t="shared" si="5"/>
        <v>경상권</v>
      </c>
    </row>
    <row r="12" spans="1:38" ht="16.5">
      <c r="A12" s="2">
        <v>10</v>
      </c>
      <c r="B12" s="149" t="s">
        <v>402</v>
      </c>
      <c r="C12" s="157"/>
      <c r="D12" s="151">
        <v>10</v>
      </c>
      <c r="E12" s="152" t="s">
        <v>401</v>
      </c>
      <c r="F12" s="156" t="s">
        <v>360</v>
      </c>
      <c r="G12" s="156" t="s">
        <v>393</v>
      </c>
      <c r="H12" s="152" t="s">
        <v>380</v>
      </c>
      <c r="I12" s="156" t="s">
        <v>361</v>
      </c>
      <c r="J12" s="156" t="s">
        <v>338</v>
      </c>
      <c r="K12" s="153">
        <v>3</v>
      </c>
      <c r="L12" s="153" t="s">
        <v>330</v>
      </c>
      <c r="M12" s="153" t="s">
        <v>362</v>
      </c>
      <c r="N12" s="154" t="s">
        <v>332</v>
      </c>
      <c r="O12" s="176" t="s">
        <v>326</v>
      </c>
      <c r="P12" s="177" t="s">
        <v>347</v>
      </c>
      <c r="Q12" s="178" t="s">
        <v>363</v>
      </c>
      <c r="R12" s="155" t="str">
        <f t="shared" si="0"/>
        <v>농협/954-9797-760181</v>
      </c>
      <c r="S12" s="155" t="str">
        <f t="shared" si="1"/>
        <v>남</v>
      </c>
      <c r="T12" s="155" t="str">
        <f t="shared" si="2"/>
        <v>900799</v>
      </c>
      <c r="U12" s="155" t="str">
        <f t="shared" si="3"/>
        <v>1990</v>
      </c>
      <c r="V12" s="155">
        <f t="shared" ca="1" si="4"/>
        <v>34</v>
      </c>
      <c r="W12" s="155" t="str">
        <f t="shared" si="5"/>
        <v>경상권</v>
      </c>
    </row>
    <row r="13" spans="1:38" ht="16.5">
      <c r="A13" s="2">
        <v>11</v>
      </c>
      <c r="B13" s="149" t="s">
        <v>402</v>
      </c>
      <c r="C13" s="157"/>
      <c r="D13" s="151">
        <v>11</v>
      </c>
      <c r="E13" s="152" t="s">
        <v>401</v>
      </c>
      <c r="F13" s="156" t="s">
        <v>324</v>
      </c>
      <c r="G13" s="156" t="s">
        <v>394</v>
      </c>
      <c r="H13" s="152" t="s">
        <v>380</v>
      </c>
      <c r="I13" s="156" t="s">
        <v>325</v>
      </c>
      <c r="J13" s="156" t="s">
        <v>317</v>
      </c>
      <c r="K13" s="153">
        <v>2</v>
      </c>
      <c r="L13" s="153" t="s">
        <v>321</v>
      </c>
      <c r="M13" s="153" t="s">
        <v>364</v>
      </c>
      <c r="N13" s="154" t="s">
        <v>340</v>
      </c>
      <c r="O13" s="177" t="s">
        <v>385</v>
      </c>
      <c r="P13" s="177" t="s">
        <v>322</v>
      </c>
      <c r="Q13" s="178" t="s">
        <v>365</v>
      </c>
      <c r="R13" s="155" t="str">
        <f t="shared" si="0"/>
        <v>신한은행/129-2235-418768</v>
      </c>
      <c r="S13" s="155" t="str">
        <f t="shared" si="1"/>
        <v>남</v>
      </c>
      <c r="T13" s="155" t="str">
        <f t="shared" si="2"/>
        <v>910699</v>
      </c>
      <c r="U13" s="155" t="str">
        <f t="shared" si="3"/>
        <v>1991</v>
      </c>
      <c r="V13" s="155">
        <f t="shared" ca="1" si="4"/>
        <v>33</v>
      </c>
      <c r="W13" s="155" t="str">
        <f t="shared" si="5"/>
        <v>제주</v>
      </c>
    </row>
    <row r="14" spans="1:38" ht="16.5">
      <c r="A14" s="2">
        <v>12</v>
      </c>
      <c r="B14" s="149" t="s">
        <v>402</v>
      </c>
      <c r="C14" s="157"/>
      <c r="D14" s="151">
        <v>12</v>
      </c>
      <c r="E14" s="152" t="s">
        <v>401</v>
      </c>
      <c r="F14" s="156" t="s">
        <v>366</v>
      </c>
      <c r="G14" s="156" t="s">
        <v>398</v>
      </c>
      <c r="H14" s="152" t="s">
        <v>380</v>
      </c>
      <c r="I14" s="156" t="s">
        <v>367</v>
      </c>
      <c r="J14" s="156" t="s">
        <v>317</v>
      </c>
      <c r="K14" s="153">
        <v>1</v>
      </c>
      <c r="L14" s="153" t="s">
        <v>345</v>
      </c>
      <c r="M14" s="153" t="s">
        <v>331</v>
      </c>
      <c r="N14" s="154" t="s">
        <v>352</v>
      </c>
      <c r="O14" s="181" t="s">
        <v>384</v>
      </c>
      <c r="P14" s="177" t="s">
        <v>341</v>
      </c>
      <c r="Q14" s="178" t="s">
        <v>368</v>
      </c>
      <c r="R14" s="155" t="str">
        <f t="shared" si="0"/>
        <v>우리은행/404-5984-950896</v>
      </c>
      <c r="S14" s="155" t="str">
        <f t="shared" si="1"/>
        <v>여</v>
      </c>
      <c r="T14" s="155" t="str">
        <f t="shared" si="2"/>
        <v>000899</v>
      </c>
      <c r="U14" s="155" t="str">
        <f t="shared" si="3"/>
        <v>2000</v>
      </c>
      <c r="V14" s="155">
        <f ca="1">YEAR(TODAY()) - VALUE(IF(VALUE(MID(G14, 8, 1)) &lt;= 2, "19" &amp; LEFT(G14, 2), "20" &amp; LEFT(G14, 2)))</f>
        <v>24</v>
      </c>
      <c r="W14" s="155" t="str">
        <f t="shared" si="5"/>
        <v>충청권</v>
      </c>
    </row>
    <row r="15" spans="1:38" ht="16.5">
      <c r="A15" s="2">
        <v>13</v>
      </c>
      <c r="B15" s="149" t="s">
        <v>402</v>
      </c>
      <c r="C15" s="157"/>
      <c r="D15" s="151">
        <v>13</v>
      </c>
      <c r="E15" s="152" t="s">
        <v>401</v>
      </c>
      <c r="F15" s="156" t="s">
        <v>369</v>
      </c>
      <c r="G15" s="156" t="s">
        <v>395</v>
      </c>
      <c r="H15" s="152" t="s">
        <v>380</v>
      </c>
      <c r="I15" s="156" t="s">
        <v>370</v>
      </c>
      <c r="J15" s="156" t="s">
        <v>317</v>
      </c>
      <c r="K15" s="153">
        <v>2</v>
      </c>
      <c r="L15" s="153" t="s">
        <v>330</v>
      </c>
      <c r="M15" s="153" t="s">
        <v>331</v>
      </c>
      <c r="N15" s="154" t="s">
        <v>340</v>
      </c>
      <c r="O15" s="177" t="s">
        <v>383</v>
      </c>
      <c r="P15" s="177" t="s">
        <v>347</v>
      </c>
      <c r="Q15" s="178" t="s">
        <v>371</v>
      </c>
      <c r="R15" s="155" t="str">
        <f t="shared" si="0"/>
        <v>농협/756-6616-606584</v>
      </c>
      <c r="S15" s="155" t="str">
        <f t="shared" si="1"/>
        <v>여</v>
      </c>
      <c r="T15" s="155" t="str">
        <f t="shared" si="2"/>
        <v>921299</v>
      </c>
      <c r="U15" s="155" t="str">
        <f t="shared" si="3"/>
        <v>1992</v>
      </c>
      <c r="V15" s="155">
        <f t="shared" ca="1" si="4"/>
        <v>32</v>
      </c>
      <c r="W15" s="155" t="str">
        <f t="shared" si="5"/>
        <v>경상권</v>
      </c>
    </row>
    <row r="16" spans="1:38" ht="16.5">
      <c r="A16" s="2">
        <v>14</v>
      </c>
      <c r="B16" s="149" t="s">
        <v>402</v>
      </c>
      <c r="C16" s="157"/>
      <c r="D16" s="151">
        <v>14</v>
      </c>
      <c r="E16" s="152" t="s">
        <v>401</v>
      </c>
      <c r="F16" s="156" t="s">
        <v>349</v>
      </c>
      <c r="G16" s="156" t="s">
        <v>396</v>
      </c>
      <c r="H16" s="152" t="s">
        <v>380</v>
      </c>
      <c r="I16" s="156" t="s">
        <v>350</v>
      </c>
      <c r="J16" s="156" t="s">
        <v>351</v>
      </c>
      <c r="K16" s="153">
        <v>2</v>
      </c>
      <c r="L16" s="153" t="s">
        <v>330</v>
      </c>
      <c r="M16" s="153" t="s">
        <v>339</v>
      </c>
      <c r="N16" s="154" t="s">
        <v>336</v>
      </c>
      <c r="O16" s="176" t="s">
        <v>382</v>
      </c>
      <c r="P16" s="177" t="s">
        <v>358</v>
      </c>
      <c r="Q16" s="178" t="s">
        <v>372</v>
      </c>
      <c r="R16" s="155" t="str">
        <f t="shared" si="0"/>
        <v>하나은행/588-1300-685386</v>
      </c>
      <c r="S16" s="155" t="str">
        <f t="shared" si="1"/>
        <v>남</v>
      </c>
      <c r="T16" s="155" t="str">
        <f t="shared" si="2"/>
        <v>901199</v>
      </c>
      <c r="U16" s="155" t="str">
        <f t="shared" si="3"/>
        <v>1990</v>
      </c>
      <c r="V16" s="155">
        <f t="shared" ca="1" si="4"/>
        <v>34</v>
      </c>
      <c r="W16" s="155" t="str">
        <f t="shared" si="5"/>
        <v>호남권</v>
      </c>
    </row>
    <row r="17" spans="1:23" ht="16.5">
      <c r="A17" s="2">
        <v>15</v>
      </c>
      <c r="B17" s="149" t="s">
        <v>402</v>
      </c>
      <c r="C17" s="157"/>
      <c r="D17" s="151">
        <v>15</v>
      </c>
      <c r="E17" s="152" t="s">
        <v>401</v>
      </c>
      <c r="F17" s="156" t="s">
        <v>373</v>
      </c>
      <c r="G17" s="156" t="s">
        <v>397</v>
      </c>
      <c r="H17" s="183" t="s">
        <v>380</v>
      </c>
      <c r="I17" s="156" t="s">
        <v>374</v>
      </c>
      <c r="J17" s="156" t="s">
        <v>338</v>
      </c>
      <c r="K17" s="182">
        <v>1</v>
      </c>
      <c r="L17" s="153" t="s">
        <v>345</v>
      </c>
      <c r="M17" s="153" t="s">
        <v>362</v>
      </c>
      <c r="N17" s="154" t="s">
        <v>352</v>
      </c>
      <c r="O17" s="176" t="s">
        <v>381</v>
      </c>
      <c r="P17" s="177" t="s">
        <v>358</v>
      </c>
      <c r="Q17" s="178" t="s">
        <v>375</v>
      </c>
      <c r="R17" s="155" t="str">
        <f t="shared" si="0"/>
        <v>하나은행/694-9043-121446</v>
      </c>
      <c r="S17" s="155" t="str">
        <f t="shared" si="1"/>
        <v>남</v>
      </c>
      <c r="T17" s="155" t="str">
        <f t="shared" si="2"/>
        <v>941099</v>
      </c>
      <c r="U17" s="155" t="str">
        <f t="shared" si="3"/>
        <v>1994</v>
      </c>
      <c r="V17" s="155">
        <f t="shared" ca="1" si="4"/>
        <v>30</v>
      </c>
      <c r="W17" s="155" t="str">
        <f t="shared" si="5"/>
        <v>수도권</v>
      </c>
    </row>
    <row r="18" spans="1:23" ht="16.5">
      <c r="A18" s="2">
        <v>16</v>
      </c>
    </row>
    <row r="19" spans="1:23" ht="16.5">
      <c r="A19" s="2">
        <v>17</v>
      </c>
    </row>
    <row r="20" spans="1:23" ht="16.5">
      <c r="A20" s="2">
        <v>18</v>
      </c>
    </row>
    <row r="21" spans="1:23" ht="16.5">
      <c r="A21" s="2">
        <v>19</v>
      </c>
      <c r="G21" s="180"/>
      <c r="H21" s="180"/>
      <c r="I21" s="180"/>
      <c r="J21" s="180"/>
      <c r="K21" s="180"/>
      <c r="L21" s="180"/>
      <c r="M21" s="180"/>
      <c r="N21" s="180"/>
      <c r="O21" s="180"/>
      <c r="P21" s="180"/>
      <c r="Q21" s="180"/>
      <c r="R21" s="180"/>
    </row>
    <row r="22" spans="1:23" ht="16.5">
      <c r="A22" s="2">
        <v>20</v>
      </c>
      <c r="G22" s="180"/>
      <c r="J22" s="180"/>
      <c r="K22" s="180"/>
      <c r="M22" s="180"/>
      <c r="P22" s="180"/>
      <c r="Q22" s="180"/>
    </row>
    <row r="23" spans="1:23" ht="16.5">
      <c r="A23" s="2">
        <v>21</v>
      </c>
      <c r="G23" s="180"/>
      <c r="J23" s="180"/>
      <c r="K23" s="180"/>
      <c r="M23" s="180"/>
      <c r="P23" s="180"/>
      <c r="Q23" s="180"/>
    </row>
    <row r="24" spans="1:23" ht="16.5">
      <c r="A24" s="2">
        <v>22</v>
      </c>
      <c r="E24" s="180"/>
      <c r="F24" s="180"/>
      <c r="G24" s="180"/>
      <c r="H24" s="180"/>
      <c r="I24" s="180"/>
      <c r="J24" s="180"/>
      <c r="K24" s="180"/>
      <c r="L24" s="180"/>
      <c r="M24" s="180"/>
      <c r="N24" s="180"/>
      <c r="O24" s="180"/>
      <c r="P24" s="180"/>
      <c r="Q24" s="180"/>
    </row>
    <row r="25" spans="1:23" ht="16.5">
      <c r="A25" s="2">
        <v>23</v>
      </c>
      <c r="E25" s="180"/>
      <c r="G25" s="180"/>
      <c r="H25" s="180"/>
      <c r="I25" s="180"/>
      <c r="J25" s="180"/>
      <c r="K25" s="180"/>
      <c r="L25" s="166"/>
      <c r="M25" s="180"/>
      <c r="N25" s="180"/>
      <c r="O25" s="180"/>
      <c r="P25" s="180"/>
      <c r="Q25" s="180"/>
    </row>
    <row r="26" spans="1:23" ht="16.5">
      <c r="A26" s="2">
        <v>24</v>
      </c>
      <c r="E26" s="180"/>
      <c r="G26" s="180"/>
      <c r="H26" s="180"/>
      <c r="I26" s="180"/>
      <c r="J26" s="180"/>
      <c r="K26" s="180"/>
      <c r="L26" s="175"/>
      <c r="M26" s="180"/>
      <c r="N26" s="180"/>
      <c r="O26" s="180"/>
      <c r="P26" s="180"/>
      <c r="Q26" s="180"/>
    </row>
    <row r="27" spans="1:23" ht="16.5">
      <c r="A27" s="2">
        <v>25</v>
      </c>
      <c r="E27" s="180"/>
      <c r="G27" s="180"/>
      <c r="H27" s="180"/>
      <c r="I27" s="180"/>
      <c r="J27" s="180"/>
      <c r="K27" s="180"/>
      <c r="L27" s="180"/>
      <c r="M27" s="180"/>
      <c r="N27" s="166"/>
      <c r="O27" s="180"/>
      <c r="P27" s="180"/>
      <c r="Q27" s="180"/>
    </row>
    <row r="28" spans="1:23" ht="16.5">
      <c r="A28" s="2">
        <v>26</v>
      </c>
      <c r="E28" s="180"/>
      <c r="G28" s="180"/>
      <c r="H28" s="180"/>
      <c r="I28" s="180"/>
      <c r="J28" s="180"/>
      <c r="K28" s="180"/>
      <c r="L28" s="180"/>
      <c r="M28" s="180"/>
      <c r="N28" s="180"/>
      <c r="O28" s="180"/>
      <c r="P28" s="180"/>
      <c r="Q28" s="180"/>
    </row>
    <row r="29" spans="1:23" ht="16.5">
      <c r="A29" s="2">
        <v>27</v>
      </c>
      <c r="E29" s="180"/>
      <c r="G29" s="180"/>
      <c r="H29" s="180"/>
      <c r="I29" s="180"/>
      <c r="J29" s="180"/>
      <c r="K29" s="180"/>
      <c r="L29" s="180"/>
      <c r="M29" s="180"/>
      <c r="N29" s="180"/>
      <c r="O29" s="180"/>
      <c r="P29" s="180"/>
      <c r="Q29" s="180"/>
    </row>
    <row r="30" spans="1:23" ht="16.5">
      <c r="A30" s="2">
        <v>28</v>
      </c>
      <c r="E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</row>
    <row r="31" spans="1:23" ht="16.5">
      <c r="A31" s="2">
        <v>29</v>
      </c>
      <c r="E31" s="180"/>
      <c r="G31" s="180"/>
      <c r="H31" s="180"/>
      <c r="I31" s="180"/>
      <c r="J31" s="180"/>
      <c r="K31" s="180"/>
      <c r="L31" s="180"/>
      <c r="M31" s="180"/>
      <c r="N31" s="180"/>
      <c r="O31" s="180"/>
      <c r="P31" s="180"/>
      <c r="Q31" s="180"/>
    </row>
    <row r="32" spans="1:23" ht="16.5">
      <c r="A32" s="2">
        <v>30</v>
      </c>
      <c r="E32" s="180"/>
      <c r="G32" s="180"/>
      <c r="H32" s="180"/>
      <c r="I32" s="180"/>
      <c r="J32" s="180"/>
      <c r="K32" s="180"/>
      <c r="L32" s="180"/>
      <c r="M32" s="180"/>
      <c r="N32" s="166"/>
      <c r="O32" s="180"/>
      <c r="P32" s="180"/>
      <c r="Q32" s="180"/>
    </row>
    <row r="33" spans="1:17" ht="16.5">
      <c r="A33" s="2">
        <v>31</v>
      </c>
      <c r="E33" s="180"/>
      <c r="G33" s="180"/>
      <c r="H33" s="180"/>
      <c r="I33" s="180"/>
      <c r="J33" s="180"/>
      <c r="K33" s="180"/>
      <c r="L33" s="180"/>
      <c r="M33" s="180"/>
      <c r="N33" s="180"/>
      <c r="O33" s="180"/>
      <c r="P33" s="180"/>
      <c r="Q33" s="180"/>
    </row>
    <row r="34" spans="1:17" ht="16.5">
      <c r="A34" s="2">
        <v>32</v>
      </c>
      <c r="E34" s="180"/>
      <c r="G34" s="180"/>
      <c r="H34" s="180"/>
      <c r="I34" s="180"/>
      <c r="J34" s="180"/>
      <c r="K34" s="180"/>
      <c r="L34" s="180"/>
      <c r="M34" s="180"/>
      <c r="N34" s="180"/>
      <c r="O34" s="180"/>
      <c r="P34" s="180"/>
      <c r="Q34" s="180"/>
    </row>
    <row r="35" spans="1:17" ht="16.5">
      <c r="A35" s="2">
        <v>33</v>
      </c>
      <c r="E35" s="180"/>
      <c r="G35" s="180"/>
      <c r="H35" s="180"/>
      <c r="I35" s="180"/>
      <c r="J35" s="180"/>
      <c r="K35" s="180"/>
      <c r="L35" s="180"/>
      <c r="M35" s="180"/>
      <c r="N35" s="180"/>
      <c r="O35" s="180"/>
      <c r="P35" s="180"/>
      <c r="Q35" s="180"/>
    </row>
    <row r="36" spans="1:17" ht="16.5">
      <c r="A36" s="2">
        <v>34</v>
      </c>
      <c r="E36" s="180"/>
      <c r="G36" s="180"/>
      <c r="H36" s="180"/>
      <c r="I36" s="180"/>
      <c r="J36" s="180"/>
      <c r="K36" s="180"/>
      <c r="L36" s="180"/>
      <c r="M36" s="180"/>
      <c r="N36" s="166"/>
      <c r="O36" s="180"/>
      <c r="P36" s="180"/>
      <c r="Q36" s="180"/>
    </row>
    <row r="37" spans="1:17" ht="16.5">
      <c r="A37" s="2">
        <v>35</v>
      </c>
      <c r="E37" s="180"/>
      <c r="H37" s="180"/>
      <c r="I37" s="180"/>
      <c r="K37" s="180"/>
      <c r="L37" s="180"/>
      <c r="M37" s="180"/>
      <c r="N37" s="180"/>
      <c r="O37" s="180"/>
    </row>
    <row r="38" spans="1:17" ht="16.5">
      <c r="A38" s="2">
        <v>36</v>
      </c>
      <c r="E38" s="180"/>
      <c r="H38" s="180"/>
      <c r="I38" s="180"/>
      <c r="K38" s="180"/>
      <c r="L38" s="180"/>
      <c r="M38" s="180"/>
      <c r="N38" s="166"/>
      <c r="O38" s="180"/>
    </row>
    <row r="39" spans="1:17" ht="16.5">
      <c r="A39" s="2">
        <v>37</v>
      </c>
      <c r="E39" s="180"/>
      <c r="H39" s="180"/>
      <c r="I39" s="180"/>
      <c r="K39" s="180"/>
      <c r="L39" s="180"/>
      <c r="M39" s="180"/>
      <c r="N39" s="180"/>
      <c r="O39" s="180"/>
    </row>
    <row r="40" spans="1:17" ht="16.5">
      <c r="A40" s="2">
        <v>38</v>
      </c>
    </row>
    <row r="41" spans="1:17" ht="16.5">
      <c r="A41" s="2">
        <v>39</v>
      </c>
    </row>
    <row r="42" spans="1:17" ht="16.5">
      <c r="A42" s="2">
        <v>40</v>
      </c>
    </row>
    <row r="43" spans="1:17" ht="16.5">
      <c r="A43" s="2">
        <v>41</v>
      </c>
    </row>
    <row r="44" spans="1:17" ht="16.5">
      <c r="A44" s="2">
        <v>42</v>
      </c>
    </row>
    <row r="45" spans="1:17" ht="16.5">
      <c r="A45" s="2">
        <v>43</v>
      </c>
    </row>
    <row r="46" spans="1:17" ht="16.5">
      <c r="A46" s="2">
        <v>44</v>
      </c>
    </row>
    <row r="47" spans="1:17" ht="16.5">
      <c r="A47" s="2">
        <v>45</v>
      </c>
    </row>
    <row r="48" spans="1:17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17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Drop Down 1">
              <controlPr defaultSize="0" autoLine="0" autoPict="0" macro="[0]!목차드롭다운">
                <anchor moveWithCells="1">
                  <from>
                    <xdr:col>1</xdr:col>
                    <xdr:colOff>152400</xdr:colOff>
                    <xdr:row>17</xdr:row>
                    <xdr:rowOff>133350</xdr:rowOff>
                  </from>
                  <to>
                    <xdr:col>4</xdr:col>
                    <xdr:colOff>1514475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AC67-4FF1-4CD8-BED6-2E666ECBE6AC}">
  <sheetPr codeName="Sheet2"/>
  <dimension ref="A1:I42"/>
  <sheetViews>
    <sheetView tabSelected="1" workbookViewId="0">
      <selection activeCell="J13" sqref="J13"/>
    </sheetView>
  </sheetViews>
  <sheetFormatPr defaultRowHeight="12.75"/>
  <cols>
    <col min="1" max="1" width="14" style="136" customWidth="1"/>
    <col min="2" max="2" width="26.5703125" style="136" customWidth="1"/>
    <col min="3" max="3" width="30.85546875" style="136" bestFit="1" customWidth="1"/>
    <col min="4" max="5" width="28.42578125" style="136" bestFit="1" customWidth="1"/>
    <col min="6" max="6" width="20" style="136" bestFit="1" customWidth="1"/>
    <col min="7" max="16384" width="9.140625" style="136"/>
  </cols>
  <sheetData>
    <row r="1" spans="1:9" ht="24">
      <c r="A1" s="1" t="s">
        <v>84</v>
      </c>
      <c r="B1" s="357">
        <v>1</v>
      </c>
      <c r="C1" s="357">
        <v>2</v>
      </c>
      <c r="D1" s="357">
        <v>3</v>
      </c>
      <c r="E1" s="357">
        <v>4</v>
      </c>
      <c r="F1" s="357">
        <v>5</v>
      </c>
      <c r="G1" s="357">
        <v>6</v>
      </c>
      <c r="H1" s="357">
        <v>7</v>
      </c>
      <c r="I1" s="357">
        <v>8</v>
      </c>
    </row>
    <row r="2" spans="1:9" ht="24.75">
      <c r="A2" s="3">
        <v>0</v>
      </c>
      <c r="B2" s="204" t="s">
        <v>453</v>
      </c>
      <c r="C2" s="205"/>
      <c r="D2" s="205"/>
      <c r="E2" s="205"/>
      <c r="F2" s="205"/>
    </row>
    <row r="3" spans="1:9" ht="21" thickBot="1">
      <c r="A3" s="2">
        <v>1</v>
      </c>
      <c r="B3" s="191" t="s">
        <v>423</v>
      </c>
      <c r="C3" s="191" t="s">
        <v>424</v>
      </c>
      <c r="D3" s="191" t="s">
        <v>425</v>
      </c>
      <c r="E3" s="191"/>
      <c r="F3" s="192"/>
    </row>
    <row r="4" spans="1:9" ht="17.25" thickTop="1">
      <c r="A4" s="2">
        <v>2</v>
      </c>
      <c r="B4" s="365" t="s">
        <v>509</v>
      </c>
      <c r="C4" s="194" t="s">
        <v>427</v>
      </c>
      <c r="D4" s="195" t="s">
        <v>85</v>
      </c>
      <c r="E4" s="194" t="s">
        <v>454</v>
      </c>
      <c r="F4" s="196">
        <v>45455</v>
      </c>
    </row>
    <row r="5" spans="1:9" ht="16.5">
      <c r="A5" s="2">
        <v>3</v>
      </c>
      <c r="B5" s="366"/>
      <c r="C5" s="189" t="s">
        <v>428</v>
      </c>
      <c r="D5" s="8" t="s">
        <v>3</v>
      </c>
      <c r="E5" s="5"/>
      <c r="F5" s="193"/>
    </row>
    <row r="6" spans="1:9" ht="16.5">
      <c r="A6" s="2">
        <v>4</v>
      </c>
      <c r="B6" s="366"/>
      <c r="C6" s="189" t="s">
        <v>429</v>
      </c>
      <c r="D6" s="8" t="s">
        <v>420</v>
      </c>
      <c r="E6" s="190" t="s">
        <v>421</v>
      </c>
      <c r="F6" s="193">
        <v>222222222</v>
      </c>
    </row>
    <row r="7" spans="1:9" ht="16.5">
      <c r="A7" s="2">
        <v>5</v>
      </c>
      <c r="B7" s="366"/>
      <c r="C7" s="189" t="s">
        <v>430</v>
      </c>
      <c r="D7" s="8" t="s">
        <v>7</v>
      </c>
      <c r="E7" s="5"/>
      <c r="F7" s="193"/>
    </row>
    <row r="8" spans="1:9" ht="16.5">
      <c r="A8" s="2">
        <v>6</v>
      </c>
      <c r="B8" s="366"/>
      <c r="C8" s="189" t="s">
        <v>431</v>
      </c>
      <c r="D8" s="8" t="s">
        <v>9</v>
      </c>
      <c r="E8" s="5"/>
      <c r="F8" s="193"/>
    </row>
    <row r="9" spans="1:9" ht="17.25">
      <c r="A9" s="2">
        <v>7</v>
      </c>
      <c r="B9" s="366"/>
      <c r="C9" s="189" t="s">
        <v>432</v>
      </c>
      <c r="D9" s="184" t="s">
        <v>403</v>
      </c>
      <c r="E9" s="5"/>
      <c r="F9" s="193"/>
    </row>
    <row r="10" spans="1:9" ht="16.5">
      <c r="A10" s="2">
        <v>8</v>
      </c>
      <c r="B10" s="366"/>
      <c r="C10" s="189" t="s">
        <v>433</v>
      </c>
      <c r="D10" s="8" t="s">
        <v>13</v>
      </c>
      <c r="E10" s="190" t="s">
        <v>422</v>
      </c>
      <c r="F10" s="193"/>
    </row>
    <row r="11" spans="1:9" ht="17.25" thickBot="1">
      <c r="A11" s="2">
        <v>9</v>
      </c>
      <c r="B11" s="367"/>
      <c r="C11" s="197" t="s">
        <v>434</v>
      </c>
      <c r="D11" s="198" t="s">
        <v>16</v>
      </c>
      <c r="E11" s="199"/>
      <c r="F11" s="200"/>
    </row>
    <row r="12" spans="1:9" ht="16.5">
      <c r="A12" s="2">
        <v>10</v>
      </c>
      <c r="B12" s="368"/>
      <c r="F12" s="358"/>
    </row>
    <row r="13" spans="1:9" ht="18" customHeight="1">
      <c r="A13" s="2">
        <v>11</v>
      </c>
      <c r="B13" s="369" t="s">
        <v>510</v>
      </c>
      <c r="C13" s="189" t="s">
        <v>435</v>
      </c>
      <c r="D13" s="185" t="s">
        <v>404</v>
      </c>
      <c r="E13" s="5"/>
      <c r="F13" s="193"/>
    </row>
    <row r="14" spans="1:9" ht="16.5" customHeight="1">
      <c r="A14" s="2">
        <v>12</v>
      </c>
      <c r="B14" s="366"/>
      <c r="C14" s="189" t="s">
        <v>436</v>
      </c>
      <c r="D14" s="8" t="s">
        <v>22</v>
      </c>
      <c r="E14" s="190" t="s">
        <v>455</v>
      </c>
      <c r="F14" s="193" t="s">
        <v>23</v>
      </c>
    </row>
    <row r="15" spans="1:9" ht="16.5" customHeight="1">
      <c r="A15" s="2">
        <v>13</v>
      </c>
      <c r="B15" s="366"/>
      <c r="C15" s="189" t="s">
        <v>437</v>
      </c>
      <c r="D15" s="9" t="s">
        <v>25</v>
      </c>
      <c r="E15" s="5"/>
      <c r="F15" s="193"/>
    </row>
    <row r="16" spans="1:9" ht="16.5" customHeight="1">
      <c r="A16" s="2">
        <v>14</v>
      </c>
      <c r="B16" s="366"/>
      <c r="C16" s="189" t="s">
        <v>438</v>
      </c>
      <c r="D16" s="9" t="s">
        <v>27</v>
      </c>
      <c r="E16" s="5"/>
      <c r="F16" s="193"/>
    </row>
    <row r="17" spans="1:6" ht="16.5" customHeight="1">
      <c r="A17" s="2">
        <v>15</v>
      </c>
      <c r="B17" s="366"/>
      <c r="C17" s="189" t="s">
        <v>439</v>
      </c>
      <c r="D17" s="9" t="s">
        <v>29</v>
      </c>
      <c r="E17" s="5"/>
      <c r="F17" s="193"/>
    </row>
    <row r="18" spans="1:6" ht="16.5" customHeight="1">
      <c r="A18" s="2">
        <v>16</v>
      </c>
      <c r="B18" s="366"/>
      <c r="C18" s="189" t="s">
        <v>440</v>
      </c>
      <c r="D18" s="9" t="s">
        <v>31</v>
      </c>
      <c r="E18" s="5"/>
      <c r="F18" s="193"/>
    </row>
    <row r="19" spans="1:6" ht="17.25" customHeight="1" thickBot="1">
      <c r="A19" s="2">
        <v>17</v>
      </c>
      <c r="B19" s="367"/>
      <c r="C19" s="197" t="s">
        <v>441</v>
      </c>
      <c r="D19" s="201" t="s">
        <v>33</v>
      </c>
      <c r="E19" s="199"/>
      <c r="F19" s="200"/>
    </row>
    <row r="20" spans="1:6" ht="17.25" customHeight="1">
      <c r="A20" s="2">
        <v>18</v>
      </c>
    </row>
    <row r="21" spans="1:6" ht="16.5">
      <c r="A21" s="2">
        <v>19</v>
      </c>
      <c r="B21" s="369" t="s">
        <v>511</v>
      </c>
      <c r="C21" s="189" t="s">
        <v>442</v>
      </c>
      <c r="D21" s="9" t="s">
        <v>35</v>
      </c>
      <c r="E21" s="5"/>
      <c r="F21" s="193"/>
    </row>
    <row r="22" spans="1:6" ht="16.5">
      <c r="A22" s="2">
        <v>20</v>
      </c>
      <c r="B22" s="366"/>
      <c r="C22" s="189" t="s">
        <v>443</v>
      </c>
      <c r="D22" s="9" t="s">
        <v>37</v>
      </c>
      <c r="E22" s="5"/>
      <c r="F22" s="193"/>
    </row>
    <row r="23" spans="1:6" ht="16.5">
      <c r="A23" s="2">
        <v>21</v>
      </c>
      <c r="B23" s="366"/>
      <c r="C23" s="189" t="s">
        <v>444</v>
      </c>
      <c r="D23" s="9" t="s">
        <v>27</v>
      </c>
      <c r="E23" s="5"/>
      <c r="F23" s="193"/>
    </row>
    <row r="24" spans="1:6" ht="16.5">
      <c r="A24" s="2">
        <v>22</v>
      </c>
      <c r="B24" s="366"/>
      <c r="C24" s="189" t="s">
        <v>445</v>
      </c>
      <c r="D24" s="9" t="s">
        <v>31</v>
      </c>
      <c r="E24" s="5"/>
      <c r="F24" s="193"/>
    </row>
    <row r="25" spans="1:6" ht="17.25" thickBot="1">
      <c r="A25" s="2">
        <v>23</v>
      </c>
      <c r="B25" s="367"/>
      <c r="C25" s="197" t="s">
        <v>446</v>
      </c>
      <c r="D25" s="201" t="s">
        <v>33</v>
      </c>
      <c r="E25" s="199"/>
      <c r="F25" s="200"/>
    </row>
    <row r="26" spans="1:6" ht="16.5">
      <c r="A26" s="2">
        <v>24</v>
      </c>
    </row>
    <row r="27" spans="1:6" ht="16.5" customHeight="1">
      <c r="A27" s="2">
        <v>25</v>
      </c>
      <c r="B27" s="359"/>
      <c r="C27" s="189" t="s">
        <v>447</v>
      </c>
      <c r="D27" s="9" t="s">
        <v>123</v>
      </c>
      <c r="E27" s="5"/>
      <c r="F27" s="193"/>
    </row>
    <row r="28" spans="1:6" ht="16.5" customHeight="1">
      <c r="A28" s="2">
        <v>26</v>
      </c>
      <c r="B28" s="359"/>
      <c r="C28" s="189" t="s">
        <v>448</v>
      </c>
      <c r="D28" s="9" t="s">
        <v>42</v>
      </c>
      <c r="E28" s="360"/>
      <c r="F28" s="361"/>
    </row>
    <row r="29" spans="1:6" ht="16.5" customHeight="1">
      <c r="A29" s="2">
        <v>27</v>
      </c>
      <c r="B29" s="359"/>
      <c r="C29" s="189" t="s">
        <v>449</v>
      </c>
      <c r="D29" s="9" t="s">
        <v>44</v>
      </c>
      <c r="E29" s="360"/>
      <c r="F29" s="361"/>
    </row>
    <row r="30" spans="1:6" ht="16.5" customHeight="1">
      <c r="A30" s="2">
        <v>28</v>
      </c>
      <c r="B30" s="359"/>
      <c r="C30" s="189" t="s">
        <v>450</v>
      </c>
      <c r="D30" s="9" t="s">
        <v>46</v>
      </c>
      <c r="E30" s="360"/>
      <c r="F30" s="361"/>
    </row>
    <row r="31" spans="1:6" ht="17.25" customHeight="1">
      <c r="A31" s="2">
        <v>29</v>
      </c>
      <c r="B31" s="359"/>
      <c r="C31" s="189"/>
      <c r="D31" s="9" t="s">
        <v>315</v>
      </c>
      <c r="E31" s="360" t="s">
        <v>311</v>
      </c>
      <c r="F31" s="361"/>
    </row>
    <row r="32" spans="1:6" ht="16.5">
      <c r="A32" s="2">
        <v>30</v>
      </c>
      <c r="B32" s="359"/>
      <c r="C32" s="189" t="s">
        <v>451</v>
      </c>
      <c r="D32" s="9" t="s">
        <v>310</v>
      </c>
      <c r="E32" s="360" t="s">
        <v>312</v>
      </c>
      <c r="F32" s="361"/>
    </row>
    <row r="33" spans="1:6" ht="16.5">
      <c r="A33" s="2">
        <v>31</v>
      </c>
      <c r="B33" s="359"/>
      <c r="C33" s="189" t="s">
        <v>452</v>
      </c>
      <c r="D33" s="9" t="s">
        <v>314</v>
      </c>
      <c r="E33" s="360" t="s">
        <v>313</v>
      </c>
      <c r="F33" s="361"/>
    </row>
    <row r="34" spans="1:6" ht="20.25">
      <c r="A34" s="2">
        <v>32</v>
      </c>
      <c r="B34" s="359"/>
      <c r="C34" s="188"/>
      <c r="D34" s="9"/>
      <c r="E34" s="360"/>
      <c r="F34" s="361"/>
    </row>
    <row r="35" spans="1:6" ht="20.25">
      <c r="A35" s="2">
        <v>33</v>
      </c>
      <c r="B35" s="359"/>
      <c r="C35" s="188"/>
      <c r="D35" s="9"/>
      <c r="E35" s="360"/>
      <c r="F35" s="361"/>
    </row>
    <row r="36" spans="1:6" ht="20.25">
      <c r="A36" s="2">
        <v>34</v>
      </c>
      <c r="B36" s="362"/>
      <c r="C36" s="188"/>
      <c r="D36" s="9"/>
      <c r="E36" s="360"/>
      <c r="F36" s="361"/>
    </row>
    <row r="37" spans="1:6" ht="16.5">
      <c r="A37" s="2">
        <v>35</v>
      </c>
      <c r="C37" s="363" t="s">
        <v>418</v>
      </c>
    </row>
    <row r="38" spans="1:6" ht="16.5">
      <c r="A38" s="2">
        <v>36</v>
      </c>
      <c r="C38" s="364" t="s">
        <v>419</v>
      </c>
    </row>
    <row r="39" spans="1:6" ht="16.5">
      <c r="A39" s="2">
        <v>37</v>
      </c>
    </row>
    <row r="40" spans="1:6" ht="16.5">
      <c r="A40" s="2">
        <v>38</v>
      </c>
    </row>
    <row r="41" spans="1:6" ht="16.5">
      <c r="A41" s="2">
        <v>39</v>
      </c>
    </row>
    <row r="42" spans="1:6" ht="16.5">
      <c r="A42" s="2">
        <v>40</v>
      </c>
    </row>
  </sheetData>
  <mergeCells count="4">
    <mergeCell ref="B2:F2"/>
    <mergeCell ref="B4:B11"/>
    <mergeCell ref="B13:B19"/>
    <mergeCell ref="B21:B25"/>
  </mergeCells>
  <phoneticPr fontId="17" type="noConversion"/>
  <dataValidations count="3">
    <dataValidation type="list" allowBlank="1" showErrorMessage="1" sqref="D14" xr:uid="{B1C39882-0A20-49F2-82BF-F7CFE28AFBA5}">
      <formula1>"없음,있음"</formula1>
    </dataValidation>
    <dataValidation type="list" allowBlank="1" showErrorMessage="1" sqref="F10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D10" xr:uid="{F4EAA91F-006E-4209-A2CB-FE5E03CF6568}">
      <formula1>"중소기업,중견기업,대기업,기타(비영리 법인 등)"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Drop Down 7">
              <controlPr defaultSize="0" autoLine="0" autoPict="0" macro="[0]!목차드롭다운">
                <anchor moveWithCells="1">
                  <from>
                    <xdr:col>6</xdr:col>
                    <xdr:colOff>600075</xdr:colOff>
                    <xdr:row>1</xdr:row>
                    <xdr:rowOff>171450</xdr:rowOff>
                  </from>
                  <to>
                    <xdr:col>10</xdr:col>
                    <xdr:colOff>409575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62543-FD84-47D6-A4CA-C9F636400998}">
  <sheetPr codeName="Sheet3"/>
  <dimension ref="A1:I32"/>
  <sheetViews>
    <sheetView workbookViewId="0">
      <selection activeCell="C31" sqref="C31"/>
    </sheetView>
  </sheetViews>
  <sheetFormatPr defaultRowHeight="12.75"/>
  <cols>
    <col min="1" max="1" width="14" customWidth="1"/>
    <col min="2" max="2" width="34.7109375" customWidth="1"/>
    <col min="3" max="3" width="70.7109375" bestFit="1" customWidth="1"/>
  </cols>
  <sheetData>
    <row r="1" spans="1:9" ht="24">
      <c r="A1" s="1" t="s">
        <v>504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24">
      <c r="A2" s="3">
        <v>0</v>
      </c>
      <c r="B2" s="234" t="s">
        <v>503</v>
      </c>
      <c r="C2" s="207"/>
      <c r="D2" s="207"/>
      <c r="E2" s="207"/>
    </row>
    <row r="3" spans="1:9" ht="16.5">
      <c r="A3" s="2">
        <v>1</v>
      </c>
      <c r="B3" s="7" t="s">
        <v>47</v>
      </c>
      <c r="C3" s="8" t="str">
        <f>'참여기업 정보'!D4</f>
        <v>(주)소연</v>
      </c>
      <c r="D3" s="5"/>
      <c r="E3" s="5"/>
    </row>
    <row r="4" spans="1:9" ht="16.5">
      <c r="A4" s="2">
        <v>2</v>
      </c>
      <c r="B4" s="7" t="s">
        <v>24</v>
      </c>
      <c r="C4" s="8" t="str">
        <f>'참여기업 정보'!D15</f>
        <v>김주혁</v>
      </c>
      <c r="D4" s="5"/>
      <c r="E4" s="5"/>
    </row>
    <row r="5" spans="1:9" ht="16.5">
      <c r="A5" s="2">
        <v>3</v>
      </c>
      <c r="B5" s="7" t="s">
        <v>26</v>
      </c>
      <c r="C5" s="8" t="str">
        <f>'참여기업 정보'!D16</f>
        <v>프로</v>
      </c>
      <c r="D5" s="5"/>
      <c r="E5" s="5"/>
    </row>
    <row r="6" spans="1:9" ht="16.5">
      <c r="A6" s="2">
        <v>4</v>
      </c>
      <c r="B6" s="7" t="s">
        <v>28</v>
      </c>
      <c r="C6" s="8" t="str">
        <f>'참여기업 정보'!D17</f>
        <v>마케팅팀</v>
      </c>
      <c r="D6" s="5"/>
      <c r="E6" s="5"/>
    </row>
    <row r="7" spans="1:9" ht="16.5">
      <c r="A7" s="2">
        <v>5</v>
      </c>
      <c r="B7" s="7" t="s">
        <v>30</v>
      </c>
      <c r="C7" s="8" t="str">
        <f>'참여기업 정보'!D18</f>
        <v>010-0000-0000</v>
      </c>
      <c r="D7" s="5"/>
      <c r="E7" s="5"/>
    </row>
    <row r="8" spans="1:9" ht="16.5">
      <c r="A8" s="2">
        <v>6</v>
      </c>
      <c r="B8" s="7" t="s">
        <v>32</v>
      </c>
      <c r="C8" s="8" t="str">
        <f>'참여기업 정보'!D19</f>
        <v>work@kseta.or.kr</v>
      </c>
      <c r="D8" s="5"/>
      <c r="E8" s="5"/>
    </row>
    <row r="9" spans="1:9" ht="16.5">
      <c r="A9" s="2">
        <v>7</v>
      </c>
      <c r="B9" s="7" t="s">
        <v>34</v>
      </c>
      <c r="C9" s="8" t="str">
        <f>'참여기업 정보'!D21</f>
        <v>이소연</v>
      </c>
      <c r="D9" s="5"/>
      <c r="E9" s="5"/>
    </row>
    <row r="10" spans="1:9" ht="16.5">
      <c r="A10" s="2">
        <v>8</v>
      </c>
      <c r="B10" s="7" t="s">
        <v>36</v>
      </c>
      <c r="C10" s="8" t="str">
        <f>'참여기업 정보'!D22</f>
        <v>연구 1팀</v>
      </c>
      <c r="D10" s="5"/>
      <c r="E10" s="5"/>
    </row>
    <row r="11" spans="1:9" ht="16.5">
      <c r="A11" s="2">
        <v>9</v>
      </c>
      <c r="B11" s="7" t="s">
        <v>38</v>
      </c>
      <c r="C11" s="8" t="str">
        <f>'참여기업 정보'!D23</f>
        <v>프로</v>
      </c>
      <c r="D11" s="5"/>
      <c r="E11" s="5"/>
    </row>
    <row r="12" spans="1:9" ht="16.5">
      <c r="A12" s="2">
        <v>10</v>
      </c>
      <c r="B12" s="7" t="s">
        <v>39</v>
      </c>
      <c r="C12" s="8" t="str">
        <f>'참여기업 정보'!D24</f>
        <v>010-0000-0000</v>
      </c>
      <c r="D12" s="5"/>
      <c r="E12" s="5"/>
    </row>
    <row r="13" spans="1:9" ht="16.5">
      <c r="A13" s="2">
        <v>11</v>
      </c>
      <c r="B13" s="7" t="s">
        <v>40</v>
      </c>
      <c r="C13" s="8" t="str">
        <f>'참여기업 정보'!D25</f>
        <v>work@kseta.or.kr</v>
      </c>
      <c r="D13" s="5"/>
      <c r="E13" s="5"/>
    </row>
    <row r="14" spans="1:9" ht="16.5">
      <c r="A14" s="2">
        <v>12</v>
      </c>
      <c r="B14" s="187" t="s">
        <v>426</v>
      </c>
      <c r="C14" s="8" t="str">
        <f>'참여기업 정보'!D27</f>
        <v>2024.11.18 ~ 2025.01.10</v>
      </c>
      <c r="D14" s="5"/>
      <c r="E14" s="5"/>
    </row>
    <row r="15" spans="1:9" ht="16.5">
      <c r="A15" s="2">
        <v>13</v>
      </c>
      <c r="B15" s="7" t="s">
        <v>41</v>
      </c>
      <c r="C15" s="8" t="str">
        <f>'참여기업 정보'!D28</f>
        <v>IT</v>
      </c>
      <c r="D15" s="6"/>
      <c r="E15" s="6"/>
    </row>
    <row r="16" spans="1:9" ht="16.5">
      <c r="A16" s="2">
        <v>14</v>
      </c>
      <c r="B16" s="7" t="s">
        <v>43</v>
      </c>
      <c r="C16" s="8" t="str">
        <f>'참여기업 정보'!D29</f>
        <v>개발팀</v>
      </c>
      <c r="D16" s="6"/>
      <c r="E16" s="6"/>
    </row>
    <row r="17" spans="1:5" ht="16.5">
      <c r="A17" s="2">
        <v>15</v>
      </c>
      <c r="B17" s="7" t="s">
        <v>45</v>
      </c>
      <c r="C17" s="8" t="str">
        <f>'참여기업 정보'!D30</f>
        <v>소프트웨어 개발 업무에 대한 전반적인 기초 능력 배양 및 현업에 대한 경험</v>
      </c>
      <c r="D17" s="6"/>
      <c r="E17" s="6"/>
    </row>
    <row r="18" spans="1:5" ht="16.5">
      <c r="A18" s="2">
        <v>16</v>
      </c>
      <c r="B18" s="10"/>
      <c r="C18" s="10"/>
      <c r="D18" s="6"/>
      <c r="E18" s="6"/>
    </row>
    <row r="19" spans="1:5" ht="16.5">
      <c r="A19" s="2">
        <v>17</v>
      </c>
      <c r="B19" s="11" t="s">
        <v>48</v>
      </c>
      <c r="C19" s="10"/>
      <c r="D19" s="10"/>
      <c r="E19" s="6"/>
    </row>
    <row r="20" spans="1:5" ht="18.75">
      <c r="A20" s="2">
        <v>18</v>
      </c>
      <c r="B20" s="206" t="s">
        <v>49</v>
      </c>
      <c r="C20" s="207"/>
      <c r="D20" s="207"/>
      <c r="E20" s="207"/>
    </row>
    <row r="21" spans="1:5" ht="19.5">
      <c r="A21" s="2">
        <v>19</v>
      </c>
      <c r="B21" s="12" t="s">
        <v>50</v>
      </c>
      <c r="C21" s="13" t="s">
        <v>51</v>
      </c>
      <c r="D21" s="14"/>
      <c r="E21" s="14"/>
    </row>
    <row r="22" spans="1:5" ht="19.5">
      <c r="A22" s="2">
        <v>20</v>
      </c>
      <c r="B22" s="12" t="s">
        <v>52</v>
      </c>
      <c r="C22" s="13" t="s">
        <v>53</v>
      </c>
      <c r="D22" s="14"/>
      <c r="E22" s="14"/>
    </row>
    <row r="23" spans="1:5" ht="19.5">
      <c r="A23" s="2">
        <v>21</v>
      </c>
      <c r="B23" s="12" t="s">
        <v>54</v>
      </c>
      <c r="C23" s="13" t="s">
        <v>55</v>
      </c>
      <c r="D23" s="14"/>
      <c r="E23" s="14"/>
    </row>
    <row r="24" spans="1:5" ht="19.5">
      <c r="A24" s="2">
        <v>22</v>
      </c>
      <c r="B24" s="12" t="s">
        <v>56</v>
      </c>
      <c r="C24" s="13" t="s">
        <v>57</v>
      </c>
      <c r="D24" s="14"/>
      <c r="E24" s="14"/>
    </row>
    <row r="25" spans="1:5" ht="19.5">
      <c r="A25" s="2">
        <v>23</v>
      </c>
      <c r="B25" s="12" t="s">
        <v>58</v>
      </c>
      <c r="C25" s="13" t="s">
        <v>59</v>
      </c>
      <c r="D25" s="14"/>
      <c r="E25" s="14"/>
    </row>
    <row r="26" spans="1:5" ht="19.5">
      <c r="A26" s="2">
        <v>24</v>
      </c>
      <c r="B26" s="12" t="s">
        <v>60</v>
      </c>
      <c r="C26" s="13" t="s">
        <v>61</v>
      </c>
      <c r="D26" s="14"/>
      <c r="E26" s="14"/>
    </row>
    <row r="27" spans="1:5" ht="19.5">
      <c r="A27" s="2">
        <v>25</v>
      </c>
      <c r="B27" s="12" t="s">
        <v>62</v>
      </c>
      <c r="C27" s="13" t="s">
        <v>63</v>
      </c>
      <c r="D27" s="14"/>
      <c r="E27" s="14"/>
    </row>
    <row r="28" spans="1:5" ht="19.5">
      <c r="A28" s="2">
        <v>26</v>
      </c>
      <c r="B28" s="12" t="s">
        <v>64</v>
      </c>
      <c r="C28" s="13" t="s">
        <v>65</v>
      </c>
      <c r="D28" s="14"/>
      <c r="E28" s="14"/>
    </row>
    <row r="29" spans="1:5" ht="16.5">
      <c r="A29" s="2">
        <v>27</v>
      </c>
    </row>
    <row r="30" spans="1:5" ht="16.5">
      <c r="A30" s="2">
        <v>28</v>
      </c>
    </row>
    <row r="31" spans="1:5" ht="16.5">
      <c r="A31" s="2">
        <v>29</v>
      </c>
    </row>
    <row r="32" spans="1:5" ht="16.5">
      <c r="A32" s="2">
        <v>30</v>
      </c>
    </row>
  </sheetData>
  <mergeCells count="2">
    <mergeCell ref="B2:E2"/>
    <mergeCell ref="B20:E20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Drop Down 4">
              <controlPr defaultSize="0" autoLine="0" autoPict="0" macro="[0]!목차드롭다운">
                <anchor moveWithCells="1">
                  <from>
                    <xdr:col>6</xdr:col>
                    <xdr:colOff>19050</xdr:colOff>
                    <xdr:row>2</xdr:row>
                    <xdr:rowOff>0</xdr:rowOff>
                  </from>
                  <to>
                    <xdr:col>9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C09E-D7CD-4495-8969-1F44285A17C6}">
  <sheetPr codeName="Sheet4"/>
  <dimension ref="A1:I32"/>
  <sheetViews>
    <sheetView topLeftCell="A4" workbookViewId="0">
      <selection activeCell="L17" sqref="L17"/>
    </sheetView>
  </sheetViews>
  <sheetFormatPr defaultRowHeight="12.75"/>
  <cols>
    <col min="1" max="1" width="14" customWidth="1"/>
    <col min="2" max="2" width="23.7109375" customWidth="1"/>
    <col min="3" max="3" width="28.42578125" bestFit="1" customWidth="1"/>
    <col min="4" max="4" width="30" customWidth="1"/>
  </cols>
  <sheetData>
    <row r="1" spans="1:9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206" t="s">
        <v>66</v>
      </c>
      <c r="C2" s="207"/>
      <c r="D2" s="207"/>
      <c r="E2" s="207"/>
      <c r="F2" s="207"/>
    </row>
    <row r="3" spans="1:9" ht="16.5">
      <c r="A3" s="2">
        <v>1</v>
      </c>
      <c r="B3" s="7" t="s">
        <v>47</v>
      </c>
      <c r="C3" s="8" t="str">
        <f>'참여기업 정보'!D4</f>
        <v>(주)소연</v>
      </c>
      <c r="D3" s="5"/>
      <c r="E3" s="5"/>
      <c r="F3" s="5"/>
    </row>
    <row r="4" spans="1:9" ht="16.5">
      <c r="A4" s="2">
        <v>2</v>
      </c>
      <c r="B4" s="7" t="s">
        <v>34</v>
      </c>
      <c r="C4" s="15" t="str">
        <f>'참여기업 정보'!D21</f>
        <v>이소연</v>
      </c>
      <c r="D4" s="5"/>
      <c r="E4" s="5"/>
      <c r="F4" s="5"/>
    </row>
    <row r="5" spans="1:9" ht="16.5">
      <c r="A5" s="2">
        <v>3</v>
      </c>
      <c r="B5" s="7" t="s">
        <v>36</v>
      </c>
      <c r="C5" s="15" t="str">
        <f>'참여기업 정보'!D22</f>
        <v>연구 1팀</v>
      </c>
      <c r="D5" s="5"/>
      <c r="E5" s="5"/>
      <c r="F5" s="5"/>
    </row>
    <row r="6" spans="1:9" ht="16.5">
      <c r="A6" s="2">
        <v>4</v>
      </c>
      <c r="B6" s="7" t="s">
        <v>38</v>
      </c>
      <c r="C6" s="15" t="str">
        <f>'참여기업 정보'!D23</f>
        <v>프로</v>
      </c>
      <c r="D6" s="5"/>
      <c r="E6" s="5"/>
      <c r="F6" s="5"/>
    </row>
    <row r="7" spans="1:9" ht="16.5">
      <c r="A7" s="2">
        <v>5</v>
      </c>
      <c r="B7" s="7" t="s">
        <v>39</v>
      </c>
      <c r="C7" s="15" t="str">
        <f>'참여기업 정보'!D24</f>
        <v>010-0000-0000</v>
      </c>
      <c r="D7" s="5"/>
      <c r="E7" s="5"/>
      <c r="F7" s="5"/>
    </row>
    <row r="8" spans="1:9" ht="16.5">
      <c r="A8" s="2">
        <v>6</v>
      </c>
      <c r="B8" s="7" t="s">
        <v>40</v>
      </c>
      <c r="C8" s="15" t="str">
        <f>'참여기업 정보'!D25</f>
        <v>work@kseta.or.kr</v>
      </c>
      <c r="D8" s="5"/>
      <c r="E8" s="5"/>
      <c r="F8" s="5"/>
    </row>
    <row r="9" spans="1:9" ht="16.5">
      <c r="A9" s="2">
        <v>7</v>
      </c>
      <c r="B9" s="7" t="s">
        <v>67</v>
      </c>
      <c r="C9" s="15" t="str">
        <f>'참여기업 정보'!D27</f>
        <v>2024.11.18 ~ 2025.01.10</v>
      </c>
      <c r="D9" s="5"/>
      <c r="E9" s="5"/>
      <c r="F9" s="5"/>
    </row>
    <row r="10" spans="1:9" ht="16.5">
      <c r="A10" s="2">
        <v>8</v>
      </c>
      <c r="B10" s="6"/>
      <c r="C10" s="6"/>
      <c r="D10" s="6"/>
      <c r="E10" s="6"/>
      <c r="F10" s="6"/>
    </row>
    <row r="11" spans="1:9" ht="16.5">
      <c r="A11" s="2">
        <v>9</v>
      </c>
      <c r="B11" s="16" t="s">
        <v>68</v>
      </c>
      <c r="C11" s="6"/>
      <c r="D11" s="6"/>
      <c r="E11" s="6"/>
      <c r="F11" s="6"/>
    </row>
    <row r="12" spans="1:9" ht="16.5">
      <c r="A12" s="2">
        <v>10</v>
      </c>
      <c r="B12" s="16" t="s">
        <v>69</v>
      </c>
      <c r="C12" s="6"/>
      <c r="D12" s="6"/>
      <c r="E12" s="6"/>
      <c r="F12" s="6"/>
    </row>
    <row r="13" spans="1:9" ht="18.75">
      <c r="A13" s="2">
        <v>11</v>
      </c>
      <c r="B13" s="206" t="s">
        <v>70</v>
      </c>
      <c r="C13" s="207"/>
      <c r="D13" s="207"/>
      <c r="E13" s="207"/>
      <c r="F13" s="207"/>
    </row>
    <row r="14" spans="1:9" ht="19.5">
      <c r="A14" s="2">
        <v>12</v>
      </c>
      <c r="B14" s="208" t="s">
        <v>50</v>
      </c>
      <c r="C14" s="17" t="s">
        <v>71</v>
      </c>
      <c r="D14" s="212">
        <v>45618</v>
      </c>
      <c r="E14" s="213"/>
      <c r="F14" s="213"/>
    </row>
    <row r="15" spans="1:9" ht="63.75" customHeight="1">
      <c r="A15" s="2">
        <v>13</v>
      </c>
      <c r="B15" s="207"/>
      <c r="C15" s="17" t="s">
        <v>72</v>
      </c>
      <c r="D15" s="211" t="s">
        <v>86</v>
      </c>
      <c r="E15" s="207"/>
      <c r="F15" s="207"/>
    </row>
    <row r="16" spans="1:9" ht="19.5">
      <c r="A16" s="2">
        <v>14</v>
      </c>
      <c r="B16" s="208" t="s">
        <v>52</v>
      </c>
      <c r="C16" s="17" t="s">
        <v>71</v>
      </c>
      <c r="D16" s="209">
        <v>45625</v>
      </c>
      <c r="E16" s="207"/>
      <c r="F16" s="207"/>
    </row>
    <row r="17" spans="1:6" ht="77.25" customHeight="1">
      <c r="A17" s="2">
        <v>15</v>
      </c>
      <c r="B17" s="207"/>
      <c r="C17" s="17" t="s">
        <v>72</v>
      </c>
      <c r="D17" s="211" t="s">
        <v>86</v>
      </c>
      <c r="E17" s="207"/>
      <c r="F17" s="207"/>
    </row>
    <row r="18" spans="1:6" ht="19.5">
      <c r="A18" s="2">
        <v>16</v>
      </c>
      <c r="B18" s="208" t="s">
        <v>54</v>
      </c>
      <c r="C18" s="17" t="s">
        <v>71</v>
      </c>
      <c r="D18" s="209">
        <v>45632</v>
      </c>
      <c r="E18" s="207"/>
      <c r="F18" s="207"/>
    </row>
    <row r="19" spans="1:6" ht="16.5">
      <c r="A19" s="2">
        <v>17</v>
      </c>
      <c r="B19" s="207"/>
      <c r="C19" s="17" t="s">
        <v>72</v>
      </c>
      <c r="D19" s="210" t="s">
        <v>73</v>
      </c>
      <c r="E19" s="207"/>
      <c r="F19" s="207"/>
    </row>
    <row r="20" spans="1:6" ht="19.5">
      <c r="A20" s="2">
        <v>18</v>
      </c>
      <c r="B20" s="208" t="s">
        <v>56</v>
      </c>
      <c r="C20" s="17" t="s">
        <v>71</v>
      </c>
      <c r="D20" s="209">
        <v>45639</v>
      </c>
      <c r="E20" s="207"/>
      <c r="F20" s="207"/>
    </row>
    <row r="21" spans="1:6" ht="16.5">
      <c r="A21" s="2">
        <v>19</v>
      </c>
      <c r="B21" s="207"/>
      <c r="C21" s="17" t="s">
        <v>72</v>
      </c>
      <c r="D21" s="210" t="s">
        <v>73</v>
      </c>
      <c r="E21" s="207"/>
      <c r="F21" s="207"/>
    </row>
    <row r="22" spans="1:6" ht="19.5">
      <c r="A22" s="2">
        <v>20</v>
      </c>
      <c r="B22" s="208" t="s">
        <v>58</v>
      </c>
      <c r="C22" s="17" t="s">
        <v>71</v>
      </c>
      <c r="D22" s="209">
        <v>45646</v>
      </c>
      <c r="E22" s="207"/>
      <c r="F22" s="207"/>
    </row>
    <row r="23" spans="1:6" ht="16.5">
      <c r="A23" s="2">
        <v>21</v>
      </c>
      <c r="B23" s="207"/>
      <c r="C23" s="17" t="s">
        <v>72</v>
      </c>
      <c r="D23" s="210" t="s">
        <v>73</v>
      </c>
      <c r="E23" s="207"/>
      <c r="F23" s="207"/>
    </row>
    <row r="24" spans="1:6" ht="19.5">
      <c r="A24" s="2">
        <v>22</v>
      </c>
      <c r="B24" s="208" t="s">
        <v>60</v>
      </c>
      <c r="C24" s="17" t="s">
        <v>71</v>
      </c>
      <c r="D24" s="209">
        <v>45653</v>
      </c>
      <c r="E24" s="207"/>
      <c r="F24" s="207"/>
    </row>
    <row r="25" spans="1:6" ht="16.5">
      <c r="A25" s="2">
        <v>23</v>
      </c>
      <c r="B25" s="207"/>
      <c r="C25" s="17" t="s">
        <v>72</v>
      </c>
      <c r="D25" s="210" t="s">
        <v>73</v>
      </c>
      <c r="E25" s="207"/>
      <c r="F25" s="207"/>
    </row>
    <row r="26" spans="1:6" ht="19.5">
      <c r="A26" s="2">
        <v>24</v>
      </c>
      <c r="B26" s="208" t="s">
        <v>62</v>
      </c>
      <c r="C26" s="17" t="s">
        <v>71</v>
      </c>
      <c r="D26" s="209">
        <v>45660</v>
      </c>
      <c r="E26" s="207"/>
      <c r="F26" s="207"/>
    </row>
    <row r="27" spans="1:6" ht="16.5">
      <c r="A27" s="2">
        <v>25</v>
      </c>
      <c r="B27" s="207"/>
      <c r="C27" s="17" t="s">
        <v>72</v>
      </c>
      <c r="D27" s="210" t="s">
        <v>73</v>
      </c>
      <c r="E27" s="207"/>
      <c r="F27" s="207"/>
    </row>
    <row r="28" spans="1:6" ht="19.5">
      <c r="A28" s="2">
        <v>26</v>
      </c>
      <c r="B28" s="208" t="s">
        <v>64</v>
      </c>
      <c r="C28" s="17" t="s">
        <v>71</v>
      </c>
      <c r="D28" s="209">
        <v>45667</v>
      </c>
      <c r="E28" s="207"/>
      <c r="F28" s="207"/>
    </row>
    <row r="29" spans="1:6" ht="16.5">
      <c r="A29" s="2">
        <v>27</v>
      </c>
      <c r="B29" s="207"/>
      <c r="C29" s="17" t="s">
        <v>72</v>
      </c>
      <c r="D29" s="210" t="s">
        <v>73</v>
      </c>
      <c r="E29" s="207"/>
      <c r="F29" s="207"/>
    </row>
    <row r="30" spans="1:6" ht="16.5">
      <c r="A30" s="2">
        <v>28</v>
      </c>
    </row>
    <row r="31" spans="1:6" ht="16.5">
      <c r="A31" s="2">
        <v>29</v>
      </c>
    </row>
    <row r="32" spans="1:6" ht="16.5">
      <c r="A32" s="2">
        <v>30</v>
      </c>
    </row>
  </sheetData>
  <mergeCells count="26">
    <mergeCell ref="B16:B17"/>
    <mergeCell ref="D16:F16"/>
    <mergeCell ref="D17:F17"/>
    <mergeCell ref="B2:F2"/>
    <mergeCell ref="B13:F13"/>
    <mergeCell ref="B14:B15"/>
    <mergeCell ref="D14:F14"/>
    <mergeCell ref="D15:F15"/>
    <mergeCell ref="B18:B19"/>
    <mergeCell ref="D18:F18"/>
    <mergeCell ref="D19:F19"/>
    <mergeCell ref="B20:B21"/>
    <mergeCell ref="D20:F20"/>
    <mergeCell ref="D21:F21"/>
    <mergeCell ref="B22:B23"/>
    <mergeCell ref="D22:F22"/>
    <mergeCell ref="D23:F23"/>
    <mergeCell ref="B24:B25"/>
    <mergeCell ref="D24:F24"/>
    <mergeCell ref="D25:F25"/>
    <mergeCell ref="B26:B27"/>
    <mergeCell ref="D26:F26"/>
    <mergeCell ref="D27:F27"/>
    <mergeCell ref="B28:B29"/>
    <mergeCell ref="D28:F28"/>
    <mergeCell ref="D29:F29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Drop Down 4">
              <controlPr defaultSize="0" autoLine="0" autoPict="0" macro="[0]!목차드롭다운">
                <anchor moveWithCells="1">
                  <from>
                    <xdr:col>7</xdr:col>
                    <xdr:colOff>19050</xdr:colOff>
                    <xdr:row>2</xdr:row>
                    <xdr:rowOff>19050</xdr:rowOff>
                  </from>
                  <to>
                    <xdr:col>10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0FD9B-F33B-4E0D-9386-F92AC96A2A6D}">
  <sheetPr codeName="Sheet5"/>
  <dimension ref="A1:I39"/>
  <sheetViews>
    <sheetView workbookViewId="0"/>
  </sheetViews>
  <sheetFormatPr defaultRowHeight="12.75"/>
  <cols>
    <col min="1" max="1" width="14" customWidth="1"/>
    <col min="2" max="2" width="11.28515625" bestFit="1" customWidth="1"/>
    <col min="3" max="3" width="30.5703125" bestFit="1" customWidth="1"/>
    <col min="4" max="4" width="34.28515625" customWidth="1"/>
  </cols>
  <sheetData>
    <row r="1" spans="1:9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25.5" customHeight="1">
      <c r="A2" s="3">
        <v>0</v>
      </c>
      <c r="B2" s="206" t="s">
        <v>66</v>
      </c>
      <c r="C2" s="207"/>
      <c r="D2" s="207"/>
      <c r="E2" s="207"/>
      <c r="F2" s="207"/>
    </row>
    <row r="3" spans="1:9" ht="16.5">
      <c r="A3" s="2">
        <v>1</v>
      </c>
      <c r="B3" s="7" t="s">
        <v>47</v>
      </c>
      <c r="C3" s="8" t="str">
        <f>'참여기업 정보'!D4</f>
        <v>(주)소연</v>
      </c>
      <c r="D3" s="5"/>
      <c r="E3" s="5"/>
      <c r="F3" s="5"/>
    </row>
    <row r="4" spans="1:9" ht="16.5">
      <c r="A4" s="2">
        <v>2</v>
      </c>
      <c r="B4" s="7" t="s">
        <v>34</v>
      </c>
      <c r="C4" s="15" t="str">
        <f>'참여기업 정보'!D21</f>
        <v>이소연</v>
      </c>
      <c r="D4" s="5"/>
      <c r="E4" s="5"/>
      <c r="F4" s="5"/>
    </row>
    <row r="5" spans="1:9" ht="16.5">
      <c r="A5" s="2">
        <v>3</v>
      </c>
      <c r="B5" s="7" t="s">
        <v>36</v>
      </c>
      <c r="C5" s="15" t="str">
        <f>'참여기업 정보'!D22</f>
        <v>연구 1팀</v>
      </c>
      <c r="D5" s="5"/>
      <c r="E5" s="5"/>
      <c r="F5" s="5"/>
    </row>
    <row r="6" spans="1:9" ht="16.5">
      <c r="A6" s="2">
        <v>4</v>
      </c>
      <c r="B6" s="7" t="s">
        <v>38</v>
      </c>
      <c r="C6" s="15" t="str">
        <f>'참여기업 정보'!D23</f>
        <v>프로</v>
      </c>
      <c r="D6" s="5"/>
      <c r="E6" s="5"/>
      <c r="F6" s="5"/>
    </row>
    <row r="7" spans="1:9" ht="16.5">
      <c r="A7" s="2">
        <v>5</v>
      </c>
      <c r="B7" s="7" t="s">
        <v>39</v>
      </c>
      <c r="C7" s="15" t="str">
        <f>'참여기업 정보'!D24</f>
        <v>010-0000-0000</v>
      </c>
      <c r="D7" s="5"/>
      <c r="E7" s="5"/>
      <c r="F7" s="5"/>
    </row>
    <row r="8" spans="1:9" ht="16.5">
      <c r="A8" s="2">
        <v>6</v>
      </c>
      <c r="B8" s="7" t="s">
        <v>40</v>
      </c>
      <c r="C8" s="15" t="str">
        <f>'참여기업 정보'!D25</f>
        <v>work@kseta.or.kr</v>
      </c>
      <c r="D8" s="5"/>
      <c r="E8" s="5"/>
      <c r="F8" s="5"/>
    </row>
    <row r="9" spans="1:9" ht="16.5">
      <c r="A9" s="2">
        <v>7</v>
      </c>
      <c r="B9" s="7" t="s">
        <v>67</v>
      </c>
      <c r="C9" s="15" t="str">
        <f>'참여기업 정보'!D27</f>
        <v>2024.11.18 ~ 2025.01.10</v>
      </c>
      <c r="D9" s="5"/>
      <c r="E9" s="5"/>
      <c r="F9" s="5"/>
    </row>
    <row r="10" spans="1:9" ht="19.5">
      <c r="A10" s="2">
        <v>8</v>
      </c>
      <c r="B10" s="18"/>
      <c r="C10" s="19"/>
      <c r="D10" s="19"/>
      <c r="E10" s="19"/>
      <c r="F10" s="19"/>
    </row>
    <row r="11" spans="1:9" ht="19.5">
      <c r="A11" s="2">
        <v>9</v>
      </c>
      <c r="B11" s="216" t="s">
        <v>74</v>
      </c>
      <c r="C11" s="217"/>
      <c r="D11" s="217"/>
      <c r="E11" s="217"/>
      <c r="F11" s="217"/>
    </row>
    <row r="12" spans="1:9" ht="18.75">
      <c r="A12" s="2">
        <v>10</v>
      </c>
      <c r="B12" s="206" t="s">
        <v>75</v>
      </c>
      <c r="C12" s="207"/>
      <c r="D12" s="207"/>
      <c r="E12" s="207"/>
      <c r="F12" s="207"/>
    </row>
    <row r="13" spans="1:9" ht="16.5">
      <c r="A13" s="2">
        <v>11</v>
      </c>
      <c r="B13" s="208" t="s">
        <v>50</v>
      </c>
      <c r="C13" s="17" t="s">
        <v>76</v>
      </c>
      <c r="D13" s="214" t="str">
        <f>'일경험 운영계획서'!C21</f>
        <v>모바일 앱 개발 기초와 필수 도구 소개</v>
      </c>
      <c r="E13" s="207"/>
      <c r="F13" s="207"/>
    </row>
    <row r="14" spans="1:9" ht="16.5">
      <c r="A14" s="2">
        <v>12</v>
      </c>
      <c r="B14" s="207"/>
      <c r="C14" s="17" t="s">
        <v>77</v>
      </c>
      <c r="D14" s="215"/>
      <c r="E14" s="207"/>
      <c r="F14" s="207"/>
    </row>
    <row r="15" spans="1:9" ht="16.5">
      <c r="A15" s="2">
        <v>13</v>
      </c>
      <c r="B15" s="207"/>
      <c r="C15" s="17" t="s">
        <v>78</v>
      </c>
      <c r="D15" s="215"/>
      <c r="E15" s="207"/>
      <c r="F15" s="207"/>
    </row>
    <row r="16" spans="1:9" ht="16.5">
      <c r="A16" s="2">
        <v>14</v>
      </c>
      <c r="B16" s="208" t="s">
        <v>52</v>
      </c>
      <c r="C16" s="17" t="s">
        <v>76</v>
      </c>
      <c r="D16" s="214" t="str">
        <f>'일경험 운영계획서'!C22</f>
        <v>앱 화면 설계 및 사용자 경험(UX) 기초</v>
      </c>
      <c r="E16" s="207"/>
      <c r="F16" s="207"/>
    </row>
    <row r="17" spans="1:6" ht="16.5">
      <c r="A17" s="2">
        <v>15</v>
      </c>
      <c r="B17" s="207"/>
      <c r="C17" s="17" t="s">
        <v>77</v>
      </c>
      <c r="D17" s="215"/>
      <c r="E17" s="215"/>
      <c r="F17" s="215"/>
    </row>
    <row r="18" spans="1:6" ht="16.5">
      <c r="A18" s="2">
        <v>16</v>
      </c>
      <c r="B18" s="207"/>
      <c r="C18" s="17" t="s">
        <v>78</v>
      </c>
      <c r="D18" s="215"/>
      <c r="E18" s="215"/>
      <c r="F18" s="215"/>
    </row>
    <row r="19" spans="1:6" ht="16.5">
      <c r="A19" s="2">
        <v>17</v>
      </c>
      <c r="B19" s="208" t="s">
        <v>54</v>
      </c>
      <c r="C19" s="17" t="s">
        <v>76</v>
      </c>
      <c r="D19" s="214" t="str">
        <f>'일경험 운영계획서'!C23</f>
        <v>앱 레이아웃 구성 – XML 및 기본 위젯 활용</v>
      </c>
      <c r="E19" s="214"/>
      <c r="F19" s="214"/>
    </row>
    <row r="20" spans="1:6" ht="16.5">
      <c r="A20" s="2">
        <v>18</v>
      </c>
      <c r="B20" s="207"/>
      <c r="C20" s="17" t="s">
        <v>77</v>
      </c>
      <c r="D20" s="215"/>
      <c r="E20" s="215"/>
      <c r="F20" s="215"/>
    </row>
    <row r="21" spans="1:6" ht="16.5">
      <c r="A21" s="2">
        <v>19</v>
      </c>
      <c r="B21" s="207"/>
      <c r="C21" s="17" t="s">
        <v>78</v>
      </c>
      <c r="D21" s="215"/>
      <c r="E21" s="215"/>
      <c r="F21" s="215"/>
    </row>
    <row r="22" spans="1:6" ht="16.5">
      <c r="A22" s="2">
        <v>20</v>
      </c>
      <c r="B22" s="208" t="s">
        <v>56</v>
      </c>
      <c r="C22" s="17" t="s">
        <v>76</v>
      </c>
      <c r="D22" s="214" t="str">
        <f>'일경험 운영계획서'!C24</f>
        <v>사용자 인터랙션 추가 – 이벤트 및 터치 기능</v>
      </c>
      <c r="E22" s="214"/>
      <c r="F22" s="214"/>
    </row>
    <row r="23" spans="1:6" ht="16.5">
      <c r="A23" s="2">
        <v>21</v>
      </c>
      <c r="B23" s="207"/>
      <c r="C23" s="17" t="s">
        <v>77</v>
      </c>
      <c r="D23" s="214"/>
      <c r="E23" s="214"/>
      <c r="F23" s="214"/>
    </row>
    <row r="24" spans="1:6" ht="16.5">
      <c r="A24" s="2">
        <v>22</v>
      </c>
      <c r="B24" s="207"/>
      <c r="C24" s="17" t="s">
        <v>78</v>
      </c>
      <c r="D24" s="214"/>
      <c r="E24" s="214"/>
      <c r="F24" s="214"/>
    </row>
    <row r="25" spans="1:6" ht="16.5">
      <c r="A25" s="2">
        <v>23</v>
      </c>
      <c r="B25" s="208" t="s">
        <v>58</v>
      </c>
      <c r="C25" s="17" t="s">
        <v>76</v>
      </c>
      <c r="D25" s="214" t="str">
        <f>'일경험 운영계획서'!C25</f>
        <v>데이터 저장 및 관리 – SQLite와 로컬 데이터</v>
      </c>
      <c r="E25" s="214"/>
      <c r="F25" s="214"/>
    </row>
    <row r="26" spans="1:6" ht="16.5">
      <c r="A26" s="2">
        <v>24</v>
      </c>
      <c r="B26" s="207"/>
      <c r="C26" s="17" t="s">
        <v>77</v>
      </c>
      <c r="D26" s="214"/>
      <c r="E26" s="207"/>
      <c r="F26" s="207"/>
    </row>
    <row r="27" spans="1:6" ht="16.5">
      <c r="A27" s="2">
        <v>25</v>
      </c>
      <c r="B27" s="207"/>
      <c r="C27" s="17" t="s">
        <v>78</v>
      </c>
      <c r="D27" s="214"/>
      <c r="E27" s="207"/>
      <c r="F27" s="207"/>
    </row>
    <row r="28" spans="1:6" ht="16.5">
      <c r="A28" s="2">
        <v>26</v>
      </c>
      <c r="B28" s="208" t="s">
        <v>60</v>
      </c>
      <c r="C28" s="17" t="s">
        <v>76</v>
      </c>
      <c r="D28" s="214" t="str">
        <f>'일경험 운영계획서'!C26</f>
        <v>네트워크 통신 – API 활용 및 데이터 연동</v>
      </c>
      <c r="E28" s="207"/>
      <c r="F28" s="207"/>
    </row>
    <row r="29" spans="1:6" ht="16.5">
      <c r="A29" s="2">
        <v>27</v>
      </c>
      <c r="B29" s="207"/>
      <c r="C29" s="17" t="s">
        <v>77</v>
      </c>
      <c r="D29" s="215"/>
      <c r="E29" s="207"/>
      <c r="F29" s="207"/>
    </row>
    <row r="30" spans="1:6" ht="16.5">
      <c r="A30" s="2">
        <v>28</v>
      </c>
      <c r="B30" s="207"/>
      <c r="C30" s="17" t="s">
        <v>78</v>
      </c>
      <c r="D30" s="215"/>
      <c r="E30" s="207"/>
      <c r="F30" s="207"/>
    </row>
    <row r="31" spans="1:6" ht="16.5">
      <c r="A31" s="2">
        <v>29</v>
      </c>
      <c r="B31" s="208" t="s">
        <v>62</v>
      </c>
      <c r="C31" s="17" t="s">
        <v>76</v>
      </c>
      <c r="D31" s="214" t="str">
        <f>'일경험 운영계획서'!C27</f>
        <v>앱 성능 최적화와 디버깅</v>
      </c>
      <c r="E31" s="207"/>
      <c r="F31" s="207"/>
    </row>
    <row r="32" spans="1:6" ht="16.5">
      <c r="A32" s="2">
        <v>30</v>
      </c>
      <c r="B32" s="207"/>
      <c r="C32" s="17" t="s">
        <v>77</v>
      </c>
      <c r="D32" s="215"/>
      <c r="E32" s="207"/>
      <c r="F32" s="207"/>
    </row>
    <row r="33" spans="1:6" ht="16.5">
      <c r="A33" s="2">
        <v>31</v>
      </c>
      <c r="B33" s="207"/>
      <c r="C33" s="17" t="s">
        <v>78</v>
      </c>
      <c r="D33" s="215"/>
      <c r="E33" s="207"/>
      <c r="F33" s="207"/>
    </row>
    <row r="34" spans="1:6" ht="16.5">
      <c r="A34" s="2">
        <v>32</v>
      </c>
      <c r="B34" s="208" t="s">
        <v>64</v>
      </c>
      <c r="C34" s="17" t="s">
        <v>76</v>
      </c>
      <c r="D34" s="214" t="str">
        <f>'일경험 운영계획서'!C28</f>
        <v>앱 배포 및 유지 관리 전략</v>
      </c>
      <c r="E34" s="207"/>
      <c r="F34" s="207"/>
    </row>
    <row r="35" spans="1:6" ht="16.5">
      <c r="A35" s="2">
        <v>33</v>
      </c>
      <c r="B35" s="207"/>
      <c r="C35" s="17" t="s">
        <v>77</v>
      </c>
      <c r="D35" s="215"/>
      <c r="E35" s="207"/>
      <c r="F35" s="207"/>
    </row>
    <row r="36" spans="1:6" ht="16.5">
      <c r="A36" s="2">
        <v>34</v>
      </c>
      <c r="B36" s="207"/>
      <c r="C36" s="17" t="s">
        <v>78</v>
      </c>
      <c r="D36" s="215"/>
      <c r="E36" s="207"/>
      <c r="F36" s="207"/>
    </row>
    <row r="37" spans="1:6" ht="16.5">
      <c r="A37" s="2">
        <v>35</v>
      </c>
    </row>
    <row r="38" spans="1:6" ht="16.5">
      <c r="A38" s="2">
        <v>36</v>
      </c>
    </row>
    <row r="39" spans="1:6" ht="16.5">
      <c r="A39" s="2">
        <v>37</v>
      </c>
    </row>
  </sheetData>
  <mergeCells count="35">
    <mergeCell ref="B2:F2"/>
    <mergeCell ref="B11:F11"/>
    <mergeCell ref="B12:F12"/>
    <mergeCell ref="B13:B15"/>
    <mergeCell ref="D13:F13"/>
    <mergeCell ref="D14:F14"/>
    <mergeCell ref="D15:F15"/>
    <mergeCell ref="B16:B18"/>
    <mergeCell ref="D16:F16"/>
    <mergeCell ref="D17:F17"/>
    <mergeCell ref="D18:F18"/>
    <mergeCell ref="B19:B21"/>
    <mergeCell ref="D19:F19"/>
    <mergeCell ref="D20:F20"/>
    <mergeCell ref="D21:F21"/>
    <mergeCell ref="B22:B24"/>
    <mergeCell ref="D22:F22"/>
    <mergeCell ref="D23:F23"/>
    <mergeCell ref="D24:F24"/>
    <mergeCell ref="B25:B27"/>
    <mergeCell ref="D25:F25"/>
    <mergeCell ref="D26:F26"/>
    <mergeCell ref="D27:F27"/>
    <mergeCell ref="B34:B36"/>
    <mergeCell ref="D34:F34"/>
    <mergeCell ref="D35:F35"/>
    <mergeCell ref="D36:F36"/>
    <mergeCell ref="B28:B30"/>
    <mergeCell ref="D28:F28"/>
    <mergeCell ref="D29:F29"/>
    <mergeCell ref="D30:F30"/>
    <mergeCell ref="B31:B33"/>
    <mergeCell ref="D31:F31"/>
    <mergeCell ref="D32:F32"/>
    <mergeCell ref="D33:F33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Drop Down 3">
              <controlPr defaultSize="0" autoLine="0" autoPict="0" macro="[0]!목차드롭다운">
                <anchor moveWithCells="1">
                  <from>
                    <xdr:col>6</xdr:col>
                    <xdr:colOff>647700</xdr:colOff>
                    <xdr:row>1</xdr:row>
                    <xdr:rowOff>228600</xdr:rowOff>
                  </from>
                  <to>
                    <xdr:col>10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B3702-22B0-4290-B8B8-6D911E04A015}">
  <sheetPr codeName="Sheet6"/>
  <dimension ref="A1:G24"/>
  <sheetViews>
    <sheetView workbookViewId="0"/>
  </sheetViews>
  <sheetFormatPr defaultRowHeight="12.75"/>
  <cols>
    <col min="1" max="1" width="14" customWidth="1"/>
    <col min="2" max="2" width="16.28515625" bestFit="1" customWidth="1"/>
  </cols>
  <sheetData>
    <row r="1" spans="1:7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</row>
    <row r="2" spans="1:7" ht="18.75">
      <c r="A2" s="3">
        <v>0</v>
      </c>
      <c r="B2" s="206" t="s">
        <v>66</v>
      </c>
      <c r="C2" s="207"/>
      <c r="D2" s="207"/>
      <c r="E2" s="207"/>
      <c r="F2" s="207"/>
    </row>
    <row r="3" spans="1:7" ht="16.5">
      <c r="A3" s="2">
        <v>1</v>
      </c>
      <c r="B3" s="7" t="s">
        <v>47</v>
      </c>
      <c r="C3" s="15" t="str">
        <f>'참여기업 정보'!D4</f>
        <v>(주)소연</v>
      </c>
      <c r="D3" s="5"/>
      <c r="E3" s="5"/>
      <c r="F3" s="5"/>
    </row>
    <row r="4" spans="1:7" ht="16.5">
      <c r="A4" s="2">
        <v>2</v>
      </c>
      <c r="B4" s="7" t="s">
        <v>24</v>
      </c>
      <c r="C4" s="15" t="str">
        <f>'참여기업 정보'!D15</f>
        <v>김주혁</v>
      </c>
      <c r="D4" s="5"/>
      <c r="E4" s="5"/>
      <c r="F4" s="5"/>
    </row>
    <row r="5" spans="1:7" ht="16.5">
      <c r="A5" s="2">
        <v>3</v>
      </c>
      <c r="B5" s="7" t="s">
        <v>26</v>
      </c>
      <c r="C5" s="15" t="str">
        <f>'참여기업 정보'!D16</f>
        <v>프로</v>
      </c>
      <c r="D5" s="5"/>
      <c r="E5" s="5"/>
      <c r="F5" s="5"/>
    </row>
    <row r="6" spans="1:7" ht="16.5">
      <c r="A6" s="2">
        <v>4</v>
      </c>
      <c r="B6" s="7" t="s">
        <v>28</v>
      </c>
      <c r="C6" s="15" t="str">
        <f>'참여기업 정보'!D17</f>
        <v>마케팅팀</v>
      </c>
      <c r="D6" s="5"/>
      <c r="E6" s="5"/>
      <c r="F6" s="5"/>
    </row>
    <row r="7" spans="1:7" ht="16.5">
      <c r="A7" s="2">
        <v>5</v>
      </c>
      <c r="B7" s="7" t="s">
        <v>30</v>
      </c>
      <c r="C7" s="15" t="str">
        <f>'참여기업 정보'!D18</f>
        <v>010-0000-0000</v>
      </c>
      <c r="D7" s="5"/>
      <c r="E7" s="5"/>
      <c r="F7" s="5"/>
    </row>
    <row r="8" spans="1:7" ht="16.5">
      <c r="A8" s="2">
        <v>6</v>
      </c>
      <c r="B8" s="7" t="s">
        <v>32</v>
      </c>
      <c r="C8" s="15" t="str">
        <f>'참여기업 정보'!D19</f>
        <v>work@kseta.or.kr</v>
      </c>
      <c r="D8" s="5"/>
      <c r="E8" s="5"/>
      <c r="F8" s="5"/>
    </row>
    <row r="9" spans="1:7" ht="16.5">
      <c r="A9" s="2">
        <v>7</v>
      </c>
      <c r="B9" s="7" t="s">
        <v>67</v>
      </c>
      <c r="C9" s="15" t="str">
        <f>'참여기업 정보'!D27</f>
        <v>2024.11.18 ~ 2025.01.10</v>
      </c>
      <c r="D9" s="5"/>
      <c r="E9" s="5"/>
      <c r="F9" s="5"/>
    </row>
    <row r="10" spans="1:7" ht="18.75">
      <c r="A10" s="2">
        <v>8</v>
      </c>
      <c r="B10" s="7" t="s">
        <v>43</v>
      </c>
      <c r="C10" s="15" t="str">
        <f>'참여기업 정보'!D29</f>
        <v>개발팀</v>
      </c>
      <c r="D10" s="19"/>
      <c r="E10" s="19"/>
      <c r="F10" s="19"/>
    </row>
    <row r="11" spans="1:7" ht="18.75">
      <c r="A11" s="2">
        <v>9</v>
      </c>
      <c r="B11" s="20"/>
      <c r="C11" s="19"/>
      <c r="D11" s="19"/>
      <c r="E11" s="19"/>
      <c r="F11" s="19"/>
    </row>
    <row r="12" spans="1:7" ht="19.5">
      <c r="A12" s="2">
        <v>10</v>
      </c>
      <c r="B12" s="216" t="s">
        <v>79</v>
      </c>
      <c r="C12" s="217"/>
      <c r="D12" s="217"/>
      <c r="E12" s="217"/>
      <c r="F12" s="217"/>
    </row>
    <row r="13" spans="1:7" ht="18.75">
      <c r="A13" s="2">
        <v>11</v>
      </c>
      <c r="B13" s="206" t="s">
        <v>80</v>
      </c>
      <c r="C13" s="207"/>
      <c r="D13" s="207"/>
      <c r="E13" s="207"/>
      <c r="F13" s="207"/>
    </row>
    <row r="14" spans="1:7" ht="16.5">
      <c r="A14" s="2">
        <v>12</v>
      </c>
      <c r="B14" s="208" t="s">
        <v>81</v>
      </c>
      <c r="C14" s="210"/>
      <c r="D14" s="217"/>
      <c r="E14" s="217"/>
      <c r="F14" s="207"/>
    </row>
    <row r="15" spans="1:7" ht="16.5">
      <c r="A15" s="2">
        <v>13</v>
      </c>
      <c r="B15" s="207"/>
      <c r="C15" s="217"/>
      <c r="D15" s="217"/>
      <c r="E15" s="217"/>
      <c r="F15" s="207"/>
    </row>
    <row r="16" spans="1:7" ht="16.5">
      <c r="A16" s="2">
        <v>14</v>
      </c>
      <c r="B16" s="207"/>
      <c r="C16" s="207"/>
      <c r="D16" s="207"/>
      <c r="E16" s="207"/>
      <c r="F16" s="207"/>
    </row>
    <row r="17" spans="1:6" ht="16.5">
      <c r="A17" s="2">
        <v>15</v>
      </c>
      <c r="B17" s="208" t="s">
        <v>82</v>
      </c>
      <c r="C17" s="210"/>
      <c r="D17" s="217"/>
      <c r="E17" s="217"/>
      <c r="F17" s="207"/>
    </row>
    <row r="18" spans="1:6" ht="16.5">
      <c r="A18" s="2">
        <v>16</v>
      </c>
      <c r="B18" s="207"/>
      <c r="C18" s="217"/>
      <c r="D18" s="217"/>
      <c r="E18" s="217"/>
      <c r="F18" s="207"/>
    </row>
    <row r="19" spans="1:6" ht="16.5">
      <c r="A19" s="2">
        <v>17</v>
      </c>
      <c r="B19" s="207"/>
      <c r="C19" s="207"/>
      <c r="D19" s="207"/>
      <c r="E19" s="207"/>
      <c r="F19" s="207"/>
    </row>
    <row r="20" spans="1:6" ht="16.5">
      <c r="A20" s="2">
        <v>18</v>
      </c>
      <c r="B20" s="208" t="s">
        <v>83</v>
      </c>
      <c r="C20" s="210"/>
      <c r="D20" s="217"/>
      <c r="E20" s="217"/>
      <c r="F20" s="207"/>
    </row>
    <row r="21" spans="1:6" ht="16.5">
      <c r="A21" s="2">
        <v>19</v>
      </c>
      <c r="B21" s="207"/>
      <c r="C21" s="217"/>
      <c r="D21" s="217"/>
      <c r="E21" s="217"/>
      <c r="F21" s="207"/>
    </row>
    <row r="22" spans="1:6" ht="16.5">
      <c r="A22" s="2">
        <v>20</v>
      </c>
      <c r="B22" s="207"/>
      <c r="C22" s="207"/>
      <c r="D22" s="207"/>
      <c r="E22" s="207"/>
      <c r="F22" s="207"/>
    </row>
    <row r="23" spans="1:6" ht="16.5">
      <c r="A23" s="2">
        <v>21</v>
      </c>
    </row>
    <row r="24" spans="1:6" ht="16.5">
      <c r="A24" s="2"/>
    </row>
  </sheetData>
  <mergeCells count="9">
    <mergeCell ref="B20:B22"/>
    <mergeCell ref="C20:F22"/>
    <mergeCell ref="B2:F2"/>
    <mergeCell ref="B12:F12"/>
    <mergeCell ref="B13:F13"/>
    <mergeCell ref="B14:B16"/>
    <mergeCell ref="C14:F16"/>
    <mergeCell ref="B17:B19"/>
    <mergeCell ref="C17:F19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Drop Down 2">
              <controlPr defaultSize="0" autoLine="0" autoPict="0" macro="[0]!목차드롭다운">
                <anchor moveWithCells="1">
                  <from>
                    <xdr:col>6</xdr:col>
                    <xdr:colOff>628650</xdr:colOff>
                    <xdr:row>2</xdr:row>
                    <xdr:rowOff>0</xdr:rowOff>
                  </from>
                  <to>
                    <xdr:col>10</xdr:col>
                    <xdr:colOff>400050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A53EC-8061-4C5C-ADE3-2163AC242321}">
  <sheetPr codeName="Sheet7"/>
  <dimension ref="A1:AL63"/>
  <sheetViews>
    <sheetView workbookViewId="0">
      <selection activeCell="K29" sqref="K29"/>
    </sheetView>
  </sheetViews>
  <sheetFormatPr defaultRowHeight="12.75"/>
  <cols>
    <col min="1" max="1" width="14" customWidth="1"/>
    <col min="2" max="2" width="19.5703125" customWidth="1"/>
    <col min="3" max="3" width="29" customWidth="1"/>
  </cols>
  <sheetData>
    <row r="1" spans="1:38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6.25">
      <c r="A2" s="3">
        <v>0</v>
      </c>
      <c r="B2" s="218" t="s">
        <v>143</v>
      </c>
      <c r="C2" s="219"/>
      <c r="D2" s="64"/>
      <c r="E2" s="65"/>
      <c r="F2" s="66"/>
      <c r="G2" s="48"/>
    </row>
    <row r="3" spans="1:38" ht="16.5">
      <c r="A3" s="2">
        <v>1</v>
      </c>
      <c r="B3" s="7" t="s">
        <v>87</v>
      </c>
      <c r="C3" s="21" t="s">
        <v>140</v>
      </c>
      <c r="D3" s="30"/>
      <c r="E3" s="25"/>
      <c r="F3" s="24"/>
    </row>
    <row r="4" spans="1:38" ht="16.5">
      <c r="A4" s="2">
        <v>2</v>
      </c>
      <c r="B4" s="7" t="s">
        <v>88</v>
      </c>
      <c r="C4" s="21" t="s">
        <v>141</v>
      </c>
      <c r="D4" s="30"/>
      <c r="E4" s="57"/>
      <c r="F4" s="32"/>
    </row>
    <row r="5" spans="1:38" ht="16.5">
      <c r="A5" s="2">
        <v>3</v>
      </c>
      <c r="B5" s="72"/>
      <c r="C5" s="73"/>
      <c r="D5" s="59"/>
      <c r="E5" s="59"/>
      <c r="F5" s="61"/>
    </row>
    <row r="6" spans="1:38" ht="16.5">
      <c r="A6" s="2">
        <v>4</v>
      </c>
      <c r="B6" s="7" t="s">
        <v>89</v>
      </c>
      <c r="C6" s="15" t="s">
        <v>142</v>
      </c>
      <c r="D6" s="30"/>
      <c r="E6" s="59"/>
      <c r="F6" s="24"/>
    </row>
    <row r="7" spans="1:38" ht="16.5">
      <c r="A7" s="2">
        <v>5</v>
      </c>
      <c r="B7" s="77"/>
      <c r="C7" s="78"/>
      <c r="D7" s="24"/>
      <c r="E7" s="25"/>
      <c r="F7" s="24"/>
    </row>
    <row r="8" spans="1:38" ht="16.5">
      <c r="A8" s="74">
        <v>6</v>
      </c>
      <c r="B8" s="79"/>
      <c r="C8" s="75"/>
      <c r="D8" s="58"/>
      <c r="E8" s="57"/>
      <c r="F8" s="32"/>
    </row>
    <row r="9" spans="1:38" ht="16.5">
      <c r="A9" s="2">
        <v>7</v>
      </c>
      <c r="B9" s="80"/>
      <c r="C9" s="75"/>
      <c r="D9" s="60"/>
      <c r="E9" s="22"/>
      <c r="F9" s="24"/>
    </row>
    <row r="10" spans="1:38" ht="18.75">
      <c r="A10" s="74">
        <v>8</v>
      </c>
      <c r="B10" s="79"/>
      <c r="C10" s="76"/>
      <c r="D10" s="63"/>
      <c r="E10" s="63"/>
      <c r="F10" s="62"/>
    </row>
    <row r="11" spans="1:38" ht="16.5">
      <c r="A11" s="2">
        <v>9</v>
      </c>
    </row>
    <row r="12" spans="1:38" ht="16.5">
      <c r="A12" s="2">
        <v>10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1</xdr:row>
                    <xdr:rowOff>285750</xdr:rowOff>
                  </from>
                  <to>
                    <xdr:col>7</xdr:col>
                    <xdr:colOff>419100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9001-9400-473C-80BF-B949DAFEF943}">
  <sheetPr codeName="Sheet8"/>
  <dimension ref="A1:AL65"/>
  <sheetViews>
    <sheetView workbookViewId="0"/>
  </sheetViews>
  <sheetFormatPr defaultRowHeight="12.75"/>
  <cols>
    <col min="1" max="1" width="14" customWidth="1"/>
    <col min="2" max="2" width="30" bestFit="1" customWidth="1"/>
    <col min="3" max="3" width="22" bestFit="1" customWidth="1"/>
  </cols>
  <sheetData>
    <row r="1" spans="1:38" ht="24">
      <c r="A1" s="1" t="s">
        <v>84</v>
      </c>
      <c r="B1" s="4">
        <v>1</v>
      </c>
      <c r="C1" s="4">
        <v>2</v>
      </c>
      <c r="D1" s="46">
        <v>3</v>
      </c>
      <c r="E1" s="4">
        <v>4</v>
      </c>
      <c r="F1" s="46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6.25">
      <c r="A2" s="3">
        <v>0</v>
      </c>
      <c r="B2" s="222" t="s">
        <v>144</v>
      </c>
      <c r="C2" s="223"/>
      <c r="D2" s="50"/>
      <c r="E2" s="47"/>
      <c r="F2" s="51"/>
      <c r="G2" s="48"/>
    </row>
    <row r="3" spans="1:38" ht="18.75">
      <c r="A3" s="3">
        <v>1</v>
      </c>
      <c r="B3" s="220" t="s">
        <v>103</v>
      </c>
      <c r="C3" s="221"/>
      <c r="D3" s="49"/>
      <c r="E3" s="34"/>
      <c r="F3" s="34"/>
    </row>
    <row r="4" spans="1:38" ht="16.5">
      <c r="A4" s="3">
        <v>2</v>
      </c>
      <c r="B4" s="52" t="s">
        <v>90</v>
      </c>
      <c r="C4" s="31" t="s">
        <v>125</v>
      </c>
      <c r="D4" s="35"/>
      <c r="E4" s="36"/>
      <c r="F4" s="36"/>
      <c r="G4" s="23"/>
    </row>
    <row r="5" spans="1:38" ht="16.5">
      <c r="A5" s="3">
        <v>3</v>
      </c>
      <c r="B5" s="7" t="s">
        <v>91</v>
      </c>
      <c r="C5" s="21" t="s">
        <v>119</v>
      </c>
      <c r="D5" s="35"/>
      <c r="E5" s="37"/>
      <c r="F5" s="36"/>
    </row>
    <row r="6" spans="1:38" ht="16.5">
      <c r="A6" s="3">
        <v>4</v>
      </c>
      <c r="B6" s="7" t="s">
        <v>92</v>
      </c>
      <c r="C6" s="15" t="s">
        <v>126</v>
      </c>
      <c r="D6" s="38"/>
      <c r="E6" s="37"/>
      <c r="F6" s="36"/>
      <c r="G6" s="83"/>
      <c r="H6" s="23"/>
    </row>
    <row r="7" spans="1:38" ht="16.5">
      <c r="A7" s="3">
        <v>5</v>
      </c>
      <c r="B7" s="7" t="s">
        <v>93</v>
      </c>
      <c r="C7" s="21" t="s">
        <v>127</v>
      </c>
      <c r="D7" s="35"/>
      <c r="E7" s="37"/>
      <c r="F7" s="36"/>
      <c r="G7" s="84"/>
    </row>
    <row r="8" spans="1:38" ht="16.5">
      <c r="A8" s="3">
        <v>6</v>
      </c>
      <c r="B8" s="7" t="s">
        <v>94</v>
      </c>
      <c r="C8" s="21" t="s">
        <v>128</v>
      </c>
      <c r="D8" s="35"/>
      <c r="E8" s="36"/>
      <c r="F8" s="36"/>
    </row>
    <row r="9" spans="1:38" ht="16.5">
      <c r="A9" s="3">
        <v>7</v>
      </c>
      <c r="B9" s="7" t="s">
        <v>95</v>
      </c>
      <c r="C9" s="21" t="s">
        <v>128</v>
      </c>
      <c r="D9" s="35"/>
      <c r="E9" s="38"/>
      <c r="F9" s="36"/>
    </row>
    <row r="10" spans="1:38" ht="16.5">
      <c r="A10" s="3">
        <v>8</v>
      </c>
      <c r="B10" s="7" t="s">
        <v>96</v>
      </c>
      <c r="C10" s="67" t="s">
        <v>120</v>
      </c>
      <c r="D10" s="35"/>
      <c r="E10" s="36"/>
      <c r="F10" s="39"/>
      <c r="G10" s="27"/>
    </row>
    <row r="11" spans="1:38" ht="18.75">
      <c r="A11" s="3">
        <v>9</v>
      </c>
      <c r="B11" s="7" t="s">
        <v>97</v>
      </c>
      <c r="C11" s="21" t="s">
        <v>129</v>
      </c>
      <c r="D11" s="40"/>
      <c r="E11" s="41"/>
      <c r="F11" s="41"/>
      <c r="G11" s="26"/>
    </row>
    <row r="12" spans="1:38" ht="18.75">
      <c r="A12" s="3">
        <v>10</v>
      </c>
      <c r="B12" s="33"/>
      <c r="C12" s="81"/>
      <c r="D12" s="82"/>
      <c r="E12" s="41"/>
      <c r="F12" s="82"/>
      <c r="G12" s="29"/>
    </row>
    <row r="13" spans="1:38" ht="16.5">
      <c r="A13" s="3">
        <v>11</v>
      </c>
      <c r="B13" s="7" t="s">
        <v>98</v>
      </c>
      <c r="C13" s="53" t="s">
        <v>130</v>
      </c>
      <c r="D13" s="42"/>
      <c r="E13" s="42"/>
      <c r="F13" s="43"/>
      <c r="G13" s="29"/>
    </row>
    <row r="14" spans="1:38" ht="16.5">
      <c r="A14" s="3">
        <v>12</v>
      </c>
      <c r="B14" s="7" t="s">
        <v>99</v>
      </c>
      <c r="C14" s="54" t="s">
        <v>131</v>
      </c>
      <c r="D14" s="44"/>
      <c r="E14" s="43"/>
      <c r="F14" s="44"/>
      <c r="G14" s="28"/>
    </row>
    <row r="15" spans="1:38" ht="16.5">
      <c r="A15" s="3">
        <v>13</v>
      </c>
      <c r="B15" s="7" t="s">
        <v>100</v>
      </c>
      <c r="C15" s="55" t="s">
        <v>132</v>
      </c>
      <c r="D15" s="43"/>
      <c r="E15" s="43"/>
      <c r="F15" s="43"/>
    </row>
    <row r="16" spans="1:38" ht="16.5">
      <c r="A16" s="3">
        <v>14</v>
      </c>
      <c r="B16" s="7" t="s">
        <v>101</v>
      </c>
      <c r="C16" s="54" t="s">
        <v>121</v>
      </c>
      <c r="D16" s="43"/>
      <c r="E16" s="43"/>
      <c r="F16" s="43"/>
    </row>
    <row r="17" spans="1:6" ht="16.5">
      <c r="A17" s="3">
        <v>15</v>
      </c>
      <c r="B17" s="7" t="s">
        <v>102</v>
      </c>
      <c r="C17" s="68" t="s">
        <v>122</v>
      </c>
      <c r="D17" s="43"/>
      <c r="E17" s="43"/>
      <c r="F17" s="43"/>
    </row>
    <row r="18" spans="1:6" ht="18.75">
      <c r="A18" s="3">
        <v>16</v>
      </c>
      <c r="B18" s="220" t="s">
        <v>133</v>
      </c>
      <c r="C18" s="221"/>
      <c r="D18" s="45"/>
      <c r="E18" s="43"/>
      <c r="F18" s="43"/>
    </row>
    <row r="19" spans="1:6" ht="16.5">
      <c r="A19" s="3">
        <v>17</v>
      </c>
      <c r="B19" s="7" t="s">
        <v>104</v>
      </c>
      <c r="C19" s="56" t="s">
        <v>124</v>
      </c>
      <c r="D19" s="43"/>
      <c r="E19" s="43"/>
      <c r="F19" s="43"/>
    </row>
    <row r="20" spans="1:6" ht="16.5">
      <c r="A20" s="3">
        <v>18</v>
      </c>
      <c r="B20" s="7" t="s">
        <v>105</v>
      </c>
      <c r="C20" s="54" t="s">
        <v>134</v>
      </c>
      <c r="D20" s="43"/>
      <c r="E20" s="43"/>
      <c r="F20" s="43"/>
    </row>
    <row r="21" spans="1:6" ht="16.5">
      <c r="A21" s="3">
        <v>19</v>
      </c>
      <c r="B21" s="7" t="s">
        <v>106</v>
      </c>
      <c r="C21" s="55" t="s">
        <v>135</v>
      </c>
      <c r="D21" s="43"/>
      <c r="E21" s="43"/>
      <c r="F21" s="43"/>
    </row>
    <row r="22" spans="1:6" ht="16.5">
      <c r="A22" s="3">
        <v>20</v>
      </c>
      <c r="B22" s="7" t="s">
        <v>107</v>
      </c>
      <c r="C22" s="54" t="s">
        <v>136</v>
      </c>
      <c r="D22" s="43"/>
      <c r="E22" s="43"/>
      <c r="F22" s="43"/>
    </row>
    <row r="23" spans="1:6" ht="16.5">
      <c r="A23" s="3">
        <v>21</v>
      </c>
      <c r="B23" s="7" t="s">
        <v>108</v>
      </c>
      <c r="C23" s="69">
        <v>111</v>
      </c>
      <c r="D23" s="43"/>
      <c r="E23" s="43"/>
      <c r="F23" s="43"/>
    </row>
    <row r="24" spans="1:6" ht="16.5">
      <c r="A24" s="3">
        <v>22</v>
      </c>
      <c r="B24" s="7" t="s">
        <v>109</v>
      </c>
      <c r="C24" s="70">
        <v>222</v>
      </c>
      <c r="D24" s="43"/>
      <c r="E24" s="43"/>
      <c r="F24" s="43"/>
    </row>
    <row r="25" spans="1:6" ht="16.5">
      <c r="A25" s="3">
        <v>23</v>
      </c>
      <c r="B25" s="7" t="s">
        <v>110</v>
      </c>
      <c r="C25" s="71">
        <v>3333</v>
      </c>
      <c r="D25" s="43"/>
      <c r="E25" s="43"/>
      <c r="F25" s="43"/>
    </row>
    <row r="26" spans="1:6" ht="16.5">
      <c r="A26" s="3">
        <v>24</v>
      </c>
      <c r="B26" s="7" t="s">
        <v>111</v>
      </c>
      <c r="C26" s="70">
        <v>444</v>
      </c>
      <c r="D26" s="43"/>
      <c r="E26" s="43"/>
      <c r="F26" s="43"/>
    </row>
    <row r="27" spans="1:6" ht="16.5">
      <c r="A27" s="3">
        <v>25</v>
      </c>
      <c r="B27" s="7" t="s">
        <v>112</v>
      </c>
      <c r="C27" s="69">
        <v>555</v>
      </c>
      <c r="D27" s="43"/>
      <c r="E27" s="43"/>
      <c r="F27" s="43"/>
    </row>
    <row r="28" spans="1:6" ht="16.5">
      <c r="A28" s="3">
        <v>26</v>
      </c>
      <c r="B28" s="7" t="s">
        <v>113</v>
      </c>
      <c r="C28" s="70">
        <v>666</v>
      </c>
      <c r="D28" s="43"/>
      <c r="E28" s="43"/>
      <c r="F28" s="43"/>
    </row>
    <row r="29" spans="1:6" ht="16.5">
      <c r="A29" s="3">
        <v>27</v>
      </c>
      <c r="B29" s="7" t="s">
        <v>114</v>
      </c>
      <c r="C29" s="71">
        <v>777</v>
      </c>
      <c r="D29" s="43"/>
      <c r="E29" s="43"/>
      <c r="F29" s="43"/>
    </row>
    <row r="30" spans="1:6" ht="16.5">
      <c r="A30" s="3">
        <v>28</v>
      </c>
      <c r="B30" s="7" t="s">
        <v>115</v>
      </c>
      <c r="C30" s="70">
        <v>888</v>
      </c>
      <c r="D30" s="43"/>
      <c r="E30" s="43"/>
      <c r="F30" s="43"/>
    </row>
    <row r="31" spans="1:6" ht="16.5">
      <c r="A31" s="3">
        <v>29</v>
      </c>
      <c r="B31" s="7" t="s">
        <v>116</v>
      </c>
      <c r="C31" s="54" t="s">
        <v>137</v>
      </c>
    </row>
    <row r="32" spans="1:6" ht="16.5">
      <c r="A32" s="3">
        <v>30</v>
      </c>
      <c r="B32" s="7" t="s">
        <v>117</v>
      </c>
      <c r="C32" s="54" t="s">
        <v>138</v>
      </c>
    </row>
    <row r="33" spans="1:3" ht="16.5">
      <c r="A33" s="3">
        <v>31</v>
      </c>
      <c r="B33" s="7" t="s">
        <v>118</v>
      </c>
      <c r="C33" s="54" t="s">
        <v>139</v>
      </c>
    </row>
    <row r="34" spans="1:3" ht="16.5">
      <c r="A34" s="3">
        <v>32</v>
      </c>
    </row>
    <row r="35" spans="1:3" ht="16.5">
      <c r="A35" s="3">
        <v>33</v>
      </c>
    </row>
    <row r="36" spans="1:3" ht="16.5">
      <c r="A36" s="3">
        <v>34</v>
      </c>
    </row>
    <row r="37" spans="1:3" ht="16.5">
      <c r="A37" s="3">
        <v>35</v>
      </c>
    </row>
    <row r="38" spans="1:3" ht="16.5">
      <c r="A38" s="3">
        <v>36</v>
      </c>
    </row>
    <row r="39" spans="1:3" ht="16.5">
      <c r="A39" s="3">
        <v>37</v>
      </c>
    </row>
    <row r="40" spans="1:3" ht="16.5">
      <c r="A40" s="3">
        <v>38</v>
      </c>
    </row>
    <row r="41" spans="1:3" ht="16.5">
      <c r="A41" s="3">
        <v>39</v>
      </c>
    </row>
    <row r="42" spans="1:3" ht="16.5">
      <c r="A42" s="3">
        <v>40</v>
      </c>
    </row>
    <row r="43" spans="1:3" ht="16.5">
      <c r="A43" s="3">
        <v>41</v>
      </c>
    </row>
    <row r="44" spans="1:3" ht="16.5">
      <c r="A44" s="3">
        <v>42</v>
      </c>
    </row>
    <row r="45" spans="1:3" ht="16.5">
      <c r="A45" s="3">
        <v>43</v>
      </c>
    </row>
    <row r="46" spans="1:3" ht="16.5">
      <c r="A46" s="3">
        <v>44</v>
      </c>
    </row>
    <row r="47" spans="1:3" ht="16.5">
      <c r="A47" s="3">
        <v>45</v>
      </c>
    </row>
    <row r="48" spans="1:3" ht="16.5">
      <c r="A48" s="3">
        <v>46</v>
      </c>
    </row>
    <row r="49" spans="1:1" ht="16.5">
      <c r="A49" s="3">
        <v>47</v>
      </c>
    </row>
    <row r="50" spans="1:1" ht="16.5">
      <c r="A50" s="3">
        <v>48</v>
      </c>
    </row>
    <row r="51" spans="1:1" ht="16.5">
      <c r="A51" s="3">
        <v>49</v>
      </c>
    </row>
    <row r="52" spans="1:1" ht="16.5">
      <c r="A52" s="3">
        <v>50</v>
      </c>
    </row>
    <row r="53" spans="1:1" ht="16.5">
      <c r="A53" s="3">
        <v>51</v>
      </c>
    </row>
    <row r="54" spans="1:1" ht="16.5">
      <c r="A54" s="3">
        <v>52</v>
      </c>
    </row>
    <row r="55" spans="1:1" ht="16.5">
      <c r="A55" s="3">
        <v>53</v>
      </c>
    </row>
    <row r="56" spans="1:1" ht="16.5">
      <c r="A56" s="3">
        <v>54</v>
      </c>
    </row>
    <row r="57" spans="1:1" ht="16.5">
      <c r="A57" s="3">
        <v>55</v>
      </c>
    </row>
    <row r="58" spans="1:1" ht="16.5">
      <c r="A58" s="3">
        <v>56</v>
      </c>
    </row>
    <row r="59" spans="1:1" ht="16.5">
      <c r="A59" s="3">
        <v>57</v>
      </c>
    </row>
    <row r="60" spans="1:1" ht="16.5">
      <c r="A60" s="3">
        <v>58</v>
      </c>
    </row>
    <row r="61" spans="1:1" ht="16.5">
      <c r="A61" s="3">
        <v>59</v>
      </c>
    </row>
    <row r="62" spans="1:1" ht="16.5">
      <c r="A62" s="3">
        <v>60</v>
      </c>
    </row>
    <row r="63" spans="1:1" ht="16.5">
      <c r="A63" s="3">
        <v>61</v>
      </c>
    </row>
    <row r="64" spans="1:1" ht="16.5">
      <c r="A64" s="3">
        <v>62</v>
      </c>
    </row>
    <row r="65" spans="1:1" ht="16.5">
      <c r="A65" s="3">
        <v>63</v>
      </c>
    </row>
  </sheetData>
  <mergeCells count="3">
    <mergeCell ref="B3:C3"/>
    <mergeCell ref="B2:C2"/>
    <mergeCell ref="B18:C18"/>
  </mergeCells>
  <phoneticPr fontId="17" type="noConversion"/>
  <hyperlinks>
    <hyperlink ref="C10" r:id="rId1" xr:uid="{4FC98674-1768-44E8-BCA3-898D64B96175}"/>
    <hyperlink ref="C17" r:id="rId2" xr:uid="{9BD423FD-87DE-4F54-9D29-C8FFC28FFE8E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Drop Down 1">
              <controlPr defaultSize="0" autoLine="0" autoPict="0" macro="[0]!목차드롭다운">
                <anchor moveWithCells="1">
                  <from>
                    <xdr:col>3</xdr:col>
                    <xdr:colOff>57150</xdr:colOff>
                    <xdr:row>1</xdr:row>
                    <xdr:rowOff>228600</xdr:rowOff>
                  </from>
                  <to>
                    <xdr:col>6</xdr:col>
                    <xdr:colOff>476250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28EB-0185-4886-8CC3-76B2BF693276}">
  <sheetPr codeName="Sheet9"/>
  <dimension ref="A1:AL66"/>
  <sheetViews>
    <sheetView workbookViewId="0"/>
  </sheetViews>
  <sheetFormatPr defaultRowHeight="12.75"/>
  <cols>
    <col min="1" max="1" width="14" customWidth="1"/>
    <col min="2" max="2" width="29" customWidth="1"/>
    <col min="3" max="3" width="26.7109375" customWidth="1"/>
    <col min="4" max="4" width="19.28515625" bestFit="1" customWidth="1"/>
    <col min="5" max="5" width="8.28515625" bestFit="1" customWidth="1"/>
  </cols>
  <sheetData>
    <row r="1" spans="1:38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3.25">
      <c r="A2" s="3">
        <v>0</v>
      </c>
      <c r="B2" s="224" t="s">
        <v>0</v>
      </c>
      <c r="C2" s="225"/>
      <c r="D2" s="225"/>
      <c r="E2" s="123"/>
    </row>
    <row r="3" spans="1:38" ht="18">
      <c r="A3" s="2">
        <v>1</v>
      </c>
      <c r="B3" s="124" t="s">
        <v>1</v>
      </c>
      <c r="C3" s="125" t="s">
        <v>146</v>
      </c>
      <c r="D3" s="126"/>
      <c r="E3" s="30"/>
    </row>
    <row r="4" spans="1:38" ht="18">
      <c r="A4" s="2">
        <v>2</v>
      </c>
      <c r="B4" s="124" t="s">
        <v>2</v>
      </c>
      <c r="C4" s="125" t="s">
        <v>3</v>
      </c>
      <c r="D4" s="126"/>
      <c r="E4" s="30"/>
    </row>
    <row r="5" spans="1:38" ht="18">
      <c r="A5" s="2">
        <v>3</v>
      </c>
      <c r="B5" s="124" t="s">
        <v>4</v>
      </c>
      <c r="C5" s="125" t="s">
        <v>5</v>
      </c>
      <c r="D5" s="126"/>
      <c r="E5" s="30"/>
    </row>
    <row r="6" spans="1:38" ht="18">
      <c r="A6" s="2">
        <v>4</v>
      </c>
      <c r="B6" s="124" t="s">
        <v>6</v>
      </c>
      <c r="C6" s="125" t="s">
        <v>7</v>
      </c>
      <c r="D6" s="126"/>
      <c r="E6" s="30"/>
    </row>
    <row r="7" spans="1:38" ht="18">
      <c r="A7" s="2">
        <v>5</v>
      </c>
      <c r="B7" s="124" t="s">
        <v>8</v>
      </c>
      <c r="C7" s="125" t="s">
        <v>9</v>
      </c>
      <c r="D7" s="126"/>
      <c r="E7" s="30"/>
    </row>
    <row r="8" spans="1:38" ht="18">
      <c r="A8" s="2">
        <v>6</v>
      </c>
      <c r="B8" s="124" t="s">
        <v>10</v>
      </c>
      <c r="C8" s="125" t="s">
        <v>11</v>
      </c>
      <c r="D8" s="126"/>
      <c r="E8" s="30"/>
    </row>
    <row r="9" spans="1:38" ht="18">
      <c r="A9" s="2">
        <v>7</v>
      </c>
      <c r="B9" s="124" t="s">
        <v>147</v>
      </c>
      <c r="C9" s="125" t="s">
        <v>148</v>
      </c>
      <c r="D9" s="126"/>
      <c r="E9" s="30"/>
    </row>
    <row r="10" spans="1:38" ht="18">
      <c r="A10" s="2">
        <v>8</v>
      </c>
      <c r="B10" s="124" t="s">
        <v>149</v>
      </c>
      <c r="C10" s="125" t="s">
        <v>150</v>
      </c>
      <c r="D10" s="126"/>
      <c r="E10" s="30"/>
    </row>
    <row r="11" spans="1:38" ht="18">
      <c r="A11" s="2">
        <v>9</v>
      </c>
      <c r="B11" s="124" t="s">
        <v>12</v>
      </c>
      <c r="C11" s="125" t="s">
        <v>13</v>
      </c>
      <c r="D11" s="127" t="s">
        <v>14</v>
      </c>
      <c r="E11" s="30"/>
    </row>
    <row r="12" spans="1:38" ht="18">
      <c r="A12" s="2">
        <v>10</v>
      </c>
      <c r="B12" s="124" t="s">
        <v>15</v>
      </c>
      <c r="C12" s="125" t="s">
        <v>16</v>
      </c>
      <c r="D12" s="126"/>
      <c r="E12" s="30"/>
    </row>
    <row r="13" spans="1:38" ht="18">
      <c r="A13" s="2">
        <v>11</v>
      </c>
      <c r="B13" s="128"/>
      <c r="C13" s="129"/>
      <c r="D13" s="130"/>
      <c r="E13" s="24"/>
    </row>
    <row r="14" spans="1:38" ht="18">
      <c r="A14" s="2">
        <v>12</v>
      </c>
      <c r="B14" s="124" t="s">
        <v>17</v>
      </c>
      <c r="C14" s="125" t="s">
        <v>18</v>
      </c>
      <c r="D14" s="126"/>
      <c r="E14" s="30"/>
    </row>
    <row r="15" spans="1:38" ht="18">
      <c r="A15" s="2">
        <v>13</v>
      </c>
      <c r="B15" s="124" t="s">
        <v>19</v>
      </c>
      <c r="C15" s="125" t="s">
        <v>3</v>
      </c>
      <c r="D15" s="126"/>
      <c r="E15" s="30"/>
    </row>
    <row r="16" spans="1:38" ht="18">
      <c r="A16" s="2">
        <v>14</v>
      </c>
      <c r="B16" s="124" t="s">
        <v>151</v>
      </c>
      <c r="C16" s="125" t="s">
        <v>145</v>
      </c>
      <c r="D16" s="126"/>
      <c r="E16" s="121"/>
    </row>
    <row r="17" spans="1:6" ht="18">
      <c r="A17" s="2">
        <v>15</v>
      </c>
      <c r="B17" s="124" t="s">
        <v>20</v>
      </c>
      <c r="C17" s="125" t="s">
        <v>21</v>
      </c>
      <c r="D17" s="126"/>
      <c r="E17" s="121"/>
    </row>
    <row r="18" spans="1:6" ht="18">
      <c r="A18" s="2">
        <v>16</v>
      </c>
      <c r="B18" s="131"/>
      <c r="C18" s="132"/>
      <c r="D18" s="133"/>
      <c r="E18" s="24"/>
    </row>
    <row r="19" spans="1:6" ht="18">
      <c r="A19" s="2">
        <v>17</v>
      </c>
      <c r="B19" s="124" t="s">
        <v>152</v>
      </c>
      <c r="C19" s="134">
        <v>45455</v>
      </c>
      <c r="D19" s="126"/>
      <c r="E19" s="121"/>
    </row>
    <row r="20" spans="1:6" ht="18">
      <c r="A20" s="2">
        <v>18</v>
      </c>
      <c r="B20" s="120"/>
      <c r="C20" s="118"/>
      <c r="D20" s="119"/>
      <c r="E20" s="32"/>
    </row>
    <row r="21" spans="1:6" ht="18">
      <c r="A21" s="2">
        <v>19</v>
      </c>
      <c r="B21" s="92"/>
      <c r="C21" s="95"/>
      <c r="D21" s="93"/>
      <c r="E21" s="91"/>
      <c r="F21" s="23"/>
    </row>
    <row r="22" spans="1:6" ht="18">
      <c r="A22" s="2">
        <v>20</v>
      </c>
      <c r="B22" s="117"/>
      <c r="C22" s="95"/>
      <c r="D22" s="93"/>
      <c r="E22" s="93"/>
    </row>
    <row r="23" spans="1:6" ht="18">
      <c r="A23" s="2">
        <v>21</v>
      </c>
      <c r="B23" s="85"/>
      <c r="C23" s="96"/>
      <c r="D23" s="86"/>
      <c r="E23" s="86"/>
    </row>
    <row r="24" spans="1:6" ht="18">
      <c r="A24" s="74">
        <v>22</v>
      </c>
      <c r="B24" s="122"/>
      <c r="C24" s="95"/>
      <c r="D24" s="93"/>
      <c r="E24" s="93"/>
    </row>
    <row r="25" spans="1:6" ht="18">
      <c r="A25" s="2">
        <v>23</v>
      </c>
      <c r="B25" s="85"/>
      <c r="C25" s="97"/>
      <c r="D25" s="86"/>
      <c r="E25" s="86"/>
    </row>
    <row r="26" spans="1:6" ht="18">
      <c r="A26" s="74">
        <v>24</v>
      </c>
      <c r="B26" s="122"/>
      <c r="C26" s="95"/>
      <c r="D26" s="93"/>
      <c r="E26" s="93"/>
      <c r="F26" s="116"/>
    </row>
    <row r="27" spans="1:6" ht="18">
      <c r="A27" s="2">
        <v>25</v>
      </c>
      <c r="B27" s="111"/>
      <c r="C27" s="115"/>
      <c r="D27" s="87"/>
      <c r="E27" s="87"/>
    </row>
    <row r="28" spans="1:6" ht="18">
      <c r="A28" s="2">
        <v>26</v>
      </c>
      <c r="B28" s="107"/>
      <c r="C28" s="108"/>
      <c r="D28" s="93"/>
      <c r="E28" s="93"/>
    </row>
    <row r="29" spans="1:6" ht="18">
      <c r="A29" s="74">
        <v>27</v>
      </c>
      <c r="B29" s="122"/>
      <c r="C29" s="108"/>
      <c r="D29" s="93"/>
      <c r="E29" s="93"/>
    </row>
    <row r="30" spans="1:6" ht="18">
      <c r="A30" s="2">
        <v>28</v>
      </c>
      <c r="B30" s="107"/>
      <c r="C30" s="108"/>
      <c r="D30" s="93"/>
      <c r="E30" s="109"/>
    </row>
    <row r="31" spans="1:6" ht="18">
      <c r="A31" s="2">
        <v>29</v>
      </c>
      <c r="B31" s="85"/>
      <c r="C31" s="97"/>
      <c r="D31" s="86"/>
      <c r="E31" s="89"/>
    </row>
    <row r="32" spans="1:6" ht="18">
      <c r="A32" s="2">
        <v>30</v>
      </c>
      <c r="B32" s="107"/>
      <c r="C32" s="95"/>
      <c r="D32" s="93"/>
      <c r="E32" s="88"/>
    </row>
    <row r="33" spans="1:5" ht="18">
      <c r="A33" s="2">
        <v>31</v>
      </c>
      <c r="B33" s="85"/>
      <c r="C33" s="97"/>
      <c r="D33" s="86"/>
      <c r="E33" s="88"/>
    </row>
    <row r="34" spans="1:5" ht="18">
      <c r="A34" s="2">
        <v>32</v>
      </c>
      <c r="B34" s="107"/>
      <c r="C34" s="95"/>
      <c r="D34" s="93"/>
      <c r="E34" s="109"/>
    </row>
    <row r="35" spans="1:5" ht="18">
      <c r="A35" s="2">
        <v>33</v>
      </c>
      <c r="B35" s="85"/>
      <c r="C35" s="98"/>
      <c r="D35" s="86"/>
      <c r="E35" s="89"/>
    </row>
    <row r="36" spans="1:5" ht="18">
      <c r="A36" s="2">
        <v>34</v>
      </c>
      <c r="B36" s="107"/>
      <c r="C36" s="95"/>
      <c r="D36" s="93"/>
      <c r="E36" s="109"/>
    </row>
    <row r="37" spans="1:5" ht="18">
      <c r="A37" s="112">
        <v>35</v>
      </c>
      <c r="B37" s="85"/>
      <c r="C37" s="97"/>
      <c r="D37" s="86"/>
      <c r="E37" s="89"/>
    </row>
    <row r="38" spans="1:5" ht="18">
      <c r="A38" s="113">
        <v>36</v>
      </c>
      <c r="B38" s="92"/>
      <c r="C38" s="101"/>
      <c r="D38" s="102"/>
      <c r="E38" s="110"/>
    </row>
    <row r="39" spans="1:5" ht="18">
      <c r="A39" s="114">
        <v>37</v>
      </c>
      <c r="B39" s="107"/>
      <c r="C39" s="105"/>
      <c r="D39" s="106"/>
      <c r="E39" s="99"/>
    </row>
    <row r="40" spans="1:5" ht="18">
      <c r="A40" s="114">
        <v>38</v>
      </c>
      <c r="B40" s="111"/>
      <c r="C40" s="103"/>
      <c r="D40" s="90"/>
      <c r="E40" s="104"/>
    </row>
    <row r="41" spans="1:5" ht="16.5">
      <c r="A41" s="2">
        <v>39</v>
      </c>
      <c r="C41" s="27"/>
      <c r="D41" s="94"/>
      <c r="E41" s="100"/>
    </row>
    <row r="42" spans="1:5" ht="16.5">
      <c r="A42" s="2">
        <v>40</v>
      </c>
    </row>
    <row r="43" spans="1:5" ht="16.5">
      <c r="A43" s="2">
        <v>41</v>
      </c>
    </row>
    <row r="44" spans="1:5" ht="16.5">
      <c r="A44" s="2">
        <v>42</v>
      </c>
    </row>
    <row r="45" spans="1:5" ht="16.5">
      <c r="A45" s="2">
        <v>43</v>
      </c>
    </row>
    <row r="46" spans="1:5" ht="16.5">
      <c r="A46" s="2">
        <v>44</v>
      </c>
    </row>
    <row r="47" spans="1:5" ht="16.5">
      <c r="A47" s="2">
        <v>45</v>
      </c>
    </row>
    <row r="48" spans="1:5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  <row r="64" spans="1:1" ht="16.5">
      <c r="A64" s="2">
        <v>62</v>
      </c>
    </row>
    <row r="65" spans="1:1" ht="16.5">
      <c r="A65" s="2">
        <v>63</v>
      </c>
    </row>
    <row r="66" spans="1:1" ht="16.5">
      <c r="A66" s="2">
        <v>64</v>
      </c>
    </row>
  </sheetData>
  <mergeCells count="1">
    <mergeCell ref="B2:D2"/>
  </mergeCells>
  <phoneticPr fontId="17" type="noConversion"/>
  <dataValidations disablePrompts="1" count="4">
    <dataValidation type="list" allowBlank="1" showErrorMessage="1" sqref="C11" xr:uid="{A57C1AA3-B8E9-4D99-8D38-BB1E00261636}">
      <formula1>"중소기업,중견기업,대기업,기타(비영리 법인 등)"</formula1>
    </dataValidation>
    <dataValidation type="list" allowBlank="1" showErrorMessage="1" sqref="E11" xr:uid="{6DB5E054-236E-44D5-BE49-32F7467E752D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C18" xr:uid="{2313105E-37AC-4FB0-AA42-0FB38AB9965E}">
      <formula1>"프로젝트형,인턴형"</formula1>
    </dataValidation>
    <dataValidation type="list" allowBlank="1" showErrorMessage="1" sqref="C22" xr:uid="{70420A93-D8C1-461F-95CC-EC343C1551F7}">
      <formula1>"없음,있음"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Drop Down 1">
              <controlPr defaultSize="0" autoLine="0" autoPict="0" macro="[0]!목차드롭다운">
                <anchor moveWithCells="1">
                  <from>
                    <xdr:col>5</xdr:col>
                    <xdr:colOff>38100</xdr:colOff>
                    <xdr:row>1</xdr:row>
                    <xdr:rowOff>285750</xdr:rowOff>
                  </from>
                  <to>
                    <xdr:col>8</xdr:col>
                    <xdr:colOff>457200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F7C0F-FAF9-4510-B64A-D3811B6E573C}">
  <sheetPr codeName="Sheet10"/>
  <dimension ref="A1:AL64"/>
  <sheetViews>
    <sheetView workbookViewId="0">
      <selection activeCell="C6" sqref="C6"/>
    </sheetView>
  </sheetViews>
  <sheetFormatPr defaultRowHeight="12.75"/>
  <cols>
    <col min="1" max="1" width="14" customWidth="1"/>
    <col min="2" max="2" width="31.85546875" customWidth="1"/>
    <col min="3" max="3" width="49.7109375" customWidth="1"/>
  </cols>
  <sheetData>
    <row r="1" spans="1:38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6.25">
      <c r="A2" s="3">
        <v>0</v>
      </c>
      <c r="B2" s="218" t="s">
        <v>153</v>
      </c>
      <c r="C2" s="219"/>
    </row>
    <row r="3" spans="1:38" ht="19.5">
      <c r="A3" s="2">
        <v>1</v>
      </c>
      <c r="B3" s="7" t="s">
        <v>156</v>
      </c>
      <c r="C3" s="169" t="s">
        <v>308</v>
      </c>
    </row>
    <row r="4" spans="1:38" ht="16.5">
      <c r="A4" s="2">
        <v>2</v>
      </c>
      <c r="B4" s="7" t="s">
        <v>91</v>
      </c>
      <c r="C4" s="15" t="s">
        <v>154</v>
      </c>
    </row>
    <row r="5" spans="1:38" ht="16.5">
      <c r="A5" s="2">
        <v>3</v>
      </c>
      <c r="B5" s="7" t="s">
        <v>92</v>
      </c>
      <c r="C5" s="15" t="s">
        <v>126</v>
      </c>
    </row>
    <row r="6" spans="1:38" ht="16.5">
      <c r="A6" s="2">
        <v>4</v>
      </c>
      <c r="B6" s="7" t="s">
        <v>157</v>
      </c>
      <c r="C6" s="15" t="s">
        <v>158</v>
      </c>
    </row>
    <row r="7" spans="1:38" ht="16.5">
      <c r="A7" s="2">
        <v>5</v>
      </c>
      <c r="B7" s="7" t="s">
        <v>159</v>
      </c>
      <c r="C7" s="15" t="s">
        <v>160</v>
      </c>
    </row>
    <row r="8" spans="1:38" ht="16.5">
      <c r="A8" s="2">
        <v>6</v>
      </c>
      <c r="B8" s="7" t="s">
        <v>100</v>
      </c>
      <c r="C8" s="15" t="s">
        <v>161</v>
      </c>
    </row>
    <row r="9" spans="1:38" ht="16.5">
      <c r="A9" s="2">
        <v>7</v>
      </c>
      <c r="B9" s="7" t="s">
        <v>99</v>
      </c>
      <c r="C9" s="15" t="s">
        <v>162</v>
      </c>
    </row>
    <row r="10" spans="1:38" ht="16.5">
      <c r="A10" s="2">
        <v>8</v>
      </c>
      <c r="B10" s="7" t="s">
        <v>163</v>
      </c>
      <c r="C10" s="15" t="s">
        <v>155</v>
      </c>
    </row>
    <row r="11" spans="1:38" ht="16.5">
      <c r="A11" s="2">
        <v>9</v>
      </c>
      <c r="B11" s="33"/>
      <c r="C11" s="81"/>
      <c r="D11" s="23"/>
    </row>
    <row r="12" spans="1:38" ht="16.5">
      <c r="A12" s="2">
        <v>10</v>
      </c>
      <c r="B12" s="7" t="s">
        <v>164</v>
      </c>
      <c r="C12" s="15" t="s">
        <v>165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  <row r="64" spans="1:1" ht="16.5">
      <c r="A64" s="2">
        <v>62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7</xdr:col>
                    <xdr:colOff>419100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AAD5-312C-4353-ADDC-7EAED3A4BCA2}">
  <sheetPr codeName="Sheet11"/>
  <dimension ref="A1:AL63"/>
  <sheetViews>
    <sheetView workbookViewId="0"/>
  </sheetViews>
  <sheetFormatPr defaultRowHeight="12.75"/>
  <cols>
    <col min="1" max="1" width="14" customWidth="1"/>
    <col min="2" max="2" width="25.5703125" bestFit="1" customWidth="1"/>
    <col min="3" max="3" width="44.140625" customWidth="1"/>
    <col min="4" max="4" width="6.28515625" bestFit="1" customWidth="1"/>
    <col min="5" max="5" width="13.42578125" bestFit="1" customWidth="1"/>
    <col min="6" max="6" width="21.85546875" bestFit="1" customWidth="1"/>
  </cols>
  <sheetData>
    <row r="1" spans="1:38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46.5" customHeight="1">
      <c r="A2" s="3">
        <v>0</v>
      </c>
      <c r="B2" s="226" t="s">
        <v>316</v>
      </c>
      <c r="C2" s="227"/>
      <c r="E2" s="228" t="s">
        <v>210</v>
      </c>
      <c r="F2" s="219"/>
    </row>
    <row r="3" spans="1:38" ht="19.5">
      <c r="A3" s="2">
        <v>1</v>
      </c>
      <c r="B3" s="172" t="s">
        <v>278</v>
      </c>
      <c r="C3" s="15" t="s">
        <v>176</v>
      </c>
    </row>
    <row r="4" spans="1:38" ht="19.5">
      <c r="A4" s="2">
        <v>2</v>
      </c>
      <c r="B4" s="164" t="s">
        <v>279</v>
      </c>
      <c r="C4" s="15" t="s">
        <v>178</v>
      </c>
    </row>
    <row r="5" spans="1:38" ht="19.5">
      <c r="A5" s="2">
        <v>3</v>
      </c>
      <c r="B5" s="164" t="s">
        <v>280</v>
      </c>
      <c r="C5" s="15" t="s">
        <v>179</v>
      </c>
    </row>
    <row r="6" spans="1:38" ht="19.5">
      <c r="A6" s="2">
        <v>4</v>
      </c>
      <c r="B6" s="164" t="s">
        <v>276</v>
      </c>
      <c r="C6" s="15" t="s">
        <v>180</v>
      </c>
    </row>
    <row r="7" spans="1:38" ht="19.5">
      <c r="A7" s="2">
        <v>5</v>
      </c>
      <c r="B7" s="164" t="s">
        <v>281</v>
      </c>
      <c r="C7" s="15" t="s">
        <v>181</v>
      </c>
    </row>
    <row r="8" spans="1:38" ht="19.5">
      <c r="A8" s="2">
        <v>6</v>
      </c>
      <c r="B8" s="164" t="s">
        <v>279</v>
      </c>
      <c r="C8" s="15" t="s">
        <v>177</v>
      </c>
    </row>
    <row r="9" spans="1:38" ht="19.5">
      <c r="A9" s="2">
        <v>7</v>
      </c>
      <c r="B9" s="164" t="s">
        <v>282</v>
      </c>
      <c r="C9" s="15" t="s">
        <v>182</v>
      </c>
    </row>
    <row r="10" spans="1:38" ht="19.5">
      <c r="A10" s="2">
        <v>8</v>
      </c>
      <c r="B10" s="164" t="s">
        <v>284</v>
      </c>
      <c r="C10" s="15" t="s">
        <v>171</v>
      </c>
      <c r="E10" s="158"/>
    </row>
    <row r="11" spans="1:38" ht="19.5">
      <c r="A11" s="2">
        <v>9</v>
      </c>
      <c r="B11" s="172" t="s">
        <v>283</v>
      </c>
      <c r="C11" s="15" t="s">
        <v>128</v>
      </c>
    </row>
    <row r="12" spans="1:38" ht="19.5">
      <c r="A12" s="2">
        <v>10</v>
      </c>
      <c r="B12" s="164" t="s">
        <v>276</v>
      </c>
      <c r="C12" s="15" t="s">
        <v>277</v>
      </c>
    </row>
    <row r="13" spans="1:38" ht="19.5">
      <c r="A13" s="2">
        <v>11</v>
      </c>
      <c r="B13" s="164" t="s">
        <v>263</v>
      </c>
      <c r="C13" s="141">
        <v>45518</v>
      </c>
    </row>
    <row r="14" spans="1:38" ht="16.5">
      <c r="A14" s="2">
        <v>12</v>
      </c>
      <c r="D14" s="23"/>
    </row>
    <row r="15" spans="1:38" ht="16.5">
      <c r="A15" s="2">
        <v>13</v>
      </c>
      <c r="B15" s="7" t="s">
        <v>172</v>
      </c>
      <c r="C15" s="7" t="s">
        <v>173</v>
      </c>
      <c r="D15" s="7" t="s">
        <v>174</v>
      </c>
      <c r="E15" s="7" t="s">
        <v>175</v>
      </c>
      <c r="F15" s="7" t="s">
        <v>287</v>
      </c>
    </row>
    <row r="16" spans="1:38" ht="16.5">
      <c r="A16" s="2">
        <v>14</v>
      </c>
      <c r="B16" s="72" t="s">
        <v>288</v>
      </c>
      <c r="C16" s="72">
        <v>501111</v>
      </c>
      <c r="D16" s="72" t="s">
        <v>285</v>
      </c>
      <c r="E16" s="72" t="s">
        <v>121</v>
      </c>
      <c r="F16" s="72" t="s">
        <v>289</v>
      </c>
    </row>
    <row r="17" spans="1:7" ht="16.5">
      <c r="A17" s="2">
        <v>15</v>
      </c>
      <c r="B17" s="72" t="s">
        <v>290</v>
      </c>
      <c r="C17" s="72">
        <v>111111</v>
      </c>
      <c r="D17" s="72" t="s">
        <v>291</v>
      </c>
      <c r="E17" s="72" t="s">
        <v>286</v>
      </c>
      <c r="F17" s="72" t="s">
        <v>292</v>
      </c>
    </row>
    <row r="18" spans="1:7" ht="16.5">
      <c r="A18" s="2">
        <v>16</v>
      </c>
    </row>
    <row r="19" spans="1:7" ht="16.5">
      <c r="A19" s="2">
        <v>17</v>
      </c>
    </row>
    <row r="20" spans="1:7" ht="16.5">
      <c r="A20" s="2">
        <v>18</v>
      </c>
    </row>
    <row r="21" spans="1:7" ht="16.5">
      <c r="A21" s="2">
        <v>19</v>
      </c>
    </row>
    <row r="22" spans="1:7" ht="16.5">
      <c r="A22" s="2">
        <v>20</v>
      </c>
    </row>
    <row r="23" spans="1:7" ht="16.5">
      <c r="A23" s="2">
        <v>21</v>
      </c>
      <c r="G23" s="72"/>
    </row>
    <row r="24" spans="1:7" ht="16.5">
      <c r="A24" s="2">
        <v>22</v>
      </c>
    </row>
    <row r="25" spans="1:7" ht="16.5">
      <c r="A25" s="2">
        <v>23</v>
      </c>
      <c r="B25" s="72"/>
    </row>
    <row r="26" spans="1:7" ht="16.5">
      <c r="A26" s="2">
        <v>24</v>
      </c>
      <c r="B26" s="72"/>
    </row>
    <row r="27" spans="1:7" ht="16.5">
      <c r="A27" s="2">
        <v>25</v>
      </c>
      <c r="B27" s="72"/>
    </row>
    <row r="28" spans="1:7" ht="16.5">
      <c r="A28" s="2">
        <v>26</v>
      </c>
      <c r="B28" s="72"/>
    </row>
    <row r="29" spans="1:7" ht="16.5">
      <c r="A29" s="2">
        <v>27</v>
      </c>
      <c r="B29" s="72"/>
    </row>
    <row r="30" spans="1:7" ht="16.5">
      <c r="A30" s="2">
        <v>28</v>
      </c>
      <c r="B30" s="72"/>
    </row>
    <row r="31" spans="1:7" ht="16.5">
      <c r="A31" s="2">
        <v>29</v>
      </c>
      <c r="B31" s="72"/>
    </row>
    <row r="32" spans="1:7" ht="16.5">
      <c r="A32" s="2">
        <v>30</v>
      </c>
      <c r="B32" s="72"/>
    </row>
    <row r="33" spans="1:2" ht="16.5">
      <c r="A33" s="2">
        <v>31</v>
      </c>
      <c r="B33" s="72"/>
    </row>
    <row r="34" spans="1:2" ht="16.5">
      <c r="A34" s="2">
        <v>32</v>
      </c>
      <c r="B34" s="72"/>
    </row>
    <row r="35" spans="1:2" ht="16.5">
      <c r="A35" s="2">
        <v>33</v>
      </c>
      <c r="B35" s="72"/>
    </row>
    <row r="36" spans="1:2" ht="16.5">
      <c r="A36" s="2">
        <v>34</v>
      </c>
      <c r="B36" s="72"/>
    </row>
    <row r="37" spans="1:2" ht="16.5">
      <c r="A37" s="2">
        <v>35</v>
      </c>
      <c r="B37" s="72"/>
    </row>
    <row r="38" spans="1:2" ht="16.5">
      <c r="A38" s="2">
        <v>36</v>
      </c>
      <c r="B38" s="72"/>
    </row>
    <row r="39" spans="1:2" ht="16.5">
      <c r="A39" s="2">
        <v>37</v>
      </c>
      <c r="B39" s="72"/>
    </row>
    <row r="40" spans="1:2" ht="16.5">
      <c r="A40" s="2">
        <v>38</v>
      </c>
      <c r="B40" s="72"/>
    </row>
    <row r="41" spans="1:2" ht="16.5">
      <c r="A41" s="2">
        <v>39</v>
      </c>
      <c r="B41" s="72"/>
    </row>
    <row r="42" spans="1:2" ht="16.5">
      <c r="A42" s="2">
        <v>40</v>
      </c>
      <c r="B42" s="72"/>
    </row>
    <row r="43" spans="1:2" ht="16.5">
      <c r="A43" s="2">
        <v>41</v>
      </c>
      <c r="B43" s="72"/>
    </row>
    <row r="44" spans="1:2" ht="16.5">
      <c r="A44" s="2">
        <v>42</v>
      </c>
      <c r="B44" s="72"/>
    </row>
    <row r="45" spans="1:2" ht="16.5">
      <c r="A45" s="2">
        <v>43</v>
      </c>
      <c r="B45" s="72"/>
    </row>
    <row r="46" spans="1:2" ht="16.5">
      <c r="A46" s="2">
        <v>44</v>
      </c>
      <c r="B46" s="72"/>
    </row>
    <row r="47" spans="1:2" ht="16.5">
      <c r="A47" s="2">
        <v>45</v>
      </c>
      <c r="B47" s="72"/>
    </row>
    <row r="48" spans="1:2" ht="16.5">
      <c r="A48" s="2">
        <v>46</v>
      </c>
      <c r="B48" s="72"/>
    </row>
    <row r="49" spans="1:2" ht="16.5">
      <c r="A49" s="2">
        <v>47</v>
      </c>
      <c r="B49" s="72"/>
    </row>
    <row r="50" spans="1:2" ht="16.5">
      <c r="A50" s="2">
        <v>48</v>
      </c>
      <c r="B50" s="72"/>
    </row>
    <row r="51" spans="1:2" ht="16.5">
      <c r="A51" s="2">
        <v>49</v>
      </c>
      <c r="B51" s="72"/>
    </row>
    <row r="52" spans="1:2" ht="16.5">
      <c r="A52" s="2">
        <v>50</v>
      </c>
      <c r="B52" s="72"/>
    </row>
    <row r="53" spans="1:2" ht="16.5">
      <c r="A53" s="2">
        <v>51</v>
      </c>
      <c r="B53" s="72"/>
    </row>
    <row r="54" spans="1:2" ht="16.5">
      <c r="A54" s="2">
        <v>52</v>
      </c>
      <c r="B54" s="72"/>
    </row>
    <row r="55" spans="1:2" ht="16.5">
      <c r="A55" s="2">
        <v>53</v>
      </c>
      <c r="B55" s="72"/>
    </row>
    <row r="56" spans="1:2" ht="16.5">
      <c r="A56" s="2">
        <v>54</v>
      </c>
      <c r="B56" s="72"/>
    </row>
    <row r="57" spans="1:2" ht="16.5">
      <c r="A57" s="2">
        <v>55</v>
      </c>
      <c r="B57" s="72"/>
    </row>
    <row r="58" spans="1:2" ht="16.5">
      <c r="A58" s="2">
        <v>56</v>
      </c>
      <c r="B58" s="72"/>
    </row>
    <row r="59" spans="1:2" ht="16.5">
      <c r="A59" s="2">
        <v>57</v>
      </c>
      <c r="B59" s="72"/>
    </row>
    <row r="60" spans="1:2" ht="16.5">
      <c r="A60" s="2">
        <v>58</v>
      </c>
      <c r="B60" s="72"/>
    </row>
    <row r="61" spans="1:2" ht="16.5">
      <c r="A61" s="2">
        <v>59</v>
      </c>
      <c r="B61" s="72"/>
    </row>
    <row r="62" spans="1:2" ht="16.5">
      <c r="A62" s="2">
        <v>60</v>
      </c>
      <c r="B62" s="72"/>
    </row>
    <row r="63" spans="1:2" ht="16.5">
      <c r="A63" s="2">
        <v>61</v>
      </c>
      <c r="B63" s="72"/>
    </row>
  </sheetData>
  <mergeCells count="2">
    <mergeCell ref="B2:C2"/>
    <mergeCell ref="E2:F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Drop Down 1">
              <controlPr defaultSize="0" autoLine="0" autoPict="0" macro="[0]!목차드롭다운">
                <anchor moveWithCells="1">
                  <from>
                    <xdr:col>7</xdr:col>
                    <xdr:colOff>647700</xdr:colOff>
                    <xdr:row>2</xdr:row>
                    <xdr:rowOff>0</xdr:rowOff>
                  </from>
                  <to>
                    <xdr:col>11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9DB0A-A2E8-48D0-985A-C949590BC4F7}">
  <sheetPr codeName="Sheet12"/>
  <dimension ref="A1:AL63"/>
  <sheetViews>
    <sheetView workbookViewId="0"/>
  </sheetViews>
  <sheetFormatPr defaultColWidth="8.7109375" defaultRowHeight="12.75"/>
  <cols>
    <col min="1" max="1" width="14" style="72" customWidth="1"/>
    <col min="2" max="2" width="27.5703125" style="72" customWidth="1"/>
    <col min="3" max="3" width="37" style="72" customWidth="1"/>
    <col min="4" max="4" width="7.7109375" style="72" customWidth="1"/>
    <col min="5" max="5" width="18" style="72" customWidth="1"/>
    <col min="6" max="6" width="13.140625" style="72" customWidth="1"/>
    <col min="7" max="16384" width="8.7109375" style="72"/>
  </cols>
  <sheetData>
    <row r="1" spans="1:38" ht="24">
      <c r="A1" s="159" t="s">
        <v>216</v>
      </c>
      <c r="B1" s="160">
        <v>1</v>
      </c>
      <c r="C1" s="160">
        <v>2</v>
      </c>
      <c r="D1" s="160">
        <v>3</v>
      </c>
      <c r="E1" s="160">
        <v>4</v>
      </c>
      <c r="F1" s="160">
        <v>5</v>
      </c>
      <c r="G1" s="160">
        <v>6</v>
      </c>
      <c r="H1" s="160">
        <v>7</v>
      </c>
      <c r="I1" s="160">
        <v>8</v>
      </c>
      <c r="J1" s="160">
        <v>9</v>
      </c>
      <c r="K1" s="160">
        <v>10</v>
      </c>
      <c r="L1" s="160">
        <v>11</v>
      </c>
      <c r="M1" s="160">
        <v>12</v>
      </c>
      <c r="N1" s="160">
        <v>13</v>
      </c>
      <c r="O1" s="160">
        <v>14</v>
      </c>
      <c r="P1" s="160">
        <v>15</v>
      </c>
      <c r="Q1" s="160">
        <v>16</v>
      </c>
      <c r="R1" s="160">
        <v>17</v>
      </c>
      <c r="S1" s="160">
        <v>18</v>
      </c>
      <c r="T1" s="160">
        <v>19</v>
      </c>
      <c r="U1" s="160">
        <v>20</v>
      </c>
      <c r="V1" s="160">
        <v>21</v>
      </c>
      <c r="W1" s="160">
        <v>22</v>
      </c>
      <c r="X1" s="160">
        <v>23</v>
      </c>
      <c r="Y1" s="160">
        <v>24</v>
      </c>
      <c r="Z1" s="160">
        <v>25</v>
      </c>
      <c r="AA1" s="160">
        <v>26</v>
      </c>
      <c r="AB1" s="160">
        <v>27</v>
      </c>
      <c r="AC1" s="160">
        <v>28</v>
      </c>
      <c r="AD1" s="160">
        <v>29</v>
      </c>
      <c r="AE1" s="160">
        <v>30</v>
      </c>
      <c r="AF1" s="160">
        <v>31</v>
      </c>
      <c r="AG1" s="160">
        <v>32</v>
      </c>
      <c r="AH1" s="160">
        <v>33</v>
      </c>
      <c r="AI1" s="160">
        <v>34</v>
      </c>
      <c r="AJ1" s="160">
        <v>35</v>
      </c>
      <c r="AK1" s="160">
        <v>36</v>
      </c>
      <c r="AL1" s="160">
        <v>37</v>
      </c>
    </row>
    <row r="2" spans="1:38" ht="31.5">
      <c r="A2" s="161">
        <v>0</v>
      </c>
      <c r="B2" s="228" t="s">
        <v>244</v>
      </c>
      <c r="C2" s="219"/>
    </row>
    <row r="3" spans="1:38" ht="16.5">
      <c r="A3" s="162">
        <v>1</v>
      </c>
      <c r="B3" s="7" t="s">
        <v>243</v>
      </c>
      <c r="C3" s="15" t="s">
        <v>217</v>
      </c>
    </row>
    <row r="4" spans="1:38" ht="16.5">
      <c r="A4" s="162">
        <v>2</v>
      </c>
      <c r="B4" s="7" t="s">
        <v>92</v>
      </c>
      <c r="C4" s="15" t="s">
        <v>126</v>
      </c>
    </row>
    <row r="5" spans="1:38" ht="16.5">
      <c r="A5" s="162">
        <v>3</v>
      </c>
      <c r="B5" s="7" t="s">
        <v>218</v>
      </c>
      <c r="C5" s="15" t="s">
        <v>219</v>
      </c>
    </row>
    <row r="6" spans="1:38" ht="16.5">
      <c r="A6" s="162">
        <v>4</v>
      </c>
      <c r="B6" s="7" t="s">
        <v>220</v>
      </c>
      <c r="C6" s="15" t="s">
        <v>221</v>
      </c>
    </row>
    <row r="7" spans="1:38" ht="16.5">
      <c r="A7" s="162">
        <v>5</v>
      </c>
      <c r="B7" s="7" t="s">
        <v>222</v>
      </c>
      <c r="C7" s="15" t="s">
        <v>180</v>
      </c>
    </row>
    <row r="8" spans="1:38" ht="16.5">
      <c r="A8" s="162">
        <v>6</v>
      </c>
      <c r="B8" s="7" t="s">
        <v>223</v>
      </c>
      <c r="C8" s="15" t="s">
        <v>224</v>
      </c>
    </row>
    <row r="9" spans="1:38" ht="16.5">
      <c r="A9" s="162">
        <v>7</v>
      </c>
      <c r="B9" s="7" t="s">
        <v>225</v>
      </c>
      <c r="C9" s="15" t="s">
        <v>226</v>
      </c>
    </row>
    <row r="10" spans="1:38" ht="16.5">
      <c r="A10" s="162">
        <v>8</v>
      </c>
      <c r="B10" s="7" t="s">
        <v>227</v>
      </c>
      <c r="C10" s="15" t="s">
        <v>211</v>
      </c>
    </row>
    <row r="11" spans="1:38" ht="16.5">
      <c r="A11" s="162">
        <v>9</v>
      </c>
      <c r="B11" s="7" t="s">
        <v>228</v>
      </c>
      <c r="C11" s="163" t="s">
        <v>212</v>
      </c>
    </row>
    <row r="12" spans="1:38" ht="14.25">
      <c r="A12" s="162">
        <v>10</v>
      </c>
    </row>
    <row r="13" spans="1:38" ht="16.5">
      <c r="A13" s="162">
        <v>11</v>
      </c>
      <c r="B13" s="7" t="s">
        <v>176</v>
      </c>
      <c r="C13" s="15" t="s">
        <v>229</v>
      </c>
    </row>
    <row r="14" spans="1:38" ht="16.5">
      <c r="A14" s="162">
        <v>12</v>
      </c>
      <c r="B14" s="7" t="s">
        <v>177</v>
      </c>
      <c r="C14" s="15" t="s">
        <v>229</v>
      </c>
    </row>
    <row r="15" spans="1:38" ht="16.5">
      <c r="A15" s="162">
        <v>13</v>
      </c>
      <c r="B15" s="7" t="s">
        <v>230</v>
      </c>
      <c r="C15" s="15" t="s">
        <v>229</v>
      </c>
    </row>
    <row r="16" spans="1:38" ht="16.5">
      <c r="A16" s="162">
        <v>14</v>
      </c>
      <c r="B16" s="7" t="s">
        <v>231</v>
      </c>
      <c r="C16" s="15" t="s">
        <v>213</v>
      </c>
    </row>
    <row r="17" spans="1:6" ht="16.5">
      <c r="A17" s="162">
        <v>15</v>
      </c>
      <c r="B17" s="7" t="s">
        <v>232</v>
      </c>
      <c r="C17" s="15" t="s">
        <v>219</v>
      </c>
    </row>
    <row r="18" spans="1:6" ht="16.5">
      <c r="A18" s="162">
        <v>16</v>
      </c>
      <c r="B18" s="7" t="s">
        <v>233</v>
      </c>
      <c r="C18" s="15" t="s">
        <v>183</v>
      </c>
    </row>
    <row r="19" spans="1:6" ht="14.25">
      <c r="A19" s="162">
        <v>17</v>
      </c>
    </row>
    <row r="20" spans="1:6" ht="16.5">
      <c r="A20" s="162">
        <v>18</v>
      </c>
      <c r="B20" s="7" t="s">
        <v>184</v>
      </c>
      <c r="C20" s="15" t="s">
        <v>234</v>
      </c>
    </row>
    <row r="21" spans="1:6" ht="14.25">
      <c r="A21" s="162">
        <v>19</v>
      </c>
    </row>
    <row r="22" spans="1:6" ht="16.5">
      <c r="A22" s="162">
        <v>20</v>
      </c>
      <c r="B22" s="7" t="s">
        <v>235</v>
      </c>
      <c r="C22" s="7" t="s">
        <v>173</v>
      </c>
      <c r="D22" s="7" t="s">
        <v>174</v>
      </c>
      <c r="E22" s="7" t="s">
        <v>236</v>
      </c>
      <c r="F22" s="7" t="s">
        <v>185</v>
      </c>
    </row>
    <row r="23" spans="1:6" ht="14.25">
      <c r="A23" s="162">
        <v>21</v>
      </c>
      <c r="B23" s="72" t="s">
        <v>237</v>
      </c>
      <c r="C23" s="72">
        <v>121212</v>
      </c>
      <c r="D23" s="72" t="s">
        <v>238</v>
      </c>
      <c r="E23" s="72" t="s">
        <v>239</v>
      </c>
      <c r="F23" s="72" t="s">
        <v>214</v>
      </c>
    </row>
    <row r="24" spans="1:6" ht="14.25">
      <c r="A24" s="162">
        <v>22</v>
      </c>
      <c r="B24" s="72" t="s">
        <v>240</v>
      </c>
      <c r="C24" s="72">
        <v>212121</v>
      </c>
      <c r="D24" s="72" t="s">
        <v>241</v>
      </c>
      <c r="E24" s="72" t="s">
        <v>242</v>
      </c>
      <c r="F24" s="72" t="s">
        <v>215</v>
      </c>
    </row>
    <row r="25" spans="1:6" ht="14.25">
      <c r="A25" s="162">
        <v>23</v>
      </c>
    </row>
    <row r="26" spans="1:6" ht="14.25">
      <c r="A26" s="162">
        <v>24</v>
      </c>
    </row>
    <row r="27" spans="1:6" ht="14.25">
      <c r="A27" s="162">
        <v>25</v>
      </c>
    </row>
    <row r="28" spans="1:6" ht="14.25">
      <c r="A28" s="162">
        <v>26</v>
      </c>
    </row>
    <row r="29" spans="1:6" ht="14.25">
      <c r="A29" s="162">
        <v>27</v>
      </c>
    </row>
    <row r="30" spans="1:6" ht="14.25">
      <c r="A30" s="162">
        <v>28</v>
      </c>
    </row>
    <row r="31" spans="1:6" ht="14.25">
      <c r="A31" s="162">
        <v>29</v>
      </c>
    </row>
    <row r="32" spans="1:6" ht="14.25">
      <c r="A32" s="162">
        <v>30</v>
      </c>
    </row>
    <row r="33" spans="1:1" ht="14.25">
      <c r="A33" s="162">
        <v>31</v>
      </c>
    </row>
    <row r="34" spans="1:1" ht="14.25">
      <c r="A34" s="162">
        <v>32</v>
      </c>
    </row>
    <row r="35" spans="1:1" ht="14.25">
      <c r="A35" s="162">
        <v>33</v>
      </c>
    </row>
    <row r="36" spans="1:1" ht="14.25">
      <c r="A36" s="162">
        <v>34</v>
      </c>
    </row>
    <row r="37" spans="1:1" ht="14.25">
      <c r="A37" s="162">
        <v>35</v>
      </c>
    </row>
    <row r="38" spans="1:1" ht="14.25">
      <c r="A38" s="162">
        <v>36</v>
      </c>
    </row>
    <row r="39" spans="1:1" ht="14.25">
      <c r="A39" s="162">
        <v>37</v>
      </c>
    </row>
    <row r="40" spans="1:1" ht="14.25">
      <c r="A40" s="162">
        <v>38</v>
      </c>
    </row>
    <row r="41" spans="1:1" ht="14.25">
      <c r="A41" s="162">
        <v>39</v>
      </c>
    </row>
    <row r="42" spans="1:1" ht="14.25">
      <c r="A42" s="162">
        <v>40</v>
      </c>
    </row>
    <row r="43" spans="1:1" ht="14.25">
      <c r="A43" s="162">
        <v>41</v>
      </c>
    </row>
    <row r="44" spans="1:1" ht="14.25">
      <c r="A44" s="162">
        <v>42</v>
      </c>
    </row>
    <row r="45" spans="1:1" ht="14.25">
      <c r="A45" s="162">
        <v>43</v>
      </c>
    </row>
    <row r="46" spans="1:1" ht="14.25">
      <c r="A46" s="162">
        <v>44</v>
      </c>
    </row>
    <row r="47" spans="1:1" ht="14.25">
      <c r="A47" s="162">
        <v>45</v>
      </c>
    </row>
    <row r="48" spans="1:1" ht="14.25">
      <c r="A48" s="162">
        <v>46</v>
      </c>
    </row>
    <row r="49" spans="1:1" ht="14.25">
      <c r="A49" s="162">
        <v>47</v>
      </c>
    </row>
    <row r="50" spans="1:1" ht="14.25">
      <c r="A50" s="162">
        <v>48</v>
      </c>
    </row>
    <row r="51" spans="1:1" ht="14.25">
      <c r="A51" s="162">
        <v>49</v>
      </c>
    </row>
    <row r="52" spans="1:1" ht="14.25">
      <c r="A52" s="162">
        <v>50</v>
      </c>
    </row>
    <row r="53" spans="1:1" ht="14.25">
      <c r="A53" s="162">
        <v>51</v>
      </c>
    </row>
    <row r="54" spans="1:1" ht="14.25">
      <c r="A54" s="162">
        <v>52</v>
      </c>
    </row>
    <row r="55" spans="1:1" ht="14.25">
      <c r="A55" s="162">
        <v>53</v>
      </c>
    </row>
    <row r="56" spans="1:1" ht="14.25">
      <c r="A56" s="162">
        <v>54</v>
      </c>
    </row>
    <row r="57" spans="1:1" ht="14.25">
      <c r="A57" s="162">
        <v>55</v>
      </c>
    </row>
    <row r="58" spans="1:1" ht="14.25">
      <c r="A58" s="162">
        <v>56</v>
      </c>
    </row>
    <row r="59" spans="1:1" ht="14.25">
      <c r="A59" s="162">
        <v>57</v>
      </c>
    </row>
    <row r="60" spans="1:1" ht="14.25">
      <c r="A60" s="162">
        <v>58</v>
      </c>
    </row>
    <row r="61" spans="1:1" ht="14.25">
      <c r="A61" s="162">
        <v>59</v>
      </c>
    </row>
    <row r="62" spans="1:1" ht="14.25">
      <c r="A62" s="162">
        <v>60</v>
      </c>
    </row>
    <row r="63" spans="1:1" ht="14.25">
      <c r="A63" s="162">
        <v>61</v>
      </c>
    </row>
  </sheetData>
  <mergeCells count="1">
    <mergeCell ref="B2:C2"/>
  </mergeCells>
  <phoneticPr fontId="17" type="noConversion"/>
  <hyperlinks>
    <hyperlink ref="C11" r:id="rId1" xr:uid="{694FA870-8D8E-4790-B77E-F471C440482C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44F86-E0A9-4A3F-A56B-530002B22324}">
  <sheetPr codeName="Sheet15"/>
  <dimension ref="A1:AL63"/>
  <sheetViews>
    <sheetView workbookViewId="0"/>
  </sheetViews>
  <sheetFormatPr defaultColWidth="8.7109375" defaultRowHeight="12.75"/>
  <cols>
    <col min="1" max="1" width="14" style="72" customWidth="1"/>
    <col min="2" max="2" width="27.5703125" style="72" customWidth="1"/>
    <col min="3" max="3" width="37" style="72" customWidth="1"/>
    <col min="4" max="4" width="7.7109375" style="72" customWidth="1"/>
    <col min="5" max="5" width="18" style="72" customWidth="1"/>
    <col min="6" max="6" width="13.140625" style="72" customWidth="1"/>
    <col min="7" max="16384" width="8.7109375" style="72"/>
  </cols>
  <sheetData>
    <row r="1" spans="1:38" ht="24">
      <c r="A1" s="159" t="s">
        <v>216</v>
      </c>
      <c r="B1" s="160">
        <v>1</v>
      </c>
      <c r="C1" s="160">
        <v>2</v>
      </c>
      <c r="D1" s="160">
        <v>3</v>
      </c>
      <c r="E1" s="160">
        <v>4</v>
      </c>
      <c r="F1" s="160">
        <v>5</v>
      </c>
      <c r="G1" s="160">
        <v>6</v>
      </c>
      <c r="H1" s="160">
        <v>7</v>
      </c>
      <c r="I1" s="160">
        <v>8</v>
      </c>
      <c r="J1" s="160">
        <v>9</v>
      </c>
      <c r="K1" s="160">
        <v>10</v>
      </c>
      <c r="L1" s="160">
        <v>11</v>
      </c>
      <c r="M1" s="160">
        <v>12</v>
      </c>
      <c r="N1" s="160">
        <v>13</v>
      </c>
      <c r="O1" s="160">
        <v>14</v>
      </c>
      <c r="P1" s="160">
        <v>15</v>
      </c>
      <c r="Q1" s="160">
        <v>16</v>
      </c>
      <c r="R1" s="160">
        <v>17</v>
      </c>
      <c r="S1" s="160">
        <v>18</v>
      </c>
      <c r="T1" s="160">
        <v>19</v>
      </c>
      <c r="U1" s="160">
        <v>20</v>
      </c>
      <c r="V1" s="160">
        <v>21</v>
      </c>
      <c r="W1" s="160">
        <v>22</v>
      </c>
      <c r="X1" s="160">
        <v>23</v>
      </c>
      <c r="Y1" s="160">
        <v>24</v>
      </c>
      <c r="Z1" s="160">
        <v>25</v>
      </c>
      <c r="AA1" s="160">
        <v>26</v>
      </c>
      <c r="AB1" s="160">
        <v>27</v>
      </c>
      <c r="AC1" s="160">
        <v>28</v>
      </c>
      <c r="AD1" s="160">
        <v>29</v>
      </c>
      <c r="AE1" s="160">
        <v>30</v>
      </c>
      <c r="AF1" s="160">
        <v>31</v>
      </c>
      <c r="AG1" s="160">
        <v>32</v>
      </c>
      <c r="AH1" s="160">
        <v>33</v>
      </c>
      <c r="AI1" s="160">
        <v>34</v>
      </c>
      <c r="AJ1" s="160">
        <v>35</v>
      </c>
      <c r="AK1" s="160">
        <v>36</v>
      </c>
      <c r="AL1" s="160">
        <v>37</v>
      </c>
    </row>
    <row r="2" spans="1:38" ht="31.5">
      <c r="A2" s="161">
        <v>0</v>
      </c>
      <c r="B2" s="229" t="s">
        <v>245</v>
      </c>
      <c r="C2" s="219"/>
    </row>
    <row r="3" spans="1:38" ht="19.5">
      <c r="A3" s="162">
        <v>1</v>
      </c>
      <c r="B3" s="164" t="s">
        <v>246</v>
      </c>
      <c r="C3" s="169" t="s">
        <v>186</v>
      </c>
    </row>
    <row r="4" spans="1:38" ht="19.5">
      <c r="A4" s="162">
        <v>2</v>
      </c>
      <c r="B4" s="164" t="s">
        <v>247</v>
      </c>
      <c r="C4" s="169" t="s">
        <v>258</v>
      </c>
    </row>
    <row r="5" spans="1:38" ht="19.5">
      <c r="A5" s="162">
        <v>3</v>
      </c>
      <c r="B5" s="164" t="s">
        <v>248</v>
      </c>
      <c r="C5" s="15" t="s">
        <v>219</v>
      </c>
    </row>
    <row r="6" spans="1:38" ht="19.5">
      <c r="A6" s="162">
        <v>4</v>
      </c>
      <c r="B6" s="165" t="s">
        <v>250</v>
      </c>
      <c r="C6" s="15" t="s">
        <v>259</v>
      </c>
    </row>
    <row r="7" spans="1:38" ht="19.5">
      <c r="A7" s="162">
        <v>5</v>
      </c>
      <c r="B7" s="165" t="s">
        <v>249</v>
      </c>
      <c r="C7" s="163" t="s">
        <v>260</v>
      </c>
    </row>
    <row r="8" spans="1:38" ht="14.25">
      <c r="A8" s="162">
        <v>6</v>
      </c>
    </row>
    <row r="9" spans="1:38" ht="19.5">
      <c r="A9" s="162">
        <v>7</v>
      </c>
      <c r="B9" s="164" t="s">
        <v>263</v>
      </c>
      <c r="C9" s="15" t="s">
        <v>264</v>
      </c>
    </row>
    <row r="10" spans="1:38" ht="14.25">
      <c r="A10" s="162">
        <v>8</v>
      </c>
    </row>
    <row r="11" spans="1:38" ht="19.5">
      <c r="A11" s="162">
        <v>9</v>
      </c>
      <c r="B11" s="164" t="s">
        <v>251</v>
      </c>
      <c r="C11" s="164" t="s">
        <v>252</v>
      </c>
      <c r="D11" s="164" t="s">
        <v>253</v>
      </c>
      <c r="E11" s="164" t="s">
        <v>254</v>
      </c>
      <c r="F11" s="164" t="s">
        <v>255</v>
      </c>
    </row>
    <row r="12" spans="1:38" ht="14.25">
      <c r="A12" s="162">
        <v>10</v>
      </c>
      <c r="B12" s="167" t="s">
        <v>262</v>
      </c>
      <c r="D12" s="166" t="s">
        <v>207</v>
      </c>
      <c r="E12" s="142" t="s">
        <v>256</v>
      </c>
      <c r="F12" s="168" t="s">
        <v>257</v>
      </c>
    </row>
    <row r="13" spans="1:38" ht="14.25">
      <c r="A13" s="162">
        <v>11</v>
      </c>
    </row>
    <row r="14" spans="1:38" ht="14.25">
      <c r="A14" s="162">
        <v>12</v>
      </c>
    </row>
    <row r="15" spans="1:38" ht="14.25">
      <c r="A15" s="162">
        <v>13</v>
      </c>
    </row>
    <row r="16" spans="1:38" ht="14.25">
      <c r="A16" s="162">
        <v>14</v>
      </c>
    </row>
    <row r="17" spans="1:1" ht="14.25">
      <c r="A17" s="162">
        <v>15</v>
      </c>
    </row>
    <row r="18" spans="1:1" ht="14.25">
      <c r="A18" s="162">
        <v>16</v>
      </c>
    </row>
    <row r="19" spans="1:1" ht="14.25">
      <c r="A19" s="162">
        <v>17</v>
      </c>
    </row>
    <row r="20" spans="1:1" ht="14.25">
      <c r="A20" s="162">
        <v>18</v>
      </c>
    </row>
    <row r="21" spans="1:1" ht="14.25">
      <c r="A21" s="162">
        <v>19</v>
      </c>
    </row>
    <row r="22" spans="1:1" ht="14.25">
      <c r="A22" s="162">
        <v>20</v>
      </c>
    </row>
    <row r="23" spans="1:1" ht="14.25">
      <c r="A23" s="162">
        <v>21</v>
      </c>
    </row>
    <row r="24" spans="1:1" ht="14.25">
      <c r="A24" s="162">
        <v>22</v>
      </c>
    </row>
    <row r="25" spans="1:1" ht="14.25">
      <c r="A25" s="162">
        <v>23</v>
      </c>
    </row>
    <row r="26" spans="1:1" ht="14.25">
      <c r="A26" s="162">
        <v>24</v>
      </c>
    </row>
    <row r="27" spans="1:1" ht="14.25">
      <c r="A27" s="162">
        <v>25</v>
      </c>
    </row>
    <row r="28" spans="1:1" ht="14.25">
      <c r="A28" s="162">
        <v>26</v>
      </c>
    </row>
    <row r="29" spans="1:1" ht="14.25">
      <c r="A29" s="162">
        <v>27</v>
      </c>
    </row>
    <row r="30" spans="1:1" ht="14.25">
      <c r="A30" s="162">
        <v>28</v>
      </c>
    </row>
    <row r="31" spans="1:1" ht="14.25">
      <c r="A31" s="162">
        <v>29</v>
      </c>
    </row>
    <row r="32" spans="1:1" ht="14.25">
      <c r="A32" s="162">
        <v>30</v>
      </c>
    </row>
    <row r="33" spans="1:1" ht="14.25">
      <c r="A33" s="162">
        <v>31</v>
      </c>
    </row>
    <row r="34" spans="1:1" ht="14.25">
      <c r="A34" s="162">
        <v>32</v>
      </c>
    </row>
    <row r="35" spans="1:1" ht="14.25">
      <c r="A35" s="162">
        <v>33</v>
      </c>
    </row>
    <row r="36" spans="1:1" ht="14.25">
      <c r="A36" s="162">
        <v>34</v>
      </c>
    </row>
    <row r="37" spans="1:1" ht="14.25">
      <c r="A37" s="162">
        <v>35</v>
      </c>
    </row>
    <row r="38" spans="1:1" ht="14.25">
      <c r="A38" s="162">
        <v>36</v>
      </c>
    </row>
    <row r="39" spans="1:1" ht="14.25">
      <c r="A39" s="162">
        <v>37</v>
      </c>
    </row>
    <row r="40" spans="1:1" ht="14.25">
      <c r="A40" s="162">
        <v>38</v>
      </c>
    </row>
    <row r="41" spans="1:1" ht="14.25">
      <c r="A41" s="162">
        <v>39</v>
      </c>
    </row>
    <row r="42" spans="1:1" ht="14.25">
      <c r="A42" s="162">
        <v>40</v>
      </c>
    </row>
    <row r="43" spans="1:1" ht="14.25">
      <c r="A43" s="162">
        <v>41</v>
      </c>
    </row>
    <row r="44" spans="1:1" ht="14.25">
      <c r="A44" s="162">
        <v>42</v>
      </c>
    </row>
    <row r="45" spans="1:1" ht="14.25">
      <c r="A45" s="162">
        <v>43</v>
      </c>
    </row>
    <row r="46" spans="1:1" ht="14.25">
      <c r="A46" s="162">
        <v>44</v>
      </c>
    </row>
    <row r="47" spans="1:1" ht="14.25">
      <c r="A47" s="162">
        <v>45</v>
      </c>
    </row>
    <row r="48" spans="1:1" ht="14.25">
      <c r="A48" s="162">
        <v>46</v>
      </c>
    </row>
    <row r="49" spans="1:1" ht="14.25">
      <c r="A49" s="162">
        <v>47</v>
      </c>
    </row>
    <row r="50" spans="1:1" ht="14.25">
      <c r="A50" s="162">
        <v>48</v>
      </c>
    </row>
    <row r="51" spans="1:1" ht="14.25">
      <c r="A51" s="162">
        <v>49</v>
      </c>
    </row>
    <row r="52" spans="1:1" ht="14.25">
      <c r="A52" s="162">
        <v>50</v>
      </c>
    </row>
    <row r="53" spans="1:1" ht="14.25">
      <c r="A53" s="162">
        <v>51</v>
      </c>
    </row>
    <row r="54" spans="1:1" ht="14.25">
      <c r="A54" s="162">
        <v>52</v>
      </c>
    </row>
    <row r="55" spans="1:1" ht="14.25">
      <c r="A55" s="162">
        <v>53</v>
      </c>
    </row>
    <row r="56" spans="1:1" ht="14.25">
      <c r="A56" s="162">
        <v>54</v>
      </c>
    </row>
    <row r="57" spans="1:1" ht="14.25">
      <c r="A57" s="162">
        <v>55</v>
      </c>
    </row>
    <row r="58" spans="1:1" ht="14.25">
      <c r="A58" s="162">
        <v>56</v>
      </c>
    </row>
    <row r="59" spans="1:1" ht="14.25">
      <c r="A59" s="162">
        <v>57</v>
      </c>
    </row>
    <row r="60" spans="1:1" ht="14.25">
      <c r="A60" s="162">
        <v>58</v>
      </c>
    </row>
    <row r="61" spans="1:1" ht="14.25">
      <c r="A61" s="162">
        <v>59</v>
      </c>
    </row>
    <row r="62" spans="1:1" ht="14.25">
      <c r="A62" s="162">
        <v>60</v>
      </c>
    </row>
    <row r="63" spans="1:1" ht="14.25">
      <c r="A63" s="162">
        <v>61</v>
      </c>
    </row>
  </sheetData>
  <mergeCells count="1">
    <mergeCell ref="B2:C2"/>
  </mergeCells>
  <phoneticPr fontId="17" type="noConversion"/>
  <hyperlinks>
    <hyperlink ref="C7" r:id="rId1" xr:uid="{050DC29C-09B4-4A4E-96B2-D6A0345664D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6BC7-28C8-4BDD-A414-B501214D4FD6}">
  <sheetPr codeName="Sheet16"/>
  <dimension ref="A1:AL63"/>
  <sheetViews>
    <sheetView workbookViewId="0"/>
  </sheetViews>
  <sheetFormatPr defaultColWidth="8.7109375" defaultRowHeight="12.75"/>
  <cols>
    <col min="1" max="1" width="14" style="72" customWidth="1"/>
    <col min="2" max="2" width="27.5703125" style="72" customWidth="1"/>
    <col min="3" max="3" width="37" style="72" customWidth="1"/>
    <col min="4" max="4" width="7.7109375" style="72" customWidth="1"/>
    <col min="5" max="5" width="18" style="72" customWidth="1"/>
    <col min="6" max="6" width="13.140625" style="72" customWidth="1"/>
    <col min="7" max="16384" width="8.7109375" style="72"/>
  </cols>
  <sheetData>
    <row r="1" spans="1:38" ht="24">
      <c r="A1" s="159" t="s">
        <v>216</v>
      </c>
      <c r="B1" s="160">
        <v>1</v>
      </c>
      <c r="C1" s="160">
        <v>2</v>
      </c>
      <c r="D1" s="160">
        <v>3</v>
      </c>
      <c r="E1" s="160">
        <v>4</v>
      </c>
      <c r="F1" s="160">
        <v>5</v>
      </c>
      <c r="G1" s="160">
        <v>6</v>
      </c>
      <c r="H1" s="160">
        <v>7</v>
      </c>
      <c r="I1" s="160">
        <v>8</v>
      </c>
      <c r="J1" s="160">
        <v>9</v>
      </c>
      <c r="K1" s="160">
        <v>10</v>
      </c>
      <c r="L1" s="160">
        <v>11</v>
      </c>
      <c r="M1" s="160">
        <v>12</v>
      </c>
      <c r="N1" s="160">
        <v>13</v>
      </c>
      <c r="O1" s="160">
        <v>14</v>
      </c>
      <c r="P1" s="160">
        <v>15</v>
      </c>
      <c r="Q1" s="160">
        <v>16</v>
      </c>
      <c r="R1" s="160">
        <v>17</v>
      </c>
      <c r="S1" s="160">
        <v>18</v>
      </c>
      <c r="T1" s="160">
        <v>19</v>
      </c>
      <c r="U1" s="160">
        <v>20</v>
      </c>
      <c r="V1" s="160">
        <v>21</v>
      </c>
      <c r="W1" s="160">
        <v>22</v>
      </c>
      <c r="X1" s="160">
        <v>23</v>
      </c>
      <c r="Y1" s="160">
        <v>24</v>
      </c>
      <c r="Z1" s="160">
        <v>25</v>
      </c>
      <c r="AA1" s="160">
        <v>26</v>
      </c>
      <c r="AB1" s="160">
        <v>27</v>
      </c>
      <c r="AC1" s="160">
        <v>28</v>
      </c>
      <c r="AD1" s="160">
        <v>29</v>
      </c>
      <c r="AE1" s="160">
        <v>30</v>
      </c>
      <c r="AF1" s="160">
        <v>31</v>
      </c>
      <c r="AG1" s="160">
        <v>32</v>
      </c>
      <c r="AH1" s="160">
        <v>33</v>
      </c>
      <c r="AI1" s="160">
        <v>34</v>
      </c>
      <c r="AJ1" s="160">
        <v>35</v>
      </c>
      <c r="AK1" s="160">
        <v>36</v>
      </c>
      <c r="AL1" s="160">
        <v>37</v>
      </c>
    </row>
    <row r="2" spans="1:38" ht="31.5">
      <c r="A2" s="161">
        <v>0</v>
      </c>
      <c r="B2" s="229" t="s">
        <v>265</v>
      </c>
      <c r="C2" s="219"/>
    </row>
    <row r="3" spans="1:38" ht="19.5">
      <c r="A3" s="162">
        <v>1</v>
      </c>
      <c r="B3" s="164" t="s">
        <v>246</v>
      </c>
      <c r="C3" s="169" t="s">
        <v>186</v>
      </c>
    </row>
    <row r="4" spans="1:38" ht="19.5">
      <c r="A4" s="162">
        <v>2</v>
      </c>
      <c r="B4" s="164" t="s">
        <v>247</v>
      </c>
      <c r="C4" s="169" t="s">
        <v>258</v>
      </c>
    </row>
    <row r="5" spans="1:38" ht="14.25">
      <c r="A5" s="162">
        <v>3</v>
      </c>
    </row>
    <row r="6" spans="1:38" ht="19.5">
      <c r="A6" s="162">
        <v>4</v>
      </c>
      <c r="B6" s="164" t="s">
        <v>263</v>
      </c>
      <c r="C6" s="15" t="s">
        <v>264</v>
      </c>
    </row>
    <row r="7" spans="1:38" ht="14.25">
      <c r="A7" s="162">
        <v>5</v>
      </c>
    </row>
    <row r="8" spans="1:38" ht="14.25">
      <c r="A8" s="162">
        <v>6</v>
      </c>
    </row>
    <row r="9" spans="1:38" ht="14.25">
      <c r="A9" s="162">
        <v>7</v>
      </c>
    </row>
    <row r="10" spans="1:38" ht="14.25">
      <c r="A10" s="162">
        <v>8</v>
      </c>
    </row>
    <row r="11" spans="1:38" ht="14.25">
      <c r="A11" s="162">
        <v>9</v>
      </c>
    </row>
    <row r="12" spans="1:38" ht="14.25">
      <c r="A12" s="162">
        <v>10</v>
      </c>
      <c r="B12" s="167"/>
      <c r="D12" s="166"/>
      <c r="E12" s="142"/>
      <c r="F12" s="168"/>
    </row>
    <row r="13" spans="1:38" ht="14.25">
      <c r="A13" s="162">
        <v>11</v>
      </c>
    </row>
    <row r="14" spans="1:38" ht="14.25">
      <c r="A14" s="162">
        <v>12</v>
      </c>
    </row>
    <row r="15" spans="1:38" ht="14.25">
      <c r="A15" s="162">
        <v>13</v>
      </c>
    </row>
    <row r="16" spans="1:38" ht="14.25">
      <c r="A16" s="162">
        <v>14</v>
      </c>
    </row>
    <row r="17" spans="1:1" ht="14.25">
      <c r="A17" s="162">
        <v>15</v>
      </c>
    </row>
    <row r="18" spans="1:1" ht="14.25">
      <c r="A18" s="162">
        <v>16</v>
      </c>
    </row>
    <row r="19" spans="1:1" ht="14.25">
      <c r="A19" s="162">
        <v>17</v>
      </c>
    </row>
    <row r="20" spans="1:1" ht="14.25">
      <c r="A20" s="162">
        <v>18</v>
      </c>
    </row>
    <row r="21" spans="1:1" ht="14.25">
      <c r="A21" s="162">
        <v>19</v>
      </c>
    </row>
    <row r="22" spans="1:1" ht="14.25">
      <c r="A22" s="162">
        <v>20</v>
      </c>
    </row>
    <row r="23" spans="1:1" ht="14.25">
      <c r="A23" s="162">
        <v>21</v>
      </c>
    </row>
    <row r="24" spans="1:1" ht="14.25">
      <c r="A24" s="162">
        <v>22</v>
      </c>
    </row>
    <row r="25" spans="1:1" ht="14.25">
      <c r="A25" s="162">
        <v>23</v>
      </c>
    </row>
    <row r="26" spans="1:1" ht="14.25">
      <c r="A26" s="162">
        <v>24</v>
      </c>
    </row>
    <row r="27" spans="1:1" ht="14.25">
      <c r="A27" s="162">
        <v>25</v>
      </c>
    </row>
    <row r="28" spans="1:1" ht="14.25">
      <c r="A28" s="162">
        <v>26</v>
      </c>
    </row>
    <row r="29" spans="1:1" ht="14.25">
      <c r="A29" s="162">
        <v>27</v>
      </c>
    </row>
    <row r="30" spans="1:1" ht="14.25">
      <c r="A30" s="162">
        <v>28</v>
      </c>
    </row>
    <row r="31" spans="1:1" ht="14.25">
      <c r="A31" s="162">
        <v>29</v>
      </c>
    </row>
    <row r="32" spans="1:1" ht="14.25">
      <c r="A32" s="162">
        <v>30</v>
      </c>
    </row>
    <row r="33" spans="1:1" ht="14.25">
      <c r="A33" s="162">
        <v>31</v>
      </c>
    </row>
    <row r="34" spans="1:1" ht="14.25">
      <c r="A34" s="162">
        <v>32</v>
      </c>
    </row>
    <row r="35" spans="1:1" ht="14.25">
      <c r="A35" s="162">
        <v>33</v>
      </c>
    </row>
    <row r="36" spans="1:1" ht="14.25">
      <c r="A36" s="162">
        <v>34</v>
      </c>
    </row>
    <row r="37" spans="1:1" ht="14.25">
      <c r="A37" s="162">
        <v>35</v>
      </c>
    </row>
    <row r="38" spans="1:1" ht="14.25">
      <c r="A38" s="162">
        <v>36</v>
      </c>
    </row>
    <row r="39" spans="1:1" ht="14.25">
      <c r="A39" s="162">
        <v>37</v>
      </c>
    </row>
    <row r="40" spans="1:1" ht="14.25">
      <c r="A40" s="162">
        <v>38</v>
      </c>
    </row>
    <row r="41" spans="1:1" ht="14.25">
      <c r="A41" s="162">
        <v>39</v>
      </c>
    </row>
    <row r="42" spans="1:1" ht="14.25">
      <c r="A42" s="162">
        <v>40</v>
      </c>
    </row>
    <row r="43" spans="1:1" ht="14.25">
      <c r="A43" s="162">
        <v>41</v>
      </c>
    </row>
    <row r="44" spans="1:1" ht="14.25">
      <c r="A44" s="162">
        <v>42</v>
      </c>
    </row>
    <row r="45" spans="1:1" ht="14.25">
      <c r="A45" s="162">
        <v>43</v>
      </c>
    </row>
    <row r="46" spans="1:1" ht="14.25">
      <c r="A46" s="162">
        <v>44</v>
      </c>
    </row>
    <row r="47" spans="1:1" ht="14.25">
      <c r="A47" s="162">
        <v>45</v>
      </c>
    </row>
    <row r="48" spans="1:1" ht="14.25">
      <c r="A48" s="162">
        <v>46</v>
      </c>
    </row>
    <row r="49" spans="1:1" ht="14.25">
      <c r="A49" s="162">
        <v>47</v>
      </c>
    </row>
    <row r="50" spans="1:1" ht="14.25">
      <c r="A50" s="162">
        <v>48</v>
      </c>
    </row>
    <row r="51" spans="1:1" ht="14.25">
      <c r="A51" s="162">
        <v>49</v>
      </c>
    </row>
    <row r="52" spans="1:1" ht="14.25">
      <c r="A52" s="162">
        <v>50</v>
      </c>
    </row>
    <row r="53" spans="1:1" ht="14.25">
      <c r="A53" s="162">
        <v>51</v>
      </c>
    </row>
    <row r="54" spans="1:1" ht="14.25">
      <c r="A54" s="162">
        <v>52</v>
      </c>
    </row>
    <row r="55" spans="1:1" ht="14.25">
      <c r="A55" s="162">
        <v>53</v>
      </c>
    </row>
    <row r="56" spans="1:1" ht="14.25">
      <c r="A56" s="162">
        <v>54</v>
      </c>
    </row>
    <row r="57" spans="1:1" ht="14.25">
      <c r="A57" s="162">
        <v>55</v>
      </c>
    </row>
    <row r="58" spans="1:1" ht="14.25">
      <c r="A58" s="162">
        <v>56</v>
      </c>
    </row>
    <row r="59" spans="1:1" ht="14.25">
      <c r="A59" s="162">
        <v>57</v>
      </c>
    </row>
    <row r="60" spans="1:1" ht="14.25">
      <c r="A60" s="162">
        <v>58</v>
      </c>
    </row>
    <row r="61" spans="1:1" ht="14.25">
      <c r="A61" s="162">
        <v>59</v>
      </c>
    </row>
    <row r="62" spans="1:1" ht="14.25">
      <c r="A62" s="162">
        <v>60</v>
      </c>
    </row>
    <row r="63" spans="1:1" ht="14.25">
      <c r="A63" s="162">
        <v>61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CC8C0-8DB8-45A7-818D-87232189135A}">
  <sheetPr codeName="Sheet17"/>
  <dimension ref="A1:AL63"/>
  <sheetViews>
    <sheetView workbookViewId="0"/>
  </sheetViews>
  <sheetFormatPr defaultColWidth="8.7109375" defaultRowHeight="12.75"/>
  <cols>
    <col min="1" max="1" width="14" style="72" customWidth="1"/>
    <col min="2" max="2" width="27.5703125" style="72" customWidth="1"/>
    <col min="3" max="3" width="37" style="72" customWidth="1"/>
    <col min="4" max="4" width="7.7109375" style="72" customWidth="1"/>
    <col min="5" max="5" width="18" style="72" customWidth="1"/>
    <col min="6" max="6" width="13.140625" style="72" customWidth="1"/>
    <col min="7" max="16384" width="8.7109375" style="72"/>
  </cols>
  <sheetData>
    <row r="1" spans="1:38" ht="24">
      <c r="A1" s="159" t="s">
        <v>216</v>
      </c>
      <c r="B1" s="160">
        <v>1</v>
      </c>
      <c r="C1" s="160">
        <v>2</v>
      </c>
      <c r="D1" s="160">
        <v>3</v>
      </c>
      <c r="E1" s="160">
        <v>4</v>
      </c>
      <c r="F1" s="160">
        <v>5</v>
      </c>
      <c r="G1" s="160">
        <v>6</v>
      </c>
      <c r="H1" s="160">
        <v>7</v>
      </c>
      <c r="I1" s="160">
        <v>8</v>
      </c>
      <c r="J1" s="160">
        <v>9</v>
      </c>
      <c r="K1" s="160">
        <v>10</v>
      </c>
      <c r="L1" s="160">
        <v>11</v>
      </c>
      <c r="M1" s="160">
        <v>12</v>
      </c>
      <c r="N1" s="160">
        <v>13</v>
      </c>
      <c r="O1" s="160">
        <v>14</v>
      </c>
      <c r="P1" s="160">
        <v>15</v>
      </c>
      <c r="Q1" s="160">
        <v>16</v>
      </c>
      <c r="R1" s="160">
        <v>17</v>
      </c>
      <c r="S1" s="160">
        <v>18</v>
      </c>
      <c r="T1" s="160">
        <v>19</v>
      </c>
      <c r="U1" s="160">
        <v>20</v>
      </c>
      <c r="V1" s="160">
        <v>21</v>
      </c>
      <c r="W1" s="160">
        <v>22</v>
      </c>
      <c r="X1" s="160">
        <v>23</v>
      </c>
      <c r="Y1" s="160">
        <v>24</v>
      </c>
      <c r="Z1" s="160">
        <v>25</v>
      </c>
      <c r="AA1" s="160">
        <v>26</v>
      </c>
      <c r="AB1" s="160">
        <v>27</v>
      </c>
      <c r="AC1" s="160">
        <v>28</v>
      </c>
      <c r="AD1" s="160">
        <v>29</v>
      </c>
      <c r="AE1" s="160">
        <v>30</v>
      </c>
      <c r="AF1" s="160">
        <v>31</v>
      </c>
      <c r="AG1" s="160">
        <v>32</v>
      </c>
      <c r="AH1" s="160">
        <v>33</v>
      </c>
      <c r="AI1" s="160">
        <v>34</v>
      </c>
      <c r="AJ1" s="160">
        <v>35</v>
      </c>
      <c r="AK1" s="160">
        <v>36</v>
      </c>
      <c r="AL1" s="160">
        <v>37</v>
      </c>
    </row>
    <row r="2" spans="1:38" ht="31.5">
      <c r="A2" s="161">
        <v>0</v>
      </c>
      <c r="B2" s="229" t="s">
        <v>266</v>
      </c>
      <c r="C2" s="219"/>
    </row>
    <row r="3" spans="1:38" ht="19.5">
      <c r="A3" s="162">
        <v>1</v>
      </c>
      <c r="B3" s="164" t="s">
        <v>246</v>
      </c>
      <c r="C3" s="169" t="s">
        <v>186</v>
      </c>
    </row>
    <row r="4" spans="1:38" ht="19.5">
      <c r="A4" s="162">
        <v>2</v>
      </c>
      <c r="B4" s="164" t="s">
        <v>173</v>
      </c>
      <c r="C4" s="170">
        <v>123412</v>
      </c>
    </row>
    <row r="5" spans="1:38" ht="14.25">
      <c r="A5" s="162">
        <v>3</v>
      </c>
    </row>
    <row r="6" spans="1:38" ht="19.5">
      <c r="A6" s="162">
        <v>4</v>
      </c>
      <c r="B6" s="164" t="s">
        <v>263</v>
      </c>
      <c r="C6" s="15" t="s">
        <v>264</v>
      </c>
    </row>
    <row r="7" spans="1:38" ht="14.25">
      <c r="A7" s="162">
        <v>5</v>
      </c>
    </row>
    <row r="8" spans="1:38" ht="14.25">
      <c r="A8" s="162">
        <v>6</v>
      </c>
    </row>
    <row r="9" spans="1:38" ht="14.25">
      <c r="A9" s="162">
        <v>7</v>
      </c>
    </row>
    <row r="10" spans="1:38" ht="14.25">
      <c r="A10" s="162">
        <v>8</v>
      </c>
    </row>
    <row r="11" spans="1:38" ht="14.25">
      <c r="A11" s="162">
        <v>9</v>
      </c>
    </row>
    <row r="12" spans="1:38" ht="14.25">
      <c r="A12" s="162">
        <v>10</v>
      </c>
      <c r="B12" s="167"/>
      <c r="D12" s="166"/>
      <c r="E12" s="142"/>
      <c r="F12" s="168"/>
    </row>
    <row r="13" spans="1:38" ht="14.25">
      <c r="A13" s="162">
        <v>11</v>
      </c>
    </row>
    <row r="14" spans="1:38" ht="14.25">
      <c r="A14" s="162">
        <v>12</v>
      </c>
    </row>
    <row r="15" spans="1:38" ht="14.25">
      <c r="A15" s="162">
        <v>13</v>
      </c>
    </row>
    <row r="16" spans="1:38" ht="14.25">
      <c r="A16" s="162">
        <v>14</v>
      </c>
    </row>
    <row r="17" spans="1:1" ht="14.25">
      <c r="A17" s="162">
        <v>15</v>
      </c>
    </row>
    <row r="18" spans="1:1" ht="14.25">
      <c r="A18" s="162">
        <v>16</v>
      </c>
    </row>
    <row r="19" spans="1:1" ht="14.25">
      <c r="A19" s="162">
        <v>17</v>
      </c>
    </row>
    <row r="20" spans="1:1" ht="14.25">
      <c r="A20" s="162">
        <v>18</v>
      </c>
    </row>
    <row r="21" spans="1:1" ht="14.25">
      <c r="A21" s="162">
        <v>19</v>
      </c>
    </row>
    <row r="22" spans="1:1" ht="14.25">
      <c r="A22" s="162">
        <v>20</v>
      </c>
    </row>
    <row r="23" spans="1:1" ht="14.25">
      <c r="A23" s="162">
        <v>21</v>
      </c>
    </row>
    <row r="24" spans="1:1" ht="14.25">
      <c r="A24" s="162">
        <v>22</v>
      </c>
    </row>
    <row r="25" spans="1:1" ht="14.25">
      <c r="A25" s="162">
        <v>23</v>
      </c>
    </row>
    <row r="26" spans="1:1" ht="14.25">
      <c r="A26" s="162">
        <v>24</v>
      </c>
    </row>
    <row r="27" spans="1:1" ht="14.25">
      <c r="A27" s="162">
        <v>25</v>
      </c>
    </row>
    <row r="28" spans="1:1" ht="14.25">
      <c r="A28" s="162">
        <v>26</v>
      </c>
    </row>
    <row r="29" spans="1:1" ht="14.25">
      <c r="A29" s="162">
        <v>27</v>
      </c>
    </row>
    <row r="30" spans="1:1" ht="14.25">
      <c r="A30" s="162">
        <v>28</v>
      </c>
    </row>
    <row r="31" spans="1:1" ht="14.25">
      <c r="A31" s="162">
        <v>29</v>
      </c>
    </row>
    <row r="32" spans="1:1" ht="14.25">
      <c r="A32" s="162">
        <v>30</v>
      </c>
    </row>
    <row r="33" spans="1:1" ht="14.25">
      <c r="A33" s="162">
        <v>31</v>
      </c>
    </row>
    <row r="34" spans="1:1" ht="14.25">
      <c r="A34" s="162">
        <v>32</v>
      </c>
    </row>
    <row r="35" spans="1:1" ht="14.25">
      <c r="A35" s="162">
        <v>33</v>
      </c>
    </row>
    <row r="36" spans="1:1" ht="14.25">
      <c r="A36" s="162">
        <v>34</v>
      </c>
    </row>
    <row r="37" spans="1:1" ht="14.25">
      <c r="A37" s="162">
        <v>35</v>
      </c>
    </row>
    <row r="38" spans="1:1" ht="14.25">
      <c r="A38" s="162">
        <v>36</v>
      </c>
    </row>
    <row r="39" spans="1:1" ht="14.25">
      <c r="A39" s="162">
        <v>37</v>
      </c>
    </row>
    <row r="40" spans="1:1" ht="14.25">
      <c r="A40" s="162">
        <v>38</v>
      </c>
    </row>
    <row r="41" spans="1:1" ht="14.25">
      <c r="A41" s="162">
        <v>39</v>
      </c>
    </row>
    <row r="42" spans="1:1" ht="14.25">
      <c r="A42" s="162">
        <v>40</v>
      </c>
    </row>
    <row r="43" spans="1:1" ht="14.25">
      <c r="A43" s="162">
        <v>41</v>
      </c>
    </row>
    <row r="44" spans="1:1" ht="14.25">
      <c r="A44" s="162">
        <v>42</v>
      </c>
    </row>
    <row r="45" spans="1:1" ht="14.25">
      <c r="A45" s="162">
        <v>43</v>
      </c>
    </row>
    <row r="46" spans="1:1" ht="14.25">
      <c r="A46" s="162">
        <v>44</v>
      </c>
    </row>
    <row r="47" spans="1:1" ht="14.25">
      <c r="A47" s="162">
        <v>45</v>
      </c>
    </row>
    <row r="48" spans="1:1" ht="14.25">
      <c r="A48" s="162">
        <v>46</v>
      </c>
    </row>
    <row r="49" spans="1:1" ht="14.25">
      <c r="A49" s="162">
        <v>47</v>
      </c>
    </row>
    <row r="50" spans="1:1" ht="14.25">
      <c r="A50" s="162">
        <v>48</v>
      </c>
    </row>
    <row r="51" spans="1:1" ht="14.25">
      <c r="A51" s="162">
        <v>49</v>
      </c>
    </row>
    <row r="52" spans="1:1" ht="14.25">
      <c r="A52" s="162">
        <v>50</v>
      </c>
    </row>
    <row r="53" spans="1:1" ht="14.25">
      <c r="A53" s="162">
        <v>51</v>
      </c>
    </row>
    <row r="54" spans="1:1" ht="14.25">
      <c r="A54" s="162">
        <v>52</v>
      </c>
    </row>
    <row r="55" spans="1:1" ht="14.25">
      <c r="A55" s="162">
        <v>53</v>
      </c>
    </row>
    <row r="56" spans="1:1" ht="14.25">
      <c r="A56" s="162">
        <v>54</v>
      </c>
    </row>
    <row r="57" spans="1:1" ht="14.25">
      <c r="A57" s="162">
        <v>55</v>
      </c>
    </row>
    <row r="58" spans="1:1" ht="14.25">
      <c r="A58" s="162">
        <v>56</v>
      </c>
    </row>
    <row r="59" spans="1:1" ht="14.25">
      <c r="A59" s="162">
        <v>57</v>
      </c>
    </row>
    <row r="60" spans="1:1" ht="14.25">
      <c r="A60" s="162">
        <v>58</v>
      </c>
    </row>
    <row r="61" spans="1:1" ht="14.25">
      <c r="A61" s="162">
        <v>59</v>
      </c>
    </row>
    <row r="62" spans="1:1" ht="14.25">
      <c r="A62" s="162">
        <v>60</v>
      </c>
    </row>
    <row r="63" spans="1:1" ht="14.25">
      <c r="A63" s="162">
        <v>61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940FF-A388-47C3-ACB9-35E43920EAEA}">
  <sheetPr codeName="Sheet18"/>
  <dimension ref="A1:AL63"/>
  <sheetViews>
    <sheetView workbookViewId="0"/>
  </sheetViews>
  <sheetFormatPr defaultColWidth="8.7109375" defaultRowHeight="12.75"/>
  <cols>
    <col min="1" max="1" width="14" style="72" customWidth="1"/>
    <col min="2" max="2" width="27.5703125" style="72" customWidth="1"/>
    <col min="3" max="3" width="37" style="72" customWidth="1"/>
    <col min="4" max="4" width="7.7109375" style="72" customWidth="1"/>
    <col min="5" max="5" width="18" style="72" customWidth="1"/>
    <col min="6" max="6" width="13.140625" style="72" customWidth="1"/>
    <col min="7" max="16384" width="8.7109375" style="72"/>
  </cols>
  <sheetData>
    <row r="1" spans="1:38" ht="24">
      <c r="A1" s="159" t="s">
        <v>216</v>
      </c>
      <c r="B1" s="160">
        <v>1</v>
      </c>
      <c r="C1" s="160">
        <v>2</v>
      </c>
      <c r="D1" s="160">
        <v>3</v>
      </c>
      <c r="E1" s="160">
        <v>4</v>
      </c>
      <c r="F1" s="160">
        <v>5</v>
      </c>
      <c r="G1" s="160">
        <v>6</v>
      </c>
      <c r="H1" s="160">
        <v>7</v>
      </c>
      <c r="I1" s="160">
        <v>8</v>
      </c>
      <c r="J1" s="160">
        <v>9</v>
      </c>
      <c r="K1" s="160">
        <v>10</v>
      </c>
      <c r="L1" s="160">
        <v>11</v>
      </c>
      <c r="M1" s="160">
        <v>12</v>
      </c>
      <c r="N1" s="160">
        <v>13</v>
      </c>
      <c r="O1" s="160">
        <v>14</v>
      </c>
      <c r="P1" s="160">
        <v>15</v>
      </c>
      <c r="Q1" s="160">
        <v>16</v>
      </c>
      <c r="R1" s="160">
        <v>17</v>
      </c>
      <c r="S1" s="160">
        <v>18</v>
      </c>
      <c r="T1" s="160">
        <v>19</v>
      </c>
      <c r="U1" s="160">
        <v>20</v>
      </c>
      <c r="V1" s="160">
        <v>21</v>
      </c>
      <c r="W1" s="160">
        <v>22</v>
      </c>
      <c r="X1" s="160">
        <v>23</v>
      </c>
      <c r="Y1" s="160">
        <v>24</v>
      </c>
      <c r="Z1" s="160">
        <v>25</v>
      </c>
      <c r="AA1" s="160">
        <v>26</v>
      </c>
      <c r="AB1" s="160">
        <v>27</v>
      </c>
      <c r="AC1" s="160">
        <v>28</v>
      </c>
      <c r="AD1" s="160">
        <v>29</v>
      </c>
      <c r="AE1" s="160">
        <v>30</v>
      </c>
      <c r="AF1" s="160">
        <v>31</v>
      </c>
      <c r="AG1" s="160">
        <v>32</v>
      </c>
      <c r="AH1" s="160">
        <v>33</v>
      </c>
      <c r="AI1" s="160">
        <v>34</v>
      </c>
      <c r="AJ1" s="160">
        <v>35</v>
      </c>
      <c r="AK1" s="160">
        <v>36</v>
      </c>
      <c r="AL1" s="160">
        <v>37</v>
      </c>
    </row>
    <row r="2" spans="1:38" ht="31.5">
      <c r="A2" s="161">
        <v>0</v>
      </c>
      <c r="B2" s="229" t="s">
        <v>266</v>
      </c>
      <c r="C2" s="219"/>
    </row>
    <row r="3" spans="1:38" ht="19.5">
      <c r="A3" s="162">
        <v>1</v>
      </c>
      <c r="B3" s="164" t="s">
        <v>246</v>
      </c>
      <c r="C3" s="169"/>
    </row>
    <row r="4" spans="1:38" ht="19.5">
      <c r="A4" s="162">
        <v>2</v>
      </c>
      <c r="B4" s="164" t="s">
        <v>173</v>
      </c>
      <c r="C4" s="170"/>
    </row>
    <row r="5" spans="1:38" ht="14.25">
      <c r="A5" s="162">
        <v>3</v>
      </c>
    </row>
    <row r="6" spans="1:38" ht="19.5">
      <c r="A6" s="162">
        <v>4</v>
      </c>
      <c r="B6" s="164" t="s">
        <v>267</v>
      </c>
      <c r="C6" s="141" t="s">
        <v>274</v>
      </c>
    </row>
    <row r="7" spans="1:38" ht="19.5">
      <c r="A7" s="162">
        <v>5</v>
      </c>
      <c r="B7" s="164" t="s">
        <v>268</v>
      </c>
      <c r="C7" s="141" t="s">
        <v>275</v>
      </c>
    </row>
    <row r="8" spans="1:38" ht="19.5">
      <c r="A8" s="162">
        <v>6</v>
      </c>
      <c r="B8" s="164" t="s">
        <v>269</v>
      </c>
      <c r="C8" s="171" t="s">
        <v>270</v>
      </c>
    </row>
    <row r="9" spans="1:38" ht="19.5">
      <c r="A9" s="162">
        <v>7</v>
      </c>
      <c r="B9" s="164" t="s">
        <v>248</v>
      </c>
      <c r="C9" s="171" t="s">
        <v>271</v>
      </c>
    </row>
    <row r="10" spans="1:38" ht="19.5">
      <c r="A10" s="162">
        <v>8</v>
      </c>
      <c r="B10" s="164" t="s">
        <v>272</v>
      </c>
      <c r="C10" s="15" t="s">
        <v>273</v>
      </c>
    </row>
    <row r="11" spans="1:38" ht="14.25">
      <c r="A11" s="162">
        <v>9</v>
      </c>
    </row>
    <row r="12" spans="1:38" ht="14.25">
      <c r="A12" s="162">
        <v>10</v>
      </c>
      <c r="B12" s="167"/>
      <c r="D12" s="166"/>
      <c r="E12" s="142"/>
      <c r="F12" s="168"/>
    </row>
    <row r="13" spans="1:38" ht="14.25">
      <c r="A13" s="162">
        <v>11</v>
      </c>
    </row>
    <row r="14" spans="1:38" ht="14.25">
      <c r="A14" s="162">
        <v>12</v>
      </c>
    </row>
    <row r="15" spans="1:38" ht="14.25">
      <c r="A15" s="162">
        <v>13</v>
      </c>
    </row>
    <row r="16" spans="1:38" ht="14.25">
      <c r="A16" s="162">
        <v>14</v>
      </c>
    </row>
    <row r="17" spans="1:1" ht="14.25">
      <c r="A17" s="162">
        <v>15</v>
      </c>
    </row>
    <row r="18" spans="1:1" ht="14.25">
      <c r="A18" s="162">
        <v>16</v>
      </c>
    </row>
    <row r="19" spans="1:1" ht="14.25">
      <c r="A19" s="162">
        <v>17</v>
      </c>
    </row>
    <row r="20" spans="1:1" ht="14.25">
      <c r="A20" s="162">
        <v>18</v>
      </c>
    </row>
    <row r="21" spans="1:1" ht="14.25">
      <c r="A21" s="162">
        <v>19</v>
      </c>
    </row>
    <row r="22" spans="1:1" ht="14.25">
      <c r="A22" s="162">
        <v>20</v>
      </c>
    </row>
    <row r="23" spans="1:1" ht="14.25">
      <c r="A23" s="162">
        <v>21</v>
      </c>
    </row>
    <row r="24" spans="1:1" ht="14.25">
      <c r="A24" s="162">
        <v>22</v>
      </c>
    </row>
    <row r="25" spans="1:1" ht="14.25">
      <c r="A25" s="162">
        <v>23</v>
      </c>
    </row>
    <row r="26" spans="1:1" ht="14.25">
      <c r="A26" s="162">
        <v>24</v>
      </c>
    </row>
    <row r="27" spans="1:1" ht="14.25">
      <c r="A27" s="162">
        <v>25</v>
      </c>
    </row>
    <row r="28" spans="1:1" ht="14.25">
      <c r="A28" s="162">
        <v>26</v>
      </c>
    </row>
    <row r="29" spans="1:1" ht="14.25">
      <c r="A29" s="162">
        <v>27</v>
      </c>
    </row>
    <row r="30" spans="1:1" ht="14.25">
      <c r="A30" s="162">
        <v>28</v>
      </c>
    </row>
    <row r="31" spans="1:1" ht="14.25">
      <c r="A31" s="162">
        <v>29</v>
      </c>
    </row>
    <row r="32" spans="1:1" ht="14.25">
      <c r="A32" s="162">
        <v>30</v>
      </c>
    </row>
    <row r="33" spans="1:1" ht="14.25">
      <c r="A33" s="162">
        <v>31</v>
      </c>
    </row>
    <row r="34" spans="1:1" ht="14.25">
      <c r="A34" s="162">
        <v>32</v>
      </c>
    </row>
    <row r="35" spans="1:1" ht="14.25">
      <c r="A35" s="162">
        <v>33</v>
      </c>
    </row>
    <row r="36" spans="1:1" ht="14.25">
      <c r="A36" s="162">
        <v>34</v>
      </c>
    </row>
    <row r="37" spans="1:1" ht="14.25">
      <c r="A37" s="162">
        <v>35</v>
      </c>
    </row>
    <row r="38" spans="1:1" ht="14.25">
      <c r="A38" s="162">
        <v>36</v>
      </c>
    </row>
    <row r="39" spans="1:1" ht="14.25">
      <c r="A39" s="162">
        <v>37</v>
      </c>
    </row>
    <row r="40" spans="1:1" ht="14.25">
      <c r="A40" s="162">
        <v>38</v>
      </c>
    </row>
    <row r="41" spans="1:1" ht="14.25">
      <c r="A41" s="162">
        <v>39</v>
      </c>
    </row>
    <row r="42" spans="1:1" ht="14.25">
      <c r="A42" s="162">
        <v>40</v>
      </c>
    </row>
    <row r="43" spans="1:1" ht="14.25">
      <c r="A43" s="162">
        <v>41</v>
      </c>
    </row>
    <row r="44" spans="1:1" ht="14.25">
      <c r="A44" s="162">
        <v>42</v>
      </c>
    </row>
    <row r="45" spans="1:1" ht="14.25">
      <c r="A45" s="162">
        <v>43</v>
      </c>
    </row>
    <row r="46" spans="1:1" ht="14.25">
      <c r="A46" s="162">
        <v>44</v>
      </c>
    </row>
    <row r="47" spans="1:1" ht="14.25">
      <c r="A47" s="162">
        <v>45</v>
      </c>
    </row>
    <row r="48" spans="1:1" ht="14.25">
      <c r="A48" s="162">
        <v>46</v>
      </c>
    </row>
    <row r="49" spans="1:1" ht="14.25">
      <c r="A49" s="162">
        <v>47</v>
      </c>
    </row>
    <row r="50" spans="1:1" ht="14.25">
      <c r="A50" s="162">
        <v>48</v>
      </c>
    </row>
    <row r="51" spans="1:1" ht="14.25">
      <c r="A51" s="162">
        <v>49</v>
      </c>
    </row>
    <row r="52" spans="1:1" ht="14.25">
      <c r="A52" s="162">
        <v>50</v>
      </c>
    </row>
    <row r="53" spans="1:1" ht="14.25">
      <c r="A53" s="162">
        <v>51</v>
      </c>
    </row>
    <row r="54" spans="1:1" ht="14.25">
      <c r="A54" s="162">
        <v>52</v>
      </c>
    </row>
    <row r="55" spans="1:1" ht="14.25">
      <c r="A55" s="162">
        <v>53</v>
      </c>
    </row>
    <row r="56" spans="1:1" ht="14.25">
      <c r="A56" s="162">
        <v>54</v>
      </c>
    </row>
    <row r="57" spans="1:1" ht="14.25">
      <c r="A57" s="162">
        <v>55</v>
      </c>
    </row>
    <row r="58" spans="1:1" ht="14.25">
      <c r="A58" s="162">
        <v>56</v>
      </c>
    </row>
    <row r="59" spans="1:1" ht="14.25">
      <c r="A59" s="162">
        <v>57</v>
      </c>
    </row>
    <row r="60" spans="1:1" ht="14.25">
      <c r="A60" s="162">
        <v>58</v>
      </c>
    </row>
    <row r="61" spans="1:1" ht="14.25">
      <c r="A61" s="162">
        <v>59</v>
      </c>
    </row>
    <row r="62" spans="1:1" ht="14.25">
      <c r="A62" s="162">
        <v>60</v>
      </c>
    </row>
    <row r="63" spans="1:1" ht="14.25">
      <c r="A63" s="162">
        <v>61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75CE-F5FD-41E5-9701-D433FA254F64}">
  <sheetPr codeName="Sheet19"/>
  <dimension ref="A1:AL63"/>
  <sheetViews>
    <sheetView workbookViewId="0">
      <selection activeCell="B2" sqref="B2:E27"/>
    </sheetView>
  </sheetViews>
  <sheetFormatPr defaultRowHeight="12.75"/>
  <cols>
    <col min="1" max="1" width="14" customWidth="1"/>
    <col min="2" max="2" width="34.5703125" customWidth="1"/>
    <col min="3" max="3" width="34.28515625" customWidth="1"/>
    <col min="4" max="4" width="31.5703125" customWidth="1"/>
    <col min="5" max="5" width="17.140625" customWidth="1"/>
    <col min="6" max="6" width="21.85546875" bestFit="1" customWidth="1"/>
  </cols>
  <sheetData>
    <row r="1" spans="1:38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46.5" customHeight="1">
      <c r="A2" s="3">
        <v>0</v>
      </c>
      <c r="B2" s="229" t="s">
        <v>293</v>
      </c>
      <c r="C2" s="219"/>
    </row>
    <row r="3" spans="1:38" ht="19.5">
      <c r="A3" s="2">
        <v>1</v>
      </c>
      <c r="B3" s="164" t="s">
        <v>294</v>
      </c>
      <c r="C3" s="171" t="s">
        <v>307</v>
      </c>
    </row>
    <row r="4" spans="1:38" ht="19.5">
      <c r="A4" s="2">
        <v>2</v>
      </c>
      <c r="B4" s="164" t="s">
        <v>295</v>
      </c>
      <c r="C4" s="169" t="s">
        <v>186</v>
      </c>
    </row>
    <row r="5" spans="1:38" ht="39">
      <c r="A5" s="2">
        <v>3</v>
      </c>
      <c r="B5" s="173" t="s">
        <v>297</v>
      </c>
      <c r="C5" s="169" t="s">
        <v>309</v>
      </c>
    </row>
    <row r="6" spans="1:38" ht="19.5">
      <c r="A6" s="2">
        <v>4</v>
      </c>
      <c r="B6" s="164" t="s">
        <v>296</v>
      </c>
      <c r="C6" s="15" t="s">
        <v>180</v>
      </c>
    </row>
    <row r="7" spans="1:38" ht="19.5">
      <c r="A7" s="2">
        <v>5</v>
      </c>
      <c r="B7" s="164" t="s">
        <v>298</v>
      </c>
      <c r="C7" s="15" t="s">
        <v>181</v>
      </c>
    </row>
    <row r="8" spans="1:38" ht="19.5">
      <c r="A8" s="2">
        <v>6</v>
      </c>
      <c r="B8" s="164" t="s">
        <v>299</v>
      </c>
      <c r="C8" s="15" t="s">
        <v>177</v>
      </c>
    </row>
    <row r="9" spans="1:38" ht="19.5">
      <c r="A9" s="2">
        <v>7</v>
      </c>
      <c r="B9" s="164" t="s">
        <v>300</v>
      </c>
      <c r="C9" s="15" t="s">
        <v>182</v>
      </c>
    </row>
    <row r="10" spans="1:38" ht="19.5">
      <c r="A10" s="2">
        <v>8</v>
      </c>
      <c r="B10" s="164" t="s">
        <v>301</v>
      </c>
      <c r="C10" s="15" t="s">
        <v>171</v>
      </c>
      <c r="E10" s="158"/>
    </row>
    <row r="11" spans="1:38" ht="19.5">
      <c r="A11" s="2">
        <v>9</v>
      </c>
      <c r="B11" s="164" t="s">
        <v>302</v>
      </c>
      <c r="C11" s="15" t="s">
        <v>128</v>
      </c>
    </row>
    <row r="12" spans="1:38" ht="19.5">
      <c r="A12" s="2">
        <v>10</v>
      </c>
      <c r="B12" s="164" t="s">
        <v>263</v>
      </c>
      <c r="C12" s="141">
        <v>45518</v>
      </c>
    </row>
    <row r="13" spans="1:38" ht="16.5">
      <c r="A13" s="2">
        <v>11</v>
      </c>
    </row>
    <row r="14" spans="1:38" ht="39">
      <c r="A14" s="2">
        <v>12</v>
      </c>
      <c r="B14" s="174" t="s">
        <v>306</v>
      </c>
      <c r="C14" s="174" t="s">
        <v>305</v>
      </c>
      <c r="D14" s="174" t="s">
        <v>304</v>
      </c>
      <c r="E14" s="174" t="s">
        <v>303</v>
      </c>
    </row>
    <row r="15" spans="1:38" ht="16.5">
      <c r="A15" s="2">
        <v>13</v>
      </c>
      <c r="B15" s="72" t="s">
        <v>288</v>
      </c>
      <c r="C15" s="72">
        <v>501111</v>
      </c>
      <c r="D15" s="72" t="s">
        <v>285</v>
      </c>
      <c r="E15" s="72" t="s">
        <v>121</v>
      </c>
    </row>
    <row r="16" spans="1:38" ht="16.5">
      <c r="A16" s="2">
        <v>14</v>
      </c>
      <c r="B16" s="72" t="s">
        <v>290</v>
      </c>
      <c r="C16" s="72">
        <v>111111</v>
      </c>
      <c r="D16" s="72" t="s">
        <v>241</v>
      </c>
      <c r="E16" s="72" t="s">
        <v>286</v>
      </c>
    </row>
    <row r="17" spans="1:7" ht="16.5">
      <c r="A17" s="2">
        <v>15</v>
      </c>
    </row>
    <row r="18" spans="1:7" ht="16.5">
      <c r="A18" s="2">
        <v>16</v>
      </c>
    </row>
    <row r="19" spans="1:7" ht="16.5">
      <c r="A19" s="2">
        <v>17</v>
      </c>
    </row>
    <row r="20" spans="1:7" ht="16.5">
      <c r="A20" s="2">
        <v>18</v>
      </c>
    </row>
    <row r="21" spans="1:7" ht="16.5">
      <c r="A21" s="2">
        <v>19</v>
      </c>
    </row>
    <row r="22" spans="1:7" ht="16.5">
      <c r="A22" s="2">
        <v>20</v>
      </c>
    </row>
    <row r="23" spans="1:7" ht="16.5">
      <c r="A23" s="2">
        <v>21</v>
      </c>
      <c r="G23" s="72"/>
    </row>
    <row r="24" spans="1:7" ht="16.5">
      <c r="A24" s="2">
        <v>22</v>
      </c>
    </row>
    <row r="25" spans="1:7" ht="16.5">
      <c r="A25" s="2">
        <v>23</v>
      </c>
      <c r="B25" s="72"/>
    </row>
    <row r="26" spans="1:7" ht="16.5">
      <c r="A26" s="2">
        <v>24</v>
      </c>
      <c r="B26" s="72"/>
    </row>
    <row r="27" spans="1:7" ht="16.5">
      <c r="A27" s="2">
        <v>25</v>
      </c>
      <c r="B27" s="72"/>
    </row>
    <row r="28" spans="1:7" ht="16.5">
      <c r="A28" s="2">
        <v>26</v>
      </c>
      <c r="B28" s="72"/>
    </row>
    <row r="29" spans="1:7" ht="16.5">
      <c r="A29" s="2">
        <v>27</v>
      </c>
      <c r="B29" s="72"/>
    </row>
    <row r="30" spans="1:7" ht="16.5">
      <c r="A30" s="2">
        <v>28</v>
      </c>
      <c r="B30" s="72"/>
    </row>
    <row r="31" spans="1:7" ht="16.5">
      <c r="A31" s="2">
        <v>29</v>
      </c>
      <c r="B31" s="72"/>
    </row>
    <row r="32" spans="1:7" ht="16.5">
      <c r="A32" s="2">
        <v>30</v>
      </c>
      <c r="B32" s="72"/>
    </row>
    <row r="33" spans="1:2" ht="16.5">
      <c r="A33" s="2">
        <v>31</v>
      </c>
      <c r="B33" s="72"/>
    </row>
    <row r="34" spans="1:2" ht="16.5">
      <c r="A34" s="2">
        <v>32</v>
      </c>
      <c r="B34" s="72"/>
    </row>
    <row r="35" spans="1:2" ht="16.5">
      <c r="A35" s="2">
        <v>33</v>
      </c>
      <c r="B35" s="72"/>
    </row>
    <row r="36" spans="1:2" ht="16.5">
      <c r="A36" s="2">
        <v>34</v>
      </c>
      <c r="B36" s="72"/>
    </row>
    <row r="37" spans="1:2" ht="16.5">
      <c r="A37" s="2">
        <v>35</v>
      </c>
      <c r="B37" s="72"/>
    </row>
    <row r="38" spans="1:2" ht="16.5">
      <c r="A38" s="2">
        <v>36</v>
      </c>
      <c r="B38" s="72"/>
    </row>
    <row r="39" spans="1:2" ht="16.5">
      <c r="A39" s="2">
        <v>37</v>
      </c>
      <c r="B39" s="72"/>
    </row>
    <row r="40" spans="1:2" ht="16.5">
      <c r="A40" s="2">
        <v>38</v>
      </c>
      <c r="B40" s="72"/>
    </row>
    <row r="41" spans="1:2" ht="16.5">
      <c r="A41" s="2">
        <v>39</v>
      </c>
      <c r="B41" s="72"/>
    </row>
    <row r="42" spans="1:2" ht="16.5">
      <c r="A42" s="2">
        <v>40</v>
      </c>
      <c r="B42" s="72"/>
    </row>
    <row r="43" spans="1:2" ht="16.5">
      <c r="A43" s="2">
        <v>41</v>
      </c>
      <c r="B43" s="72"/>
    </row>
    <row r="44" spans="1:2" ht="16.5">
      <c r="A44" s="2">
        <v>42</v>
      </c>
      <c r="B44" s="72"/>
    </row>
    <row r="45" spans="1:2" ht="16.5">
      <c r="A45" s="2">
        <v>43</v>
      </c>
      <c r="B45" s="72"/>
    </row>
    <row r="46" spans="1:2" ht="16.5">
      <c r="A46" s="2">
        <v>44</v>
      </c>
      <c r="B46" s="72"/>
    </row>
    <row r="47" spans="1:2" ht="16.5">
      <c r="A47" s="2">
        <v>45</v>
      </c>
      <c r="B47" s="72"/>
    </row>
    <row r="48" spans="1:2" ht="16.5">
      <c r="A48" s="2">
        <v>46</v>
      </c>
      <c r="B48" s="72"/>
    </row>
    <row r="49" spans="1:2" ht="16.5">
      <c r="A49" s="2">
        <v>47</v>
      </c>
      <c r="B49" s="72"/>
    </row>
    <row r="50" spans="1:2" ht="16.5">
      <c r="A50" s="2">
        <v>48</v>
      </c>
      <c r="B50" s="72"/>
    </row>
    <row r="51" spans="1:2" ht="16.5">
      <c r="A51" s="2">
        <v>49</v>
      </c>
      <c r="B51" s="72"/>
    </row>
    <row r="52" spans="1:2" ht="16.5">
      <c r="A52" s="2">
        <v>50</v>
      </c>
      <c r="B52" s="72"/>
    </row>
    <row r="53" spans="1:2" ht="16.5">
      <c r="A53" s="2">
        <v>51</v>
      </c>
      <c r="B53" s="72"/>
    </row>
    <row r="54" spans="1:2" ht="16.5">
      <c r="A54" s="2">
        <v>52</v>
      </c>
      <c r="B54" s="72"/>
    </row>
    <row r="55" spans="1:2" ht="16.5">
      <c r="A55" s="2">
        <v>53</v>
      </c>
      <c r="B55" s="72"/>
    </row>
    <row r="56" spans="1:2" ht="16.5">
      <c r="A56" s="2">
        <v>54</v>
      </c>
      <c r="B56" s="72"/>
    </row>
    <row r="57" spans="1:2" ht="16.5">
      <c r="A57" s="2">
        <v>55</v>
      </c>
      <c r="B57" s="72"/>
    </row>
    <row r="58" spans="1:2" ht="16.5">
      <c r="A58" s="2">
        <v>56</v>
      </c>
      <c r="B58" s="72"/>
    </row>
    <row r="59" spans="1:2" ht="16.5">
      <c r="A59" s="2">
        <v>57</v>
      </c>
      <c r="B59" s="72"/>
    </row>
    <row r="60" spans="1:2" ht="16.5">
      <c r="A60" s="2">
        <v>58</v>
      </c>
      <c r="B60" s="72"/>
    </row>
    <row r="61" spans="1:2" ht="16.5">
      <c r="A61" s="2">
        <v>59</v>
      </c>
      <c r="B61" s="72"/>
    </row>
    <row r="62" spans="1:2" ht="16.5">
      <c r="A62" s="2">
        <v>60</v>
      </c>
      <c r="B62" s="72"/>
    </row>
    <row r="63" spans="1:2" ht="16.5">
      <c r="A63" s="2">
        <v>61</v>
      </c>
      <c r="B63" s="72"/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Drop Down 1">
              <controlPr defaultSize="0" autoLine="0" autoPict="0" macro="[0]!목차드롭다운">
                <anchor moveWithCells="1">
                  <from>
                    <xdr:col>3</xdr:col>
                    <xdr:colOff>1143000</xdr:colOff>
                    <xdr:row>2</xdr:row>
                    <xdr:rowOff>0</xdr:rowOff>
                  </from>
                  <to>
                    <xdr:col>5</xdr:col>
                    <xdr:colOff>0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D6F95-63F2-400C-8EDD-C6945A92C58B}">
  <sheetPr codeName="Sheet20"/>
  <dimension ref="A1:AL63"/>
  <sheetViews>
    <sheetView workbookViewId="0">
      <selection activeCell="D13" sqref="D13"/>
    </sheetView>
  </sheetViews>
  <sheetFormatPr defaultRowHeight="12.75"/>
  <cols>
    <col min="1" max="1" width="14" customWidth="1"/>
    <col min="2" max="2" width="31" bestFit="1" customWidth="1"/>
    <col min="3" max="3" width="33.7109375" bestFit="1" customWidth="1"/>
    <col min="4" max="4" width="33.7109375" customWidth="1"/>
    <col min="5" max="5" width="13.140625" bestFit="1" customWidth="1"/>
    <col min="8" max="8" width="5.42578125" bestFit="1" customWidth="1"/>
    <col min="9" max="10" width="2.7109375" bestFit="1" customWidth="1"/>
    <col min="11" max="30" width="3.7109375" bestFit="1" customWidth="1"/>
    <col min="31" max="31" width="14.140625" bestFit="1" customWidth="1"/>
    <col min="32" max="35" width="3.7109375" bestFit="1" customWidth="1"/>
    <col min="36" max="36" width="14.140625" bestFit="1" customWidth="1"/>
  </cols>
  <sheetData>
    <row r="1" spans="1:38" ht="24">
      <c r="A1" s="1" t="s">
        <v>84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31.5">
      <c r="A2" s="3">
        <v>0</v>
      </c>
      <c r="B2" s="229" t="s">
        <v>293</v>
      </c>
      <c r="C2" s="219"/>
      <c r="H2" s="231" t="s">
        <v>500</v>
      </c>
      <c r="I2" s="232"/>
      <c r="J2" s="232"/>
      <c r="K2" s="232"/>
      <c r="L2" s="232"/>
      <c r="M2" s="232"/>
      <c r="N2" s="232"/>
      <c r="O2" s="232"/>
      <c r="P2" s="232"/>
      <c r="Q2" s="232"/>
      <c r="R2" s="232"/>
      <c r="S2" s="232"/>
      <c r="T2" s="232"/>
      <c r="U2" s="232"/>
      <c r="V2" s="232"/>
      <c r="W2" s="232"/>
      <c r="X2" s="232"/>
      <c r="Y2" s="232"/>
      <c r="Z2" s="232"/>
      <c r="AA2" s="232"/>
      <c r="AB2" s="232"/>
      <c r="AC2" s="232"/>
      <c r="AD2" s="232"/>
      <c r="AE2" s="232"/>
    </row>
    <row r="3" spans="1:38" ht="19.5">
      <c r="A3" s="2">
        <v>1</v>
      </c>
      <c r="B3" s="164" t="s">
        <v>294</v>
      </c>
      <c r="C3" s="171" t="s">
        <v>307</v>
      </c>
      <c r="H3" s="233"/>
      <c r="I3" s="233"/>
      <c r="J3" s="233"/>
      <c r="K3" s="233"/>
      <c r="L3" s="233"/>
      <c r="M3" s="233"/>
      <c r="N3" s="233"/>
      <c r="O3" s="233"/>
      <c r="P3" s="233"/>
      <c r="Q3" s="233"/>
      <c r="R3" s="233"/>
      <c r="S3" s="233"/>
      <c r="T3" s="233"/>
      <c r="U3" s="233"/>
      <c r="V3" s="233"/>
      <c r="W3" s="233"/>
      <c r="X3" s="233"/>
      <c r="Y3" s="233"/>
      <c r="Z3" s="233"/>
      <c r="AA3" s="233"/>
      <c r="AB3" s="233"/>
      <c r="AC3" s="233"/>
      <c r="AD3" s="233"/>
      <c r="AE3" s="233"/>
    </row>
    <row r="4" spans="1:38" ht="20.25" customHeight="1">
      <c r="A4" s="2">
        <v>2</v>
      </c>
      <c r="B4" s="164" t="s">
        <v>295</v>
      </c>
      <c r="C4" s="169" t="s">
        <v>186</v>
      </c>
      <c r="H4" s="233"/>
      <c r="I4" s="233"/>
      <c r="J4" s="233"/>
      <c r="K4" s="233"/>
      <c r="L4" s="233"/>
      <c r="M4" s="233"/>
      <c r="N4" s="233"/>
      <c r="O4" s="233"/>
      <c r="P4" s="233"/>
      <c r="Q4" s="233"/>
      <c r="R4" s="233"/>
      <c r="S4" s="233"/>
      <c r="T4" s="233"/>
      <c r="U4" s="233"/>
      <c r="V4" s="233"/>
      <c r="W4" s="233"/>
      <c r="X4" s="233"/>
      <c r="Y4" s="233"/>
      <c r="Z4" s="233"/>
      <c r="AA4" s="233"/>
      <c r="AB4" s="233"/>
      <c r="AC4" s="233"/>
      <c r="AD4" s="233"/>
      <c r="AE4" s="233"/>
    </row>
    <row r="5" spans="1:38" ht="39">
      <c r="A5" s="2">
        <v>3</v>
      </c>
      <c r="B5" s="173" t="s">
        <v>297</v>
      </c>
      <c r="C5" s="354" t="s">
        <v>505</v>
      </c>
      <c r="H5" s="230" t="s">
        <v>456</v>
      </c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</row>
    <row r="6" spans="1:38" ht="19.5">
      <c r="A6" s="2">
        <v>4</v>
      </c>
      <c r="B6" s="164" t="s">
        <v>296</v>
      </c>
      <c r="C6" s="15">
        <v>121212121</v>
      </c>
      <c r="H6" s="235" t="s">
        <v>457</v>
      </c>
      <c r="I6" s="235"/>
      <c r="J6" s="236"/>
      <c r="K6" s="236"/>
      <c r="L6" s="236"/>
      <c r="M6" s="236"/>
      <c r="N6" s="236"/>
      <c r="O6" s="236"/>
      <c r="P6" s="236"/>
      <c r="Q6" s="236"/>
      <c r="R6" s="236"/>
      <c r="S6" s="236"/>
      <c r="T6" s="237"/>
      <c r="U6" s="238" t="s">
        <v>458</v>
      </c>
      <c r="V6" s="235"/>
      <c r="W6" s="235"/>
      <c r="X6" s="235"/>
      <c r="Y6" s="235"/>
      <c r="Z6" s="235"/>
      <c r="AA6" s="235"/>
      <c r="AB6" s="239"/>
      <c r="AC6" s="239"/>
      <c r="AD6" s="239"/>
      <c r="AE6" s="239"/>
    </row>
    <row r="7" spans="1:38" ht="19.5">
      <c r="A7" s="2">
        <v>5</v>
      </c>
      <c r="B7" s="164" t="s">
        <v>298</v>
      </c>
      <c r="C7" s="355" t="s">
        <v>506</v>
      </c>
      <c r="H7" s="240"/>
      <c r="I7" s="240"/>
      <c r="J7" s="240"/>
      <c r="K7" s="240"/>
      <c r="L7" s="240"/>
      <c r="M7" s="240"/>
      <c r="N7" s="240"/>
      <c r="O7" s="240"/>
      <c r="P7" s="240"/>
      <c r="Q7" s="240"/>
      <c r="R7" s="240"/>
      <c r="S7" s="240"/>
      <c r="T7" s="240"/>
      <c r="U7" s="240"/>
      <c r="V7" s="240"/>
      <c r="W7" s="240"/>
      <c r="X7" s="240"/>
      <c r="Y7" s="240"/>
      <c r="Z7" s="240"/>
      <c r="AA7" s="240"/>
      <c r="AB7" s="240"/>
      <c r="AC7" s="240"/>
      <c r="AD7" s="240"/>
      <c r="AE7" s="240"/>
    </row>
    <row r="8" spans="1:38" ht="16.5" customHeight="1">
      <c r="A8" s="2">
        <v>6</v>
      </c>
      <c r="B8" s="164" t="s">
        <v>299</v>
      </c>
      <c r="C8" s="356" t="s">
        <v>507</v>
      </c>
      <c r="H8" s="241" t="s">
        <v>501</v>
      </c>
      <c r="I8" s="241"/>
      <c r="J8" s="241"/>
      <c r="K8" s="241"/>
      <c r="L8" s="242"/>
      <c r="M8" s="351" t="str">
        <f>C3</f>
        <v>㈜노마드랩</v>
      </c>
      <c r="N8" s="352"/>
      <c r="O8" s="352"/>
      <c r="P8" s="352"/>
      <c r="Q8" s="352"/>
      <c r="R8" s="352"/>
      <c r="S8" s="352"/>
      <c r="T8" s="353"/>
      <c r="U8" s="243" t="s">
        <v>502</v>
      </c>
      <c r="V8" s="241"/>
      <c r="W8" s="241"/>
      <c r="X8" s="241"/>
      <c r="Y8" s="241"/>
      <c r="Z8" s="241"/>
      <c r="AA8" s="242"/>
      <c r="AB8" s="350" t="str">
        <f>C4</f>
        <v>홍길동</v>
      </c>
      <c r="AC8" s="244"/>
      <c r="AD8" s="244"/>
      <c r="AE8" s="244"/>
    </row>
    <row r="9" spans="1:38" ht="16.5" customHeight="1">
      <c r="A9" s="2">
        <v>7</v>
      </c>
      <c r="B9" s="164" t="s">
        <v>300</v>
      </c>
      <c r="C9" s="15">
        <v>123</v>
      </c>
      <c r="H9" s="245" t="s">
        <v>459</v>
      </c>
      <c r="I9" s="245"/>
      <c r="J9" s="245"/>
      <c r="K9" s="245"/>
      <c r="L9" s="246"/>
      <c r="M9" s="247" t="str">
        <f>C5</f>
        <v>11111-1111-111
(121212121)</v>
      </c>
      <c r="N9" s="248"/>
      <c r="O9" s="248"/>
      <c r="P9" s="248"/>
      <c r="Q9" s="248"/>
      <c r="R9" s="248"/>
      <c r="S9" s="248"/>
      <c r="T9" s="249"/>
      <c r="U9" s="250" t="s">
        <v>461</v>
      </c>
      <c r="V9" s="245"/>
      <c r="W9" s="245"/>
      <c r="X9" s="245"/>
      <c r="Y9" s="245"/>
      <c r="Z9" s="245"/>
      <c r="AA9" s="246"/>
      <c r="AB9" s="247">
        <f>C6</f>
        <v>121212121</v>
      </c>
      <c r="AC9" s="248"/>
      <c r="AD9" s="248"/>
      <c r="AE9" s="248"/>
    </row>
    <row r="10" spans="1:38" ht="16.5" customHeight="1">
      <c r="A10" s="2">
        <v>8</v>
      </c>
      <c r="B10" s="164" t="s">
        <v>301</v>
      </c>
      <c r="C10" s="163" t="s">
        <v>508</v>
      </c>
      <c r="E10" s="158"/>
      <c r="H10" s="251" t="s">
        <v>460</v>
      </c>
      <c r="I10" s="251"/>
      <c r="J10" s="251"/>
      <c r="K10" s="251"/>
      <c r="L10" s="252"/>
      <c r="M10" s="253"/>
      <c r="N10" s="254"/>
      <c r="O10" s="254"/>
      <c r="P10" s="254"/>
      <c r="Q10" s="254"/>
      <c r="R10" s="254"/>
      <c r="S10" s="254"/>
      <c r="T10" s="255"/>
      <c r="U10" s="256" t="s">
        <v>462</v>
      </c>
      <c r="V10" s="251"/>
      <c r="W10" s="251"/>
      <c r="X10" s="251"/>
      <c r="Y10" s="251"/>
      <c r="Z10" s="251"/>
      <c r="AA10" s="252"/>
      <c r="AB10" s="253"/>
      <c r="AC10" s="254"/>
      <c r="AD10" s="254"/>
      <c r="AE10" s="254"/>
    </row>
    <row r="11" spans="1:38" ht="19.5">
      <c r="A11" s="2">
        <v>9</v>
      </c>
      <c r="B11" s="164" t="s">
        <v>302</v>
      </c>
      <c r="C11" s="15"/>
      <c r="H11" s="257" t="s">
        <v>10</v>
      </c>
      <c r="I11" s="257"/>
      <c r="J11" s="257"/>
      <c r="K11" s="257"/>
      <c r="L11" s="258"/>
      <c r="M11" s="259" t="str">
        <f>C7</f>
        <v>부산광역시 부산진구</v>
      </c>
      <c r="N11" s="260"/>
      <c r="O11" s="260"/>
      <c r="P11" s="260"/>
      <c r="Q11" s="260"/>
      <c r="R11" s="260"/>
      <c r="S11" s="260"/>
      <c r="T11" s="260"/>
      <c r="U11" s="260"/>
      <c r="V11" s="260"/>
      <c r="W11" s="260"/>
      <c r="X11" s="260"/>
      <c r="Y11" s="260"/>
      <c r="Z11" s="260"/>
      <c r="AA11" s="260"/>
      <c r="AB11" s="260"/>
      <c r="AC11" s="260"/>
      <c r="AD11" s="260"/>
      <c r="AE11" s="260"/>
    </row>
    <row r="12" spans="1:38" ht="19.5">
      <c r="A12" s="2">
        <v>10</v>
      </c>
      <c r="B12" s="164" t="s">
        <v>263</v>
      </c>
      <c r="C12" s="141">
        <v>45518</v>
      </c>
      <c r="H12" s="245" t="s">
        <v>463</v>
      </c>
      <c r="I12" s="245"/>
      <c r="J12" s="245"/>
      <c r="K12" s="245"/>
      <c r="L12" s="246"/>
      <c r="M12" s="261" t="s">
        <v>191</v>
      </c>
      <c r="N12" s="258"/>
      <c r="O12" s="262" t="str">
        <f>C8</f>
        <v>이순신</v>
      </c>
      <c r="P12" s="263"/>
      <c r="Q12" s="263"/>
      <c r="R12" s="263"/>
      <c r="S12" s="263"/>
      <c r="T12" s="263"/>
      <c r="U12" s="263"/>
      <c r="V12" s="263"/>
      <c r="W12" s="264"/>
      <c r="X12" s="261" t="s">
        <v>464</v>
      </c>
      <c r="Y12" s="257"/>
      <c r="Z12" s="257"/>
      <c r="AA12" s="257"/>
      <c r="AB12" s="258"/>
      <c r="AC12" s="262">
        <f>C9</f>
        <v>123</v>
      </c>
      <c r="AD12" s="263"/>
      <c r="AE12" s="263"/>
    </row>
    <row r="13" spans="1:38" ht="16.5">
      <c r="A13" s="2">
        <v>11</v>
      </c>
      <c r="H13" s="265"/>
      <c r="I13" s="265"/>
      <c r="J13" s="265"/>
      <c r="K13" s="265"/>
      <c r="L13" s="266"/>
      <c r="M13" s="267" t="s">
        <v>20</v>
      </c>
      <c r="N13" s="268"/>
      <c r="O13" s="269" t="str">
        <f>C10</f>
        <v>KJH5848@GMAIL.COM</v>
      </c>
      <c r="P13" s="270"/>
      <c r="Q13" s="270"/>
      <c r="R13" s="270"/>
      <c r="S13" s="270"/>
      <c r="T13" s="270"/>
      <c r="U13" s="270"/>
      <c r="V13" s="270"/>
      <c r="W13" s="271"/>
      <c r="X13" s="267" t="s">
        <v>465</v>
      </c>
      <c r="Y13" s="272"/>
      <c r="Z13" s="272"/>
      <c r="AA13" s="272"/>
      <c r="AB13" s="268"/>
      <c r="AC13" s="273">
        <f>C11</f>
        <v>0</v>
      </c>
      <c r="AD13" s="274"/>
      <c r="AE13" s="274"/>
    </row>
    <row r="14" spans="1:38" ht="16.5" customHeight="1">
      <c r="A14" s="2">
        <v>12</v>
      </c>
      <c r="B14" s="174" t="s">
        <v>306</v>
      </c>
      <c r="C14" s="174" t="s">
        <v>305</v>
      </c>
      <c r="D14" s="174" t="s">
        <v>304</v>
      </c>
      <c r="E14" s="174" t="s">
        <v>303</v>
      </c>
      <c r="H14" s="275"/>
      <c r="I14" s="275"/>
      <c r="J14" s="275"/>
      <c r="K14" s="275"/>
      <c r="L14" s="275"/>
      <c r="M14" s="275"/>
      <c r="N14" s="275"/>
      <c r="O14" s="275"/>
      <c r="P14" s="275"/>
      <c r="Q14" s="275"/>
      <c r="R14" s="275"/>
      <c r="S14" s="275"/>
      <c r="T14" s="275"/>
      <c r="U14" s="275"/>
      <c r="V14" s="275"/>
      <c r="W14" s="275"/>
      <c r="X14" s="275"/>
      <c r="Y14" s="275"/>
      <c r="Z14" s="275"/>
      <c r="AA14" s="275"/>
      <c r="AB14" s="275"/>
      <c r="AC14" s="275"/>
      <c r="AD14" s="275"/>
      <c r="AE14" s="275"/>
    </row>
    <row r="15" spans="1:38" ht="16.5" customHeight="1">
      <c r="A15" s="2">
        <v>13</v>
      </c>
      <c r="B15" s="72" t="s">
        <v>288</v>
      </c>
      <c r="C15" s="72">
        <v>501111</v>
      </c>
      <c r="D15" s="72" t="s">
        <v>285</v>
      </c>
      <c r="E15" s="72">
        <v>140</v>
      </c>
      <c r="H15" s="276" t="s">
        <v>466</v>
      </c>
      <c r="I15" s="276"/>
      <c r="J15" s="276"/>
      <c r="K15" s="276"/>
      <c r="L15" s="277"/>
      <c r="M15" s="278"/>
      <c r="N15" s="279"/>
      <c r="O15" s="279"/>
      <c r="P15" s="279"/>
      <c r="Q15" s="279"/>
      <c r="R15" s="279"/>
      <c r="S15" s="279"/>
      <c r="T15" s="279"/>
      <c r="U15" s="279"/>
      <c r="V15" s="279"/>
      <c r="W15" s="279"/>
      <c r="X15" s="279"/>
      <c r="Y15" s="279"/>
      <c r="Z15" s="279"/>
      <c r="AA15" s="279"/>
      <c r="AB15" s="279"/>
      <c r="AC15" s="279"/>
      <c r="AD15" s="279"/>
      <c r="AE15" s="279"/>
    </row>
    <row r="16" spans="1:38" ht="16.5" customHeight="1">
      <c r="A16" s="2">
        <v>14</v>
      </c>
      <c r="B16" s="72" t="s">
        <v>290</v>
      </c>
      <c r="C16" s="72">
        <v>111111</v>
      </c>
      <c r="D16" s="72" t="s">
        <v>241</v>
      </c>
      <c r="E16" s="72">
        <v>140</v>
      </c>
      <c r="H16" s="280" t="s">
        <v>467</v>
      </c>
      <c r="I16" s="280"/>
      <c r="J16" s="280"/>
      <c r="K16" s="280"/>
      <c r="L16" s="281"/>
      <c r="M16" s="282" t="s">
        <v>469</v>
      </c>
      <c r="N16" s="280"/>
      <c r="O16" s="280"/>
      <c r="P16" s="281"/>
      <c r="Q16" s="282" t="s">
        <v>471</v>
      </c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1"/>
      <c r="AE16" s="283" t="s">
        <v>473</v>
      </c>
    </row>
    <row r="17" spans="1:31" ht="16.5" customHeight="1">
      <c r="A17" s="2">
        <v>15</v>
      </c>
      <c r="H17" s="284" t="s">
        <v>468</v>
      </c>
      <c r="I17" s="284"/>
      <c r="J17" s="284"/>
      <c r="K17" s="284"/>
      <c r="L17" s="285"/>
      <c r="M17" s="286" t="s">
        <v>470</v>
      </c>
      <c r="N17" s="284"/>
      <c r="O17" s="284"/>
      <c r="P17" s="285"/>
      <c r="Q17" s="286" t="s">
        <v>472</v>
      </c>
      <c r="R17" s="284"/>
      <c r="S17" s="284"/>
      <c r="T17" s="284"/>
      <c r="U17" s="284"/>
      <c r="V17" s="284"/>
      <c r="W17" s="284"/>
      <c r="X17" s="284"/>
      <c r="Y17" s="284"/>
      <c r="Z17" s="284"/>
      <c r="AA17" s="284"/>
      <c r="AB17" s="284"/>
      <c r="AC17" s="284"/>
      <c r="AD17" s="285"/>
      <c r="AE17" s="287" t="s">
        <v>474</v>
      </c>
    </row>
    <row r="18" spans="1:31" ht="16.5">
      <c r="A18" s="2">
        <v>16</v>
      </c>
      <c r="H18" s="263" t="str">
        <f>B15</f>
        <v>홍길동</v>
      </c>
      <c r="I18" s="263"/>
      <c r="J18" s="263"/>
      <c r="K18" s="263"/>
      <c r="L18" s="264"/>
      <c r="M18" s="262">
        <f>C15</f>
        <v>501111</v>
      </c>
      <c r="N18" s="263"/>
      <c r="O18" s="263"/>
      <c r="P18" s="264"/>
      <c r="Q18" s="262" t="str">
        <f>D15</f>
        <v>남</v>
      </c>
      <c r="R18" s="263"/>
      <c r="S18" s="263"/>
      <c r="T18" s="263"/>
      <c r="U18" s="263"/>
      <c r="V18" s="263"/>
      <c r="W18" s="263"/>
      <c r="X18" s="263"/>
      <c r="Y18" s="263"/>
      <c r="Z18" s="263"/>
      <c r="AA18" s="263"/>
      <c r="AB18" s="263"/>
      <c r="AC18" s="263"/>
      <c r="AD18" s="264"/>
      <c r="AE18" s="288">
        <f>E15</f>
        <v>140</v>
      </c>
    </row>
    <row r="19" spans="1:31" ht="16.5">
      <c r="A19" s="2">
        <v>17</v>
      </c>
      <c r="H19" s="263" t="str">
        <f t="shared" ref="H19:H25" si="0">B16</f>
        <v>수지</v>
      </c>
      <c r="I19" s="263"/>
      <c r="J19" s="263"/>
      <c r="K19" s="263"/>
      <c r="L19" s="264"/>
      <c r="M19" s="262">
        <f t="shared" ref="M19:M25" si="1">C16</f>
        <v>111111</v>
      </c>
      <c r="N19" s="263"/>
      <c r="O19" s="263"/>
      <c r="P19" s="264"/>
      <c r="Q19" s="262"/>
      <c r="R19" s="263"/>
      <c r="S19" s="263"/>
      <c r="T19" s="263"/>
      <c r="U19" s="263"/>
      <c r="V19" s="263"/>
      <c r="W19" s="263"/>
      <c r="X19" s="263"/>
      <c r="Y19" s="263"/>
      <c r="Z19" s="263"/>
      <c r="AA19" s="263"/>
      <c r="AB19" s="263"/>
      <c r="AC19" s="263"/>
      <c r="AD19" s="264"/>
      <c r="AE19" s="288"/>
    </row>
    <row r="20" spans="1:31" ht="16.5">
      <c r="A20" s="2">
        <v>18</v>
      </c>
      <c r="H20" s="263">
        <f t="shared" si="0"/>
        <v>0</v>
      </c>
      <c r="I20" s="263"/>
      <c r="J20" s="263"/>
      <c r="K20" s="263"/>
      <c r="L20" s="264"/>
      <c r="M20" s="262">
        <f t="shared" si="1"/>
        <v>0</v>
      </c>
      <c r="N20" s="263"/>
      <c r="O20" s="263"/>
      <c r="P20" s="264"/>
      <c r="Q20" s="262"/>
      <c r="R20" s="263"/>
      <c r="S20" s="263"/>
      <c r="T20" s="263"/>
      <c r="U20" s="263"/>
      <c r="V20" s="263"/>
      <c r="W20" s="263"/>
      <c r="X20" s="263"/>
      <c r="Y20" s="263"/>
      <c r="Z20" s="263"/>
      <c r="AA20" s="263"/>
      <c r="AB20" s="263"/>
      <c r="AC20" s="263"/>
      <c r="AD20" s="264"/>
      <c r="AE20" s="288"/>
    </row>
    <row r="21" spans="1:31" ht="16.5">
      <c r="A21" s="2">
        <v>19</v>
      </c>
      <c r="H21" s="263">
        <f t="shared" si="0"/>
        <v>0</v>
      </c>
      <c r="I21" s="263"/>
      <c r="J21" s="263"/>
      <c r="K21" s="263"/>
      <c r="L21" s="264"/>
      <c r="M21" s="262">
        <f t="shared" si="1"/>
        <v>0</v>
      </c>
      <c r="N21" s="263"/>
      <c r="O21" s="263"/>
      <c r="P21" s="264"/>
      <c r="Q21" s="262"/>
      <c r="R21" s="263"/>
      <c r="S21" s="263"/>
      <c r="T21" s="263"/>
      <c r="U21" s="263"/>
      <c r="V21" s="263"/>
      <c r="W21" s="263"/>
      <c r="X21" s="263"/>
      <c r="Y21" s="263"/>
      <c r="Z21" s="263"/>
      <c r="AA21" s="263"/>
      <c r="AB21" s="263"/>
      <c r="AC21" s="263"/>
      <c r="AD21" s="264"/>
      <c r="AE21" s="288"/>
    </row>
    <row r="22" spans="1:31" ht="16.5">
      <c r="A22" s="2">
        <v>20</v>
      </c>
      <c r="H22" s="263">
        <f t="shared" si="0"/>
        <v>0</v>
      </c>
      <c r="I22" s="263"/>
      <c r="J22" s="263"/>
      <c r="K22" s="263"/>
      <c r="L22" s="264"/>
      <c r="M22" s="262">
        <f t="shared" si="1"/>
        <v>0</v>
      </c>
      <c r="N22" s="263"/>
      <c r="O22" s="263"/>
      <c r="P22" s="264"/>
      <c r="Q22" s="262"/>
      <c r="R22" s="263"/>
      <c r="S22" s="263"/>
      <c r="T22" s="263"/>
      <c r="U22" s="263"/>
      <c r="V22" s="263"/>
      <c r="W22" s="263"/>
      <c r="X22" s="263"/>
      <c r="Y22" s="263"/>
      <c r="Z22" s="263"/>
      <c r="AA22" s="263"/>
      <c r="AB22" s="263"/>
      <c r="AC22" s="263"/>
      <c r="AD22" s="264"/>
      <c r="AE22" s="288"/>
    </row>
    <row r="23" spans="1:31" ht="16.5">
      <c r="A23" s="2">
        <v>21</v>
      </c>
      <c r="H23" s="263">
        <f t="shared" si="0"/>
        <v>0</v>
      </c>
      <c r="I23" s="263"/>
      <c r="J23" s="263"/>
      <c r="K23" s="263"/>
      <c r="L23" s="264"/>
      <c r="M23" s="262">
        <f t="shared" si="1"/>
        <v>0</v>
      </c>
      <c r="N23" s="263"/>
      <c r="O23" s="263"/>
      <c r="P23" s="264"/>
      <c r="Q23" s="262"/>
      <c r="R23" s="263"/>
      <c r="S23" s="263"/>
      <c r="T23" s="263"/>
      <c r="U23" s="263"/>
      <c r="V23" s="263"/>
      <c r="W23" s="263"/>
      <c r="X23" s="263"/>
      <c r="Y23" s="263"/>
      <c r="Z23" s="263"/>
      <c r="AA23" s="263"/>
      <c r="AB23" s="263"/>
      <c r="AC23" s="263"/>
      <c r="AD23" s="264"/>
      <c r="AE23" s="288"/>
    </row>
    <row r="24" spans="1:31" ht="16.5">
      <c r="A24" s="2">
        <v>22</v>
      </c>
      <c r="H24" s="263">
        <f t="shared" si="0"/>
        <v>0</v>
      </c>
      <c r="I24" s="263"/>
      <c r="J24" s="263"/>
      <c r="K24" s="263"/>
      <c r="L24" s="264"/>
      <c r="M24" s="262">
        <f t="shared" si="1"/>
        <v>0</v>
      </c>
      <c r="N24" s="263"/>
      <c r="O24" s="263"/>
      <c r="P24" s="264"/>
      <c r="Q24" s="262"/>
      <c r="R24" s="263"/>
      <c r="S24" s="263"/>
      <c r="T24" s="263"/>
      <c r="U24" s="263"/>
      <c r="V24" s="263"/>
      <c r="W24" s="263"/>
      <c r="X24" s="263"/>
      <c r="Y24" s="263"/>
      <c r="Z24" s="263"/>
      <c r="AA24" s="263"/>
      <c r="AB24" s="263"/>
      <c r="AC24" s="263"/>
      <c r="AD24" s="264"/>
      <c r="AE24" s="288"/>
    </row>
    <row r="25" spans="1:31" ht="16.5" customHeight="1">
      <c r="A25" s="2">
        <v>23</v>
      </c>
      <c r="B25" s="72"/>
      <c r="H25" s="263">
        <f t="shared" si="0"/>
        <v>0</v>
      </c>
      <c r="I25" s="263"/>
      <c r="J25" s="263"/>
      <c r="K25" s="263"/>
      <c r="L25" s="264"/>
      <c r="M25" s="262">
        <f t="shared" si="1"/>
        <v>0</v>
      </c>
      <c r="N25" s="263"/>
      <c r="O25" s="263"/>
      <c r="P25" s="264"/>
      <c r="Q25" s="262"/>
      <c r="R25" s="263"/>
      <c r="S25" s="263"/>
      <c r="T25" s="263"/>
      <c r="U25" s="263"/>
      <c r="V25" s="263"/>
      <c r="W25" s="263"/>
      <c r="X25" s="263"/>
      <c r="Y25" s="263"/>
      <c r="Z25" s="263"/>
      <c r="AA25" s="263"/>
      <c r="AB25" s="263"/>
      <c r="AC25" s="263"/>
      <c r="AD25" s="264"/>
      <c r="AE25" s="288"/>
    </row>
    <row r="26" spans="1:31" ht="16.5" customHeight="1">
      <c r="A26" s="2">
        <v>24</v>
      </c>
      <c r="B26" s="72"/>
      <c r="H26" s="289" t="s">
        <v>475</v>
      </c>
      <c r="I26" s="289"/>
      <c r="J26" s="289"/>
      <c r="K26" s="289"/>
      <c r="L26" s="289"/>
      <c r="M26" s="289"/>
      <c r="N26" s="289"/>
      <c r="O26" s="289"/>
      <c r="P26" s="289" t="s">
        <v>476</v>
      </c>
      <c r="Q26" s="289"/>
      <c r="R26" s="289"/>
      <c r="S26" s="289"/>
      <c r="T26" s="289"/>
      <c r="U26" s="289"/>
      <c r="V26" s="289"/>
      <c r="W26" s="289" t="s">
        <v>473</v>
      </c>
      <c r="X26" s="289"/>
      <c r="Y26" s="289"/>
      <c r="Z26" s="289"/>
      <c r="AA26" s="289" t="s">
        <v>477</v>
      </c>
      <c r="AB26" s="289"/>
      <c r="AC26" s="289"/>
      <c r="AD26" s="289"/>
      <c r="AE26" s="289"/>
    </row>
    <row r="27" spans="1:31" ht="16.5" customHeight="1">
      <c r="A27" s="2">
        <v>25</v>
      </c>
      <c r="B27" s="72"/>
      <c r="H27" s="290"/>
      <c r="I27" s="290"/>
      <c r="J27" s="290"/>
      <c r="K27" s="290"/>
      <c r="L27" s="290"/>
      <c r="M27" s="290"/>
      <c r="N27" s="290"/>
      <c r="O27" s="290"/>
      <c r="P27" s="290"/>
      <c r="Q27" s="290"/>
      <c r="R27" s="290"/>
      <c r="S27" s="290"/>
      <c r="T27" s="290"/>
      <c r="U27" s="290"/>
      <c r="V27" s="290"/>
      <c r="W27" s="290"/>
      <c r="X27" s="290"/>
      <c r="Y27" s="290"/>
      <c r="Z27" s="290"/>
      <c r="AA27" s="290"/>
      <c r="AB27" s="290"/>
      <c r="AC27" s="290"/>
      <c r="AD27" s="290"/>
      <c r="AE27" s="290"/>
    </row>
    <row r="28" spans="1:31" ht="16.5" customHeight="1">
      <c r="A28" s="2">
        <v>26</v>
      </c>
      <c r="H28" s="291" t="s">
        <v>478</v>
      </c>
      <c r="I28" s="291"/>
      <c r="J28" s="291"/>
      <c r="K28" s="291"/>
      <c r="L28" s="292"/>
      <c r="M28" s="293" t="s">
        <v>479</v>
      </c>
      <c r="N28" s="294"/>
      <c r="O28" s="294"/>
      <c r="P28" s="294"/>
      <c r="Q28" s="294"/>
      <c r="R28" s="294"/>
      <c r="S28" s="295"/>
      <c r="T28" s="295"/>
      <c r="U28" s="295"/>
      <c r="V28" s="295"/>
      <c r="W28" s="295"/>
      <c r="X28" s="295"/>
      <c r="Y28" s="295"/>
      <c r="Z28" s="295"/>
      <c r="AA28" s="295"/>
      <c r="AB28" s="295"/>
      <c r="AC28" s="291" t="s">
        <v>480</v>
      </c>
      <c r="AD28" s="291"/>
      <c r="AE28" s="291"/>
    </row>
    <row r="29" spans="1:31" ht="16.5" customHeight="1">
      <c r="A29" s="2">
        <v>27</v>
      </c>
      <c r="H29" s="296"/>
      <c r="I29" s="296"/>
      <c r="J29" s="296"/>
      <c r="K29" s="296"/>
      <c r="L29" s="296"/>
      <c r="M29" s="296"/>
      <c r="N29" s="296"/>
      <c r="O29" s="296"/>
      <c r="P29" s="296"/>
      <c r="Q29" s="296"/>
      <c r="R29" s="296"/>
      <c r="S29" s="296"/>
      <c r="T29" s="296"/>
      <c r="U29" s="296"/>
      <c r="V29" s="296"/>
      <c r="W29" s="296"/>
      <c r="X29" s="296"/>
      <c r="Y29" s="296"/>
      <c r="Z29" s="296"/>
      <c r="AA29" s="296"/>
      <c r="AB29" s="296"/>
      <c r="AC29" s="296"/>
      <c r="AD29" s="296"/>
      <c r="AE29" s="296"/>
    </row>
    <row r="30" spans="1:31" ht="16.5" customHeight="1">
      <c r="A30" s="2">
        <v>28</v>
      </c>
      <c r="H30" s="297" t="s">
        <v>481</v>
      </c>
      <c r="I30" s="297"/>
      <c r="J30" s="297"/>
      <c r="K30" s="297"/>
      <c r="L30" s="297"/>
      <c r="M30" s="297"/>
      <c r="N30" s="297"/>
      <c r="O30" s="297"/>
      <c r="P30" s="297"/>
      <c r="Q30" s="297"/>
      <c r="R30" s="297"/>
      <c r="S30" s="297"/>
      <c r="T30" s="297"/>
      <c r="U30" s="297"/>
      <c r="V30" s="297"/>
      <c r="W30" s="297"/>
      <c r="X30" s="297"/>
      <c r="Y30" s="297"/>
      <c r="Z30" s="297"/>
      <c r="AA30" s="297"/>
      <c r="AB30" s="297"/>
      <c r="AC30" s="297"/>
      <c r="AD30" s="297"/>
      <c r="AE30" s="297"/>
    </row>
    <row r="31" spans="1:31" ht="22.5" customHeight="1">
      <c r="A31" s="2">
        <v>29</v>
      </c>
      <c r="H31" s="298" t="s">
        <v>482</v>
      </c>
      <c r="I31" s="298"/>
      <c r="J31" s="298"/>
      <c r="K31" s="298"/>
      <c r="L31" s="298"/>
      <c r="M31" s="298"/>
      <c r="N31" s="298"/>
      <c r="O31" s="298"/>
      <c r="P31" s="298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298"/>
      <c r="AB31" s="298"/>
      <c r="AC31" s="298"/>
      <c r="AD31" s="298"/>
      <c r="AE31" s="298"/>
    </row>
    <row r="32" spans="1:31" ht="17.25" customHeight="1">
      <c r="A32" s="2">
        <v>30</v>
      </c>
      <c r="H32" s="299"/>
      <c r="I32" s="299"/>
      <c r="J32" s="299"/>
      <c r="K32" s="299"/>
      <c r="L32" s="299"/>
      <c r="M32" s="299"/>
      <c r="N32" s="299"/>
      <c r="O32" s="299"/>
      <c r="P32" s="299"/>
      <c r="Q32" s="299"/>
      <c r="R32" s="299"/>
      <c r="S32" s="299"/>
      <c r="T32" s="300" t="s">
        <v>483</v>
      </c>
      <c r="U32" s="300"/>
      <c r="V32" s="300"/>
      <c r="W32" s="300"/>
      <c r="X32" s="300"/>
      <c r="Y32" s="300"/>
      <c r="Z32" s="301"/>
      <c r="AA32" s="301"/>
      <c r="AB32" s="301"/>
      <c r="AC32" s="301"/>
      <c r="AD32" s="301"/>
      <c r="AE32" s="302" t="s">
        <v>484</v>
      </c>
    </row>
    <row r="33" spans="1:31" ht="17.25" customHeight="1" thickBot="1">
      <c r="A33" s="2">
        <v>31</v>
      </c>
      <c r="H33" s="303" t="s">
        <v>485</v>
      </c>
      <c r="I33" s="303"/>
      <c r="J33" s="303"/>
      <c r="K33" s="303"/>
      <c r="L33" s="303"/>
      <c r="M33" s="303"/>
      <c r="N33" s="303"/>
      <c r="O33" s="303"/>
      <c r="P33" s="303"/>
      <c r="Q33" s="303"/>
      <c r="R33" s="303"/>
      <c r="S33" s="303"/>
      <c r="T33" s="303"/>
      <c r="U33" s="303"/>
      <c r="V33" s="303"/>
      <c r="W33" s="303"/>
      <c r="X33" s="303"/>
      <c r="Y33" s="303"/>
      <c r="Z33" s="303"/>
      <c r="AA33" s="304" t="s">
        <v>486</v>
      </c>
      <c r="AB33" s="304"/>
      <c r="AC33" s="304"/>
      <c r="AD33" s="304"/>
      <c r="AE33" s="304"/>
    </row>
    <row r="34" spans="1:31" ht="16.5" customHeight="1" thickTop="1">
      <c r="A34" s="2">
        <v>32</v>
      </c>
      <c r="H34" s="305"/>
      <c r="I34" s="305"/>
      <c r="J34" s="305"/>
      <c r="K34" s="305"/>
      <c r="L34" s="305"/>
      <c r="M34" s="305"/>
      <c r="N34" s="305"/>
      <c r="O34" s="305"/>
      <c r="P34" s="305"/>
      <c r="Q34" s="305"/>
      <c r="R34" s="305"/>
      <c r="S34" s="305"/>
      <c r="T34" s="305"/>
      <c r="U34" s="305"/>
      <c r="V34" s="305"/>
      <c r="W34" s="305"/>
      <c r="X34" s="305"/>
      <c r="Y34" s="305"/>
      <c r="Z34" s="305"/>
      <c r="AA34" s="305"/>
      <c r="AB34" s="305"/>
      <c r="AC34" s="305"/>
      <c r="AD34" s="305"/>
      <c r="AE34" s="305"/>
    </row>
    <row r="35" spans="1:31" ht="16.5" customHeight="1">
      <c r="A35" s="2">
        <v>33</v>
      </c>
      <c r="H35" s="306" t="s">
        <v>487</v>
      </c>
      <c r="I35" s="306"/>
      <c r="J35" s="307"/>
      <c r="K35" s="308" t="s">
        <v>488</v>
      </c>
      <c r="L35" s="309"/>
      <c r="M35" s="309"/>
      <c r="N35" s="309"/>
      <c r="O35" s="309"/>
      <c r="P35" s="309"/>
      <c r="Q35" s="309"/>
      <c r="R35" s="309"/>
      <c r="S35" s="309"/>
      <c r="T35" s="309"/>
      <c r="U35" s="309"/>
      <c r="V35" s="309"/>
      <c r="W35" s="309"/>
      <c r="X35" s="309"/>
      <c r="Y35" s="309"/>
      <c r="Z35" s="309"/>
      <c r="AA35" s="309"/>
      <c r="AB35" s="309"/>
      <c r="AC35" s="309"/>
      <c r="AD35" s="309"/>
      <c r="AE35" s="309"/>
    </row>
    <row r="36" spans="1:31" ht="17.25" customHeight="1" thickBot="1">
      <c r="A36" s="2">
        <v>34</v>
      </c>
      <c r="H36" s="310"/>
      <c r="I36" s="310"/>
      <c r="J36" s="311"/>
      <c r="K36" s="312" t="s">
        <v>489</v>
      </c>
      <c r="L36" s="313"/>
      <c r="M36" s="313"/>
      <c r="N36" s="313"/>
      <c r="O36" s="313"/>
      <c r="P36" s="313"/>
      <c r="Q36" s="313"/>
      <c r="R36" s="313"/>
      <c r="S36" s="313"/>
      <c r="T36" s="313"/>
      <c r="U36" s="313"/>
      <c r="V36" s="313"/>
      <c r="W36" s="313"/>
      <c r="X36" s="313"/>
      <c r="Y36" s="313"/>
      <c r="Z36" s="313"/>
      <c r="AA36" s="313"/>
      <c r="AB36" s="313"/>
      <c r="AC36" s="313"/>
      <c r="AD36" s="313"/>
      <c r="AE36" s="313"/>
    </row>
    <row r="37" spans="1:31" ht="17.25" customHeight="1" thickBot="1">
      <c r="A37" s="2">
        <v>35</v>
      </c>
      <c r="H37" s="314" t="s">
        <v>490</v>
      </c>
      <c r="I37" s="314"/>
      <c r="J37" s="314"/>
      <c r="K37" s="314"/>
      <c r="L37" s="314"/>
      <c r="M37" s="314"/>
      <c r="N37" s="314"/>
      <c r="O37" s="314"/>
      <c r="P37" s="314"/>
      <c r="Q37" s="314"/>
      <c r="R37" s="314"/>
      <c r="S37" s="314"/>
      <c r="T37" s="314"/>
      <c r="U37" s="314"/>
      <c r="V37" s="314"/>
      <c r="W37" s="314"/>
      <c r="X37" s="314"/>
      <c r="Y37" s="314"/>
      <c r="Z37" s="314"/>
      <c r="AA37" s="314"/>
      <c r="AB37" s="314"/>
      <c r="AC37" s="314"/>
      <c r="AD37" s="314"/>
      <c r="AE37" s="314"/>
    </row>
    <row r="38" spans="1:31" ht="16.5" customHeight="1">
      <c r="A38" s="2">
        <v>36</v>
      </c>
      <c r="H38" s="315" t="s">
        <v>491</v>
      </c>
      <c r="I38" s="316" t="s">
        <v>492</v>
      </c>
      <c r="J38" s="317"/>
      <c r="K38" s="317"/>
      <c r="L38" s="317"/>
      <c r="M38" s="317"/>
      <c r="N38" s="317"/>
      <c r="O38" s="317"/>
      <c r="P38" s="317"/>
      <c r="Q38" s="318"/>
      <c r="R38" s="316" t="s">
        <v>457</v>
      </c>
      <c r="S38" s="317"/>
      <c r="T38" s="317"/>
      <c r="U38" s="317"/>
      <c r="V38" s="317"/>
      <c r="W38" s="317"/>
      <c r="X38" s="318"/>
      <c r="Y38" s="316" t="s">
        <v>493</v>
      </c>
      <c r="Z38" s="317"/>
      <c r="AA38" s="317"/>
      <c r="AB38" s="317"/>
      <c r="AC38" s="317"/>
      <c r="AD38" s="317"/>
      <c r="AE38" s="317"/>
    </row>
    <row r="39" spans="1:31" ht="16.5" customHeight="1">
      <c r="A39" s="2">
        <v>37</v>
      </c>
      <c r="H39" s="319"/>
      <c r="I39" s="320"/>
      <c r="J39" s="321"/>
      <c r="K39" s="321"/>
      <c r="L39" s="321"/>
      <c r="M39" s="321"/>
      <c r="N39" s="321"/>
      <c r="O39" s="321"/>
      <c r="P39" s="321"/>
      <c r="Q39" s="322"/>
      <c r="R39" s="323"/>
      <c r="S39" s="324"/>
      <c r="T39" s="324"/>
      <c r="U39" s="324"/>
      <c r="V39" s="324"/>
      <c r="W39" s="324"/>
      <c r="X39" s="325"/>
      <c r="Y39" s="320"/>
      <c r="Z39" s="321"/>
      <c r="AA39" s="321"/>
      <c r="AB39" s="321"/>
      <c r="AC39" s="321"/>
      <c r="AD39" s="321"/>
      <c r="AE39" s="321"/>
    </row>
    <row r="40" spans="1:31" ht="16.5" customHeight="1">
      <c r="A40" s="2">
        <v>38</v>
      </c>
      <c r="H40" s="326" t="s">
        <v>494</v>
      </c>
      <c r="I40" s="327" t="s">
        <v>495</v>
      </c>
      <c r="J40" s="328"/>
      <c r="K40" s="329"/>
      <c r="L40" s="330"/>
      <c r="M40" s="331"/>
      <c r="N40" s="327" t="s">
        <v>496</v>
      </c>
      <c r="O40" s="328"/>
      <c r="P40" s="328"/>
      <c r="Q40" s="329"/>
      <c r="R40" s="330"/>
      <c r="S40" s="332"/>
      <c r="T40" s="332"/>
      <c r="U40" s="331"/>
      <c r="V40" s="327" t="s">
        <v>497</v>
      </c>
      <c r="W40" s="328"/>
      <c r="X40" s="329"/>
      <c r="Y40" s="333"/>
      <c r="Z40" s="334"/>
      <c r="AA40" s="334"/>
      <c r="AB40" s="334"/>
      <c r="AC40" s="335"/>
      <c r="AD40" s="336" t="s">
        <v>498</v>
      </c>
      <c r="AE40" s="337"/>
    </row>
    <row r="41" spans="1:31" ht="17.25" customHeight="1" thickBot="1">
      <c r="A41" s="2">
        <v>39</v>
      </c>
      <c r="H41" s="338"/>
      <c r="I41" s="339"/>
      <c r="J41" s="340"/>
      <c r="K41" s="341"/>
      <c r="L41" s="342"/>
      <c r="M41" s="343"/>
      <c r="N41" s="339"/>
      <c r="O41" s="340"/>
      <c r="P41" s="340"/>
      <c r="Q41" s="341"/>
      <c r="R41" s="342"/>
      <c r="S41" s="344"/>
      <c r="T41" s="344"/>
      <c r="U41" s="343"/>
      <c r="V41" s="339"/>
      <c r="W41" s="340"/>
      <c r="X41" s="341"/>
      <c r="Y41" s="345"/>
      <c r="Z41" s="346"/>
      <c r="AA41" s="346"/>
      <c r="AB41" s="346"/>
      <c r="AC41" s="347"/>
      <c r="AD41" s="348" t="s">
        <v>499</v>
      </c>
      <c r="AE41" s="349"/>
    </row>
    <row r="42" spans="1:31" ht="16.5">
      <c r="A42" s="2">
        <v>40</v>
      </c>
    </row>
    <row r="43" spans="1:31" ht="16.5">
      <c r="A43" s="2">
        <v>41</v>
      </c>
    </row>
    <row r="44" spans="1:31" ht="16.5">
      <c r="A44" s="2">
        <v>42</v>
      </c>
    </row>
    <row r="45" spans="1:31" ht="16.5">
      <c r="A45" s="2">
        <v>43</v>
      </c>
    </row>
    <row r="46" spans="1:31" ht="16.5">
      <c r="A46" s="2">
        <v>44</v>
      </c>
    </row>
    <row r="47" spans="1:31" ht="16.5">
      <c r="A47" s="2">
        <v>45</v>
      </c>
    </row>
    <row r="48" spans="1:3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mergeCells count="100">
    <mergeCell ref="H2:AE4"/>
    <mergeCell ref="B2:C2"/>
    <mergeCell ref="Y39:AE39"/>
    <mergeCell ref="H40:H41"/>
    <mergeCell ref="I40:K41"/>
    <mergeCell ref="L40:M41"/>
    <mergeCell ref="N40:Q41"/>
    <mergeCell ref="R40:U41"/>
    <mergeCell ref="V40:X41"/>
    <mergeCell ref="Y40:AC41"/>
    <mergeCell ref="AD41:AE41"/>
    <mergeCell ref="H11:L11"/>
    <mergeCell ref="M11:AE11"/>
    <mergeCell ref="H12:L13"/>
    <mergeCell ref="M13:N13"/>
    <mergeCell ref="O13:W13"/>
    <mergeCell ref="X13:AB13"/>
    <mergeCell ref="AC13:AE13"/>
    <mergeCell ref="H5:AE5"/>
    <mergeCell ref="H6:I6"/>
    <mergeCell ref="J6:T6"/>
    <mergeCell ref="U6:AA6"/>
    <mergeCell ref="AB6:AE6"/>
    <mergeCell ref="I38:Q38"/>
    <mergeCell ref="R38:X38"/>
    <mergeCell ref="Y38:AE38"/>
    <mergeCell ref="AD40:AE40"/>
    <mergeCell ref="H37:AE37"/>
    <mergeCell ref="H38:H39"/>
    <mergeCell ref="I39:Q39"/>
    <mergeCell ref="H15:L15"/>
    <mergeCell ref="H16:L16"/>
    <mergeCell ref="M16:P16"/>
    <mergeCell ref="Q16:AD16"/>
    <mergeCell ref="H14:AE14"/>
    <mergeCell ref="M15:AE15"/>
    <mergeCell ref="M12:N12"/>
    <mergeCell ref="O12:W12"/>
    <mergeCell ref="X12:AB12"/>
    <mergeCell ref="AC12:AE12"/>
    <mergeCell ref="U8:AA8"/>
    <mergeCell ref="U9:AA9"/>
    <mergeCell ref="H10:L10"/>
    <mergeCell ref="M8:T8"/>
    <mergeCell ref="AB8:AE8"/>
    <mergeCell ref="M9:T10"/>
    <mergeCell ref="U10:AA10"/>
    <mergeCell ref="AB9:AE10"/>
    <mergeCell ref="H8:L8"/>
    <mergeCell ref="H9:L9"/>
    <mergeCell ref="R39:X39"/>
    <mergeCell ref="K35:AE35"/>
    <mergeCell ref="H33:Z33"/>
    <mergeCell ref="AA33:AE33"/>
    <mergeCell ref="H34:AE34"/>
    <mergeCell ref="H35:J36"/>
    <mergeCell ref="K36:AE36"/>
    <mergeCell ref="H30:AE30"/>
    <mergeCell ref="H31:AE31"/>
    <mergeCell ref="H32:S32"/>
    <mergeCell ref="T32:Y32"/>
    <mergeCell ref="Z32:AD32"/>
    <mergeCell ref="H29:AE29"/>
    <mergeCell ref="H28:L28"/>
    <mergeCell ref="M28:R28"/>
    <mergeCell ref="S28:AB28"/>
    <mergeCell ref="AC28:AE28"/>
    <mergeCell ref="H26:O26"/>
    <mergeCell ref="P26:V26"/>
    <mergeCell ref="W26:Z26"/>
    <mergeCell ref="AA26:AE26"/>
    <mergeCell ref="H27:AE27"/>
    <mergeCell ref="H24:L24"/>
    <mergeCell ref="M24:P24"/>
    <mergeCell ref="Q24:AD24"/>
    <mergeCell ref="H25:L25"/>
    <mergeCell ref="M25:P25"/>
    <mergeCell ref="Q25:AD25"/>
    <mergeCell ref="H22:L22"/>
    <mergeCell ref="M22:P22"/>
    <mergeCell ref="Q22:AD22"/>
    <mergeCell ref="H23:L23"/>
    <mergeCell ref="M23:P23"/>
    <mergeCell ref="Q23:AD23"/>
    <mergeCell ref="H20:L20"/>
    <mergeCell ref="M20:P20"/>
    <mergeCell ref="Q20:AD20"/>
    <mergeCell ref="H21:L21"/>
    <mergeCell ref="M21:P21"/>
    <mergeCell ref="Q21:AD21"/>
    <mergeCell ref="H18:L18"/>
    <mergeCell ref="M18:P18"/>
    <mergeCell ref="Q18:AD18"/>
    <mergeCell ref="H19:L19"/>
    <mergeCell ref="M19:P19"/>
    <mergeCell ref="Q19:AD19"/>
    <mergeCell ref="H17:L17"/>
    <mergeCell ref="M17:P17"/>
    <mergeCell ref="Q17:AD17"/>
    <mergeCell ref="H7:AE7"/>
  </mergeCells>
  <phoneticPr fontId="17" type="noConversion"/>
  <hyperlinks>
    <hyperlink ref="C10" r:id="rId1" xr:uid="{EC903CE3-7DC3-4F26-9899-6C75C2FB79BA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Drop Down 1">
              <controlPr defaultSize="0" autoLine="0" autoPict="0" macro="[0]!목차드롭다운">
                <anchor moveWithCells="1">
                  <from>
                    <xdr:col>31</xdr:col>
                    <xdr:colOff>95250</xdr:colOff>
                    <xdr:row>1</xdr:row>
                    <xdr:rowOff>38100</xdr:rowOff>
                  </from>
                  <to>
                    <xdr:col>36</xdr:col>
                    <xdr:colOff>390525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목차</vt:lpstr>
      <vt:lpstr>기본양식</vt:lpstr>
      <vt:lpstr>참여자명단</vt:lpstr>
      <vt:lpstr>참여기업 정보</vt:lpstr>
      <vt:lpstr>일경험 운영계획서</vt:lpstr>
      <vt:lpstr>멘토일지</vt:lpstr>
      <vt:lpstr>종합보고서</vt:lpstr>
      <vt:lpstr>중간점검일지</vt:lpstr>
      <vt:lpstr>102. 사전직무교육 운영 계획서</vt:lpstr>
      <vt:lpstr>108. 일경험 운영 계획서</vt:lpstr>
      <vt:lpstr>12. 청년 일경험 프로그램 참여기업 신청서 </vt:lpstr>
      <vt:lpstr>42. 청년 일경험 지원사업 기업 참여 의향서</vt:lpstr>
      <vt:lpstr>125. (공통직무교육기관) 사전직무교육 실시보고</vt:lpstr>
      <vt:lpstr>34. 인턴형 일경험 실시보고</vt:lpstr>
      <vt:lpstr>33. 인턴형 일경험 참여신청서</vt:lpstr>
      <vt:lpstr>40. 개인정보 활용에 관한 동의서</vt:lpstr>
      <vt:lpstr>46. 참여 청년용 확인서</vt:lpstr>
      <vt:lpstr>118. 인턴형 프로그램 표준계약서</vt:lpstr>
      <vt:lpstr>13. 참여기업 지원금 지급 신청서</vt:lpstr>
      <vt:lpstr>기본양식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juhyeok KIM</cp:lastModifiedBy>
  <dcterms:created xsi:type="dcterms:W3CDTF">2024-11-21T06:22:48Z</dcterms:created>
  <dcterms:modified xsi:type="dcterms:W3CDTF">2024-12-06T03:33:57Z</dcterms:modified>
</cp:coreProperties>
</file>