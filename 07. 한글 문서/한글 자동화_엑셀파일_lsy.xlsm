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ctrlProps/ctrlProp49.xml" ContentType="application/vnd.ms-excel.controlproperties+xml"/>
  <Override PartName="/xl/drawings/drawing7.xml" ContentType="application/vnd.openxmlformats-officedocument.drawing+xml"/>
  <Override PartName="/xl/ctrlProps/ctrlProp50.xml" ContentType="application/vnd.ms-excel.controlproperties+xml"/>
  <Override PartName="/xl/drawings/drawing8.xml" ContentType="application/vnd.openxmlformats-officedocument.drawing+xml"/>
  <Override PartName="/xl/ctrlProps/ctrlProp51.xml" ContentType="application/vnd.ms-excel.controlproperties+xml"/>
  <Override PartName="/xl/drawings/drawing9.xml" ContentType="application/vnd.openxmlformats-officedocument.drawing+xml"/>
  <Override PartName="/xl/ctrlProps/ctrlProp52.xml" ContentType="application/vnd.ms-excel.controlproperties+xml"/>
  <Override PartName="/xl/drawings/drawing10.xml" ContentType="application/vnd.openxmlformats-officedocument.drawing+xml"/>
  <Override PartName="/xl/ctrlProps/ctrlProp53.xml" ContentType="application/vnd.ms-excel.controlproperties+xml"/>
  <Override PartName="/xl/drawings/drawing11.xml" ContentType="application/vnd.openxmlformats-officedocument.drawing+xml"/>
  <Override PartName="/xl/ctrlProps/ctrlProp54.xml" ContentType="application/vnd.ms-excel.controlproperties+xml"/>
  <Override PartName="/xl/drawings/drawing12.xml" ContentType="application/vnd.openxmlformats-officedocument.drawing+xml"/>
  <Override PartName="/xl/ctrlProps/ctrlProp55.xml" ContentType="application/vnd.ms-excel.controlproperties+xml"/>
  <Override PartName="/xl/drawings/drawing13.xml" ContentType="application/vnd.openxmlformats-officedocument.drawing+xml"/>
  <Override PartName="/xl/ctrlProps/ctrlProp56.xml" ContentType="application/vnd.ms-excel.controlproperties+xml"/>
  <Override PartName="/xl/drawings/drawing14.xml" ContentType="application/vnd.openxmlformats-officedocument.drawing+xml"/>
  <Override PartName="/xl/ctrlProps/ctrlProp57.xml" ContentType="application/vnd.ms-excel.controlproperties+xml"/>
  <Override PartName="/xl/drawings/drawing15.xml" ContentType="application/vnd.openxmlformats-officedocument.drawing+xml"/>
  <Override PartName="/xl/ctrlProps/ctrlProp58.xml" ContentType="application/vnd.ms-excel.controlproperties+xml"/>
  <Override PartName="/xl/drawings/drawing16.xml" ContentType="application/vnd.openxmlformats-officedocument.drawing+xml"/>
  <Override PartName="/xl/ctrlProps/ctrlProp59.xml" ContentType="application/vnd.ms-excel.controlproperties+xml"/>
  <Override PartName="/xl/drawings/drawing17.xml" ContentType="application/vnd.openxmlformats-officedocument.drawing+xml"/>
  <Override PartName="/xl/ctrlProps/ctrlProp60.xml" ContentType="application/vnd.ms-excel.controlproperties+xml"/>
  <Override PartName="/xl/drawings/drawing18.xml" ContentType="application/vnd.openxmlformats-officedocument.drawing+xml"/>
  <Override PartName="/xl/ctrlProps/ctrlProp61.xml" ContentType="application/vnd.ms-excel.controlproperties+xml"/>
  <Override PartName="/xl/drawings/drawing19.xml" ContentType="application/vnd.openxmlformats-officedocument.drawing+xml"/>
  <Override PartName="/xl/ctrlProps/ctrlProp6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thdus\Desktop\미래내일일경험\07. 한글 문서\"/>
    </mc:Choice>
  </mc:AlternateContent>
  <xr:revisionPtr revIDLastSave="0" documentId="13_ncr:1_{E7AC9491-C5C7-4E1D-BA58-F9CAFB19BCDA}" xr6:coauthVersionLast="47" xr6:coauthVersionMax="47" xr10:uidLastSave="{00000000-0000-0000-0000-000000000000}"/>
  <bookViews>
    <workbookView xWindow="-26175" yWindow="6720" windowWidth="16080" windowHeight="7350" firstSheet="1" activeTab="4" xr2:uid="{889FA018-DB69-4C5A-8A11-DC045F50C9B0}"/>
  </bookViews>
  <sheets>
    <sheet name="체크리스트" sheetId="33" r:id="rId1"/>
    <sheet name="목차" sheetId="34" r:id="rId2"/>
    <sheet name="기본양식" sheetId="6" r:id="rId3"/>
    <sheet name="참여자명단" sheetId="24" r:id="rId4"/>
    <sheet name="102. 사전직무교육 운영 계획서" sheetId="16" r:id="rId5"/>
    <sheet name="참여기업 정보" sheetId="7" r:id="rId6"/>
    <sheet name="13. 참여기업 지원금 지급 신청서" sheetId="29" r:id="rId7"/>
    <sheet name="108. 일경험 운영 계획서" sheetId="17" r:id="rId8"/>
    <sheet name="멘토일지" sheetId="9" r:id="rId9"/>
    <sheet name="종합보고서" sheetId="10" r:id="rId10"/>
    <sheet name="중간점검일지" sheetId="11" r:id="rId11"/>
    <sheet name="12. 청년 일경험 프로그램 참여기업 신청서 " sheetId="18" r:id="rId12"/>
    <sheet name="42. 청년 일경험 지원사업 기업 참여 의향서" sheetId="21" r:id="rId13"/>
    <sheet name="125. (공통직무교육기관) 사전직무교육 실시보고" sheetId="20" r:id="rId14"/>
    <sheet name="34. 인턴형 일경험 실시보고" sheetId="19" r:id="rId15"/>
    <sheet name="33. 인턴형 일경험 참여신청서" sheetId="25" r:id="rId16"/>
    <sheet name="40. 개인정보 활용에 관한 동의서" sheetId="26" r:id="rId17"/>
    <sheet name="46. 참여 청년용 확인서" sheetId="27" r:id="rId18"/>
    <sheet name="118. 인턴형 프로그램 표준계약서" sheetId="28" r:id="rId19"/>
    <sheet name="기본양식 (2)" sheetId="31" r:id="rId2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6" i="19" l="1"/>
  <c r="R62" i="19"/>
  <c r="L62" i="19"/>
  <c r="K62" i="19"/>
  <c r="J62" i="19"/>
  <c r="R61" i="19"/>
  <c r="L61" i="19"/>
  <c r="K61" i="19"/>
  <c r="J61" i="19"/>
  <c r="R60" i="19"/>
  <c r="L60" i="19"/>
  <c r="K60" i="19"/>
  <c r="J60" i="19"/>
  <c r="R59" i="19"/>
  <c r="L59" i="19"/>
  <c r="K59" i="19"/>
  <c r="J59" i="19"/>
  <c r="R58" i="19"/>
  <c r="L58" i="19"/>
  <c r="K58" i="19"/>
  <c r="J58" i="19"/>
  <c r="R57" i="19"/>
  <c r="L57" i="19"/>
  <c r="K57" i="19"/>
  <c r="J57" i="19"/>
  <c r="R56" i="19"/>
  <c r="L56" i="19"/>
  <c r="K56" i="19"/>
  <c r="J56" i="19"/>
  <c r="R55" i="19"/>
  <c r="L55" i="19"/>
  <c r="K55" i="19"/>
  <c r="J55" i="19"/>
  <c r="R54" i="19"/>
  <c r="L54" i="19"/>
  <c r="K54" i="19"/>
  <c r="J54" i="19"/>
  <c r="R53" i="19"/>
  <c r="L53" i="19"/>
  <c r="K53" i="19"/>
  <c r="J53" i="19"/>
  <c r="K49" i="19"/>
  <c r="K48" i="19"/>
  <c r="K47" i="19"/>
  <c r="K46" i="19"/>
  <c r="Q45" i="19"/>
  <c r="K45" i="19"/>
  <c r="Q41" i="19"/>
  <c r="K41" i="19"/>
  <c r="Q40" i="19"/>
  <c r="K40" i="19"/>
  <c r="Q39" i="19"/>
  <c r="K39" i="19"/>
  <c r="K38" i="19"/>
  <c r="Q37" i="19"/>
  <c r="K37" i="19"/>
  <c r="P32" i="19"/>
  <c r="R20" i="19"/>
  <c r="R21" i="19"/>
  <c r="R22" i="19"/>
  <c r="R23" i="19"/>
  <c r="R24" i="19"/>
  <c r="R25" i="19"/>
  <c r="R26" i="19"/>
  <c r="R27" i="19"/>
  <c r="R28" i="19"/>
  <c r="R19" i="19"/>
  <c r="L20" i="19"/>
  <c r="L21" i="19"/>
  <c r="L22" i="19"/>
  <c r="L23" i="19"/>
  <c r="L24" i="19"/>
  <c r="L25" i="19"/>
  <c r="L26" i="19"/>
  <c r="L27" i="19"/>
  <c r="L28" i="19"/>
  <c r="L19" i="19"/>
  <c r="K20" i="19"/>
  <c r="K21" i="19"/>
  <c r="K22" i="19"/>
  <c r="K23" i="19"/>
  <c r="K24" i="19"/>
  <c r="K25" i="19"/>
  <c r="K26" i="19"/>
  <c r="K27" i="19"/>
  <c r="K28" i="19"/>
  <c r="K19" i="19"/>
  <c r="J20" i="19"/>
  <c r="J21" i="19"/>
  <c r="J22" i="19"/>
  <c r="J23" i="19"/>
  <c r="J24" i="19"/>
  <c r="J25" i="19"/>
  <c r="J26" i="19"/>
  <c r="J27" i="19"/>
  <c r="J28" i="19"/>
  <c r="J19" i="19"/>
  <c r="K15" i="19"/>
  <c r="K14" i="19"/>
  <c r="K13" i="19"/>
  <c r="K12" i="19"/>
  <c r="Q11" i="19"/>
  <c r="K11" i="19"/>
  <c r="K7" i="19"/>
  <c r="E11" i="19"/>
  <c r="Q7" i="19"/>
  <c r="Q6" i="19"/>
  <c r="K6" i="19"/>
  <c r="Q5" i="19"/>
  <c r="K5" i="19"/>
  <c r="K4" i="19"/>
  <c r="Q3" i="19"/>
  <c r="K3" i="19"/>
  <c r="F59" i="19"/>
  <c r="F60" i="19"/>
  <c r="F61" i="19"/>
  <c r="F62" i="19"/>
  <c r="F58" i="19"/>
  <c r="D59" i="19"/>
  <c r="D60" i="19"/>
  <c r="D61" i="19"/>
  <c r="D62" i="19"/>
  <c r="D58" i="19"/>
  <c r="C59" i="19"/>
  <c r="C60" i="19"/>
  <c r="C61" i="19"/>
  <c r="C62" i="19"/>
  <c r="C58" i="19"/>
  <c r="B59" i="19"/>
  <c r="B60" i="19"/>
  <c r="B61" i="19"/>
  <c r="B62" i="19"/>
  <c r="B58" i="19"/>
  <c r="E46" i="19"/>
  <c r="E45" i="19"/>
  <c r="E44" i="19"/>
  <c r="E43" i="19"/>
  <c r="E42" i="19"/>
  <c r="E41" i="19"/>
  <c r="E40" i="19"/>
  <c r="E39" i="19"/>
  <c r="E38" i="19"/>
  <c r="F25" i="19"/>
  <c r="F26" i="19"/>
  <c r="F27" i="19"/>
  <c r="F28" i="19"/>
  <c r="F29" i="19"/>
  <c r="F30" i="19"/>
  <c r="F31" i="19"/>
  <c r="F32" i="19"/>
  <c r="F33" i="19"/>
  <c r="F24" i="19"/>
  <c r="D25" i="19"/>
  <c r="D26" i="19"/>
  <c r="D27" i="19"/>
  <c r="D28" i="19"/>
  <c r="D29" i="19"/>
  <c r="D30" i="19"/>
  <c r="D31" i="19"/>
  <c r="D32" i="19"/>
  <c r="D33" i="19"/>
  <c r="D24" i="19"/>
  <c r="C25" i="19"/>
  <c r="C26" i="19"/>
  <c r="C27" i="19"/>
  <c r="C28" i="19"/>
  <c r="C29" i="19"/>
  <c r="C30" i="19"/>
  <c r="C31" i="19"/>
  <c r="C32" i="19"/>
  <c r="C33" i="19"/>
  <c r="C24" i="19"/>
  <c r="B25" i="19"/>
  <c r="B26" i="19"/>
  <c r="B27" i="19"/>
  <c r="B28" i="19"/>
  <c r="B29" i="19"/>
  <c r="B30" i="19"/>
  <c r="B31" i="19"/>
  <c r="B32" i="19"/>
  <c r="B33" i="19"/>
  <c r="B24" i="19"/>
  <c r="E12" i="19"/>
  <c r="E10" i="19"/>
  <c r="E9" i="19"/>
  <c r="E8" i="19"/>
  <c r="E7" i="19"/>
  <c r="E6" i="19"/>
  <c r="E5" i="19"/>
  <c r="E4" i="19"/>
  <c r="AE24" i="29"/>
  <c r="AE23" i="29"/>
  <c r="AE22" i="29"/>
  <c r="AE21" i="29"/>
  <c r="AE20" i="29"/>
  <c r="AE19" i="29"/>
  <c r="AE18" i="29"/>
  <c r="AE17" i="29"/>
  <c r="AE16" i="29"/>
  <c r="AE15" i="29"/>
  <c r="D55" i="29"/>
  <c r="H62" i="29"/>
  <c r="H63" i="29"/>
  <c r="H64" i="29"/>
  <c r="H65" i="29"/>
  <c r="H66" i="29"/>
  <c r="H61" i="29"/>
  <c r="H60" i="29"/>
  <c r="H59" i="29"/>
  <c r="H58" i="29"/>
  <c r="H57" i="29"/>
  <c r="D58" i="29"/>
  <c r="AC27" i="29" s="1"/>
  <c r="D57" i="29"/>
  <c r="S69" i="29" s="1"/>
  <c r="D56" i="29"/>
  <c r="M27" i="29" s="1"/>
  <c r="D16" i="29"/>
  <c r="D15" i="29"/>
  <c r="S27" i="29" s="1"/>
  <c r="D14" i="29"/>
  <c r="D64" i="29"/>
  <c r="Q58" i="29" s="1"/>
  <c r="D65" i="29"/>
  <c r="Q59" i="29" s="1"/>
  <c r="D66" i="29"/>
  <c r="Q60" i="29" s="1"/>
  <c r="D67" i="29"/>
  <c r="Q61" i="29" s="1"/>
  <c r="D68" i="29"/>
  <c r="Q62" i="29" s="1"/>
  <c r="D69" i="29"/>
  <c r="Q63" i="29" s="1"/>
  <c r="D70" i="29"/>
  <c r="Q64" i="29" s="1"/>
  <c r="D71" i="29"/>
  <c r="Q65" i="29" s="1"/>
  <c r="D72" i="29"/>
  <c r="Q66" i="29" s="1"/>
  <c r="D63" i="29"/>
  <c r="Q57" i="29" s="1"/>
  <c r="C65" i="29"/>
  <c r="M59" i="29" s="1"/>
  <c r="B64" i="29"/>
  <c r="B65" i="29"/>
  <c r="B66" i="29"/>
  <c r="B67" i="29"/>
  <c r="B68" i="29"/>
  <c r="B69" i="29"/>
  <c r="B70" i="29"/>
  <c r="B71" i="29"/>
  <c r="B72" i="29"/>
  <c r="B63" i="29"/>
  <c r="D4" i="29"/>
  <c r="M5" i="29" s="1"/>
  <c r="D5" i="29"/>
  <c r="AB5" i="29" s="1"/>
  <c r="D6" i="29"/>
  <c r="M6" i="29" s="1"/>
  <c r="D7" i="29"/>
  <c r="AB6" i="29" s="1"/>
  <c r="D8" i="29"/>
  <c r="M8" i="29" s="1"/>
  <c r="D9" i="29"/>
  <c r="O9" i="29" s="1"/>
  <c r="D10" i="29"/>
  <c r="AC9" i="29" s="1"/>
  <c r="D11" i="29"/>
  <c r="O10" i="29" s="1"/>
  <c r="D12" i="29"/>
  <c r="AC10" i="29" s="1"/>
  <c r="D13" i="29"/>
  <c r="B21" i="29"/>
  <c r="H15" i="29" s="1"/>
  <c r="D21" i="29"/>
  <c r="Q15" i="29" s="1"/>
  <c r="B22" i="29"/>
  <c r="H16" i="29" s="1"/>
  <c r="D22" i="29"/>
  <c r="Q16" i="29" s="1"/>
  <c r="B23" i="29"/>
  <c r="H17" i="29" s="1"/>
  <c r="C23" i="29"/>
  <c r="M17" i="29" s="1"/>
  <c r="D23" i="29"/>
  <c r="Q17" i="29" s="1"/>
  <c r="B24" i="29"/>
  <c r="H18" i="29" s="1"/>
  <c r="D24" i="29"/>
  <c r="Q18" i="29" s="1"/>
  <c r="B25" i="29"/>
  <c r="H19" i="29" s="1"/>
  <c r="D25" i="29"/>
  <c r="Q19" i="29" s="1"/>
  <c r="B26" i="29"/>
  <c r="H20" i="29" s="1"/>
  <c r="D26" i="29"/>
  <c r="Q20" i="29" s="1"/>
  <c r="B27" i="29"/>
  <c r="H21" i="29" s="1"/>
  <c r="D27" i="29"/>
  <c r="Q21" i="29" s="1"/>
  <c r="B28" i="29"/>
  <c r="H22" i="29" s="1"/>
  <c r="D28" i="29"/>
  <c r="Q22" i="29" s="1"/>
  <c r="B29" i="29"/>
  <c r="H23" i="29" s="1"/>
  <c r="D29" i="29"/>
  <c r="Q23" i="29" s="1"/>
  <c r="B30" i="29"/>
  <c r="H24" i="29" s="1"/>
  <c r="D30" i="29"/>
  <c r="Q24" i="29" s="1"/>
  <c r="D54" i="29"/>
  <c r="AC52" i="29" s="1"/>
  <c r="D53" i="29"/>
  <c r="O52" i="29" s="1"/>
  <c r="D52" i="29"/>
  <c r="AC51" i="29" s="1"/>
  <c r="D51" i="29"/>
  <c r="O51" i="29" s="1"/>
  <c r="D50" i="29"/>
  <c r="M50" i="29" s="1"/>
  <c r="D49" i="29"/>
  <c r="AB48" i="29" s="1"/>
  <c r="D48" i="29"/>
  <c r="Z73" i="29" s="1"/>
  <c r="D47" i="29"/>
  <c r="AB47" i="29" s="1"/>
  <c r="D46" i="29"/>
  <c r="M47" i="29" s="1"/>
  <c r="BV2" i="33"/>
  <c r="BX2" i="33"/>
  <c r="BY3" i="33"/>
  <c r="F38" i="7"/>
  <c r="C29" i="29" s="1"/>
  <c r="M23" i="29" s="1"/>
  <c r="F39" i="7"/>
  <c r="C69" i="29" s="1"/>
  <c r="M63" i="29" s="1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C21" i="18"/>
  <c r="AC69" i="29" l="1"/>
  <c r="C64" i="29"/>
  <c r="M58" i="29" s="1"/>
  <c r="C21" i="29"/>
  <c r="M15" i="29" s="1"/>
  <c r="C22" i="29"/>
  <c r="M16" i="29" s="1"/>
  <c r="C28" i="29"/>
  <c r="M22" i="29" s="1"/>
  <c r="C27" i="29"/>
  <c r="M21" i="29" s="1"/>
  <c r="C63" i="29"/>
  <c r="M57" i="29" s="1"/>
  <c r="C71" i="29"/>
  <c r="M65" i="29" s="1"/>
  <c r="C68" i="29"/>
  <c r="M62" i="29" s="1"/>
  <c r="C67" i="29"/>
  <c r="M61" i="29" s="1"/>
  <c r="C66" i="29"/>
  <c r="M60" i="29" s="1"/>
  <c r="M69" i="29"/>
  <c r="M48" i="29"/>
  <c r="C26" i="29"/>
  <c r="M20" i="29" s="1"/>
  <c r="C25" i="29"/>
  <c r="M19" i="29" s="1"/>
  <c r="C30" i="29"/>
  <c r="M24" i="29" s="1"/>
  <c r="C72" i="29"/>
  <c r="M66" i="29" s="1"/>
  <c r="C24" i="29"/>
  <c r="M18" i="29" s="1"/>
  <c r="C70" i="29"/>
  <c r="M64" i="29" s="1"/>
  <c r="Z31" i="29"/>
  <c r="BX3" i="33"/>
  <c r="CA3" i="33" s="1"/>
  <c r="Y23" i="33"/>
  <c r="BZ3" i="33" l="1"/>
  <c r="Q18" i="31" l="1"/>
  <c r="AE18" i="31"/>
  <c r="M19" i="31"/>
  <c r="M20" i="31"/>
  <c r="M21" i="31"/>
  <c r="M22" i="31"/>
  <c r="M23" i="31"/>
  <c r="M24" i="31"/>
  <c r="M25" i="31"/>
  <c r="M18" i="31"/>
  <c r="H19" i="31"/>
  <c r="H20" i="31"/>
  <c r="H21" i="31"/>
  <c r="H22" i="31"/>
  <c r="H23" i="31"/>
  <c r="H24" i="31"/>
  <c r="H25" i="31"/>
  <c r="H18" i="31"/>
  <c r="AC13" i="31"/>
  <c r="O13" i="31"/>
  <c r="AC12" i="31"/>
  <c r="O12" i="31"/>
  <c r="M11" i="31"/>
  <c r="AB9" i="31"/>
  <c r="M9" i="31"/>
  <c r="AB8" i="31"/>
  <c r="M8" i="31"/>
  <c r="V14" i="24"/>
  <c r="W3" i="24"/>
  <c r="W4" i="24"/>
  <c r="W5" i="24"/>
  <c r="W6" i="24"/>
  <c r="W7" i="24"/>
  <c r="W8" i="24"/>
  <c r="W9" i="24"/>
  <c r="W10" i="24"/>
  <c r="W11" i="24"/>
  <c r="W12" i="24"/>
  <c r="W13" i="24"/>
  <c r="W14" i="24"/>
  <c r="W15" i="24"/>
  <c r="W16" i="24"/>
  <c r="W17" i="24"/>
  <c r="V4" i="24"/>
  <c r="V5" i="24"/>
  <c r="V6" i="24"/>
  <c r="V7" i="24"/>
  <c r="V8" i="24"/>
  <c r="V9" i="24"/>
  <c r="V10" i="24"/>
  <c r="V11" i="24"/>
  <c r="V12" i="24"/>
  <c r="V13" i="24"/>
  <c r="V15" i="24"/>
  <c r="V16" i="24"/>
  <c r="V17" i="24"/>
  <c r="V3" i="24"/>
  <c r="U4" i="24"/>
  <c r="U5" i="24"/>
  <c r="U6" i="24"/>
  <c r="U7" i="24"/>
  <c r="U8" i="24"/>
  <c r="U9" i="24"/>
  <c r="U10" i="24"/>
  <c r="U11" i="24"/>
  <c r="U12" i="24"/>
  <c r="U13" i="24"/>
  <c r="U14" i="24"/>
  <c r="U15" i="24"/>
  <c r="U16" i="24"/>
  <c r="U17" i="24"/>
  <c r="U3" i="24"/>
  <c r="T4" i="24"/>
  <c r="T5" i="24"/>
  <c r="T6" i="24"/>
  <c r="T7" i="24"/>
  <c r="T8" i="24"/>
  <c r="T9" i="24"/>
  <c r="T10" i="24"/>
  <c r="T11" i="24"/>
  <c r="T12" i="24"/>
  <c r="T13" i="24"/>
  <c r="T14" i="24"/>
  <c r="T15" i="24"/>
  <c r="T16" i="24"/>
  <c r="T17" i="24"/>
  <c r="T3" i="24"/>
  <c r="S5" i="24"/>
  <c r="S4" i="24"/>
  <c r="S6" i="24"/>
  <c r="S7" i="24"/>
  <c r="S8" i="24"/>
  <c r="S9" i="24"/>
  <c r="S10" i="24"/>
  <c r="S11" i="24"/>
  <c r="S12" i="24"/>
  <c r="S13" i="24"/>
  <c r="S14" i="24"/>
  <c r="S15" i="24"/>
  <c r="S16" i="24"/>
  <c r="S17" i="24"/>
  <c r="S3" i="24"/>
  <c r="R3" i="24"/>
  <c r="R6" i="24"/>
  <c r="R7" i="24"/>
  <c r="R9" i="24"/>
  <c r="R10" i="24"/>
  <c r="R13" i="24"/>
  <c r="R14" i="24"/>
  <c r="R15" i="24"/>
  <c r="R16" i="24"/>
  <c r="R4" i="24"/>
  <c r="R5" i="24"/>
  <c r="R8" i="24"/>
  <c r="R11" i="24"/>
  <c r="R12" i="24"/>
  <c r="R17" i="24"/>
  <c r="C9" i="11" l="1"/>
  <c r="C6" i="11"/>
  <c r="C7" i="11"/>
  <c r="C8" i="11"/>
  <c r="C10" i="11"/>
  <c r="D34" i="10"/>
  <c r="D31" i="10"/>
  <c r="D28" i="10"/>
  <c r="D25" i="10"/>
  <c r="D22" i="10"/>
  <c r="D19" i="10"/>
  <c r="D16" i="10"/>
  <c r="D13" i="10"/>
  <c r="C5" i="11"/>
  <c r="C4" i="11"/>
  <c r="C3" i="11"/>
  <c r="C5" i="10"/>
  <c r="C6" i="10"/>
  <c r="C7" i="10"/>
  <c r="C8" i="10"/>
  <c r="C9" i="10"/>
  <c r="C4" i="10"/>
  <c r="C5" i="9"/>
  <c r="C6" i="9"/>
  <c r="C7" i="9"/>
  <c r="C8" i="9"/>
  <c r="C9" i="9"/>
  <c r="C4" i="9"/>
  <c r="C3" i="10"/>
  <c r="C3" i="9"/>
  <c r="CA2" i="33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<sst xmlns="http://schemas.openxmlformats.org/spreadsheetml/2006/main" count="1666" uniqueCount="1000">
  <si>
    <t>참여기업 및 일경험정보</t>
  </si>
  <si>
    <t>사업장명</t>
  </si>
  <si>
    <t>대표자명</t>
  </si>
  <si>
    <t>홍길동</t>
  </si>
  <si>
    <t>사업자등록번호
(법인번호)</t>
  </si>
  <si>
    <t>111-11-11111</t>
  </si>
  <si>
    <t>고용보험 사업장 
관리번호</t>
  </si>
  <si>
    <t>222-22-22222-2</t>
  </si>
  <si>
    <t>연락처</t>
  </si>
  <si>
    <t>051)111-1111</t>
  </si>
  <si>
    <t>소재지</t>
  </si>
  <si>
    <t>부산</t>
  </si>
  <si>
    <t xml:space="preserve">기업구분 </t>
  </si>
  <si>
    <t>중소기업</t>
  </si>
  <si>
    <t>중소기업일때만체크</t>
  </si>
  <si>
    <t>회사 소개 및 
주요사업</t>
  </si>
  <si>
    <t>디자인</t>
  </si>
  <si>
    <t>담당부서</t>
  </si>
  <si>
    <t>경영지원</t>
  </si>
  <si>
    <t>담당자명</t>
  </si>
  <si>
    <t>이메일</t>
  </si>
  <si>
    <t>abc@hanmail.com</t>
  </si>
  <si>
    <t>없음</t>
  </si>
  <si>
    <t>자격내용1</t>
  </si>
  <si>
    <t>참여기업 담당자</t>
  </si>
  <si>
    <t>참여기업 직위</t>
  </si>
  <si>
    <t>프로</t>
  </si>
  <si>
    <t>참여기업 부서명</t>
  </si>
  <si>
    <t>마케팅팀</t>
  </si>
  <si>
    <t>참여기업 연락처</t>
  </si>
  <si>
    <t>010-0000-0000</t>
  </si>
  <si>
    <t>참여기업 이메일</t>
  </si>
  <si>
    <t>work@kseta.or.kr</t>
  </si>
  <si>
    <t>멘토 명</t>
  </si>
  <si>
    <t>멘토 부서명</t>
  </si>
  <si>
    <t>연구 1팀</t>
  </si>
  <si>
    <t>멘토 직위</t>
  </si>
  <si>
    <t>멘토 연락처</t>
  </si>
  <si>
    <t>멘토 이메일</t>
  </si>
  <si>
    <t>IT</t>
  </si>
  <si>
    <t>참여자 근무부서</t>
  </si>
  <si>
    <t>개발팀</t>
  </si>
  <si>
    <t>소프트웨어 개발 업무에 대한 전반적인 기초 능력 배양 및 현업에 대한 경험</t>
  </si>
  <si>
    <t>참여기업</t>
  </si>
  <si>
    <t xml:space="preserve">1주차 </t>
  </si>
  <si>
    <t>모바일 앱 개발 기초와 필수 도구 소개</t>
  </si>
  <si>
    <t xml:space="preserve">2주차 </t>
  </si>
  <si>
    <t>앱 화면 설계 및 사용자 경험(UX) 기초</t>
  </si>
  <si>
    <t xml:space="preserve">3주차 </t>
  </si>
  <si>
    <t>앱 레이아웃 구성 – XML 및 기본 위젯 활용</t>
  </si>
  <si>
    <t xml:space="preserve">4주차 </t>
  </si>
  <si>
    <t>사용자 인터랙션 추가 – 이벤트 및 터치 기능</t>
  </si>
  <si>
    <t xml:space="preserve">5주차 </t>
  </si>
  <si>
    <t>데이터 저장 및 관리 – SQLite와 로컬 데이터</t>
  </si>
  <si>
    <t xml:space="preserve">6주차 </t>
  </si>
  <si>
    <t>네트워크 통신 – API 활용 및 데이터 연동</t>
  </si>
  <si>
    <t xml:space="preserve">7주차 </t>
  </si>
  <si>
    <t>앱 성능 최적화와 디버깅</t>
  </si>
  <si>
    <t xml:space="preserve">8주차 </t>
  </si>
  <si>
    <t>앱 배포 및 유지 관리 전략</t>
  </si>
  <si>
    <t>참여기업 및 멘토정보</t>
  </si>
  <si>
    <t>일경험 기간</t>
  </si>
  <si>
    <t>면담날짜는 매주 특정한 요일을 정한 뒤 진행해주시면 됩니다.</t>
  </si>
  <si>
    <t xml:space="preserve">면담내용은 참여자와 프로젝트 및 업무 관련 또는 회사를 지내면서 불편한 점, 개선 사항 등을 면담 후 적어주시면 됩니다. </t>
  </si>
  <si>
    <t>멘토면담일지</t>
  </si>
  <si>
    <t>면담날짜</t>
  </si>
  <si>
    <t>면담내용</t>
  </si>
  <si>
    <t>면담내용 : 
조치사항:
문의 및 건의사항 :</t>
  </si>
  <si>
    <t>종합보고서는 참여자 분이 작성해주시면 됩니다.</t>
  </si>
  <si>
    <t>종합보고서</t>
  </si>
  <si>
    <t>프로그램 내용</t>
  </si>
  <si>
    <t>실무이행 내용</t>
  </si>
  <si>
    <t>느낀점</t>
  </si>
  <si>
    <t>참여기업 담당자가 작성</t>
  </si>
  <si>
    <t>중감점검 일지</t>
  </si>
  <si>
    <t>청년
요청 사항</t>
  </si>
  <si>
    <t>프로젝트
진행현황</t>
  </si>
  <si>
    <t>피드백 내용</t>
  </si>
  <si>
    <t xml:space="preserve">         로우
인덱스</t>
    <phoneticPr fontId="17" type="noConversion"/>
  </si>
  <si>
    <r>
      <rPr>
        <sz val="13"/>
        <color theme="1"/>
        <rFont val="맑은 고딕"/>
        <family val="2"/>
        <charset val="129"/>
      </rPr>
      <t>면담내용</t>
    </r>
    <r>
      <rPr>
        <sz val="13"/>
        <color theme="1"/>
        <rFont val="Arial"/>
        <family val="2"/>
        <scheme val="minor"/>
      </rPr>
      <t xml:space="preserve"> : 
</t>
    </r>
    <r>
      <rPr>
        <sz val="13"/>
        <color theme="1"/>
        <rFont val="맑은 고딕"/>
        <family val="2"/>
        <charset val="129"/>
      </rPr>
      <t>조치사항</t>
    </r>
    <r>
      <rPr>
        <sz val="13"/>
        <color theme="1"/>
        <rFont val="Arial"/>
        <family val="2"/>
        <scheme val="minor"/>
      </rPr>
      <t xml:space="preserve">:
</t>
    </r>
    <r>
      <rPr>
        <sz val="13"/>
        <color theme="1"/>
        <rFont val="맑은 고딕"/>
        <family val="2"/>
        <charset val="129"/>
      </rPr>
      <t>문의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및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맑은 고딕"/>
        <family val="2"/>
        <charset val="129"/>
      </rPr>
      <t>건의사항</t>
    </r>
    <r>
      <rPr>
        <sz val="13"/>
        <color theme="1"/>
        <rFont val="Arial"/>
        <family val="2"/>
        <scheme val="minor"/>
      </rPr>
      <t xml:space="preserve"> :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</si>
  <si>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</si>
  <si>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</si>
  <si>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</si>
  <si>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</si>
  <si>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</si>
  <si>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</si>
  <si>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</si>
  <si>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</si>
  <si>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</si>
  <si>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</si>
  <si>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</si>
  <si>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</si>
  <si>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</si>
  <si>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</si>
  <si>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</si>
  <si>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</si>
  <si>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</si>
  <si>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</si>
  <si>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</si>
  <si>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6" type="noConversion"/>
  </si>
  <si>
    <t>111-2222</t>
    <phoneticPr fontId="16" type="noConversion"/>
  </si>
  <si>
    <t>www.example.com</t>
    <phoneticPr fontId="16" type="noConversion"/>
  </si>
  <si>
    <t>010-111-2222</t>
    <phoneticPr fontId="16" type="noConversion"/>
  </si>
  <si>
    <t>www.example2.com</t>
    <phoneticPr fontId="16" type="noConversion"/>
  </si>
  <si>
    <t>2024.11.18 ~ 2025.01.10</t>
    <phoneticPr fontId="16" type="noConversion"/>
  </si>
  <si>
    <t>2024.11.18 ~ 2025.01.10</t>
    <phoneticPr fontId="16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</si>
  <si>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</si>
  <si>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6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</si>
  <si>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</si>
  <si>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</si>
  <si>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</si>
  <si>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</si>
  <si>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</si>
  <si>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6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</si>
  <si>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</si>
  <si>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</si>
  <si>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</si>
  <si>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</si>
  <si>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</si>
  <si>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</si>
  <si>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</si>
  <si>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6" type="noConversion"/>
  </si>
  <si>
    <t>111-222-3333</t>
    <phoneticPr fontId="16" type="noConversion"/>
  </si>
  <si>
    <r>
      <t>(</t>
    </r>
    <r>
      <rPr>
        <sz val="12"/>
        <color theme="1"/>
        <rFont val="Arial"/>
        <family val="2"/>
        <charset val="129"/>
        <scheme val="major"/>
      </rPr>
      <t>주</t>
    </r>
    <r>
      <rPr>
        <sz val="12"/>
        <color theme="1"/>
        <rFont val="Arial"/>
        <family val="2"/>
        <scheme val="major"/>
      </rPr>
      <t>)</t>
    </r>
    <r>
      <rPr>
        <sz val="12"/>
        <color theme="1"/>
        <rFont val="Arial"/>
        <family val="2"/>
        <charset val="129"/>
        <scheme val="major"/>
      </rPr>
      <t>소연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</si>
  <si>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주된업종</t>
    </r>
    <phoneticPr fontId="16" type="noConversion"/>
  </si>
  <si>
    <r>
      <rPr>
        <sz val="12"/>
        <color theme="1"/>
        <rFont val="Arial"/>
        <family val="2"/>
        <charset val="129"/>
        <scheme val="major"/>
      </rPr>
      <t>주된업종</t>
    </r>
    <r>
      <rPr>
        <sz val="12"/>
        <color theme="1"/>
        <rFont val="Arial"/>
        <family val="2"/>
        <scheme val="major"/>
      </rPr>
      <t>1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</si>
  <si>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고용보험피보험자수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</si>
  <si>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ajor"/>
      </rPr>
      <t>명</t>
    </r>
    <phoneticPr fontId="16" type="noConversion"/>
  </si>
  <si>
    <r>
      <rPr>
        <b/>
        <sz val="14"/>
        <color theme="1"/>
        <rFont val="Arial"/>
        <family val="2"/>
        <charset val="129"/>
        <scheme val="major"/>
      </rPr>
      <t>전화번호</t>
    </r>
    <phoneticPr fontId="16" type="noConversion"/>
  </si>
  <si>
    <r>
      <t>0000</t>
    </r>
    <r>
      <rPr>
        <b/>
        <sz val="14"/>
        <color theme="1"/>
        <rFont val="Arial"/>
        <family val="2"/>
        <charset val="129"/>
        <scheme val="major"/>
      </rPr>
      <t>년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월</t>
    </r>
    <r>
      <rPr>
        <b/>
        <sz val="14"/>
        <color theme="1"/>
        <rFont val="Arial"/>
        <family val="2"/>
        <scheme val="major"/>
      </rPr>
      <t>00</t>
    </r>
    <r>
      <rPr>
        <b/>
        <sz val="14"/>
        <color theme="1"/>
        <rFont val="Arial"/>
        <family val="2"/>
        <charset val="129"/>
        <scheme val="major"/>
      </rPr>
      <t>일</t>
    </r>
    <phoneticPr fontId="16" type="noConversion"/>
  </si>
  <si>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지원사업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참여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의향서</t>
    </r>
    <phoneticPr fontId="16" type="noConversion"/>
  </si>
  <si>
    <t>000-111-2222</t>
    <phoneticPr fontId="16" type="noConversion"/>
  </si>
  <si>
    <t>010-0000-0000</t>
    <phoneticPr fontId="16" type="noConversion"/>
  </si>
  <si>
    <r>
      <rPr>
        <sz val="13"/>
        <color theme="1"/>
        <rFont val="Arial"/>
        <family val="2"/>
        <charset val="129"/>
        <scheme val="minor"/>
      </rPr>
      <t>참여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기업명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</si>
  <si>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</si>
  <si>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참여프로그램입니다</t>
    </r>
    <r>
      <rPr>
        <sz val="13"/>
        <color theme="1"/>
        <rFont val="Arial"/>
        <family val="2"/>
        <scheme val="minor"/>
      </rPr>
      <t>.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</si>
  <si>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담당자부서</t>
    </r>
    <phoneticPr fontId="16" type="noConversion"/>
  </si>
  <si>
    <r>
      <t>00</t>
    </r>
    <r>
      <rPr>
        <sz val="13"/>
        <color theme="1"/>
        <rFont val="Arial"/>
        <family val="2"/>
        <charset val="129"/>
        <scheme val="minor"/>
      </rPr>
      <t>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부</t>
    </r>
    <r>
      <rPr>
        <sz val="13"/>
        <color theme="1"/>
        <rFont val="Arial"/>
        <family val="2"/>
        <scheme val="minor"/>
      </rPr>
      <t>/00</t>
    </r>
    <r>
      <rPr>
        <sz val="13"/>
        <color theme="1"/>
        <rFont val="Arial"/>
        <family val="2"/>
        <charset val="129"/>
        <scheme val="minor"/>
      </rPr>
      <t>실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</si>
  <si>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차장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</si>
  <si>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</si>
  <si>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담당자연락처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</si>
  <si>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작성날짜</t>
    </r>
    <phoneticPr fontId="16" type="noConversion"/>
  </si>
  <si>
    <r>
      <t>8</t>
    </r>
    <r>
      <rPr>
        <sz val="13"/>
        <color theme="1"/>
        <rFont val="Arial"/>
        <family val="2"/>
        <charset val="129"/>
        <scheme val="minor"/>
      </rPr>
      <t>월</t>
    </r>
    <r>
      <rPr>
        <sz val="13"/>
        <color theme="1"/>
        <rFont val="Arial"/>
        <family val="2"/>
        <scheme val="minor"/>
      </rPr>
      <t xml:space="preserve"> 1</t>
    </r>
    <r>
      <rPr>
        <sz val="13"/>
        <color theme="1"/>
        <rFont val="Arial"/>
        <family val="2"/>
        <charset val="129"/>
        <scheme val="minor"/>
      </rPr>
      <t>일</t>
    </r>
    <phoneticPr fontId="16" type="noConversion"/>
  </si>
  <si>
    <t>102. 사전직무교육 운영 계획서</t>
    <phoneticPr fontId="16" type="noConversion"/>
  </si>
  <si>
    <t>108. 일경험 운영 계획서</t>
    <phoneticPr fontId="16" type="noConversion"/>
  </si>
  <si>
    <t>42. 청년 일경험 지원사업 기업 참여 의향서</t>
    <phoneticPr fontId="16" type="noConversion"/>
  </si>
  <si>
    <t>24.08.14 ~ 24.08.28</t>
    <phoneticPr fontId="16" type="noConversion"/>
  </si>
  <si>
    <t>이름</t>
    <phoneticPr fontId="16" type="noConversion"/>
  </si>
  <si>
    <t>생년월일</t>
    <phoneticPr fontId="16" type="noConversion"/>
  </si>
  <si>
    <t>성별</t>
    <phoneticPr fontId="16" type="noConversion"/>
  </si>
  <si>
    <t>연락처</t>
    <phoneticPr fontId="16" type="noConversion"/>
  </si>
  <si>
    <r>
      <rPr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</si>
  <si>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</si>
  <si>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직무</t>
    </r>
    <r>
      <rPr>
        <sz val="13"/>
        <color theme="1"/>
        <rFont val="Arial"/>
        <family val="2"/>
        <scheme val="minor"/>
      </rPr>
      <t>1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</si>
  <si>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한국무선인터넷솔루션협회</t>
    </r>
    <phoneticPr fontId="16" type="noConversion"/>
  </si>
  <si>
    <r>
      <t>00</t>
    </r>
    <r>
      <rPr>
        <sz val="13"/>
        <color theme="1"/>
        <rFont val="Arial"/>
        <family val="3"/>
        <charset val="129"/>
        <scheme val="minor"/>
      </rPr>
      <t>명</t>
    </r>
    <phoneticPr fontId="16" type="noConversion"/>
  </si>
  <si>
    <r>
      <rPr>
        <sz val="13"/>
        <color theme="1"/>
        <rFont val="Arial"/>
        <family val="2"/>
        <charset val="129"/>
        <scheme val="minor"/>
      </rPr>
      <t>교육명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</si>
  <si>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주요내용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</si>
  <si>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6" type="noConversion"/>
  </si>
  <si>
    <t>홍길동</t>
    <phoneticPr fontId="16" type="noConversion"/>
  </si>
  <si>
    <t>작성날짜</t>
    <phoneticPr fontId="17" type="noConversion"/>
  </si>
  <si>
    <t>특이사항 기재</t>
  </si>
  <si>
    <t>순번</t>
  </si>
  <si>
    <t>프로그램명</t>
  </si>
  <si>
    <t>성명</t>
  </si>
  <si>
    <t>주민등록번호</t>
    <phoneticPr fontId="17" type="noConversion"/>
  </si>
  <si>
    <t>연락처</t>
    <phoneticPr fontId="17" type="noConversion"/>
  </si>
  <si>
    <t>이메일</t>
    <phoneticPr fontId="17" type="noConversion"/>
  </si>
  <si>
    <t>학년</t>
  </si>
  <si>
    <t>최종학교명</t>
    <phoneticPr fontId="17" type="noConversion"/>
  </si>
  <si>
    <t>최종학과</t>
  </si>
  <si>
    <t>주소</t>
    <phoneticPr fontId="17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</si>
  <si>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</si>
  <si>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</si>
  <si>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</si>
  <si>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</si>
  <si>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</si>
  <si>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</si>
  <si>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7" type="noConversion"/>
  </si>
  <si>
    <t>지역</t>
  </si>
  <si>
    <t>졸업</t>
    <phoneticPr fontId="17" type="noConversion"/>
  </si>
  <si>
    <t>국민은행</t>
  </si>
  <si>
    <t>참여자명단</t>
    <phoneticPr fontId="16" type="noConversion"/>
  </si>
  <si>
    <t>참고용</t>
    <phoneticPr fontId="16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</si>
  <si>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7" type="noConversion"/>
  </si>
  <si>
    <r>
      <t>00</t>
    </r>
    <r>
      <rPr>
        <sz val="13"/>
        <color theme="1"/>
        <rFont val="Arial"/>
        <family val="2"/>
        <charset val="129"/>
        <scheme val="minor"/>
      </rPr>
      <t>광역시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구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Arial"/>
        <family val="2"/>
        <charset val="129"/>
        <scheme val="minor"/>
      </rPr>
      <t>로</t>
    </r>
    <r>
      <rPr>
        <sz val="13"/>
        <color theme="1"/>
        <rFont val="Arial"/>
        <family val="2"/>
        <scheme val="minor"/>
      </rPr>
      <t xml:space="preserve"> 123-5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</si>
  <si>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6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</si>
  <si>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</si>
  <si>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</si>
  <si>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참여신청서</t>
    </r>
    <phoneticPr fontId="16" type="noConversion"/>
  </si>
  <si>
    <t>성명</t>
    <phoneticPr fontId="16" type="noConversion"/>
  </si>
  <si>
    <t>주민등록번호</t>
    <phoneticPr fontId="16" type="noConversion"/>
  </si>
  <si>
    <t>주소</t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</si>
  <si>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이메일</t>
    </r>
    <phoneticPr fontId="16" type="noConversion"/>
  </si>
  <si>
    <r>
      <rPr>
        <sz val="13"/>
        <color theme="1"/>
        <rFont val="맑은 고딕"/>
        <family val="3"/>
        <charset val="129"/>
      </rPr>
      <t>연락처</t>
    </r>
    <r>
      <rPr>
        <sz val="13"/>
        <color theme="1"/>
        <rFont val="Arial"/>
        <family val="3"/>
      </rPr>
      <t>_</t>
    </r>
    <r>
      <rPr>
        <sz val="13"/>
        <color theme="1"/>
        <rFont val="맑은 고딕"/>
        <family val="3"/>
        <charset val="129"/>
      </rPr>
      <t>휴대폰</t>
    </r>
    <phoneticPr fontId="16" type="noConversion"/>
  </si>
  <si>
    <t>최종학력구분</t>
    <phoneticPr fontId="16" type="noConversion"/>
  </si>
  <si>
    <t>학년</t>
    <phoneticPr fontId="16" type="noConversion"/>
  </si>
  <si>
    <t>최종학력상태</t>
    <phoneticPr fontId="16" type="noConversion"/>
  </si>
  <si>
    <t>최종학교명</t>
    <phoneticPr fontId="16" type="noConversion"/>
  </si>
  <si>
    <t>최종학과</t>
    <phoneticPr fontId="16" type="noConversion"/>
  </si>
  <si>
    <t>동의대학교</t>
    <phoneticPr fontId="16" type="noConversion"/>
  </si>
  <si>
    <t>일본어학과</t>
    <phoneticPr fontId="16" type="noConversion"/>
  </si>
  <si>
    <t>123412-1212221</t>
    <phoneticPr fontId="16" type="noConversion"/>
  </si>
  <si>
    <t>010-1233-1223</t>
    <phoneticPr fontId="16" type="noConversion"/>
  </si>
  <si>
    <t>example@nate.com</t>
    <phoneticPr fontId="16" type="noConversion"/>
  </si>
  <si>
    <t>최종학력구분</t>
    <phoneticPr fontId="16" type="noConversion"/>
  </si>
  <si>
    <r>
      <rPr>
        <sz val="10"/>
        <color rgb="FF000000"/>
        <rFont val="맑은 고딕"/>
        <family val="3"/>
        <charset val="129"/>
      </rPr>
      <t>대학교</t>
    </r>
    <r>
      <rPr>
        <sz val="10"/>
        <color rgb="FF000000"/>
        <rFont val="Arial"/>
        <family val="3"/>
      </rPr>
      <t>_4</t>
    </r>
    <r>
      <rPr>
        <sz val="10"/>
        <color rgb="FF000000"/>
        <rFont val="맑은 고딕"/>
        <family val="3"/>
        <charset val="129"/>
      </rPr>
      <t>년제</t>
    </r>
    <phoneticPr fontId="17" type="noConversion"/>
  </si>
  <si>
    <t>작성날짜</t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</si>
  <si>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  <scheme val="minor"/>
      </rPr>
      <t xml:space="preserve"> 01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  <scheme val="minor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</si>
  <si>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rPr>
        <b/>
        <sz val="20"/>
        <color theme="1"/>
        <rFont val="Malgun Gothic"/>
        <family val="3"/>
        <charset val="129"/>
      </rPr>
      <t>개인정보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활용에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관한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동의서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</si>
  <si>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청년용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확인서</t>
    </r>
    <phoneticPr fontId="16" type="noConversion"/>
  </si>
  <si>
    <t>일경험기간시작일</t>
    <phoneticPr fontId="16" type="noConversion"/>
  </si>
  <si>
    <t>일경험기간종료일</t>
    <phoneticPr fontId="16" type="noConversion"/>
  </si>
  <si>
    <t>주업무</t>
    <phoneticPr fontId="16" type="noConversion"/>
  </si>
  <si>
    <t>콘텐츠 마케팅</t>
    <phoneticPr fontId="16" type="noConversion"/>
  </si>
  <si>
    <t>부산광역시 금정구</t>
    <phoneticPr fontId="16" type="noConversion"/>
  </si>
  <si>
    <t>계좌번호</t>
    <phoneticPr fontId="16" type="noConversion"/>
  </si>
  <si>
    <r>
      <t>1234-12-123243424(</t>
    </r>
    <r>
      <rPr>
        <sz val="13"/>
        <color theme="1"/>
        <rFont val="Arial Unicode MS"/>
        <family val="2"/>
        <charset val="129"/>
      </rPr>
      <t>이름)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</si>
  <si>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09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</si>
  <si>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r>
      <t>2024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2"/>
      </rPr>
      <t xml:space="preserve"> 11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2"/>
      </rPr>
      <t xml:space="preserve"> 00</t>
    </r>
    <r>
      <rPr>
        <sz val="13"/>
        <color theme="1"/>
        <rFont val="맑은 고딕"/>
        <family val="3"/>
        <charset val="129"/>
      </rPr>
      <t>일</t>
    </r>
    <phoneticPr fontId="16" type="noConversion"/>
  </si>
  <si>
    <t>참여인원</t>
    <phoneticPr fontId="16" type="noConversion"/>
  </si>
  <si>
    <r>
      <t>00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</si>
  <si>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r>
      <rPr>
        <sz val="13"/>
        <color theme="1"/>
        <rFont val="맑은 고딕"/>
        <family val="3"/>
        <charset val="129"/>
      </rPr>
      <t>프로그램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프로젝트</t>
    </r>
    <r>
      <rPr>
        <sz val="13"/>
        <color theme="1"/>
        <rFont val="Arial"/>
        <family val="2"/>
        <scheme val="minor"/>
      </rPr>
      <t>)</t>
    </r>
    <r>
      <rPr>
        <sz val="13"/>
        <color theme="1"/>
        <rFont val="맑은 고딕"/>
        <family val="3"/>
        <charset val="129"/>
      </rPr>
      <t>명</t>
    </r>
    <phoneticPr fontId="16" type="noConversion"/>
  </si>
  <si>
    <t>직무분야</t>
    <phoneticPr fontId="16" type="noConversion"/>
  </si>
  <si>
    <t>운영기관명</t>
    <phoneticPr fontId="16" type="noConversion"/>
  </si>
  <si>
    <t>직무교육명</t>
    <phoneticPr fontId="16" type="noConversion"/>
  </si>
  <si>
    <t>교육주요내용</t>
    <phoneticPr fontId="16" type="noConversion"/>
  </si>
  <si>
    <r>
      <rPr>
        <sz val="13"/>
        <color theme="1"/>
        <rFont val="맑은 고딕"/>
        <family val="3"/>
        <charset val="129"/>
      </rPr>
      <t>장소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맑은 고딕"/>
        <family val="3"/>
        <charset val="129"/>
      </rPr>
      <t>소재지</t>
    </r>
    <r>
      <rPr>
        <sz val="13"/>
        <color theme="1"/>
        <rFont val="Arial"/>
        <family val="2"/>
        <scheme val="minor"/>
      </rPr>
      <t>)</t>
    </r>
    <phoneticPr fontId="16" type="noConversion"/>
  </si>
  <si>
    <t>교육기간</t>
    <phoneticPr fontId="16" type="noConversion"/>
  </si>
  <si>
    <t>남</t>
    <phoneticPr fontId="16" type="noConversion"/>
  </si>
  <si>
    <t>010-111-2223</t>
    <phoneticPr fontId="16" type="noConversion"/>
  </si>
  <si>
    <r>
      <rPr>
        <sz val="13"/>
        <color theme="1"/>
        <rFont val="Arial"/>
        <family val="3"/>
        <charset val="129"/>
        <scheme val="minor"/>
      </rPr>
      <t>참여프로그램명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</si>
  <si>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</si>
  <si>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6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</si>
  <si>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</si>
  <si>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</si>
  <si>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6" type="noConversion"/>
  </si>
  <si>
    <r>
      <rPr>
        <b/>
        <sz val="20"/>
        <color theme="1"/>
        <rFont val="Malgun Gothic"/>
        <family val="3"/>
        <charset val="129"/>
      </rPr>
      <t>참여기업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지원금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지급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신청서</t>
    </r>
    <phoneticPr fontId="16" type="noConversion"/>
  </si>
  <si>
    <t>사업장명</t>
    <phoneticPr fontId="16" type="noConversion"/>
  </si>
  <si>
    <t>대표자명</t>
    <phoneticPr fontId="16" type="noConversion"/>
  </si>
  <si>
    <t>고용보험사업장관리번호</t>
    <phoneticPr fontId="16" type="noConversion"/>
  </si>
  <si>
    <t>사업자등록번호
(법인등록번호)</t>
    <phoneticPr fontId="16" type="noConversion"/>
  </si>
  <si>
    <t>소재지</t>
    <phoneticPr fontId="16" type="noConversion"/>
  </si>
  <si>
    <t>담당자성명</t>
    <phoneticPr fontId="16" type="noConversion"/>
  </si>
  <si>
    <t>담당자전화번호</t>
    <phoneticPr fontId="16" type="noConversion"/>
  </si>
  <si>
    <t>담당자이메일</t>
    <phoneticPr fontId="16" type="noConversion"/>
  </si>
  <si>
    <t>담당자팩스번호</t>
    <phoneticPr fontId="16" type="noConversion"/>
  </si>
  <si>
    <r>
      <rPr>
        <sz val="13"/>
        <color theme="1"/>
        <rFont val="맑은 고딕"/>
        <family val="3"/>
        <charset val="129"/>
      </rPr>
      <t>신청금액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원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</si>
  <si>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신청기간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 xml:space="preserve"> ~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</si>
  <si>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참여일</t>
    </r>
    <r>
      <rPr>
        <sz val="13"/>
        <color theme="1"/>
        <rFont val="Arial"/>
        <family val="3"/>
      </rPr>
      <t xml:space="preserve">( </t>
    </r>
    <r>
      <rPr>
        <sz val="13"/>
        <color theme="1"/>
        <rFont val="맑은 고딕"/>
        <family val="3"/>
        <charset val="129"/>
      </rPr>
      <t>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월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일</t>
    </r>
    <r>
      <rPr>
        <sz val="13"/>
        <color theme="1"/>
        <rFont val="Arial"/>
        <family val="3"/>
      </rPr>
      <t>)</t>
    </r>
    <phoneticPr fontId="16" type="noConversion"/>
  </si>
  <si>
    <r>
      <rPr>
        <sz val="13"/>
        <color theme="1"/>
        <rFont val="맑은 고딕"/>
        <family val="3"/>
        <charset val="129"/>
      </rPr>
      <t>참여청년</t>
    </r>
    <r>
      <rPr>
        <sz val="13"/>
        <color theme="1"/>
        <rFont val="Arial"/>
        <family val="3"/>
      </rPr>
      <t xml:space="preserve"> </t>
    </r>
    <r>
      <rPr>
        <sz val="13"/>
        <color theme="1"/>
        <rFont val="맑은 고딕"/>
        <family val="3"/>
        <charset val="129"/>
      </rPr>
      <t>성명</t>
    </r>
    <r>
      <rPr>
        <sz val="13"/>
        <color theme="1"/>
        <rFont val="Arial"/>
        <family val="3"/>
      </rPr>
      <t>(</t>
    </r>
    <r>
      <rPr>
        <sz val="13"/>
        <color theme="1"/>
        <rFont val="맑은 고딕"/>
        <family val="3"/>
        <charset val="129"/>
      </rPr>
      <t>주민등록번호</t>
    </r>
    <r>
      <rPr>
        <sz val="13"/>
        <color theme="1"/>
        <rFont val="Arial"/>
        <family val="3"/>
      </rPr>
      <t>)</t>
    </r>
    <phoneticPr fontId="16" type="noConversion"/>
  </si>
  <si>
    <t>㈜노마드랩</t>
    <phoneticPr fontId="16" type="noConversion"/>
  </si>
  <si>
    <t>㈜노마드</t>
    <phoneticPr fontId="16" type="noConversion"/>
  </si>
  <si>
    <t>2024.11.18 ~ 2024.12.13</t>
    <phoneticPr fontId="16" type="noConversion"/>
  </si>
  <si>
    <t>2024.12.16 ~ 2024.01.07</t>
    <phoneticPr fontId="16" type="noConversion"/>
  </si>
  <si>
    <r>
      <rPr>
        <b/>
        <sz val="20"/>
        <color theme="1"/>
        <rFont val="Arial"/>
        <family val="3"/>
        <charset val="129"/>
        <scheme val="major"/>
      </rPr>
      <t>사전직무교육</t>
    </r>
    <r>
      <rPr>
        <b/>
        <sz val="20"/>
        <color theme="1"/>
        <rFont val="Arial"/>
        <family val="2"/>
        <scheme val="major"/>
      </rPr>
      <t xml:space="preserve"> </t>
    </r>
    <r>
      <rPr>
        <b/>
        <sz val="20"/>
        <color theme="1"/>
        <rFont val="Arial"/>
        <family val="3"/>
        <charset val="129"/>
        <scheme val="major"/>
      </rPr>
      <t>실시보고</t>
    </r>
    <phoneticPr fontId="16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</si>
  <si>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</si>
  <si>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</si>
  <si>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</si>
  <si>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</si>
  <si>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</si>
  <si>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</si>
  <si>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</si>
  <si>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</si>
  <si>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</si>
  <si>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</si>
  <si>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</si>
  <si>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</si>
  <si>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</si>
  <si>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</si>
  <si>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</si>
  <si>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</si>
  <si>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</si>
  <si>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</si>
  <si>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</si>
  <si>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</si>
  <si>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</si>
  <si>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</si>
  <si>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</si>
  <si>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</si>
  <si>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</si>
  <si>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</si>
  <si>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</si>
  <si>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</si>
  <si>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</si>
  <si>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</si>
  <si>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</si>
  <si>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</si>
  <si>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</si>
  <si>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</si>
  <si>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</si>
  <si>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</si>
  <si>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</si>
  <si>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</si>
  <si>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</si>
  <si>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</si>
  <si>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</si>
  <si>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</si>
  <si>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</si>
  <si>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</si>
  <si>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</si>
  <si>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</si>
  <si>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</si>
  <si>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</si>
  <si>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</si>
  <si>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</si>
  <si>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</si>
  <si>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</si>
  <si>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</si>
  <si>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</si>
  <si>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</si>
  <si>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</si>
  <si>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</si>
  <si>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</si>
  <si>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</si>
  <si>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</si>
  <si>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</si>
  <si>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</si>
  <si>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</si>
  <si>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6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</si>
  <si>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6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</si>
  <si>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</si>
  <si>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 xml:space="preserve"> 경상남도 부산진구</t>
    <phoneticPr fontId="16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</si>
  <si>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6" type="noConversion"/>
  </si>
  <si>
    <t>제주특별시</t>
    <phoneticPr fontId="16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</si>
  <si>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</si>
  <si>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</si>
  <si>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</si>
  <si>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</si>
  <si>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</si>
  <si>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</si>
  <si>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</si>
  <si>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</si>
  <si>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</si>
  <si>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</si>
  <si>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</si>
  <si>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</si>
  <si>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6" type="noConversion"/>
  </si>
  <si>
    <t>001199-3301932</t>
    <phoneticPr fontId="16" type="noConversion"/>
  </si>
  <si>
    <t>020699-3626178</t>
    <phoneticPr fontId="16" type="noConversion"/>
  </si>
  <si>
    <t>[SY컴퍼니] 마케팅 인턴십</t>
    <phoneticPr fontId="16" type="noConversion"/>
  </si>
  <si>
    <t>2024년 12월 03일</t>
    <phoneticPr fontId="17" type="noConversion"/>
  </si>
  <si>
    <t>111-11-11111</t>
    <phoneticPr fontId="16" type="noConversion"/>
  </si>
  <si>
    <t>법인번호</t>
    <phoneticPr fontId="16" type="noConversion"/>
  </si>
  <si>
    <t>중소기업일때만체크</t>
    <phoneticPr fontId="16" type="noConversion"/>
  </si>
  <si>
    <t>있음일경우에만 자격내용</t>
    <phoneticPr fontId="16" type="noConversion"/>
  </si>
  <si>
    <t>청년 일경험 지원사업 참여기업 지원금 지급 신청서</t>
  </si>
  <si>
    <t>접수번호</t>
  </si>
  <si>
    <t>접수일자</t>
  </si>
  <si>
    <t>사업자등록번호</t>
  </si>
  <si>
    <t>(법인등록번호)</t>
  </si>
  <si>
    <t>고용보험</t>
  </si>
  <si>
    <t>사업장관리번호</t>
  </si>
  <si>
    <t>담당자</t>
  </si>
  <si>
    <t>전화번호</t>
  </si>
  <si>
    <t>팩스번호</t>
  </si>
  <si>
    <t>신청내용</t>
  </si>
  <si>
    <t>참여청년 성명</t>
  </si>
  <si>
    <t>(주민등록번호)</t>
  </si>
  <si>
    <t>참여일</t>
  </si>
  <si>
    <t>( 년 월 일)</t>
  </si>
  <si>
    <t>신청기간</t>
  </si>
  <si>
    <t>( 년 월 일 ~ 년 월 일)</t>
  </si>
  <si>
    <t>신청금액</t>
  </si>
  <si>
    <t>(원)</t>
  </si>
  <si>
    <t>지원금 총 신청인원</t>
  </si>
  <si>
    <t>( ) 명 ,</t>
  </si>
  <si>
    <t>( ) 원</t>
  </si>
  <si>
    <t>기업명의 계좌번호</t>
  </si>
  <si>
    <t>( ) 은행</t>
  </si>
  <si>
    <t>(예금주 : )</t>
  </si>
  <si>
    <t>『청년 일경험 지원사업｣ 지침에 따라 위와 같이 지원금 지급을 신청합니다.</t>
  </si>
  <si>
    <t>2024년 00월 00일</t>
  </si>
  <si>
    <t>확인자(대표자)</t>
  </si>
  <si>
    <t>(서명 또는 인)</t>
  </si>
  <si>
    <t>한국무선인터넷솔루션협회 운영기관장</t>
  </si>
  <si>
    <t>귀하</t>
  </si>
  <si>
    <t>첨부서류</t>
  </si>
  <si>
    <t>1. 프로그램 운영 증빙자료(프로그램 계획서, 참여청년 명단 등)</t>
  </si>
  <si>
    <t>2. 기업명의 통장사본(최초 1회 신청 시에만 제출)</t>
  </si>
  <si>
    <t xml:space="preserve">※ 아래 란은 적지 않습니다. </t>
  </si>
  <si>
    <t>접수</t>
  </si>
  <si>
    <t>접수 연월일</t>
  </si>
  <si>
    <t>처리부서</t>
  </si>
  <si>
    <t>선람</t>
  </si>
  <si>
    <t>담당</t>
  </si>
  <si>
    <t>팀장</t>
  </si>
  <si>
    <t>과장</t>
  </si>
  <si>
    <t>결재 연월일</t>
  </si>
  <si>
    <t>. . .</t>
  </si>
  <si>
    <t>미리보기</t>
    <phoneticPr fontId="16" type="noConversion"/>
  </si>
  <si>
    <t>사업장명</t>
    <phoneticPr fontId="16" type="noConversion"/>
  </si>
  <si>
    <t>대표자명</t>
    <phoneticPr fontId="16" type="noConversion"/>
  </si>
  <si>
    <t>11111-1111-111
(121212121)</t>
    <phoneticPr fontId="16" type="noConversion"/>
  </si>
  <si>
    <r>
      <rPr>
        <sz val="13"/>
        <color theme="1"/>
        <rFont val="맑은 고딕"/>
        <family val="3"/>
        <charset val="129"/>
      </rPr>
      <t>부산</t>
    </r>
    <r>
      <rPr>
        <sz val="13"/>
        <color theme="1"/>
        <rFont val="Arial Unicode MS"/>
        <family val="3"/>
        <charset val="129"/>
      </rPr>
      <t>광역시 부산진구</t>
    </r>
    <phoneticPr fontId="16" type="noConversion"/>
  </si>
  <si>
    <t>이순신</t>
    <phoneticPr fontId="16" type="noConversion"/>
  </si>
  <si>
    <t>KJH5848@GMAIL.COM</t>
    <phoneticPr fontId="16" type="noConversion"/>
  </si>
  <si>
    <t>c</t>
    <phoneticPr fontId="17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</si>
  <si>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6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</si>
  <si>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</si>
  <si>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</si>
  <si>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</si>
  <si>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</si>
  <si>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</si>
  <si>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</si>
  <si>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</si>
  <si>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6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</si>
  <si>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</si>
  <si>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</si>
  <si>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</si>
  <si>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</si>
  <si>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</si>
  <si>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</si>
  <si>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</si>
  <si>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</si>
  <si>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</si>
  <si>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</si>
  <si>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</si>
  <si>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</si>
  <si>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</si>
  <si>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</si>
  <si>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</si>
  <si>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</si>
  <si>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</si>
  <si>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</si>
  <si>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</si>
  <si>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</si>
  <si>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</si>
  <si>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</si>
  <si>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</si>
  <si>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</si>
  <si>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</si>
  <si>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</si>
  <si>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</si>
  <si>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</si>
  <si>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</si>
  <si>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</si>
  <si>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</si>
  <si>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</si>
  <si>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</si>
  <si>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</si>
  <si>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</si>
  <si>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</si>
  <si>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</si>
  <si>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</si>
  <si>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</si>
  <si>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</si>
  <si>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</si>
  <si>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</si>
  <si>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</si>
  <si>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</si>
  <si>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</si>
  <si>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</si>
  <si>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</si>
  <si>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</si>
  <si>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</si>
  <si>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</si>
  <si>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</si>
  <si>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</si>
  <si>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</si>
  <si>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</si>
  <si>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</si>
  <si>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</si>
  <si>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</si>
  <si>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</si>
  <si>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</si>
  <si>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</si>
  <si>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</si>
  <si>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</si>
  <si>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</si>
  <si>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</si>
  <si>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</si>
  <si>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</si>
  <si>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</si>
  <si>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</si>
  <si>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</si>
  <si>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</si>
  <si>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</si>
  <si>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</si>
  <si>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</si>
  <si>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</si>
  <si>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</si>
  <si>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</si>
  <si>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</si>
  <si>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</si>
  <si>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</si>
  <si>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</si>
  <si>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</si>
  <si>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</si>
  <si>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</si>
  <si>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</si>
  <si>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</si>
  <si>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</si>
  <si>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</si>
  <si>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</si>
  <si>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</si>
  <si>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</si>
  <si>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</si>
  <si>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</si>
  <si>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6" type="noConversion"/>
  </si>
  <si>
    <t>기업멘토성명</t>
    <phoneticPr fontId="16" type="noConversion"/>
  </si>
  <si>
    <t>업무</t>
    <phoneticPr fontId="16" type="noConversion"/>
  </si>
  <si>
    <t>글 추가 시 이 위에 행 삽입</t>
    <phoneticPr fontId="16" type="noConversion"/>
  </si>
  <si>
    <t>40. 개인정보 활용에 관한 동의서</t>
    <phoneticPr fontId="16" type="noConversion"/>
  </si>
  <si>
    <t>46. 참여 청년용 확인서</t>
    <phoneticPr fontId="16" type="noConversion"/>
  </si>
  <si>
    <t>118. 인턴형 프로그램 표준계약서</t>
    <phoneticPr fontId="16" type="noConversion"/>
  </si>
  <si>
    <t>일경험(1~4주)</t>
  </si>
  <si>
    <t>일경험(5~8주)</t>
  </si>
  <si>
    <t>사업자</t>
    <phoneticPr fontId="16" type="noConversion"/>
  </si>
  <si>
    <t>사전직무</t>
    <phoneticPr fontId="16" type="noConversion"/>
  </si>
  <si>
    <t>프로그램 명</t>
    <phoneticPr fontId="16" type="noConversion"/>
  </si>
  <si>
    <t>일경험</t>
    <phoneticPr fontId="16" type="noConversion"/>
  </si>
  <si>
    <t>총 기간</t>
    <phoneticPr fontId="16" type="noConversion"/>
  </si>
  <si>
    <t xml:space="preserve">고용보험 사업장 </t>
  </si>
  <si>
    <t>1차(1~4주)</t>
    <phoneticPr fontId="16" type="noConversion"/>
  </si>
  <si>
    <t xml:space="preserve"> </t>
    <phoneticPr fontId="16" type="noConversion"/>
  </si>
  <si>
    <t>(법인번호)</t>
  </si>
  <si>
    <t>관리번호</t>
  </si>
  <si>
    <t>교육목적</t>
    <phoneticPr fontId="16" type="noConversion"/>
  </si>
  <si>
    <t>2차(4~8주)</t>
    <phoneticPr fontId="16" type="noConversion"/>
  </si>
  <si>
    <t>체크할때는 문서내용의 진위를 확인 후 완성되었을때만 체크!!</t>
    <phoneticPr fontId="16" type="noConversion"/>
  </si>
  <si>
    <t>연 락 처</t>
  </si>
  <si>
    <t>업종</t>
    <phoneticPr fontId="16" type="noConversion"/>
  </si>
  <si>
    <t>교육장소</t>
    <phoneticPr fontId="16" type="noConversion"/>
  </si>
  <si>
    <t>직무</t>
    <phoneticPr fontId="16" type="noConversion"/>
  </si>
  <si>
    <t>회차</t>
    <phoneticPr fontId="16" type="noConversion"/>
  </si>
  <si>
    <t>시작</t>
    <phoneticPr fontId="16" type="noConversion"/>
  </si>
  <si>
    <t>종료</t>
    <phoneticPr fontId="16" type="noConversion"/>
  </si>
  <si>
    <t>소 재 지</t>
  </si>
  <si>
    <t>사업자등록번호</t>
    <phoneticPr fontId="16" type="noConversion"/>
  </si>
  <si>
    <t>인원</t>
    <phoneticPr fontId="16" type="noConversion"/>
  </si>
  <si>
    <t>근무부서</t>
    <phoneticPr fontId="16" type="noConversion"/>
  </si>
  <si>
    <t>최상위 파일 명</t>
    <phoneticPr fontId="16" type="noConversion"/>
  </si>
  <si>
    <t>상위 파일 명</t>
    <phoneticPr fontId="16" type="noConversion"/>
  </si>
  <si>
    <t>번호</t>
    <phoneticPr fontId="16" type="noConversion"/>
  </si>
  <si>
    <t>서류 명</t>
    <phoneticPr fontId="16" type="noConversion"/>
  </si>
  <si>
    <t>작성시기</t>
    <phoneticPr fontId="16" type="noConversion"/>
  </si>
  <si>
    <t>체크</t>
    <phoneticPr fontId="16" type="noConversion"/>
  </si>
  <si>
    <t>주의 사항</t>
    <phoneticPr fontId="16" type="noConversion"/>
  </si>
  <si>
    <t>주 된 업 종</t>
  </si>
  <si>
    <t xml:space="preserve">고용보험 </t>
  </si>
  <si>
    <t>피보험자 수</t>
    <phoneticPr fontId="16" type="noConversion"/>
  </si>
  <si>
    <t>주요업무</t>
    <phoneticPr fontId="16" type="noConversion"/>
  </si>
  <si>
    <t>일경험 프로그램 명</t>
    <phoneticPr fontId="16" type="noConversion"/>
  </si>
  <si>
    <t>0. 회사
/
멘토</t>
    <phoneticPr fontId="16" type="noConversion"/>
  </si>
  <si>
    <t>4대 사회보험 사업장 가입자 명부(최신)_기업명</t>
    <phoneticPr fontId="16" type="noConversion"/>
  </si>
  <si>
    <t>4대 사회보험 사업장 가입자 명부(최신)</t>
  </si>
  <si>
    <t>참여기업협약시</t>
    <phoneticPr fontId="16" type="noConversion"/>
  </si>
  <si>
    <t>피 보 험 자 수</t>
  </si>
  <si>
    <t>담당자</t>
    <phoneticPr fontId="16" type="noConversion"/>
  </si>
  <si>
    <t>담당부서</t>
    <phoneticPr fontId="16" type="noConversion"/>
  </si>
  <si>
    <t>사업장 등록증_기업명</t>
    <phoneticPr fontId="16" type="noConversion"/>
  </si>
  <si>
    <t>사업장 등록증</t>
  </si>
  <si>
    <t xml:space="preserve">[ ✔] 󰊱 중소기업 </t>
  </si>
  <si>
    <t>담당자 명</t>
    <phoneticPr fontId="16" type="noConversion"/>
  </si>
  <si>
    <t>벤처기업확인서_기업명</t>
    <phoneticPr fontId="16" type="noConversion"/>
  </si>
  <si>
    <t>벤처기업인증</t>
  </si>
  <si>
    <t>□신기술·신성장유망기업□강소기업·청년친화강소기업□우수벤처기업</t>
  </si>
  <si>
    <t>담당자 연락처</t>
    <phoneticPr fontId="16" type="noConversion"/>
  </si>
  <si>
    <t>직인 이미지(기업)</t>
    <phoneticPr fontId="16" type="noConversion"/>
  </si>
  <si>
    <t>위 필독사항 3번 참조</t>
    <phoneticPr fontId="16" type="noConversion"/>
  </si>
  <si>
    <t>□우수 중소기업(경영혁신형․기술혁신형 중소기업)</t>
  </si>
  <si>
    <t>이메일</t>
    <phoneticPr fontId="16" type="noConversion"/>
  </si>
  <si>
    <t>[서식12, 42, 46,121] 일경험_참여기업 서류 모음_기업명(통합).hwp</t>
    <phoneticPr fontId="16" type="noConversion"/>
  </si>
  <si>
    <t>[서식12] 일경험 프로그램 참여기업 신청서_기업명</t>
    <phoneticPr fontId="16" type="noConversion"/>
  </si>
  <si>
    <t>□사회적기업 ■기타 중소기업</t>
  </si>
  <si>
    <t>[서식46] 참여자격 확인서_기업명</t>
    <phoneticPr fontId="16" type="noConversion"/>
  </si>
  <si>
    <t xml:space="preserve">[ ] 󰊲 중견기업 </t>
  </si>
  <si>
    <t>[서식121] 참여기업 협약서_기업명</t>
    <phoneticPr fontId="16" type="noConversion"/>
  </si>
  <si>
    <t xml:space="preserve">[ ] 󰊳 대기업 </t>
  </si>
  <si>
    <t>[서식42] 참여기업 참여 의향서_기업명</t>
    <phoneticPr fontId="16" type="noConversion"/>
  </si>
  <si>
    <t>[ ] 󰊴 기타(비영리 법인 등)</t>
  </si>
  <si>
    <t>참여기업 통장 사본</t>
    <phoneticPr fontId="16" type="noConversion"/>
  </si>
  <si>
    <t>운영 당일</t>
    <phoneticPr fontId="16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</si>
  <si>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</si>
  <si>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</si>
  <si>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6" type="noConversion"/>
  </si>
  <si>
    <t>주요사업</t>
  </si>
  <si>
    <t>멘토 통장 사본</t>
    <phoneticPr fontId="16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</si>
  <si>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</si>
  <si>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</si>
  <si>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</si>
  <si>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</si>
  <si>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6" type="noConversion"/>
  </si>
  <si>
    <t xml:space="preserve">프로그램 내용 </t>
    <phoneticPr fontId="16" type="noConversion"/>
  </si>
  <si>
    <t xml:space="preserve">참여 이력 </t>
  </si>
  <si>
    <t>멘토 재직증명서</t>
    <phoneticPr fontId="16" type="noConversion"/>
  </si>
  <si>
    <t>불가능한 멘토 : 대표, 임원
가능한 멘토 : 대표, 임원 외 (신입도 가능)
※[배포] 청년일경험 인턴형 멘토수당 지급기준(안)_.hwp 확인</t>
    <phoneticPr fontId="16" type="noConversion"/>
  </si>
  <si>
    <t>멘토 서명</t>
    <phoneticPr fontId="16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</si>
  <si>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</si>
  <si>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</si>
  <si>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</si>
  <si>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</si>
  <si>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</si>
  <si>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6" type="noConversion"/>
  </si>
  <si>
    <t>프로그램 운영
매주 작성(4주마다 제출)</t>
    <phoneticPr fontId="16" type="noConversion"/>
  </si>
  <si>
    <t>01. 프로그램
등록</t>
    <phoneticPr fontId="16" type="noConversion"/>
  </si>
  <si>
    <t>[서식102] 사전직무교육 운영계획서_기업명.hwp</t>
    <phoneticPr fontId="16" type="noConversion"/>
  </si>
  <si>
    <t>프로그램 등록시</t>
    <phoneticPr fontId="16" type="noConversion"/>
  </si>
  <si>
    <t>[서식108] 일경험 운영 계획서_기업명.hwp</t>
    <phoneticPr fontId="16" type="noConversion"/>
  </si>
  <si>
    <t>02. 참여자
서류
(하위 폴더 명
ex) 01. 이름)</t>
    <phoneticPr fontId="16" type="noConversion"/>
  </si>
  <si>
    <t>[배포] [서식46,40,33] 청년서류 모음_(꼭 확인 파란글씨검은색변경).hwp</t>
    <phoneticPr fontId="16" type="noConversion"/>
  </si>
  <si>
    <t>참여청년 모집시</t>
    <phoneticPr fontId="16" type="noConversion"/>
  </si>
  <si>
    <t>[서식33] 일경험 참여신청서</t>
    <phoneticPr fontId="16" type="noConversion"/>
  </si>
  <si>
    <t>[서식40] 개인정보 활용에 관한 동의서</t>
    <phoneticPr fontId="16" type="noConversion"/>
  </si>
  <si>
    <t>[서식46] 참여 청년 자격 확인서</t>
    <phoneticPr fontId="16" type="noConversion"/>
  </si>
  <si>
    <t>신청서_이름.xlsx</t>
    <phoneticPr fontId="16" type="noConversion"/>
  </si>
  <si>
    <t>신분증 사본</t>
    <phoneticPr fontId="16" type="noConversion"/>
  </si>
  <si>
    <t>통장 사본</t>
    <phoneticPr fontId="16" type="noConversion"/>
  </si>
  <si>
    <t>사업자 사실증명서</t>
    <phoneticPr fontId="16" type="noConversion"/>
  </si>
  <si>
    <t>(휴업),(폐업)시 각각 휴업사실증명, 폐업사실증명 필요
(링크는 신청서_이름.xlsx 양식에 있음)</t>
    <phoneticPr fontId="16" type="noConversion"/>
  </si>
  <si>
    <t>03. 사전직무
교육</t>
    <phoneticPr fontId="16" type="noConversion"/>
  </si>
  <si>
    <t>[서식125] 사전직무교육 실시보고_기업명.hwp</t>
    <phoneticPr fontId="16" type="noConversion"/>
  </si>
  <si>
    <t>개시 당일</t>
    <phoneticPr fontId="16" type="noConversion"/>
  </si>
  <si>
    <t>실시 후 5일 이내 보고</t>
    <phoneticPr fontId="16" type="noConversion"/>
  </si>
  <si>
    <t>[서식104] 사전직무교육 공가관리대장_기업명.hwp</t>
    <phoneticPr fontId="16" type="noConversion"/>
  </si>
  <si>
    <t>직무교육 중</t>
    <phoneticPr fontId="16" type="noConversion"/>
  </si>
  <si>
    <t>사전직무교육 결석 사유가 있을 경우 대장관리 필요.</t>
    <phoneticPr fontId="16" type="noConversion"/>
  </si>
  <si>
    <t>[서식103] 사전직무교육 출석부_기업명.hwp</t>
    <phoneticPr fontId="16" type="noConversion"/>
  </si>
  <si>
    <t>[서식16] 사전직무교육만족도조사_기업명.hwp</t>
    <phoneticPr fontId="16" type="noConversion"/>
  </si>
  <si>
    <t>종료당일</t>
    <phoneticPr fontId="16" type="noConversion"/>
  </si>
  <si>
    <t>사전직무교육비-청년교육수당.xlsx</t>
    <phoneticPr fontId="16" type="noConversion"/>
  </si>
  <si>
    <t>종료 후 10일 이내</t>
    <phoneticPr fontId="16" type="noConversion"/>
  </si>
  <si>
    <t>[서식129] 사전직무교육 수료 보고서_기업명.hwp</t>
    <phoneticPr fontId="16" type="noConversion"/>
  </si>
  <si>
    <t>[서식15] 결과보고서 대체가능, 실적보고서라고도 함.</t>
    <phoneticPr fontId="16" type="noConversion"/>
  </si>
  <si>
    <t>04. 프로그램 
운영</t>
    <phoneticPr fontId="16" type="noConversion"/>
  </si>
  <si>
    <t>[서식118] 인턴형 일경험 프로그램 표준 계약서_기업명.hwp</t>
    <phoneticPr fontId="16" type="noConversion"/>
  </si>
  <si>
    <t>운영시작 당일</t>
    <phoneticPr fontId="16" type="noConversion"/>
  </si>
  <si>
    <t>[서식34] 인턴형 일경험 실시보고_기업명(3일이내).hwp</t>
    <phoneticPr fontId="16" type="noConversion"/>
  </si>
  <si>
    <t>3일 이내</t>
    <phoneticPr fontId="16" type="noConversion"/>
  </si>
  <si>
    <t>[서식35] ( )월 인턴형 일경험 결과보고(지원금 신청 포함).hwp</t>
    <phoneticPr fontId="16" type="noConversion"/>
  </si>
  <si>
    <t>4주마다</t>
    <phoneticPr fontId="16" type="noConversion"/>
  </si>
  <si>
    <t>※서명란은 꼭 직인 이미지 삽입!(위 필독사항 3번 참조)</t>
    <phoneticPr fontId="16" type="noConversion"/>
  </si>
  <si>
    <t>[서식17] 청년 일경험 프로그램 출석부 1차(4주차)_기업명.hwp</t>
    <phoneticPr fontId="16" type="noConversion"/>
  </si>
  <si>
    <t>[서식17] 청년 일경험 프로그램 출석부 2차(8주차)_기업명.hwp</t>
    <phoneticPr fontId="16" type="noConversion"/>
  </si>
  <si>
    <t>[서식106] 참여기업 중간점검 일지.hwp</t>
    <phoneticPr fontId="16" type="noConversion"/>
  </si>
  <si>
    <t>[서식13] 참여기업 지원금 지급 신청서.hwp</t>
    <phoneticPr fontId="16" type="noConversion"/>
  </si>
  <si>
    <t>[서식123] 일경험 중도포기 신청서.hwp</t>
    <phoneticPr fontId="16" type="noConversion"/>
  </si>
  <si>
    <t>중도포기시</t>
    <phoneticPr fontId="16" type="noConversion"/>
  </si>
  <si>
    <t>[서식109] 청년 일경험 인턴형 종합 보고서_기업명.hwp</t>
    <phoneticPr fontId="16" type="noConversion"/>
  </si>
  <si>
    <t>05. 프로그램
종료</t>
    <phoneticPr fontId="16" type="noConversion"/>
  </si>
  <si>
    <t>인턴형 일경험 프로그램 만족도 조사(미래내일 홈페이지)</t>
    <phoneticPr fontId="16" type="noConversion"/>
  </si>
  <si>
    <t>프로그램 종료 시</t>
    <phoneticPr fontId="16" type="noConversion"/>
  </si>
  <si>
    <t>참여청년 수료증</t>
    <phoneticPr fontId="16" type="noConversion"/>
  </si>
  <si>
    <t>월</t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</si>
  <si>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</si>
  <si>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6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</si>
  <si>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6" type="noConversion"/>
  </si>
  <si>
    <t>2024. 11. 18 ~ 2025. 01. 10</t>
    <phoneticPr fontId="16" type="noConversion"/>
  </si>
  <si>
    <t>`</t>
    <phoneticPr fontId="16" type="noConversion"/>
  </si>
  <si>
    <t>example2@nate.com</t>
    <phoneticPr fontId="16" type="noConversion"/>
  </si>
  <si>
    <t>example1@nate.com</t>
    <phoneticPr fontId="16" type="noConversion"/>
  </si>
  <si>
    <t>00-000-0000</t>
    <phoneticPr fontId="16" type="noConversion"/>
  </si>
  <si>
    <t>010-0000-0001</t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</si>
  <si>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</si>
  <si>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</si>
  <si>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 xml:space="preserve">사업자등록번호
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법인등록번호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</si>
  <si>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고용보험사업장관리번호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</si>
  <si>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소재지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</si>
  <si>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담당자성명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</si>
  <si>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담당자전화번호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</si>
  <si>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담당자이메일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</si>
  <si>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담당자팩스번호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</si>
  <si>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</si>
  <si>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은행명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</si>
  <si>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계좌번호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</si>
  <si>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예금주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</si>
  <si>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참여청년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성명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주민등록번호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</si>
  <si>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</si>
  <si>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신청기간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 xml:space="preserve"> ~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</si>
  <si>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신청금액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원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</si>
  <si>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</si>
  <si>
    <r>
      <rPr>
        <b/>
        <sz val="12"/>
        <color theme="1"/>
        <rFont val="Arial"/>
        <family val="3"/>
        <charset val="129"/>
        <scheme val="minor"/>
      </rPr>
      <t>고용보험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사업장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관리번호</t>
    </r>
  </si>
  <si>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</si>
  <si>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기업구분</t>
    </r>
    <r>
      <rPr>
        <b/>
        <sz val="12"/>
        <color theme="1"/>
        <rFont val="Arial"/>
        <family val="2"/>
        <scheme val="minor"/>
      </rPr>
      <t xml:space="preserve"> </t>
    </r>
  </si>
  <si>
    <r>
      <rPr>
        <b/>
        <sz val="12"/>
        <color theme="1"/>
        <rFont val="Arial"/>
        <family val="3"/>
        <charset val="129"/>
        <scheme val="minor"/>
      </rPr>
      <t>회사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소개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및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주요사업</t>
    </r>
  </si>
  <si>
    <r>
      <rPr>
        <b/>
        <sz val="12"/>
        <color theme="1"/>
        <rFont val="Arial"/>
        <family val="3"/>
        <charset val="129"/>
        <scheme val="minor"/>
      </rPr>
      <t>수행업무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직무</t>
    </r>
    <r>
      <rPr>
        <b/>
        <sz val="12"/>
        <color theme="1"/>
        <rFont val="Arial"/>
        <family val="2"/>
        <scheme val="minor"/>
      </rPr>
      <t>)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</si>
  <si>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</si>
  <si>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</si>
  <si>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</si>
  <si>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</si>
  <si>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</si>
  <si>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</si>
  <si>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</si>
  <si>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</si>
  <si>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직무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</si>
  <si>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근무부서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</si>
  <si>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주요업무</t>
    </r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</si>
  <si>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기간</t>
    </r>
    <phoneticPr fontId="16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</si>
  <si>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(1~4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6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</si>
  <si>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(5~8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6" type="noConversion"/>
  </si>
  <si>
    <t>Arial</t>
    <phoneticPr fontId="16" type="noConversion"/>
  </si>
  <si>
    <t>가로정렬</t>
    <phoneticPr fontId="16" type="noConversion"/>
  </si>
  <si>
    <t>#fbdad7</t>
    <phoneticPr fontId="16" type="noConversion"/>
  </si>
  <si>
    <t>#b3cefb</t>
    <phoneticPr fontId="16" type="noConversion"/>
  </si>
  <si>
    <t>#f2f2f2</t>
    <phoneticPr fontId="16" type="noConversion"/>
  </si>
  <si>
    <t>#ffffff</t>
    <phoneticPr fontId="16" type="noConversion"/>
  </si>
  <si>
    <t>가운데</t>
    <phoneticPr fontId="16" type="noConversion"/>
  </si>
  <si>
    <t>볼드</t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</si>
  <si>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16" type="noConversion"/>
  </si>
  <si>
    <r>
      <rPr>
        <b/>
        <sz val="13"/>
        <color theme="1"/>
        <rFont val="Arial"/>
        <family val="2"/>
        <charset val="129"/>
        <scheme val="minor"/>
      </rPr>
      <t>대표자명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</si>
  <si>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</si>
  <si>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업종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</si>
  <si>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피보험자수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</si>
  <si>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전화번호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</si>
  <si>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이메일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</si>
  <si>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</si>
  <si>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</si>
  <si>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프로그램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</si>
  <si>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프로그램명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</si>
  <si>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직무분야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</si>
  <si>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프로그램내용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</si>
  <si>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프로그램기간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</si>
  <si>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프로그램장소</t>
    </r>
    <phoneticPr fontId="16" type="noConversion"/>
  </si>
  <si>
    <r>
      <rPr>
        <b/>
        <sz val="13"/>
        <color theme="1"/>
        <rFont val="Arial"/>
        <family val="3"/>
        <charset val="129"/>
        <scheme val="minor"/>
      </rPr>
      <t>프로그램참여인원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</si>
  <si>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참여자명단</t>
    </r>
    <phoneticPr fontId="16" type="noConversion"/>
  </si>
  <si>
    <t>사단법인 한국무선인터넷솔루션협회 운영기관장</t>
  </si>
  <si>
    <t>1. 시트 잠금</t>
  </si>
  <si>
    <t>1. 잠금을 걸고 싶은 시트를 선택하세요.</t>
  </si>
  <si>
    <r>
      <t xml:space="preserve">2. 엑셀 상단 메뉴에서 </t>
    </r>
    <r>
      <rPr>
        <b/>
        <sz val="10"/>
        <color rgb="FF000000"/>
        <rFont val="Arial"/>
        <family val="2"/>
        <scheme val="minor"/>
      </rPr>
      <t>[검토]</t>
    </r>
    <r>
      <rPr>
        <sz val="10"/>
        <color rgb="FF000000"/>
        <rFont val="Arial"/>
        <family val="2"/>
        <scheme val="minor"/>
      </rPr>
      <t xml:space="preserve"> 탭으로 이동합니다.</t>
    </r>
  </si>
  <si>
    <r>
      <t>3. [시트 보호]</t>
    </r>
    <r>
      <rPr>
        <sz val="10"/>
        <color rgb="FF000000"/>
        <rFont val="Arial"/>
        <family val="2"/>
        <scheme val="minor"/>
      </rPr>
      <t xml:space="preserve"> 버튼을 클릭합니다.</t>
    </r>
  </si>
  <si>
    <r>
      <t>5. 확인</t>
    </r>
    <r>
      <rPr>
        <sz val="10"/>
        <color rgb="FF000000"/>
        <rFont val="Arial"/>
        <family val="2"/>
        <scheme val="minor"/>
      </rPr>
      <t>을 클릭하면 해당 시트가 잠깁니다.</t>
    </r>
  </si>
  <si>
    <t>2. 시트 내 특정 셀은 수정 가능하게 설정</t>
  </si>
  <si>
    <t>1. 수정 가능하게 하고 싶은 셀을 선택합니다.</t>
  </si>
  <si>
    <r>
      <t>3. [보호]</t>
    </r>
    <r>
      <rPr>
        <sz val="10"/>
        <color rgb="FF000000"/>
        <rFont val="Arial"/>
        <family val="2"/>
        <scheme val="minor"/>
      </rPr>
      <t xml:space="preserve"> 탭으로 이동하여 </t>
    </r>
    <r>
      <rPr>
        <b/>
        <sz val="10"/>
        <color rgb="FF000000"/>
        <rFont val="Arial"/>
        <family val="2"/>
        <scheme val="minor"/>
      </rPr>
      <t>잠금</t>
    </r>
    <r>
      <rPr>
        <sz val="10"/>
        <color rgb="FF000000"/>
        <rFont val="Arial"/>
        <family val="2"/>
        <scheme val="minor"/>
      </rPr>
      <t xml:space="preserve"> 체크를 해제합니다.</t>
    </r>
  </si>
  <si>
    <r>
      <t xml:space="preserve">4. 위 단계를 완료한 후, 다시 </t>
    </r>
    <r>
      <rPr>
        <b/>
        <sz val="10"/>
        <color rgb="FF000000"/>
        <rFont val="Arial"/>
        <family val="2"/>
        <scheme val="minor"/>
      </rPr>
      <t>시트 보호</t>
    </r>
    <r>
      <rPr>
        <sz val="10"/>
        <color rgb="FF000000"/>
        <rFont val="Arial"/>
        <family val="2"/>
        <scheme val="minor"/>
      </rPr>
      <t>를 설정하면 해당 셀은 수정 가능하고 나머지 부분은 수정할 수 없습니다.</t>
    </r>
  </si>
  <si>
    <t>#유일하지 않고 중복되는 필드명들이 있다면 구분할 수 있는 키워드를 넣어서 유일한 필드로 만든다.</t>
    <phoneticPr fontId="16" type="noConversion"/>
  </si>
  <si>
    <r>
      <rPr>
        <sz val="10"/>
        <color rgb="FF000000"/>
        <rFont val="Arial"/>
        <family val="3"/>
        <charset val="129"/>
        <scheme val="minor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참여기업을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</si>
  <si>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멘토는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멘토를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</si>
  <si>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rPr>
        <b/>
        <i/>
        <u/>
        <sz val="11"/>
        <color rgb="FFFF0000"/>
        <rFont val="Arial"/>
        <family val="3"/>
        <charset val="129"/>
        <scheme val="minor"/>
      </rPr>
      <t>지우지</t>
    </r>
    <r>
      <rPr>
        <b/>
        <i/>
        <u/>
        <sz val="11"/>
        <color rgb="FFFF0000"/>
        <rFont val="Arial"/>
        <family val="2"/>
        <scheme val="minor"/>
      </rPr>
      <t xml:space="preserve"> </t>
    </r>
    <r>
      <rPr>
        <b/>
        <i/>
        <u/>
        <sz val="11"/>
        <color rgb="FFFF0000"/>
        <rFont val="Arial"/>
        <family val="3"/>
        <charset val="129"/>
        <scheme val="minor"/>
      </rPr>
      <t>마세요</t>
    </r>
    <r>
      <rPr>
        <b/>
        <i/>
        <u/>
        <sz val="11"/>
        <color rgb="FFFF0000"/>
        <rFont val="Arial"/>
        <family val="2"/>
        <scheme val="minor"/>
      </rPr>
      <t>.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</si>
  <si>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기본양식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</si>
  <si>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정보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</si>
  <si>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운영계획서</t>
    </r>
    <phoneticPr fontId="16" type="noConversion"/>
  </si>
  <si>
    <r>
      <rPr>
        <b/>
        <u/>
        <sz val="15"/>
        <color rgb="FF000000"/>
        <rFont val="Arial"/>
        <family val="3"/>
        <charset val="129"/>
        <scheme val="minor"/>
      </rPr>
      <t>작성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Arial"/>
        <family val="3"/>
        <charset val="129"/>
        <scheme val="minor"/>
      </rPr>
      <t>팁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</si>
  <si>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멘토일지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</si>
  <si>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종합보고서</t>
    </r>
    <phoneticPr fontId="16" type="noConversion"/>
  </si>
  <si>
    <r>
      <rPr>
        <sz val="14"/>
        <color rgb="FF000000"/>
        <rFont val="Arial"/>
        <family val="3"/>
        <charset val="129"/>
        <scheme val="minor"/>
      </rPr>
      <t>중간점검일지</t>
    </r>
    <phoneticPr fontId="16" type="noConversion"/>
  </si>
  <si>
    <r>
      <t>125. (</t>
    </r>
    <r>
      <rPr>
        <sz val="14"/>
        <color rgb="FF000000"/>
        <rFont val="Arial"/>
        <family val="2"/>
        <charset val="129"/>
        <scheme val="minor"/>
      </rPr>
      <t>공통직무교육기관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2"/>
        <charset val="129"/>
        <scheme val="minor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실시보고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</si>
  <si>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>,</t>
    </r>
    <r>
      <rPr>
        <sz val="10"/>
        <color rgb="FF000000"/>
        <rFont val="Arial"/>
        <family val="3"/>
        <charset val="129"/>
        <scheme val="minor"/>
      </rPr>
      <t>아래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</si>
  <si>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진하게</t>
    </r>
    <phoneticPr fontId="16" type="noConversion"/>
  </si>
  <si>
    <r>
      <t xml:space="preserve">33.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참여신청서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</si>
  <si>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가운데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</si>
  <si>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</si>
  <si>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왼쪽</t>
    </r>
    <r>
      <rPr>
        <sz val="10"/>
        <color rgb="FF000000"/>
        <rFont val="Arial"/>
        <family val="2"/>
        <scheme val="minor"/>
      </rPr>
      <t>(세로정렬: 가운데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</si>
  <si>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</si>
  <si>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</si>
  <si>
    <r>
      <rPr>
        <sz val="10"/>
        <color rgb="FF000000"/>
        <rFont val="Arial"/>
        <family val="3"/>
        <charset val="129"/>
        <scheme val="minor"/>
      </rPr>
      <t>기본</t>
    </r>
    <phoneticPr fontId="16" type="noConversion"/>
  </si>
  <si>
    <r>
      <t xml:space="preserve">13. </t>
    </r>
    <r>
      <rPr>
        <sz val="14"/>
        <color rgb="FF000000"/>
        <rFont val="Arial"/>
        <family val="3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지급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16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</si>
  <si>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진하게</t>
    </r>
    <phoneticPr fontId="16" type="noConversion"/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</si>
  <si>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및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일경험정보</t>
    </r>
    <phoneticPr fontId="16" type="noConversion"/>
  </si>
  <si>
    <r>
      <rPr>
        <b/>
        <u/>
        <sz val="20"/>
        <color rgb="FF000000"/>
        <rFont val="Arial"/>
        <family val="3"/>
        <charset val="129"/>
        <scheme val="minor"/>
      </rPr>
      <t>참여자명단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</si>
  <si>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필드명</t>
    </r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</si>
  <si>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단위</t>
    </r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</si>
  <si>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필드</t>
    </r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</si>
  <si>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입력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</si>
  <si>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입력값</t>
    </r>
    <phoneticPr fontId="16" type="noConversion"/>
  </si>
  <si>
    <r>
      <rPr>
        <u/>
        <sz val="20"/>
        <color rgb="FF000000"/>
        <rFont val="Arial"/>
        <family val="3"/>
        <charset val="129"/>
        <scheme val="minor"/>
      </rPr>
      <t>단위명</t>
    </r>
    <phoneticPr fontId="16" type="noConversion"/>
  </si>
  <si>
    <r>
      <rPr>
        <u val="double"/>
        <sz val="20"/>
        <color rgb="FF000000"/>
        <rFont val="Arial"/>
        <family val="3"/>
        <charset val="129"/>
        <scheme val="minor"/>
      </rPr>
      <t>한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줄</t>
    </r>
    <r>
      <rPr>
        <u val="double"/>
        <sz val="20"/>
        <color rgb="FF000000"/>
        <rFont val="Arial"/>
        <family val="2"/>
        <scheme val="minor"/>
      </rPr>
      <t xml:space="preserve"> </t>
    </r>
    <r>
      <rPr>
        <u val="double"/>
        <sz val="20"/>
        <color rgb="FF000000"/>
        <rFont val="Arial"/>
        <family val="3"/>
        <charset val="129"/>
        <scheme val="minor"/>
      </rPr>
      <t>띄우기</t>
    </r>
    <phoneticPr fontId="16" type="noConversion"/>
  </si>
  <si>
    <r>
      <t xml:space="preserve">4. </t>
    </r>
    <r>
      <rPr>
        <sz val="10"/>
        <color rgb="FF000000"/>
        <rFont val="Arial"/>
        <family val="3"/>
        <charset val="129"/>
        <scheme val="minor"/>
      </rPr>
      <t>비밀번호를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입력하여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설정할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수도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있습니다</t>
    </r>
    <r>
      <rPr>
        <sz val="10"/>
        <color rgb="FF000000"/>
        <rFont val="Arial"/>
        <family val="2"/>
        <scheme val="minor"/>
      </rPr>
      <t>. (</t>
    </r>
    <r>
      <rPr>
        <sz val="10"/>
        <color rgb="FF000000"/>
        <rFont val="Arial"/>
        <family val="3"/>
        <charset val="129"/>
        <scheme val="minor"/>
      </rPr>
      <t>선택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사항</t>
    </r>
    <r>
      <rPr>
        <sz val="10"/>
        <color rgb="FF000000"/>
        <rFont val="Arial"/>
        <family val="2"/>
        <scheme val="minor"/>
      </rPr>
      <t>)</t>
    </r>
    <phoneticPr fontId="16" type="noConversion"/>
  </si>
  <si>
    <r>
      <rPr>
        <u val="double"/>
        <sz val="20"/>
        <color rgb="FF000000"/>
        <rFont val="Arial"/>
        <family val="2"/>
        <charset val="129"/>
        <scheme val="minor"/>
      </rPr>
      <t>세로정렬</t>
    </r>
    <phoneticPr fontId="16" type="noConversion"/>
  </si>
  <si>
    <r>
      <rPr>
        <sz val="10"/>
        <color rgb="FF000000"/>
        <rFont val="맑은 고딕"/>
        <family val="3"/>
        <charset val="129"/>
      </rPr>
      <t>특정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맑은 고딕"/>
        <family val="3"/>
        <charset val="129"/>
      </rPr>
      <t>부모시트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맑은 고딕"/>
        <family val="3"/>
        <charset val="129"/>
      </rPr>
      <t>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제외하고는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없게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잠금을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걸어놓는다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</si>
  <si>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t>2. [</t>
    </r>
    <r>
      <rPr>
        <sz val="10"/>
        <color rgb="FF000000"/>
        <rFont val="맑은 고딕"/>
        <family val="3"/>
        <charset val="129"/>
      </rPr>
      <t>오른쪽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클릭</t>
    </r>
    <r>
      <rPr>
        <sz val="10"/>
        <color rgb="FF000000"/>
        <rFont val="Arial"/>
        <family val="2"/>
        <scheme val="minor"/>
      </rPr>
      <t>] → [</t>
    </r>
    <r>
      <rPr>
        <sz val="10"/>
        <color rgb="FF000000"/>
        <rFont val="맑은 고딕"/>
        <family val="3"/>
        <charset val="129"/>
      </rPr>
      <t>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서식</t>
    </r>
    <r>
      <rPr>
        <sz val="10"/>
        <color rgb="FF000000"/>
        <rFont val="Arial"/>
        <family val="2"/>
        <scheme val="minor"/>
      </rPr>
      <t>]</t>
    </r>
    <r>
      <rPr>
        <sz val="10"/>
        <color rgb="FF000000"/>
        <rFont val="맑은 고딕"/>
        <family val="3"/>
        <charset val="129"/>
      </rPr>
      <t>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선택합니다</t>
    </r>
    <r>
      <rPr>
        <sz val="10"/>
        <color rgb="FF000000"/>
        <rFont val="Arial"/>
        <family val="2"/>
        <scheme val="minor"/>
      </rPr>
      <t>.</t>
    </r>
    <phoneticPr fontId="16" type="noConversion"/>
  </si>
  <si>
    <r>
      <t xml:space="preserve">13. </t>
    </r>
    <r>
      <rPr>
        <sz val="10"/>
        <color rgb="FF000000"/>
        <rFont val="Arial"/>
        <family val="3"/>
        <charset val="129"/>
        <scheme val="minor"/>
      </rPr>
      <t>참여기업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지원금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지급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신청서</t>
    </r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</si>
  <si>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</si>
  <si>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</si>
  <si>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6" type="noConversion"/>
  </si>
  <si>
    <r>
      <rPr>
        <sz val="10"/>
        <color rgb="FF000000"/>
        <rFont val="Arial"/>
        <family val="1"/>
        <charset val="129"/>
        <scheme val="minor"/>
      </rPr>
      <t>사업장</t>
    </r>
  </si>
  <si>
    <r>
      <rPr>
        <sz val="10"/>
        <color rgb="FF000000"/>
        <rFont val="Arial"/>
        <family val="1"/>
        <charset val="129"/>
        <scheme val="minor"/>
      </rPr>
      <t>사업장명</t>
    </r>
  </si>
  <si>
    <r>
      <rPr>
        <sz val="10"/>
        <color rgb="FF000000"/>
        <rFont val="Arial"/>
        <family val="1"/>
        <charset val="129"/>
        <scheme val="minor"/>
      </rPr>
      <t>대표자명</t>
    </r>
  </si>
  <si>
    <r>
      <rPr>
        <sz val="10"/>
        <color rgb="FF000000"/>
        <rFont val="Arial"/>
        <family val="1"/>
        <charset val="129"/>
        <scheme val="minor"/>
      </rPr>
      <t>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황</t>
    </r>
  </si>
  <si>
    <r>
      <rPr>
        <sz val="10"/>
        <color rgb="FF000000"/>
        <rFont val="Arial"/>
        <family val="1"/>
        <charset val="129"/>
        <scheme val="minor"/>
      </rPr>
      <t>소재지</t>
    </r>
  </si>
  <si>
    <r>
      <rPr>
        <sz val="10"/>
        <color rgb="FF000000"/>
        <rFont val="Arial"/>
        <family val="1"/>
        <charset val="129"/>
        <scheme val="minor"/>
      </rPr>
      <t>업종</t>
    </r>
  </si>
  <si>
    <r>
      <rPr>
        <sz val="10"/>
        <color rgb="FF000000"/>
        <rFont val="Arial"/>
        <family val="1"/>
        <charset val="129"/>
        <scheme val="minor"/>
      </rPr>
      <t>피보험자수</t>
    </r>
  </si>
  <si>
    <r>
      <rPr>
        <sz val="10"/>
        <color rgb="FF000000"/>
        <rFont val="Arial"/>
        <family val="1"/>
        <charset val="129"/>
        <scheme val="minor"/>
      </rPr>
      <t>담당자</t>
    </r>
  </si>
  <si>
    <r>
      <rPr>
        <sz val="10"/>
        <color rgb="FF000000"/>
        <rFont val="Arial"/>
        <family val="1"/>
        <charset val="129"/>
        <scheme val="minor"/>
      </rPr>
      <t>담당부서</t>
    </r>
  </si>
  <si>
    <r>
      <rPr>
        <sz val="10"/>
        <color rgb="FF000000"/>
        <rFont val="Arial"/>
        <family val="1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</t>
    </r>
  </si>
  <si>
    <r>
      <rPr>
        <sz val="10"/>
        <color rgb="FF000000"/>
        <rFont val="Arial"/>
        <family val="1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보</t>
    </r>
  </si>
  <si>
    <r>
      <rPr>
        <sz val="10"/>
        <color rgb="FF000000"/>
        <rFont val="Arial"/>
        <family val="1"/>
        <charset val="129"/>
        <scheme val="minor"/>
      </rPr>
      <t>전화번호</t>
    </r>
  </si>
  <si>
    <r>
      <rPr>
        <sz val="10"/>
        <color rgb="FF000000"/>
        <rFont val="Arial"/>
        <family val="1"/>
        <charset val="129"/>
        <scheme val="minor"/>
      </rPr>
      <t>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일</t>
    </r>
  </si>
  <si>
    <r>
      <t>(</t>
    </r>
    <r>
      <rPr>
        <sz val="10"/>
        <color rgb="FF000000"/>
        <rFont val="Arial"/>
        <family val="1"/>
        <charset val="129"/>
        <scheme val="minor"/>
      </rPr>
      <t>팩스번호</t>
    </r>
    <r>
      <rPr>
        <sz val="10"/>
        <color rgb="FF000000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</si>
  <si>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1"/>
        <charset val="129"/>
        <scheme val="minor"/>
      </rPr>
      <t>프로그램의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참여인원이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Arial"/>
        <family val="1"/>
        <charset val="129"/>
        <scheme val="minor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이상인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경우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담당자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제출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</si>
  <si>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프로그램</t>
    </r>
  </si>
  <si>
    <r>
      <rPr>
        <sz val="10"/>
        <color rgb="FF000000"/>
        <rFont val="Arial"/>
        <family val="1"/>
        <charset val="129"/>
        <scheme val="minor"/>
      </rPr>
      <t>프로그램명</t>
    </r>
  </si>
  <si>
    <r>
      <rPr>
        <sz val="10"/>
        <color rgb="FF000000"/>
        <rFont val="Arial"/>
        <family val="1"/>
        <charset val="129"/>
        <scheme val="minor"/>
      </rPr>
      <t>직무분야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</si>
  <si>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내용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</si>
  <si>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기간</t>
    </r>
  </si>
  <si>
    <r>
      <rPr>
        <sz val="10"/>
        <color rgb="FF000000"/>
        <rFont val="Arial"/>
        <family val="1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1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</si>
  <si>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참여인원</t>
    </r>
  </si>
  <si>
    <r>
      <rPr>
        <sz val="9"/>
        <color rgb="FF000000"/>
        <rFont val="Arial"/>
        <family val="3"/>
        <charset val="129"/>
        <scheme val="minor"/>
      </rPr>
      <t>참여자</t>
    </r>
  </si>
  <si>
    <r>
      <rPr>
        <sz val="9"/>
        <color rgb="FF000000"/>
        <rFont val="Arial"/>
        <family val="3"/>
        <charset val="129"/>
        <scheme val="minor"/>
      </rPr>
      <t>성명</t>
    </r>
  </si>
  <si>
    <r>
      <rPr>
        <sz val="9"/>
        <color rgb="FF000000"/>
        <rFont val="Arial"/>
        <family val="3"/>
        <charset val="129"/>
        <scheme val="minor"/>
      </rPr>
      <t>생년월일</t>
    </r>
  </si>
  <si>
    <r>
      <rPr>
        <sz val="9"/>
        <color rgb="FF000000"/>
        <rFont val="Arial"/>
        <family val="3"/>
        <charset val="129"/>
        <scheme val="minor"/>
      </rPr>
      <t>성별</t>
    </r>
  </si>
  <si>
    <r>
      <rPr>
        <sz val="9"/>
        <color rgb="FF000000"/>
        <rFont val="Arial"/>
        <family val="3"/>
        <charset val="129"/>
        <scheme val="minor"/>
      </rPr>
      <t>참여일</t>
    </r>
  </si>
  <si>
    <r>
      <rPr>
        <sz val="9"/>
        <color rgb="FF000000"/>
        <rFont val="Arial"/>
        <family val="3"/>
        <charset val="129"/>
        <scheme val="minor"/>
      </rPr>
      <t>연락처</t>
    </r>
  </si>
  <si>
    <r>
      <rPr>
        <sz val="9"/>
        <color rgb="FF000000"/>
        <rFont val="Arial"/>
        <family val="3"/>
        <charset val="129"/>
        <scheme val="minor"/>
      </rPr>
      <t>명단</t>
    </r>
  </si>
  <si>
    <r>
      <t xml:space="preserve">( </t>
    </r>
    <r>
      <rPr>
        <sz val="7"/>
        <color rgb="FF000000"/>
        <rFont val="Arial"/>
        <family val="3"/>
        <charset val="129"/>
        <scheme val="minor"/>
      </rPr>
      <t>년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월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일</t>
    </r>
    <r>
      <rPr>
        <sz val="7"/>
        <color rgb="FF000000"/>
        <rFont val="Arial"/>
        <family val="2"/>
        <scheme val="minor"/>
      </rPr>
      <t>)</t>
    </r>
  </si>
  <si>
    <r>
      <rPr>
        <sz val="9"/>
        <color rgb="FFFF0000"/>
        <rFont val="Arial"/>
        <family val="1"/>
        <charset val="129"/>
        <scheme val="minor"/>
      </rPr>
      <t>참여일</t>
    </r>
  </si>
  <si>
    <r>
      <rPr>
        <b/>
        <sz val="10"/>
        <color rgb="FF000000"/>
        <rFont val="Arial"/>
        <family val="3"/>
        <charset val="129"/>
        <scheme val="minor"/>
      </rPr>
      <t>위와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같이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『청년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지원사업</t>
    </r>
    <r>
      <rPr>
        <b/>
        <sz val="10"/>
        <color rgb="FF000000"/>
        <rFont val="Arial"/>
        <family val="2"/>
        <scheme val="minor"/>
      </rPr>
      <t>(</t>
    </r>
    <r>
      <rPr>
        <b/>
        <sz val="10"/>
        <color rgb="FF000000"/>
        <rFont val="Arial"/>
        <family val="3"/>
        <charset val="129"/>
        <scheme val="minor"/>
      </rPr>
      <t>인턴형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>)</t>
    </r>
    <r>
      <rPr>
        <b/>
        <sz val="10"/>
        <color rgb="FF000000"/>
        <rFont val="Arial"/>
        <family val="3"/>
        <charset val="129"/>
        <scheme val="minor"/>
      </rPr>
      <t>』의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실시현황을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통보합니다</t>
    </r>
    <r>
      <rPr>
        <b/>
        <sz val="10"/>
        <color rgb="FF000000"/>
        <rFont val="Arial"/>
        <family val="2"/>
        <scheme val="minor"/>
      </rPr>
      <t xml:space="preserve">. </t>
    </r>
  </si>
  <si>
    <r>
      <t>2024</t>
    </r>
    <r>
      <rPr>
        <sz val="9"/>
        <color rgb="FF000000"/>
        <rFont val="Arial"/>
        <family val="3"/>
        <charset val="129"/>
        <scheme val="minor"/>
      </rPr>
      <t>년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월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일</t>
    </r>
  </si>
  <si>
    <r>
      <rPr>
        <sz val="9"/>
        <color rgb="FF000000"/>
        <rFont val="Arial"/>
        <family val="3"/>
        <charset val="129"/>
        <scheme val="minor"/>
      </rPr>
      <t>확인자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3"/>
        <charset val="129"/>
        <scheme val="minor"/>
      </rPr>
      <t>대표자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</si>
  <si>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5D5D5D"/>
        <rFont val="Arial"/>
        <family val="3"/>
        <charset val="129"/>
        <scheme val="minor"/>
      </rPr>
      <t>서명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또는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인</t>
    </r>
    <r>
      <rPr>
        <sz val="9"/>
        <color rgb="FF5D5D5D"/>
        <rFont val="Arial"/>
        <family val="2"/>
        <scheme val="minor"/>
      </rPr>
      <t>)</t>
    </r>
  </si>
  <si>
    <r>
      <rPr>
        <sz val="9"/>
        <color rgb="FF000000"/>
        <rFont val="Arial"/>
        <family val="3"/>
        <charset val="129"/>
        <scheme val="minor"/>
      </rPr>
      <t>귀하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</si>
  <si>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1</t>
    </r>
    <phoneticPr fontId="16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</si>
  <si>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1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</si>
  <si>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</si>
  <si>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</si>
  <si>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6" type="noConversion"/>
  </si>
  <si>
    <r>
      <rPr>
        <sz val="12"/>
        <rFont val="Arial"/>
        <family val="3"/>
        <charset val="129"/>
        <scheme val="minor"/>
      </rPr>
      <t>접수번호</t>
    </r>
  </si>
  <si>
    <r>
      <rPr>
        <sz val="12"/>
        <rFont val="Arial"/>
        <family val="3"/>
        <charset val="129"/>
        <scheme val="minor"/>
      </rPr>
      <t>접수일자</t>
    </r>
  </si>
  <si>
    <r>
      <rPr>
        <b/>
        <u/>
        <sz val="20"/>
        <color rgb="FF000000"/>
        <rFont val="Arial"/>
        <family val="3"/>
        <charset val="129"/>
        <scheme val="minor"/>
      </rPr>
      <t>참여기업</t>
    </r>
    <phoneticPr fontId="16" type="noConversion"/>
  </si>
  <si>
    <r>
      <rPr>
        <b/>
        <sz val="12"/>
        <rFont val="Arial"/>
        <family val="3"/>
        <charset val="129"/>
        <scheme val="minor"/>
      </rPr>
      <t>사업장명</t>
    </r>
  </si>
  <si>
    <r>
      <rPr>
        <b/>
        <sz val="12"/>
        <rFont val="Arial"/>
        <family val="3"/>
        <charset val="129"/>
        <scheme val="minor"/>
      </rPr>
      <t>대표자명</t>
    </r>
  </si>
  <si>
    <r>
      <rPr>
        <b/>
        <sz val="12"/>
        <rFont val="Arial"/>
        <family val="3"/>
        <charset val="129"/>
        <scheme val="minor"/>
      </rPr>
      <t>사업자등록번호</t>
    </r>
  </si>
  <si>
    <r>
      <rPr>
        <b/>
        <sz val="12"/>
        <rFont val="Arial"/>
        <family val="3"/>
        <charset val="129"/>
        <scheme val="minor"/>
      </rPr>
      <t>고용보험</t>
    </r>
  </si>
  <si>
    <r>
      <t>(</t>
    </r>
    <r>
      <rPr>
        <b/>
        <sz val="12"/>
        <rFont val="Arial"/>
        <family val="3"/>
        <charset val="129"/>
        <scheme val="minor"/>
      </rPr>
      <t>법인등록번호</t>
    </r>
    <r>
      <rPr>
        <b/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</si>
  <si>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사업장관리번호</t>
    </r>
  </si>
  <si>
    <r>
      <rPr>
        <b/>
        <sz val="12"/>
        <rFont val="Arial"/>
        <family val="3"/>
        <charset val="129"/>
        <scheme val="minor"/>
      </rPr>
      <t>소재지</t>
    </r>
  </si>
  <si>
    <r>
      <t xml:space="preserve">* </t>
    </r>
    <r>
      <rPr>
        <sz val="10"/>
        <color rgb="FFFF0000"/>
        <rFont val="Arial"/>
        <family val="3"/>
        <charset val="129"/>
        <scheme val="minor"/>
      </rPr>
      <t>담당자는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멘토를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지칭</t>
    </r>
    <phoneticPr fontId="16" type="noConversion"/>
  </si>
  <si>
    <r>
      <rPr>
        <b/>
        <sz val="12"/>
        <rFont val="Arial"/>
        <family val="3"/>
        <charset val="129"/>
        <scheme val="minor"/>
      </rPr>
      <t>담당자</t>
    </r>
  </si>
  <si>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</si>
  <si>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전화번호</t>
    </r>
  </si>
  <si>
    <r>
      <rPr>
        <b/>
        <sz val="12"/>
        <rFont val="Arial"/>
        <family val="3"/>
        <charset val="129"/>
        <scheme val="minor"/>
      </rPr>
      <t>이메일</t>
    </r>
  </si>
  <si>
    <r>
      <rPr>
        <b/>
        <sz val="12"/>
        <rFont val="Arial"/>
        <family val="3"/>
        <charset val="129"/>
        <scheme val="minor"/>
      </rPr>
      <t>팩스번호</t>
    </r>
  </si>
  <si>
    <r>
      <rPr>
        <b/>
        <sz val="12"/>
        <rFont val="Arial"/>
        <family val="3"/>
        <charset val="129"/>
        <scheme val="minor"/>
      </rPr>
      <t>신청내용</t>
    </r>
  </si>
  <si>
    <r>
      <rPr>
        <b/>
        <sz val="12"/>
        <rFont val="Arial"/>
        <family val="3"/>
        <charset val="129"/>
        <scheme val="minor"/>
      </rPr>
      <t>참여청년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</si>
  <si>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참여일</t>
    </r>
  </si>
  <si>
    <r>
      <rPr>
        <b/>
        <sz val="12"/>
        <rFont val="Arial"/>
        <family val="3"/>
        <charset val="129"/>
        <scheme val="minor"/>
      </rPr>
      <t>신청기간</t>
    </r>
  </si>
  <si>
    <r>
      <rPr>
        <b/>
        <sz val="12"/>
        <rFont val="Arial"/>
        <family val="3"/>
        <charset val="129"/>
        <scheme val="minor"/>
      </rPr>
      <t>신청금액</t>
    </r>
  </si>
  <si>
    <r>
      <t>(</t>
    </r>
    <r>
      <rPr>
        <b/>
        <sz val="12"/>
        <rFont val="Arial"/>
        <family val="3"/>
        <charset val="129"/>
        <scheme val="minor"/>
      </rPr>
      <t>주민등록번호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</si>
  <si>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</si>
  <si>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 xml:space="preserve"> ~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</si>
  <si>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>(</t>
    </r>
    <r>
      <rPr>
        <b/>
        <sz val="12"/>
        <rFont val="Arial"/>
        <family val="3"/>
        <charset val="129"/>
        <scheme val="minor"/>
      </rPr>
      <t>원</t>
    </r>
    <r>
      <rPr>
        <b/>
        <sz val="12"/>
        <rFont val="Arial"/>
        <family val="2"/>
        <scheme val="minor"/>
      </rPr>
      <t>)</t>
    </r>
  </si>
  <si>
    <r>
      <rPr>
        <sz val="12"/>
        <color rgb="FFFF0000"/>
        <rFont val="Arial"/>
        <family val="2"/>
        <charset val="129"/>
        <scheme val="minor"/>
      </rPr>
      <t>기입</t>
    </r>
    <phoneticPr fontId="16" type="noConversion"/>
  </si>
  <si>
    <r>
      <rPr>
        <sz val="12"/>
        <rFont val="Arial"/>
        <family val="3"/>
        <charset val="129"/>
        <scheme val="minor"/>
      </rPr>
      <t>지원금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총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신청인원</t>
    </r>
  </si>
  <si>
    <r>
      <t xml:space="preserve">( 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  <phoneticPr fontId="16" type="noConversion"/>
  </si>
  <si>
    <r>
      <rPr>
        <sz val="12"/>
        <rFont val="Arial"/>
        <family val="3"/>
        <charset val="129"/>
        <scheme val="minor"/>
      </rPr>
      <t>신청금액</t>
    </r>
  </si>
  <si>
    <r>
      <t>(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 ) </t>
    </r>
    <r>
      <rPr>
        <sz val="12"/>
        <rFont val="Arial"/>
        <family val="3"/>
        <charset val="129"/>
        <scheme val="minor"/>
      </rPr>
      <t>원</t>
    </r>
    <phoneticPr fontId="16" type="noConversion"/>
  </si>
  <si>
    <r>
      <rPr>
        <b/>
        <sz val="12"/>
        <rFont val="Arial"/>
        <family val="3"/>
        <charset val="129"/>
        <scheme val="minor"/>
      </rPr>
      <t>기업명의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계좌번호</t>
    </r>
  </si>
  <si>
    <r>
      <rPr>
        <b/>
        <sz val="12"/>
        <rFont val="Arial"/>
        <family val="3"/>
        <charset val="129"/>
        <scheme val="minor"/>
      </rPr>
      <t>『청년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지원사업｣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지침에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따라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위와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같이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신청합니다</t>
    </r>
    <r>
      <rPr>
        <b/>
        <sz val="12"/>
        <rFont val="Arial"/>
        <family val="2"/>
        <scheme val="minor"/>
      </rPr>
      <t>.</t>
    </r>
  </si>
  <si>
    <r>
      <t>2024</t>
    </r>
    <r>
      <rPr>
        <sz val="12"/>
        <rFont val="Arial"/>
        <family val="3"/>
        <charset val="129"/>
        <scheme val="minor"/>
      </rPr>
      <t>년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월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일</t>
    </r>
  </si>
  <si>
    <r>
      <rPr>
        <b/>
        <sz val="12"/>
        <rFont val="Arial"/>
        <family val="3"/>
        <charset val="129"/>
        <scheme val="minor"/>
      </rPr>
      <t>확인자</t>
    </r>
    <r>
      <rPr>
        <b/>
        <sz val="12"/>
        <rFont val="Arial"/>
        <family val="2"/>
        <scheme val="minor"/>
      </rPr>
      <t>(</t>
    </r>
    <r>
      <rPr>
        <b/>
        <sz val="12"/>
        <rFont val="Arial"/>
        <family val="3"/>
        <charset val="129"/>
        <scheme val="minor"/>
      </rPr>
      <t>대표자</t>
    </r>
    <r>
      <rPr>
        <b/>
        <sz val="12"/>
        <rFont val="Arial"/>
        <family val="2"/>
        <scheme val="minor"/>
      </rPr>
      <t>)</t>
    </r>
  </si>
  <si>
    <r>
      <t>(</t>
    </r>
    <r>
      <rPr>
        <sz val="12"/>
        <rFont val="Arial"/>
        <family val="3"/>
        <charset val="129"/>
        <scheme val="minor"/>
      </rPr>
      <t>서명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또는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인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</si>
  <si>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한국무선인터넷솔루션협회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운영기관장</t>
    </r>
  </si>
  <si>
    <r>
      <rPr>
        <sz val="12"/>
        <rFont val="Arial"/>
        <family val="3"/>
        <charset val="129"/>
        <scheme val="minor"/>
      </rPr>
      <t>귀하</t>
    </r>
  </si>
  <si>
    <r>
      <rPr>
        <sz val="12"/>
        <rFont val="Arial"/>
        <family val="3"/>
        <charset val="129"/>
        <scheme val="minor"/>
      </rPr>
      <t>첨부서류</t>
    </r>
  </si>
  <si>
    <r>
      <t xml:space="preserve">1. 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운영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증빙자료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계획서</t>
    </r>
    <r>
      <rPr>
        <sz val="12"/>
        <rFont val="Arial"/>
        <family val="2"/>
        <scheme val="minor"/>
      </rPr>
      <t xml:space="preserve">, </t>
    </r>
    <r>
      <rPr>
        <sz val="12"/>
        <rFont val="Arial"/>
        <family val="3"/>
        <charset val="129"/>
        <scheme val="minor"/>
      </rPr>
      <t>참여청년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명단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등</t>
    </r>
    <r>
      <rPr>
        <sz val="12"/>
        <rFont val="Arial"/>
        <family val="2"/>
        <scheme val="minor"/>
      </rPr>
      <t>)</t>
    </r>
  </si>
  <si>
    <r>
      <t xml:space="preserve">2. </t>
    </r>
    <r>
      <rPr>
        <sz val="12"/>
        <rFont val="Arial"/>
        <family val="3"/>
        <charset val="129"/>
        <scheme val="minor"/>
      </rPr>
      <t>기업명의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통장사본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최초</t>
    </r>
    <r>
      <rPr>
        <sz val="12"/>
        <rFont val="Arial"/>
        <family val="2"/>
        <scheme val="minor"/>
      </rPr>
      <t xml:space="preserve"> 1</t>
    </r>
    <r>
      <rPr>
        <sz val="12"/>
        <rFont val="Arial"/>
        <family val="3"/>
        <charset val="129"/>
        <scheme val="minor"/>
      </rPr>
      <t>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시에만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제출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</si>
  <si>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※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아래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란은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적지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않습니다</t>
    </r>
    <r>
      <rPr>
        <b/>
        <sz val="12"/>
        <rFont val="Arial"/>
        <family val="2"/>
        <scheme val="minor"/>
      </rPr>
      <t xml:space="preserve">. </t>
    </r>
  </si>
  <si>
    <r>
      <rPr>
        <b/>
        <sz val="12"/>
        <rFont val="Arial"/>
        <family val="3"/>
        <charset val="129"/>
        <scheme val="minor"/>
      </rPr>
      <t>접수</t>
    </r>
  </si>
  <si>
    <r>
      <rPr>
        <sz val="12"/>
        <rFont val="Arial"/>
        <family val="3"/>
        <charset val="129"/>
        <scheme val="minor"/>
      </rPr>
      <t>접수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</si>
  <si>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sz val="12"/>
        <rFont val="Arial"/>
        <family val="3"/>
        <charset val="129"/>
        <scheme val="minor"/>
      </rPr>
      <t>처리부서</t>
    </r>
  </si>
  <si>
    <r>
      <rPr>
        <b/>
        <sz val="12"/>
        <rFont val="Arial"/>
        <family val="3"/>
        <charset val="129"/>
        <scheme val="minor"/>
      </rPr>
      <t>선람</t>
    </r>
  </si>
  <si>
    <r>
      <rPr>
        <sz val="12"/>
        <rFont val="Arial"/>
        <family val="3"/>
        <charset val="129"/>
        <scheme val="minor"/>
      </rPr>
      <t>담당</t>
    </r>
  </si>
  <si>
    <r>
      <rPr>
        <sz val="12"/>
        <rFont val="Arial"/>
        <family val="3"/>
        <charset val="129"/>
        <scheme val="minor"/>
      </rPr>
      <t>팀장</t>
    </r>
  </si>
  <si>
    <r>
      <rPr>
        <sz val="12"/>
        <rFont val="Arial"/>
        <family val="3"/>
        <charset val="129"/>
        <scheme val="minor"/>
      </rPr>
      <t>과장</t>
    </r>
  </si>
  <si>
    <r>
      <rPr>
        <sz val="12"/>
        <rFont val="Arial"/>
        <family val="3"/>
        <charset val="129"/>
        <scheme val="minor"/>
      </rPr>
      <t>결재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</si>
  <si>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2</t>
    </r>
    <phoneticPr fontId="16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</si>
  <si>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2</t>
    </r>
    <phoneticPr fontId="16" type="noConversion"/>
  </si>
  <si>
    <r>
      <t xml:space="preserve">( 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</si>
  <si>
    <r>
      <t xml:space="preserve">( ) </t>
    </r>
    <r>
      <rPr>
        <sz val="12"/>
        <rFont val="Arial"/>
        <family val="3"/>
        <charset val="129"/>
        <scheme val="minor"/>
      </rPr>
      <t>원</t>
    </r>
  </si>
  <si>
    <r>
      <rPr>
        <sz val="12"/>
        <color theme="1"/>
        <rFont val="Arial"/>
        <family val="2"/>
        <charset val="129"/>
        <scheme val="minor"/>
      </rPr>
      <t>㈜노마드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</si>
  <si>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피보험자수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</si>
  <si>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inor"/>
      </rPr>
      <t>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</si>
  <si>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사업자등록번호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</si>
  <si>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종업원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수</t>
    </r>
    <phoneticPr fontId="16" type="noConversion"/>
  </si>
  <si>
    <r>
      <t>2</t>
    </r>
    <r>
      <rPr>
        <sz val="12"/>
        <color theme="1"/>
        <rFont val="Arial"/>
        <family val="2"/>
        <charset val="129"/>
        <scheme val="minor"/>
      </rPr>
      <t>명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</si>
  <si>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본사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</si>
  <si>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부산</t>
    </r>
    <r>
      <rPr>
        <sz val="12"/>
        <color theme="1"/>
        <rFont val="Arial"/>
        <family val="2"/>
        <charset val="129"/>
        <scheme val="minor"/>
      </rPr>
      <t>광역시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연제구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</si>
  <si>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은행명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</si>
  <si>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inor"/>
      </rPr>
      <t>은행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</si>
  <si>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</si>
  <si>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계좌번호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</si>
  <si>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예금주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</si>
  <si>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홍홍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</si>
  <si>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홈페이지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</si>
  <si>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디자인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</si>
  <si>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참여자자격요건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</si>
  <si>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담당자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</si>
  <si>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이순신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</si>
  <si>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</si>
  <si>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명</t>
    </r>
    <r>
      <rPr>
        <b/>
        <sz val="12"/>
        <color theme="1"/>
        <rFont val="Arial"/>
        <family val="2"/>
        <scheme val="minor"/>
      </rPr>
      <t>1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</si>
  <si>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세종대왕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</si>
  <si>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명</t>
    </r>
    <r>
      <rPr>
        <b/>
        <sz val="12"/>
        <color theme="1"/>
        <rFont val="Arial"/>
        <family val="2"/>
        <scheme val="minor"/>
      </rPr>
      <t>2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</si>
  <si>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광개토대왕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</si>
  <si>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6" type="noConversion"/>
  </si>
  <si>
    <r>
      <rPr>
        <sz val="12"/>
        <color theme="1"/>
        <rFont val="Arial"/>
        <family val="3"/>
        <charset val="129"/>
        <scheme val="minor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Arial"/>
        <family val="3"/>
        <charset val="129"/>
        <scheme val="minor"/>
      </rPr>
      <t>팀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</si>
  <si>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(1~4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</si>
  <si>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(5~8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6" type="noConversion"/>
  </si>
  <si>
    <t>멘토</t>
    <phoneticPr fontId="16" type="noConversion"/>
  </si>
  <si>
    <r>
      <rPr>
        <b/>
        <sz val="20"/>
        <color rgb="FF000000"/>
        <rFont val="Arial"/>
        <family val="3"/>
        <charset val="129"/>
        <scheme val="minor"/>
      </rPr>
      <t>시트</t>
    </r>
    <r>
      <rPr>
        <b/>
        <sz val="20"/>
        <color rgb="FF000000"/>
        <rFont val="Arial"/>
        <family val="2"/>
        <scheme val="minor"/>
      </rPr>
      <t xml:space="preserve"> </t>
    </r>
    <r>
      <rPr>
        <b/>
        <sz val="20"/>
        <color rgb="FF000000"/>
        <rFont val="Arial"/>
        <family val="3"/>
        <charset val="129"/>
        <scheme val="minor"/>
      </rPr>
      <t>명</t>
    </r>
    <phoneticPr fontId="16" type="noConversion"/>
  </si>
  <si>
    <r>
      <rPr>
        <b/>
        <sz val="14"/>
        <color rgb="FF000000"/>
        <rFont val="Arial"/>
        <family val="2"/>
        <charset val="129"/>
        <scheme val="minor"/>
      </rPr>
      <t>순번</t>
    </r>
    <phoneticPr fontId="16" type="noConversion"/>
  </si>
  <si>
    <r>
      <rPr>
        <b/>
        <sz val="14"/>
        <color rgb="FF000000"/>
        <rFont val="Arial"/>
        <family val="2"/>
        <charset val="129"/>
        <scheme val="minor"/>
      </rPr>
      <t>서식</t>
    </r>
    <r>
      <rPr>
        <b/>
        <sz val="14"/>
        <color rgb="FF000000"/>
        <rFont val="Arial"/>
        <family val="2"/>
        <scheme val="minor"/>
      </rPr>
      <t xml:space="preserve"> </t>
    </r>
    <r>
      <rPr>
        <b/>
        <sz val="14"/>
        <color rgb="FF000000"/>
        <rFont val="Arial"/>
        <family val="2"/>
        <charset val="129"/>
        <scheme val="minor"/>
      </rPr>
      <t>번호</t>
    </r>
    <r>
      <rPr>
        <b/>
        <sz val="14"/>
        <color rgb="FF000000"/>
        <rFont val="Arial"/>
        <family val="2"/>
        <scheme val="minor"/>
      </rPr>
      <t xml:space="preserve">. </t>
    </r>
    <r>
      <rPr>
        <b/>
        <sz val="14"/>
        <color rgb="FF000000"/>
        <rFont val="Arial"/>
        <family val="2"/>
        <charset val="129"/>
        <scheme val="minor"/>
      </rPr>
      <t>서식명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</si>
  <si>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멘토1</t>
    </r>
    <phoneticPr fontId="16" type="noConversion"/>
  </si>
  <si>
    <r>
      <rPr>
        <b/>
        <sz val="12"/>
        <color theme="1"/>
        <rFont val="Arial"/>
        <family val="3"/>
        <charset val="129"/>
        <scheme val="minor"/>
      </rPr>
      <t>업종</t>
    </r>
    <phoneticPr fontId="16" type="noConversion"/>
  </si>
  <si>
    <r>
      <t>00</t>
    </r>
    <r>
      <rPr>
        <sz val="12"/>
        <color theme="1"/>
        <rFont val="Arial"/>
        <family val="2"/>
        <charset val="129"/>
        <scheme val="minor"/>
      </rPr>
      <t>업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외</t>
    </r>
    <phoneticPr fontId="16" type="noConversion"/>
  </si>
  <si>
    <t>담당자명</t>
    <phoneticPr fontId="16" type="noConversion"/>
  </si>
  <si>
    <t>모바일 앱 개발 기초와 필수 도구 소개</t>
    <phoneticPr fontId="16" type="noConversion"/>
  </si>
  <si>
    <t>앱 화면 설계 및 사용자 경험(UX) 기초</t>
    <phoneticPr fontId="16" type="noConversion"/>
  </si>
  <si>
    <t>데이터 저장 및 관리 – SQLite와 로컬 데이터</t>
    <phoneticPr fontId="16" type="noConversion"/>
  </si>
  <si>
    <t>네트워크 통신 – API 활용 및 데이터 연동</t>
    <phoneticPr fontId="16" type="noConversion"/>
  </si>
  <si>
    <r>
      <rPr>
        <b/>
        <sz val="14"/>
        <color theme="1"/>
        <rFont val="Arial"/>
        <family val="3"/>
        <charset val="129"/>
        <scheme val="minor"/>
      </rPr>
      <t>단위명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</si>
  <si>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16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</si>
  <si>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r>
      <rPr>
        <u/>
        <sz val="20"/>
        <color rgb="FF000000"/>
        <rFont val="Arial"/>
        <family val="2"/>
        <scheme val="minor"/>
      </rPr>
      <t xml:space="preserve"> 
</t>
    </r>
    <r>
      <rPr>
        <u/>
        <sz val="20"/>
        <color rgb="FF000000"/>
        <rFont val="Arial"/>
        <family val="2"/>
        <charset val="129"/>
        <scheme val="minor"/>
      </rPr>
      <t>담당자</t>
    </r>
    <phoneticPr fontId="16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</si>
  <si>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inor"/>
      </rPr>
      <t>참여기업
멘토</t>
    </r>
    <phoneticPr fontId="16" type="noConversion"/>
  </si>
  <si>
    <r>
      <rPr>
        <u/>
        <sz val="20"/>
        <color rgb="FF000000"/>
        <rFont val="Arial"/>
        <family val="3"/>
        <charset val="129"/>
        <scheme val="minor"/>
      </rPr>
      <t>일경험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직무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정보</t>
    </r>
    <phoneticPr fontId="16" type="noConversion"/>
  </si>
  <si>
    <r>
      <t>1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</si>
  <si>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2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</si>
  <si>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3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</si>
  <si>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4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</si>
  <si>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5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</si>
  <si>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6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</si>
  <si>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7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</si>
  <si>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t>8</t>
    </r>
    <r>
      <rPr>
        <b/>
        <sz val="13"/>
        <rFont val="Arial"/>
        <family val="3"/>
        <charset val="129"/>
        <scheme val="minor"/>
      </rPr>
      <t>주차</t>
    </r>
    <phoneticPr fontId="16" type="noConversion"/>
  </si>
  <si>
    <r>
      <rPr>
        <sz val="12"/>
        <color theme="1"/>
        <rFont val="맑은 고딕"/>
        <family val="3"/>
        <charset val="129"/>
      </rPr>
      <t>프로</t>
    </r>
    <r>
      <rPr>
        <sz val="12"/>
        <color theme="1"/>
        <rFont val="Arial"/>
        <family val="2"/>
        <scheme val="minor"/>
      </rPr>
      <t>1</t>
    </r>
    <phoneticPr fontId="16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</si>
  <si>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멘토2</t>
    </r>
    <phoneticPr fontId="16" type="noConversion"/>
  </si>
  <si>
    <r>
      <t xml:space="preserve">* </t>
    </r>
    <r>
      <rPr>
        <sz val="10"/>
        <color rgb="FF000000"/>
        <rFont val="맑은 고딕"/>
        <family val="3"/>
        <charset val="129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전담인력을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의미하며</t>
    </r>
    <r>
      <rPr>
        <sz val="10"/>
        <color rgb="FF000000"/>
        <rFont val="Arial"/>
        <family val="2"/>
        <scheme val="minor"/>
      </rPr>
      <t xml:space="preserve"> 1</t>
    </r>
    <r>
      <rPr>
        <sz val="10"/>
        <color rgb="FF000000"/>
        <rFont val="맑은 고딕"/>
        <family val="3"/>
        <charset val="129"/>
      </rPr>
      <t>인당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청년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참여인원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맑은 고딕"/>
        <family val="3"/>
        <charset val="129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이하로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제한</t>
    </r>
    <phoneticPr fontId="16" type="noConversion"/>
  </si>
  <si>
    <r>
      <rPr>
        <b/>
        <sz val="13"/>
        <color theme="1"/>
        <rFont val="맑은 고딕"/>
        <family val="3"/>
        <charset val="129"/>
      </rPr>
      <t>전화번호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 Unicode MS"/>
        <family val="2"/>
        <charset val="129"/>
      </rPr>
      <t>팩스번호</t>
    </r>
    <r>
      <rPr>
        <b/>
        <sz val="13"/>
        <color theme="1"/>
        <rFont val="Arial"/>
        <family val="2"/>
        <scheme val="minor"/>
      </rPr>
      <t>)</t>
    </r>
    <phoneticPr fontId="16" type="noConversion"/>
  </si>
  <si>
    <t>참여일</t>
    <phoneticPr fontId="16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</si>
  <si>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멘토1</t>
    </r>
    <phoneticPr fontId="16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</si>
  <si>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멘토2</t>
    </r>
    <phoneticPr fontId="16" type="noConversion"/>
  </si>
  <si>
    <t>단위명</t>
    <phoneticPr fontId="16" type="noConversion"/>
  </si>
  <si>
    <t>교육기간 및 총시수</t>
  </si>
  <si>
    <t>교육정원</t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</si>
  <si>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계획서</t>
    </r>
    <phoneticPr fontId="16" type="noConversion"/>
  </si>
  <si>
    <r>
      <rPr>
        <b/>
        <sz val="14"/>
        <color theme="1"/>
        <rFont val="Arial"/>
        <family val="2"/>
        <charset val="129"/>
        <scheme val="minor"/>
      </rPr>
      <t>필드</t>
    </r>
    <phoneticPr fontId="16" type="noConversion"/>
  </si>
  <si>
    <r>
      <rPr>
        <b/>
        <sz val="14"/>
        <color theme="1"/>
        <rFont val="Arial"/>
        <family val="2"/>
        <charset val="129"/>
        <scheme val="minor"/>
      </rPr>
      <t>입력</t>
    </r>
    <phoneticPr fontId="16" type="noConversion"/>
  </si>
  <si>
    <r>
      <t>[</t>
    </r>
    <r>
      <rPr>
        <sz val="12"/>
        <color theme="1"/>
        <rFont val="Arial"/>
        <family val="2"/>
        <charset val="129"/>
        <scheme val="minor"/>
      </rPr>
      <t>노마드랩</t>
    </r>
    <r>
      <rPr>
        <sz val="12"/>
        <color theme="1"/>
        <rFont val="Arial"/>
        <family val="2"/>
        <scheme val="minor"/>
      </rPr>
      <t xml:space="preserve">] </t>
    </r>
    <r>
      <rPr>
        <sz val="12"/>
        <color theme="1"/>
        <rFont val="Arial"/>
        <family val="2"/>
        <charset val="129"/>
        <scheme val="minor"/>
      </rPr>
      <t>빅데이터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활용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개발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</si>
  <si>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연구개발</t>
    </r>
    <phoneticPr fontId="16" type="noConversion"/>
  </si>
  <si>
    <r>
      <t>2024.00.00~2024.00.00(00</t>
    </r>
    <r>
      <rPr>
        <sz val="12"/>
        <color rgb="FF000000"/>
        <rFont val="Arial"/>
        <family val="2"/>
        <charset val="129"/>
        <scheme val="minor"/>
      </rPr>
      <t>시간</t>
    </r>
    <r>
      <rPr>
        <sz val="12"/>
        <color rgb="FF000000"/>
        <rFont val="Arial"/>
        <family val="2"/>
        <scheme val="minor"/>
      </rPr>
      <t>)</t>
    </r>
    <phoneticPr fontId="16" type="noConversion"/>
  </si>
  <si>
    <r>
      <rPr>
        <sz val="12"/>
        <color theme="1"/>
        <rFont val="Arial"/>
        <family val="2"/>
        <charset val="129"/>
        <scheme val="minor"/>
      </rPr>
      <t>교육목적입니다</t>
    </r>
    <r>
      <rPr>
        <sz val="12"/>
        <color theme="1"/>
        <rFont val="Arial"/>
        <family val="2"/>
        <scheme val="minor"/>
      </rPr>
      <t>.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</si>
  <si>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프로그램명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</si>
  <si>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직무분야</t>
    </r>
    <phoneticPr fontId="16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</si>
  <si>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총시수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</si>
  <si>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교육정원</t>
    </r>
    <phoneticPr fontId="16" type="noConversion"/>
  </si>
  <si>
    <r>
      <rPr>
        <b/>
        <sz val="12"/>
        <color theme="1"/>
        <rFont val="Arial"/>
        <family val="2"/>
        <charset val="129"/>
        <scheme val="minor"/>
      </rPr>
      <t>교육목적</t>
    </r>
    <phoneticPr fontId="16" type="noConversion"/>
  </si>
  <si>
    <r>
      <t>00</t>
    </r>
    <r>
      <rPr>
        <sz val="12"/>
        <color theme="1"/>
        <rFont val="Arial Unicode MS"/>
        <family val="2"/>
        <charset val="129"/>
      </rPr>
      <t>명</t>
    </r>
    <phoneticPr fontId="16" type="noConversion"/>
  </si>
  <si>
    <t>사전직무교육 운영 계획서</t>
  </si>
  <si>
    <t>일경험 유형</t>
  </si>
  <si>
    <t> 인턴형</t>
  </si>
  <si>
    <t>□ 프로젝트형</t>
  </si>
  <si>
    <t>매칭-프로그램명</t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</si>
  <si>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프로그램명</t>
    </r>
  </si>
  <si>
    <t>매칭-운영기관명</t>
  </si>
  <si>
    <t>한국무선인터넷솔루션협회</t>
  </si>
  <si>
    <t>직무교육기관명</t>
  </si>
  <si>
    <t>한국융합인재교육협회</t>
  </si>
  <si>
    <t>교육</t>
  </si>
  <si>
    <t>장소</t>
  </si>
  <si>
    <t>기관명</t>
  </si>
  <si>
    <t>주 소</t>
  </si>
  <si>
    <t>직무분야</t>
  </si>
  <si>
    <t>담당자 소속</t>
  </si>
  <si>
    <t>김민재</t>
  </si>
  <si>
    <t>이름</t>
  </si>
  <si>
    <t>운영지원팀</t>
  </si>
  <si>
    <t>070-7701-7735</t>
  </si>
  <si>
    <t>교육방법</t>
  </si>
  <si>
    <t xml:space="preserve">■ 오프라인 </t>
  </si>
  <si>
    <t>□ 온라인</t>
  </si>
  <si>
    <t>□ 혼합(오프라인+온라인)</t>
  </si>
  <si>
    <r>
      <t>2024. 11. 22 ~ 2024. 11. 22(80</t>
    </r>
    <r>
      <rPr>
        <sz val="11"/>
        <color rgb="FF000000"/>
        <rFont val="함초롬바탕"/>
        <family val="1"/>
        <charset val="129"/>
      </rPr>
      <t>시간</t>
    </r>
    <r>
      <rPr>
        <sz val="11"/>
        <color rgb="FF000000"/>
        <rFont val="Arial"/>
        <family val="2"/>
        <scheme val="minor"/>
      </rPr>
      <t>)</t>
    </r>
  </si>
  <si>
    <t>교육목적</t>
  </si>
  <si>
    <t>주차</t>
  </si>
  <si>
    <t>구분</t>
  </si>
  <si>
    <r>
      <t>1</t>
    </r>
    <r>
      <rPr>
        <b/>
        <sz val="11"/>
        <color rgb="FF000000"/>
        <rFont val="맑은 고딕"/>
        <family val="3"/>
        <charset val="129"/>
      </rPr>
      <t>주차</t>
    </r>
  </si>
  <si>
    <t>(40H)</t>
  </si>
  <si>
    <t>시간</t>
  </si>
  <si>
    <t>내용</t>
  </si>
  <si>
    <t>강사</t>
  </si>
  <si>
    <r>
      <t>2</t>
    </r>
    <r>
      <rPr>
        <b/>
        <sz val="11"/>
        <color rgb="FF000000"/>
        <rFont val="맑은 고딕"/>
        <family val="3"/>
        <charset val="129"/>
      </rPr>
      <t>주차</t>
    </r>
  </si>
  <si>
    <r>
      <t>3</t>
    </r>
    <r>
      <rPr>
        <b/>
        <sz val="11"/>
        <color rgb="FF000000"/>
        <rFont val="맑은 고딕"/>
        <family val="3"/>
        <charset val="129"/>
      </rPr>
      <t>주차</t>
    </r>
  </si>
  <si>
    <r>
      <t xml:space="preserve">&lt;= * </t>
    </r>
    <r>
      <rPr>
        <b/>
        <sz val="12"/>
        <color rgb="FFFF0000"/>
        <rFont val="Arial"/>
        <family val="3"/>
        <charset val="129"/>
        <scheme val="minor"/>
      </rPr>
      <t>새로운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단위명이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올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때는</t>
    </r>
    <r>
      <rPr>
        <b/>
        <sz val="12"/>
        <color rgb="FFFF0000"/>
        <rFont val="Arial"/>
        <family val="2"/>
        <scheme val="minor"/>
      </rPr>
      <t xml:space="preserve"> row </t>
    </r>
    <r>
      <rPr>
        <b/>
        <sz val="12"/>
        <color rgb="FFFF0000"/>
        <rFont val="Arial"/>
        <family val="3"/>
        <charset val="129"/>
        <scheme val="minor"/>
      </rPr>
      <t>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줄을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빈칸으로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Arial"/>
        <family val="3"/>
        <charset val="129"/>
        <scheme val="minor"/>
      </rPr>
      <t>둔다</t>
    </r>
    <r>
      <rPr>
        <b/>
        <sz val="12"/>
        <color rgb="FFFF0000"/>
        <rFont val="Arial"/>
        <family val="2"/>
        <scheme val="minor"/>
      </rPr>
      <t>.</t>
    </r>
    <phoneticPr fontId="16" type="noConversion"/>
  </si>
  <si>
    <r>
      <rPr>
        <b/>
        <i/>
        <sz val="10"/>
        <color rgb="FFFF0000"/>
        <rFont val="맑은 고딕"/>
        <family val="3"/>
        <charset val="129"/>
      </rPr>
      <t>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추가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시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이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위에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행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삽입</t>
    </r>
    <phoneticPr fontId="16" type="noConversion"/>
  </si>
  <si>
    <t>미완료</t>
    <phoneticPr fontId="16" type="noConversion"/>
  </si>
  <si>
    <r>
      <t xml:space="preserve">106.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중간점검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일지</t>
    </r>
    <r>
      <rPr>
        <sz val="14"/>
        <color rgb="FF000000"/>
        <rFont val="Arial"/>
        <family val="2"/>
        <scheme val="minor"/>
      </rPr>
      <t xml:space="preserve">				</t>
    </r>
    <phoneticPr fontId="16" type="noConversion"/>
  </si>
  <si>
    <r>
      <t xml:space="preserve">17.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출석부</t>
    </r>
    <r>
      <rPr>
        <sz val="14"/>
        <color rgb="FF000000"/>
        <rFont val="Arial"/>
        <family val="2"/>
        <scheme val="minor"/>
      </rPr>
      <t xml:space="preserve"> 2</t>
    </r>
    <r>
      <rPr>
        <sz val="14"/>
        <color rgb="FF000000"/>
        <rFont val="맑은 고딕"/>
        <family val="3"/>
        <charset val="129"/>
      </rPr>
      <t>차</t>
    </r>
    <r>
      <rPr>
        <sz val="14"/>
        <color rgb="FF000000"/>
        <rFont val="Arial"/>
        <family val="2"/>
        <scheme val="minor"/>
      </rPr>
      <t>(8</t>
    </r>
    <r>
      <rPr>
        <sz val="14"/>
        <color rgb="FF000000"/>
        <rFont val="맑은 고딕"/>
        <family val="3"/>
        <charset val="129"/>
      </rPr>
      <t>주차</t>
    </r>
    <r>
      <rPr>
        <sz val="14"/>
        <color rgb="FF000000"/>
        <rFont val="Arial"/>
        <family val="2"/>
        <scheme val="minor"/>
      </rPr>
      <t>)_</t>
    </r>
    <r>
      <rPr>
        <sz val="14"/>
        <color rgb="FF000000"/>
        <rFont val="맑은 고딕"/>
        <family val="3"/>
        <charset val="129"/>
      </rPr>
      <t>기업명</t>
    </r>
    <phoneticPr fontId="16" type="noConversion"/>
  </si>
  <si>
    <r>
      <t xml:space="preserve">17.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출석부</t>
    </r>
    <r>
      <rPr>
        <sz val="14"/>
        <color rgb="FF000000"/>
        <rFont val="Arial"/>
        <family val="2"/>
        <scheme val="minor"/>
      </rPr>
      <t xml:space="preserve"> 1</t>
    </r>
    <r>
      <rPr>
        <sz val="14"/>
        <color rgb="FF000000"/>
        <rFont val="맑은 고딕"/>
        <family val="3"/>
        <charset val="129"/>
      </rPr>
      <t>차</t>
    </r>
    <r>
      <rPr>
        <sz val="14"/>
        <color rgb="FF000000"/>
        <rFont val="Arial"/>
        <family val="2"/>
        <scheme val="minor"/>
      </rPr>
      <t>(4</t>
    </r>
    <r>
      <rPr>
        <sz val="14"/>
        <color rgb="FF000000"/>
        <rFont val="맑은 고딕"/>
        <family val="3"/>
        <charset val="129"/>
      </rPr>
      <t>주차</t>
    </r>
    <r>
      <rPr>
        <sz val="14"/>
        <color rgb="FF000000"/>
        <rFont val="Arial"/>
        <family val="2"/>
        <scheme val="minor"/>
      </rPr>
      <t>)_</t>
    </r>
    <r>
      <rPr>
        <sz val="14"/>
        <color rgb="FF000000"/>
        <rFont val="맑은 고딕"/>
        <family val="3"/>
        <charset val="129"/>
      </rPr>
      <t>기업명</t>
    </r>
    <r>
      <rPr>
        <sz val="14"/>
        <color rgb="FF000000"/>
        <rFont val="Arial"/>
        <family val="2"/>
        <scheme val="minor"/>
      </rPr>
      <t xml:space="preserve">.hwp	</t>
    </r>
    <phoneticPr fontId="16" type="noConversion"/>
  </si>
  <si>
    <t>표 서식(타입)</t>
    <phoneticPr fontId="16" type="noConversion"/>
  </si>
  <si>
    <r>
      <t>35. ( )</t>
    </r>
    <r>
      <rPr>
        <sz val="14"/>
        <color rgb="FF000000"/>
        <rFont val="맑은 고딕"/>
        <family val="3"/>
        <charset val="129"/>
      </rPr>
      <t>월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</t>
    </r>
    <r>
      <rPr>
        <sz val="14"/>
        <color rgb="FF000000"/>
        <rFont val="Arial"/>
        <family val="2"/>
        <scheme val="minor"/>
      </rPr>
      <t>(</t>
    </r>
    <r>
      <rPr>
        <sz val="14"/>
        <color rgb="FF000000"/>
        <rFont val="맑은 고딕"/>
        <family val="3"/>
        <charset val="129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포함</t>
    </r>
    <r>
      <rPr>
        <sz val="14"/>
        <color rgb="FF000000"/>
        <rFont val="Arial"/>
        <family val="2"/>
        <scheme val="minor"/>
      </rPr>
      <t xml:space="preserve">)	</t>
    </r>
    <phoneticPr fontId="16" type="noConversion"/>
  </si>
  <si>
    <r>
      <t>완료</t>
    </r>
    <r>
      <rPr>
        <sz val="12"/>
        <color rgb="FF006100"/>
        <rFont val="Arial"/>
        <family val="2"/>
        <scheme val="minor"/>
      </rPr>
      <t xml:space="preserve"> 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</si>
  <si>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단위명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</si>
  <si>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단위</t>
    </r>
    <phoneticPr fontId="16" type="noConversion"/>
  </si>
  <si>
    <r>
      <t xml:space="preserve">34. 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실시보고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</si>
  <si>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입력값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</si>
  <si>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입력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</si>
  <si>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필드명</t>
    </r>
    <phoneticPr fontId="16" type="noConversion"/>
  </si>
  <si>
    <r>
      <t xml:space="preserve">12.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신청서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</si>
  <si>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필드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</si>
  <si>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타이틀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</si>
  <si>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테두리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</si>
  <si>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색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</si>
  <si>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정렬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</si>
  <si>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크기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</si>
  <si>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폰트</t>
    </r>
    <phoneticPr fontId="16" type="noConversion"/>
  </si>
  <si>
    <r>
      <rPr>
        <b/>
        <sz val="10"/>
        <color rgb="FF000000"/>
        <rFont val="Arial"/>
        <family val="3"/>
        <charset val="129"/>
        <scheme val="minor"/>
      </rPr>
      <t>용도</t>
    </r>
    <phoneticPr fontId="16" type="noConversion"/>
  </si>
  <si>
    <r>
      <rPr>
        <b/>
        <u/>
        <sz val="15"/>
        <color rgb="FF000000"/>
        <rFont val="맑은 고딕"/>
        <family val="3"/>
        <charset val="129"/>
      </rPr>
      <t>글,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맑은 고딕"/>
        <family val="3"/>
        <charset val="129"/>
      </rPr>
      <t>폰트, 표 규격</t>
    </r>
    <phoneticPr fontId="16" type="noConversion"/>
  </si>
  <si>
    <t>여부</t>
    <phoneticPr fontId="16" type="noConversion"/>
  </si>
  <si>
    <r>
      <rPr>
        <b/>
        <sz val="14"/>
        <color rgb="FF000000"/>
        <rFont val="Arial"/>
        <family val="3"/>
        <charset val="129"/>
        <scheme val="minor"/>
      </rPr>
      <t>담당자</t>
    </r>
    <r>
      <rPr>
        <b/>
        <sz val="14"/>
        <color rgb="FF000000"/>
        <rFont val="Arial"/>
        <family val="2"/>
        <scheme val="minor"/>
      </rPr>
      <t>/</t>
    </r>
    <r>
      <rPr>
        <b/>
        <sz val="14"/>
        <color rgb="FF000000"/>
        <rFont val="Arial"/>
        <family val="3"/>
        <charset val="129"/>
        <scheme val="minor"/>
      </rPr>
      <t>멘토</t>
    </r>
    <phoneticPr fontId="16" type="noConversion"/>
  </si>
  <si>
    <r>
      <rPr>
        <b/>
        <u/>
        <sz val="20"/>
        <color rgb="FF000000"/>
        <rFont val="Arial Unicode MS"/>
        <family val="2"/>
        <charset val="129"/>
      </rPr>
      <t>잠금시트</t>
    </r>
    <r>
      <rPr>
        <b/>
        <u/>
        <sz val="20"/>
        <color rgb="FF000000"/>
        <rFont val="Arial Unicode MS"/>
        <family val="2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리스트</t>
    </r>
    <phoneticPr fontId="16" type="noConversion"/>
  </si>
  <si>
    <r>
      <rPr>
        <u/>
        <sz val="20"/>
        <color rgb="FF000000"/>
        <rFont val="Arial"/>
        <family val="3"/>
        <charset val="129"/>
        <scheme val="minor"/>
      </rPr>
      <t>시트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잠금하는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법</t>
    </r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</si>
</sst>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&quot;년&quot;\ m&quot;월&quot;\ d&quot;일&quot;"/>
    <numFmt numFmtId="177" formatCode="yyyy&quot;. &quot;mm&quot; .&quot;dd&quot;(&quot;ddd&quot;)&quot;"/>
    <numFmt numFmtId="178" formatCode="yyyy\-mm\-&quot;D&quot;&quot;D&quot;;@"/>
    <numFmt numFmtId="179" formatCode="0_);[Red]\(0\)"/>
    <numFmt numFmtId="180" formatCode="yyyy&quot;년&quot;\ m&quot;월&quot;\ d&quot;일&quot;;@"/>
  </numFmts>
  <fonts count="212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0"/>
      <name val="Arial"/>
      <family val="2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theme="1"/>
      <name val="휴먼명조"/>
      <family val="3"/>
      <charset val="129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3"/>
      <color theme="1"/>
      <name val="Malgun Gothic"/>
      <family val="3"/>
      <charset val="129"/>
    </font>
    <font>
      <b/>
      <sz val="13"/>
      <color rgb="FFFF0000"/>
      <name val="Arial"/>
      <family val="2"/>
      <scheme val="minor"/>
    </font>
    <font>
      <b/>
      <sz val="15"/>
      <color rgb="FFFF0000"/>
      <name val="Arial"/>
      <family val="2"/>
      <scheme val="minor"/>
    </font>
    <font>
      <sz val="11"/>
      <color theme="1"/>
      <name val="Malgun Gothic"/>
      <family val="3"/>
      <charset val="129"/>
    </font>
    <font>
      <sz val="11"/>
      <color theme="1"/>
      <name val="Arial"/>
      <family val="2"/>
      <scheme val="minor"/>
    </font>
    <font>
      <sz val="15"/>
      <color rgb="FFFF0000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sz val="13"/>
      <color theme="1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b/>
      <sz val="18"/>
      <name val="Arial"/>
      <family val="2"/>
      <scheme val="minor"/>
    </font>
    <font>
      <b/>
      <sz val="18"/>
      <color theme="1"/>
      <name val="Arial"/>
      <family val="2"/>
      <scheme val="major"/>
    </font>
    <font>
      <b/>
      <sz val="14"/>
      <color theme="1"/>
      <name val="Arial"/>
      <family val="2"/>
      <scheme val="major"/>
    </font>
    <font>
      <sz val="12"/>
      <color theme="1"/>
      <name val="Arial"/>
      <family val="2"/>
      <scheme val="major"/>
    </font>
    <font>
      <sz val="12"/>
      <color theme="1"/>
      <name val="Arial"/>
      <family val="2"/>
      <charset val="129"/>
      <scheme val="major"/>
    </font>
    <font>
      <b/>
      <sz val="14"/>
      <color theme="1"/>
      <name val="Arial"/>
      <family val="2"/>
      <charset val="129"/>
      <scheme val="major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3"/>
      <color theme="1"/>
      <name val="Arial"/>
      <family val="3"/>
    </font>
    <font>
      <sz val="13"/>
      <color theme="1"/>
      <name val="Arial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돋움"/>
      <family val="2"/>
      <charset val="129"/>
    </font>
    <font>
      <sz val="13"/>
      <color theme="1"/>
      <name val="Arial"/>
      <family val="2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b/>
      <sz val="20"/>
      <color theme="1"/>
      <name val="Arial"/>
      <family val="2"/>
      <scheme val="major"/>
    </font>
    <font>
      <b/>
      <sz val="20"/>
      <color theme="1"/>
      <name val="Arial"/>
      <family val="3"/>
      <charset val="129"/>
      <scheme val="major"/>
    </font>
    <font>
      <sz val="10"/>
      <color rgb="FF000000"/>
      <name val="Arial"/>
      <family val="2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sz val="16"/>
      <color rgb="FF000000"/>
      <name val="KoPub돋움체 Bold"/>
      <family val="3"/>
      <charset val="129"/>
    </font>
    <font>
      <sz val="9"/>
      <name val="KoPubWorld돋움체 Light"/>
      <family val="3"/>
      <charset val="129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sz val="2"/>
      <name val="Arial"/>
      <family val="2"/>
      <scheme val="minor"/>
    </font>
    <font>
      <vertAlign val="superscript"/>
      <sz val="9"/>
      <name val="Arial"/>
      <family val="2"/>
      <scheme val="minor"/>
    </font>
    <font>
      <u/>
      <sz val="9"/>
      <name val="Arial"/>
      <family val="2"/>
      <scheme val="minor"/>
    </font>
    <font>
      <b/>
      <sz val="10"/>
      <name val="KoPubWorld돋움체 Light"/>
      <family val="3"/>
      <charset val="129"/>
    </font>
    <font>
      <b/>
      <sz val="9"/>
      <name val="KoPub돋움체 Light"/>
      <family val="3"/>
      <charset val="129"/>
    </font>
    <font>
      <sz val="8"/>
      <name val="KoPubWorld돋움체 Light"/>
      <family val="3"/>
      <charset val="129"/>
    </font>
    <font>
      <b/>
      <sz val="9"/>
      <name val="KoPubWorld돋움체 Light"/>
      <family val="3"/>
      <charset val="129"/>
    </font>
    <font>
      <sz val="14"/>
      <name val="Arial"/>
      <family val="2"/>
      <scheme val="minor"/>
    </font>
    <font>
      <sz val="13"/>
      <color theme="1"/>
      <name val="Arial Unicode MS"/>
      <family val="3"/>
      <charset val="129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sz val="12"/>
      <color theme="1"/>
      <name val="Arial"/>
      <family val="3"/>
      <charset val="129"/>
      <scheme val="minor"/>
    </font>
    <font>
      <sz val="7"/>
      <name val="Arial"/>
      <family val="2"/>
      <scheme val="minor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charset val="129"/>
      <scheme val="minor"/>
    </font>
    <font>
      <b/>
      <sz val="12"/>
      <color rgb="FF000000"/>
      <name val="Arial"/>
      <family val="2"/>
      <scheme val="minor"/>
    </font>
    <font>
      <u val="double"/>
      <sz val="20"/>
      <color rgb="FF000000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13"/>
      <color theme="1"/>
      <name val="Arial"/>
      <family val="2"/>
      <charset val="129"/>
      <scheme val="minor"/>
    </font>
    <font>
      <u/>
      <sz val="20"/>
      <color rgb="FF000000"/>
      <name val="Arial"/>
      <family val="2"/>
      <scheme val="minor"/>
    </font>
    <font>
      <u/>
      <sz val="20"/>
      <color rgb="FF000000"/>
      <name val="Arial"/>
      <family val="2"/>
      <charset val="129"/>
      <scheme val="minor"/>
    </font>
    <font>
      <sz val="10"/>
      <color rgb="FFFF0000"/>
      <name val="Arial"/>
      <family val="3"/>
      <charset val="129"/>
      <scheme val="minor"/>
    </font>
    <font>
      <b/>
      <sz val="12"/>
      <name val="Arial"/>
      <family val="2"/>
      <scheme val="minor"/>
    </font>
    <font>
      <sz val="12"/>
      <name val="Arial"/>
      <family val="2"/>
      <scheme val="minor"/>
    </font>
    <font>
      <vertAlign val="superscript"/>
      <sz val="12"/>
      <name val="Arial"/>
      <family val="2"/>
      <scheme val="minor"/>
    </font>
    <font>
      <b/>
      <vertAlign val="superscript"/>
      <sz val="12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i/>
      <u/>
      <sz val="11"/>
      <color rgb="FFFF0000"/>
      <name val="Arial"/>
      <family val="2"/>
      <scheme val="minor"/>
    </font>
    <font>
      <b/>
      <i/>
      <u/>
      <sz val="11"/>
      <color rgb="FFFF0000"/>
      <name val="Arial"/>
      <family val="3"/>
      <charset val="129"/>
      <scheme val="minor"/>
    </font>
    <font>
      <sz val="14"/>
      <color rgb="FF000000"/>
      <name val="Arial"/>
      <family val="2"/>
      <scheme val="minor"/>
    </font>
    <font>
      <sz val="14"/>
      <color rgb="FF000000"/>
      <name val="Arial"/>
      <family val="3"/>
      <charset val="129"/>
      <scheme val="minor"/>
    </font>
    <font>
      <b/>
      <u/>
      <sz val="15"/>
      <color rgb="FF000000"/>
      <name val="Arial"/>
      <family val="2"/>
      <scheme val="minor"/>
    </font>
    <font>
      <b/>
      <u/>
      <sz val="15"/>
      <color rgb="FF000000"/>
      <name val="Arial"/>
      <family val="3"/>
      <charset val="129"/>
      <scheme val="minor"/>
    </font>
    <font>
      <b/>
      <i/>
      <sz val="10"/>
      <color rgb="FFFF0000"/>
      <name val="Arial"/>
      <family val="2"/>
      <scheme val="minor"/>
    </font>
    <font>
      <sz val="14"/>
      <color rgb="FF000000"/>
      <name val="Arial"/>
      <family val="2"/>
      <charset val="129"/>
      <scheme val="minor"/>
    </font>
    <font>
      <u val="double"/>
      <sz val="20"/>
      <color rgb="FF000000"/>
      <name val="Arial"/>
      <family val="3"/>
      <charset val="129"/>
      <scheme val="minor"/>
    </font>
    <font>
      <b/>
      <u/>
      <sz val="20"/>
      <color rgb="FF000000"/>
      <name val="Arial"/>
      <family val="2"/>
      <scheme val="minor"/>
    </font>
    <font>
      <b/>
      <u/>
      <sz val="20"/>
      <color rgb="FF000000"/>
      <name val="Arial"/>
      <family val="3"/>
      <charset val="129"/>
      <scheme val="minor"/>
    </font>
    <font>
      <sz val="12"/>
      <color theme="1"/>
      <name val="Arial"/>
      <family val="2"/>
      <charset val="129"/>
      <scheme val="minor"/>
    </font>
    <font>
      <u/>
      <sz val="20"/>
      <color rgb="FF000000"/>
      <name val="Arial"/>
      <family val="3"/>
      <charset val="129"/>
      <scheme val="minor"/>
    </font>
    <font>
      <u val="double"/>
      <sz val="20"/>
      <color rgb="FF000000"/>
      <name val="Arial"/>
      <family val="2"/>
      <charset val="129"/>
      <scheme val="minor"/>
    </font>
    <font>
      <b/>
      <sz val="14"/>
      <color rgb="FF000000"/>
      <name val="Arial"/>
      <family val="2"/>
      <scheme val="minor"/>
    </font>
    <font>
      <b/>
      <sz val="14"/>
      <color rgb="FF000000"/>
      <name val="Arial"/>
      <family val="3"/>
      <charset val="129"/>
      <scheme val="minor"/>
    </font>
    <font>
      <sz val="10"/>
      <color rgb="FF000000"/>
      <name val="Arial"/>
      <family val="1"/>
      <charset val="129"/>
      <scheme val="minor"/>
    </font>
    <font>
      <sz val="7"/>
      <color rgb="FF000000"/>
      <name val="Arial"/>
      <family val="2"/>
      <scheme val="minor"/>
    </font>
    <font>
      <sz val="7"/>
      <color rgb="FF000000"/>
      <name val="Arial"/>
      <family val="3"/>
      <charset val="129"/>
      <scheme val="minor"/>
    </font>
    <font>
      <sz val="9"/>
      <color rgb="FFFF0000"/>
      <name val="Arial"/>
      <family val="2"/>
      <scheme val="minor"/>
    </font>
    <font>
      <sz val="9"/>
      <color rgb="FFFF0000"/>
      <name val="Arial"/>
      <family val="1"/>
      <charset val="129"/>
      <scheme val="minor"/>
    </font>
    <font>
      <sz val="9"/>
      <color rgb="FF5D5D5D"/>
      <name val="Arial"/>
      <family val="2"/>
      <scheme val="minor"/>
    </font>
    <font>
      <sz val="9"/>
      <color rgb="FF5D5D5D"/>
      <name val="Arial"/>
      <family val="3"/>
      <charset val="129"/>
      <scheme val="minor"/>
    </font>
    <font>
      <b/>
      <sz val="12"/>
      <name val="Arial"/>
      <family val="3"/>
      <charset val="129"/>
      <scheme val="minor"/>
    </font>
    <font>
      <sz val="12"/>
      <color rgb="FFFF0000"/>
      <name val="Arial"/>
      <family val="2"/>
      <scheme val="minor"/>
    </font>
    <font>
      <sz val="12"/>
      <color rgb="FFFF0000"/>
      <name val="Arial"/>
      <family val="2"/>
      <charset val="129"/>
      <scheme val="minor"/>
    </font>
    <font>
      <sz val="12"/>
      <color rgb="FFFF0000"/>
      <name val="Arial"/>
      <family val="3"/>
      <charset val="129"/>
      <scheme val="minor"/>
    </font>
    <font>
      <u/>
      <sz val="12"/>
      <name val="Arial"/>
      <family val="2"/>
      <scheme val="minor"/>
    </font>
    <font>
      <b/>
      <sz val="20"/>
      <color rgb="FF000000"/>
      <name val="Arial"/>
      <family val="2"/>
      <scheme val="minor"/>
    </font>
    <font>
      <b/>
      <sz val="20"/>
      <color rgb="FF000000"/>
      <name val="Arial"/>
      <family val="3"/>
      <charset val="129"/>
      <scheme val="minor"/>
    </font>
    <font>
      <b/>
      <sz val="12"/>
      <color rgb="FF000000"/>
      <name val="Arial Unicode MS"/>
      <family val="2"/>
      <charset val="129"/>
    </font>
    <font>
      <b/>
      <sz val="14"/>
      <color rgb="FF000000"/>
      <name val="Arial"/>
      <family val="2"/>
      <charset val="129"/>
      <scheme val="minor"/>
    </font>
    <font>
      <b/>
      <sz val="20"/>
      <color theme="1"/>
      <name val="맑은 고딕"/>
      <family val="3"/>
      <charset val="129"/>
    </font>
    <font>
      <b/>
      <sz val="20"/>
      <color theme="1"/>
      <name val="Arial Unicode MS"/>
      <family val="2"/>
      <charset val="129"/>
    </font>
    <font>
      <b/>
      <sz val="13"/>
      <color theme="1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name val="Arial"/>
      <family val="3"/>
      <charset val="129"/>
      <scheme val="minor"/>
    </font>
    <font>
      <b/>
      <sz val="13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3"/>
      <color theme="1"/>
      <name val="Arial Unicode MS"/>
      <family val="2"/>
      <charset val="129"/>
    </font>
    <font>
      <sz val="9"/>
      <color rgb="FFFF0000"/>
      <name val="맑은 고딕"/>
      <family val="3"/>
      <charset val="129"/>
    </font>
    <font>
      <b/>
      <sz val="14"/>
      <color theme="1"/>
      <name val="Arial"/>
      <family val="2"/>
      <charset val="129"/>
      <scheme val="minor"/>
    </font>
    <font>
      <sz val="12"/>
      <color rgb="FF000000"/>
      <name val="Arial"/>
      <family val="2"/>
      <charset val="129"/>
      <scheme val="minor"/>
    </font>
    <font>
      <sz val="12"/>
      <color theme="1"/>
      <name val="Arial Unicode MS"/>
      <family val="2"/>
      <charset val="129"/>
    </font>
    <font>
      <b/>
      <sz val="18"/>
      <color rgb="FF000000"/>
      <name val="맑은 고딕"/>
      <family val="3"/>
      <charset val="129"/>
    </font>
    <font>
      <sz val="5"/>
      <color rgb="FF000000"/>
      <name val="Arial"/>
      <family val="2"/>
      <scheme val="minor"/>
    </font>
    <font>
      <sz val="12"/>
      <color rgb="FF000000"/>
      <name val="맑은 고딕"/>
      <family val="3"/>
      <charset val="129"/>
    </font>
    <font>
      <i/>
      <sz val="11"/>
      <color rgb="FFFF0000"/>
      <name val="함초롬바탕"/>
      <family val="1"/>
      <charset val="129"/>
    </font>
    <font>
      <i/>
      <sz val="11"/>
      <color rgb="FFFF0000"/>
      <name val="Arial"/>
      <family val="2"/>
      <scheme val="minor"/>
    </font>
    <font>
      <sz val="11"/>
      <color rgb="FF000000"/>
      <name val="함초롬바탕"/>
      <family val="1"/>
      <charset val="129"/>
    </font>
    <font>
      <b/>
      <sz val="11"/>
      <color rgb="FF000000"/>
      <name val="맑은 고딕"/>
      <family val="3"/>
      <charset val="129"/>
    </font>
    <font>
      <b/>
      <sz val="11"/>
      <color rgb="FF000000"/>
      <name val="Arial"/>
      <family val="2"/>
      <scheme val="minor"/>
    </font>
    <font>
      <sz val="14"/>
      <color rgb="FF000000"/>
      <name val="맑은 고딕"/>
      <family val="3"/>
      <charset val="129"/>
    </font>
    <font>
      <sz val="11"/>
      <color rgb="FF006100"/>
      <name val="Arial"/>
      <family val="2"/>
      <charset val="129"/>
      <scheme val="minor"/>
    </font>
    <font>
      <b/>
      <i/>
      <sz val="10"/>
      <color rgb="FFFF0000"/>
      <name val="Arial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sz val="12"/>
      <color rgb="FF000000"/>
      <name val="맑은 고딕"/>
      <family val="2"/>
      <charset val="129"/>
    </font>
    <font>
      <b/>
      <u/>
      <sz val="20"/>
      <color rgb="FF000000"/>
      <name val="맑은 고딕"/>
      <family val="3"/>
      <charset val="129"/>
    </font>
    <font>
      <b/>
      <sz val="20"/>
      <color rgb="FF000000"/>
      <name val="Arial Unicode MS"/>
      <family val="2"/>
      <charset val="129"/>
    </font>
    <font>
      <sz val="12"/>
      <color rgb="FF006100"/>
      <name val="Arial"/>
      <family val="2"/>
      <charset val="129"/>
      <scheme val="minor"/>
    </font>
    <font>
      <sz val="12"/>
      <color rgb="FF006100"/>
      <name val="Arial"/>
      <family val="2"/>
      <scheme val="minor"/>
    </font>
    <font>
      <b/>
      <u/>
      <sz val="15"/>
      <color rgb="FF000000"/>
      <name val="맑은 고딕"/>
      <family val="3"/>
      <charset val="129"/>
    </font>
    <font>
      <sz val="10"/>
      <color rgb="FF000000"/>
      <name val="맑은 고딕"/>
      <family val="2"/>
      <charset val="129"/>
    </font>
    <font>
      <b/>
      <u/>
      <sz val="20"/>
      <color rgb="FF000000"/>
      <name val="Arial Unicode MS"/>
      <family val="2"/>
      <charset val="129"/>
    </font>
    <font>
      <b/>
      <u/>
      <sz val="20"/>
      <color rgb="FF000000"/>
      <name val="Arial Unicode MS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rgb="FFFCE5CD"/>
        <bgColor rgb="FFFCE5CD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20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98474074526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666666"/>
      </right>
      <top style="thin">
        <color rgb="FF000000"/>
      </top>
      <bottom/>
      <diagonal/>
    </border>
    <border>
      <left/>
      <right style="thin">
        <color rgb="FF666666"/>
      </right>
      <top/>
      <bottom/>
      <diagonal/>
    </border>
    <border>
      <left/>
      <right style="thin">
        <color rgb="FF666666"/>
      </right>
      <top/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000000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/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thin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/>
      <diagonal/>
    </border>
    <border>
      <left style="thin">
        <color rgb="FF666666"/>
      </left>
      <right/>
      <top/>
      <bottom style="thin">
        <color rgb="FF999999"/>
      </bottom>
      <diagonal/>
    </border>
    <border>
      <left/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/>
      <top style="thick">
        <color rgb="FF666666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999999"/>
      </top>
      <bottom style="medium">
        <color rgb="FF000000"/>
      </bottom>
      <diagonal/>
    </border>
    <border>
      <left/>
      <right style="thin">
        <color rgb="FF666666"/>
      </right>
      <top style="thin">
        <color rgb="FF999999"/>
      </top>
      <bottom style="medium">
        <color rgb="FF000000"/>
      </bottom>
      <diagonal/>
    </border>
    <border>
      <left/>
      <right/>
      <top style="thin">
        <color rgb="FF999999"/>
      </top>
      <bottom style="medium">
        <color rgb="FF000000"/>
      </bottom>
      <diagonal/>
    </border>
    <border>
      <left style="thin">
        <color indexed="64"/>
      </left>
      <right/>
      <top/>
      <bottom style="thin">
        <color theme="0" tint="-0.1499984740745262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6">
    <xf numFmtId="0" fontId="0" fillId="0" borderId="0"/>
    <xf numFmtId="0" fontId="23" fillId="0" borderId="0" applyNumberFormat="0" applyFill="0" applyBorder="0" applyAlignment="0" applyProtection="0"/>
    <xf numFmtId="0" fontId="84" fillId="20" borderId="0" applyNumberFormat="0" applyBorder="0" applyAlignment="0" applyProtection="0">
      <alignment vertical="center"/>
    </xf>
    <xf numFmtId="0" fontId="13" fillId="0" borderId="0"/>
    <xf numFmtId="0" fontId="200" fillId="34" borderId="0" applyNumberFormat="0" applyBorder="0" applyAlignment="0" applyProtection="0">
      <alignment vertical="center"/>
    </xf>
    <xf numFmtId="0" fontId="22" fillId="0" borderId="0"/>
  </cellStyleXfs>
  <cellXfs count="1131">
    <xf numFmtId="0" fontId="0" fillId="0" borderId="0" xfId="0"/>
    <xf numFmtId="0" fontId="15" fillId="6" borderId="2" xfId="0" applyFont="1" applyFill="1" applyBorder="1" applyAlignment="1">
      <alignment horizontal="left" vertical="center" wrapText="1"/>
    </xf>
    <xf numFmtId="0" fontId="18" fillId="6" borderId="1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0" fillId="7" borderId="1" xfId="0" applyFill="1" applyBorder="1"/>
    <xf numFmtId="0" fontId="1" fillId="2" borderId="1" xfId="0" applyFont="1" applyFill="1" applyBorder="1" applyAlignment="1">
      <alignment vertical="center"/>
    </xf>
    <xf numFmtId="0" fontId="0" fillId="0" borderId="1" xfId="0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176" fontId="5" fillId="2" borderId="1" xfId="0" applyNumberFormat="1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10" fillId="2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8" xfId="0" applyBorder="1"/>
    <xf numFmtId="0" fontId="1" fillId="2" borderId="9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0" fillId="0" borderId="13" xfId="0" applyBorder="1"/>
    <xf numFmtId="0" fontId="1" fillId="2" borderId="15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1" fillId="2" borderId="17" xfId="0" applyFont="1" applyFill="1" applyBorder="1" applyAlignment="1">
      <alignment vertical="center"/>
    </xf>
    <xf numFmtId="0" fontId="4" fillId="8" borderId="21" xfId="0" applyFont="1" applyFill="1" applyBorder="1" applyAlignment="1">
      <alignment vertical="center"/>
    </xf>
    <xf numFmtId="0" fontId="28" fillId="2" borderId="15" xfId="0" applyFont="1" applyFill="1" applyBorder="1" applyAlignment="1">
      <alignment vertical="center"/>
    </xf>
    <xf numFmtId="0" fontId="28" fillId="2" borderId="11" xfId="0" applyFont="1" applyFill="1" applyBorder="1" applyAlignment="1">
      <alignment vertical="center"/>
    </xf>
    <xf numFmtId="0" fontId="24" fillId="2" borderId="15" xfId="0" applyFont="1" applyFill="1" applyBorder="1" applyAlignment="1">
      <alignment horizontal="center" vertical="center"/>
    </xf>
    <xf numFmtId="0" fontId="29" fillId="0" borderId="11" xfId="0" applyFont="1" applyBorder="1"/>
    <xf numFmtId="0" fontId="29" fillId="0" borderId="0" xfId="0" applyFont="1"/>
    <xf numFmtId="0" fontId="29" fillId="0" borderId="14" xfId="0" applyFont="1" applyBorder="1"/>
    <xf numFmtId="0" fontId="29" fillId="0" borderId="8" xfId="0" applyFont="1" applyBorder="1"/>
    <xf numFmtId="0" fontId="0" fillId="7" borderId="6" xfId="0" applyFill="1" applyBorder="1"/>
    <xf numFmtId="0" fontId="25" fillId="9" borderId="17" xfId="0" applyFont="1" applyFill="1" applyBorder="1"/>
    <xf numFmtId="0" fontId="0" fillId="0" borderId="24" xfId="0" applyBorder="1"/>
    <xf numFmtId="0" fontId="25" fillId="0" borderId="10" xfId="0" applyFont="1" applyBorder="1"/>
    <xf numFmtId="0" fontId="25" fillId="9" borderId="25" xfId="0" applyFont="1" applyFill="1" applyBorder="1"/>
    <xf numFmtId="0" fontId="25" fillId="9" borderId="16" xfId="0" applyFont="1" applyFill="1" applyBorder="1"/>
    <xf numFmtId="0" fontId="4" fillId="4" borderId="3" xfId="0" applyFont="1" applyFill="1" applyBorder="1" applyAlignment="1">
      <alignment vertical="center"/>
    </xf>
    <xf numFmtId="0" fontId="22" fillId="0" borderId="6" xfId="0" applyFont="1" applyBorder="1"/>
    <xf numFmtId="0" fontId="22" fillId="0" borderId="1" xfId="0" applyFont="1" applyBorder="1"/>
    <xf numFmtId="0" fontId="22" fillId="0" borderId="18" xfId="0" applyFont="1" applyBorder="1"/>
    <xf numFmtId="0" fontId="1" fillId="2" borderId="26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23" xfId="0" applyFont="1" applyFill="1" applyBorder="1" applyAlignment="1">
      <alignment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7" fillId="0" borderId="16" xfId="0" applyFont="1" applyBorder="1"/>
    <xf numFmtId="0" fontId="27" fillId="0" borderId="19" xfId="0" applyFont="1" applyBorder="1"/>
    <xf numFmtId="0" fontId="23" fillId="2" borderId="4" xfId="1" applyFill="1" applyBorder="1" applyAlignment="1">
      <alignment vertical="center"/>
    </xf>
    <xf numFmtId="0" fontId="23" fillId="0" borderId="1" xfId="1" applyBorder="1"/>
    <xf numFmtId="0" fontId="22" fillId="0" borderId="3" xfId="0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2" fillId="0" borderId="18" xfId="0" applyFont="1" applyBorder="1" applyAlignment="1">
      <alignment horizontal="left"/>
    </xf>
    <xf numFmtId="0" fontId="22" fillId="0" borderId="0" xfId="0" applyFont="1"/>
    <xf numFmtId="0" fontId="18" fillId="6" borderId="4" xfId="0" applyFont="1" applyFill="1" applyBorder="1" applyAlignment="1">
      <alignment horizontal="center" vertical="center"/>
    </xf>
    <xf numFmtId="0" fontId="4" fillId="12" borderId="12" xfId="0" applyFont="1" applyFill="1" applyBorder="1" applyAlignment="1">
      <alignment vertical="center"/>
    </xf>
    <xf numFmtId="0" fontId="4" fillId="8" borderId="15" xfId="0" applyFont="1" applyFill="1" applyBorder="1" applyAlignment="1">
      <alignment vertical="center"/>
    </xf>
    <xf numFmtId="0" fontId="4" fillId="12" borderId="5" xfId="0" applyFont="1" applyFill="1" applyBorder="1" applyAlignment="1">
      <alignment vertical="center"/>
    </xf>
    <xf numFmtId="0" fontId="24" fillId="2" borderId="9" xfId="0" applyFont="1" applyFill="1" applyBorder="1" applyAlignment="1">
      <alignment horizontal="center" vertical="center"/>
    </xf>
    <xf numFmtId="0" fontId="20" fillId="8" borderId="0" xfId="0" applyFont="1" applyFill="1" applyAlignment="1">
      <alignment vertical="center"/>
    </xf>
    <xf numFmtId="0" fontId="1" fillId="12" borderId="28" xfId="0" applyFont="1" applyFill="1" applyBorder="1" applyAlignment="1">
      <alignment vertical="center"/>
    </xf>
    <xf numFmtId="0" fontId="1" fillId="12" borderId="27" xfId="0" applyFont="1" applyFill="1" applyBorder="1" applyAlignment="1">
      <alignment vertical="center"/>
    </xf>
    <xf numFmtId="0" fontId="1" fillId="12" borderId="30" xfId="0" applyFont="1" applyFill="1" applyBorder="1" applyAlignment="1">
      <alignment vertical="center"/>
    </xf>
    <xf numFmtId="0" fontId="1" fillId="12" borderId="23" xfId="0" applyFont="1" applyFill="1" applyBorder="1" applyAlignment="1">
      <alignment vertical="center"/>
    </xf>
    <xf numFmtId="0" fontId="0" fillId="9" borderId="27" xfId="0" applyFill="1" applyBorder="1"/>
    <xf numFmtId="0" fontId="1" fillId="12" borderId="11" xfId="0" applyFont="1" applyFill="1" applyBorder="1" applyAlignment="1">
      <alignment vertical="center"/>
    </xf>
    <xf numFmtId="0" fontId="20" fillId="8" borderId="14" xfId="0" applyFont="1" applyFill="1" applyBorder="1" applyAlignment="1">
      <alignment vertical="center"/>
    </xf>
    <xf numFmtId="0" fontId="1" fillId="12" borderId="12" xfId="0" applyFont="1" applyFill="1" applyBorder="1" applyAlignment="1">
      <alignment vertical="center"/>
    </xf>
    <xf numFmtId="0" fontId="0" fillId="0" borderId="27" xfId="0" applyBorder="1"/>
    <xf numFmtId="0" fontId="5" fillId="12" borderId="9" xfId="0" applyFont="1" applyFill="1" applyBorder="1" applyAlignment="1">
      <alignment horizontal="left" vertical="center"/>
    </xf>
    <xf numFmtId="176" fontId="5" fillId="12" borderId="23" xfId="0" applyNumberFormat="1" applyFont="1" applyFill="1" applyBorder="1" applyAlignment="1">
      <alignment horizontal="left" vertical="center"/>
    </xf>
    <xf numFmtId="0" fontId="5" fillId="12" borderId="23" xfId="0" applyFont="1" applyFill="1" applyBorder="1" applyAlignment="1">
      <alignment horizontal="left" vertical="center"/>
    </xf>
    <xf numFmtId="0" fontId="7" fillId="12" borderId="23" xfId="0" applyFont="1" applyFill="1" applyBorder="1" applyAlignment="1">
      <alignment horizontal="left" vertical="center"/>
    </xf>
    <xf numFmtId="0" fontId="0" fillId="9" borderId="23" xfId="0" applyFill="1" applyBorder="1"/>
    <xf numFmtId="0" fontId="0" fillId="0" borderId="23" xfId="0" applyBorder="1"/>
    <xf numFmtId="0" fontId="5" fillId="9" borderId="30" xfId="0" applyFont="1" applyFill="1" applyBorder="1" applyAlignment="1">
      <alignment horizontal="left"/>
    </xf>
    <xf numFmtId="0" fontId="0" fillId="9" borderId="29" xfId="0" applyFill="1" applyBorder="1"/>
    <xf numFmtId="0" fontId="5" fillId="9" borderId="17" xfId="0" applyFont="1" applyFill="1" applyBorder="1" applyAlignment="1">
      <alignment horizontal="left"/>
    </xf>
    <xf numFmtId="0" fontId="0" fillId="9" borderId="17" xfId="0" applyFill="1" applyBorder="1"/>
    <xf numFmtId="0" fontId="7" fillId="12" borderId="9" xfId="0" applyFont="1" applyFill="1" applyBorder="1" applyAlignment="1">
      <alignment horizontal="left" vertical="center"/>
    </xf>
    <xf numFmtId="0" fontId="0" fillId="9" borderId="12" xfId="0" applyFill="1" applyBorder="1"/>
    <xf numFmtId="0" fontId="20" fillId="8" borderId="11" xfId="0" applyFont="1" applyFill="1" applyBorder="1" applyAlignment="1">
      <alignment vertical="center"/>
    </xf>
    <xf numFmtId="0" fontId="6" fillId="9" borderId="9" xfId="0" applyFont="1" applyFill="1" applyBorder="1" applyAlignment="1">
      <alignment horizontal="left"/>
    </xf>
    <xf numFmtId="0" fontId="1" fillId="12" borderId="9" xfId="0" applyFont="1" applyFill="1" applyBorder="1" applyAlignment="1">
      <alignment vertical="center"/>
    </xf>
    <xf numFmtId="0" fontId="0" fillId="9" borderId="9" xfId="0" applyFill="1" applyBorder="1"/>
    <xf numFmtId="0" fontId="20" fillId="8" borderId="26" xfId="0" applyFont="1" applyFill="1" applyBorder="1" applyAlignment="1">
      <alignment vertical="center"/>
    </xf>
    <xf numFmtId="0" fontId="18" fillId="6" borderId="6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5" fillId="12" borderId="17" xfId="0" applyFont="1" applyFill="1" applyBorder="1" applyAlignment="1">
      <alignment horizontal="left" vertical="center"/>
    </xf>
    <xf numFmtId="0" fontId="0" fillId="0" borderId="12" xfId="0" applyBorder="1"/>
    <xf numFmtId="0" fontId="20" fillId="8" borderId="10" xfId="0" applyFont="1" applyFill="1" applyBorder="1" applyAlignment="1">
      <alignment vertical="center"/>
    </xf>
    <xf numFmtId="0" fontId="5" fillId="2" borderId="16" xfId="0" applyFont="1" applyFill="1" applyBorder="1" applyAlignment="1">
      <alignment horizontal="left" vertical="center"/>
    </xf>
    <xf numFmtId="0" fontId="1" fillId="2" borderId="19" xfId="0" applyFont="1" applyFill="1" applyBorder="1" applyAlignment="1">
      <alignment vertical="center"/>
    </xf>
    <xf numFmtId="0" fontId="20" fillId="8" borderId="34" xfId="0" applyFont="1" applyFill="1" applyBorder="1" applyAlignment="1">
      <alignment vertical="center"/>
    </xf>
    <xf numFmtId="0" fontId="1" fillId="2" borderId="35" xfId="0" applyFont="1" applyFill="1" applyBorder="1" applyAlignment="1">
      <alignment vertical="center"/>
    </xf>
    <xf numFmtId="0" fontId="20" fillId="8" borderId="15" xfId="0" applyFont="1" applyFill="1" applyBorder="1" applyAlignment="1">
      <alignment vertical="center"/>
    </xf>
    <xf numFmtId="0" fontId="34" fillId="0" borderId="34" xfId="0" applyFont="1" applyBorder="1"/>
    <xf numFmtId="0" fontId="36" fillId="4" borderId="1" xfId="0" applyFont="1" applyFill="1" applyBorder="1" applyAlignment="1">
      <alignment vertical="center"/>
    </xf>
    <xf numFmtId="0" fontId="37" fillId="2" borderId="1" xfId="0" applyFont="1" applyFill="1" applyBorder="1" applyAlignment="1">
      <alignment horizontal="left" vertical="center"/>
    </xf>
    <xf numFmtId="0" fontId="28" fillId="2" borderId="1" xfId="0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36" fillId="8" borderId="4" xfId="0" applyFont="1" applyFill="1" applyBorder="1" applyAlignment="1">
      <alignment vertical="center"/>
    </xf>
    <xf numFmtId="0" fontId="37" fillId="12" borderId="36" xfId="0" applyFont="1" applyFill="1" applyBorder="1" applyAlignment="1">
      <alignment horizontal="left" vertical="center"/>
    </xf>
    <xf numFmtId="0" fontId="28" fillId="12" borderId="36" xfId="0" applyFont="1" applyFill="1" applyBorder="1" applyAlignment="1">
      <alignment vertical="center"/>
    </xf>
    <xf numFmtId="0" fontId="36" fillId="8" borderId="21" xfId="0" applyFont="1" applyFill="1" applyBorder="1" applyAlignment="1">
      <alignment vertical="center"/>
    </xf>
    <xf numFmtId="0" fontId="37" fillId="12" borderId="5" xfId="0" applyFont="1" applyFill="1" applyBorder="1" applyAlignment="1">
      <alignment horizontal="left" vertical="center"/>
    </xf>
    <xf numFmtId="0" fontId="28" fillId="12" borderId="31" xfId="0" applyFont="1" applyFill="1" applyBorder="1" applyAlignment="1">
      <alignment vertical="center"/>
    </xf>
    <xf numFmtId="176" fontId="37" fillId="2" borderId="1" xfId="0" applyNumberFormat="1" applyFont="1" applyFill="1" applyBorder="1" applyAlignment="1">
      <alignment horizontal="left" vertical="center"/>
    </xf>
    <xf numFmtId="31" fontId="4" fillId="2" borderId="1" xfId="0" applyNumberFormat="1" applyFont="1" applyFill="1" applyBorder="1" applyAlignment="1">
      <alignment vertical="center"/>
    </xf>
    <xf numFmtId="0" fontId="44" fillId="0" borderId="0" xfId="0" applyFont="1"/>
    <xf numFmtId="0" fontId="47" fillId="14" borderId="37" xfId="0" applyFont="1" applyFill="1" applyBorder="1" applyAlignment="1">
      <alignment horizontal="center" vertical="center"/>
    </xf>
    <xf numFmtId="0" fontId="47" fillId="14" borderId="38" xfId="0" applyFont="1" applyFill="1" applyBorder="1" applyAlignment="1">
      <alignment horizontal="center" vertical="center"/>
    </xf>
    <xf numFmtId="0" fontId="47" fillId="14" borderId="39" xfId="0" applyFont="1" applyFill="1" applyBorder="1" applyAlignment="1">
      <alignment horizontal="center" vertical="center"/>
    </xf>
    <xf numFmtId="0" fontId="48" fillId="2" borderId="38" xfId="0" applyFont="1" applyFill="1" applyBorder="1" applyAlignment="1">
      <alignment horizontal="center" vertical="center"/>
    </xf>
    <xf numFmtId="0" fontId="48" fillId="2" borderId="40" xfId="0" applyFont="1" applyFill="1" applyBorder="1" applyAlignment="1">
      <alignment horizontal="center" vertical="center"/>
    </xf>
    <xf numFmtId="0" fontId="49" fillId="2" borderId="42" xfId="0" applyFont="1" applyFill="1" applyBorder="1" applyAlignment="1">
      <alignment horizontal="center" vertical="center"/>
    </xf>
    <xf numFmtId="49" fontId="46" fillId="0" borderId="40" xfId="0" applyNumberFormat="1" applyFont="1" applyBorder="1" applyAlignment="1">
      <alignment horizontal="center" vertical="center"/>
    </xf>
    <xf numFmtId="0" fontId="46" fillId="0" borderId="40" xfId="0" applyFont="1" applyBorder="1" applyAlignment="1">
      <alignment horizontal="center" vertical="center"/>
    </xf>
    <xf numFmtId="0" fontId="46" fillId="0" borderId="39" xfId="0" applyFont="1" applyBorder="1" applyAlignment="1">
      <alignment horizontal="center" vertical="center"/>
    </xf>
    <xf numFmtId="49" fontId="46" fillId="0" borderId="39" xfId="0" applyNumberFormat="1" applyFont="1" applyBorder="1" applyAlignment="1">
      <alignment horizontal="center" vertical="center"/>
    </xf>
    <xf numFmtId="0" fontId="46" fillId="0" borderId="38" xfId="0" applyFont="1" applyBorder="1" applyAlignment="1">
      <alignment horizontal="center" vertical="center"/>
    </xf>
    <xf numFmtId="179" fontId="46" fillId="0" borderId="4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46" fillId="0" borderId="1" xfId="0" applyNumberFormat="1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50" fillId="0" borderId="0" xfId="0" applyFont="1"/>
    <xf numFmtId="0" fontId="51" fillId="6" borderId="2" xfId="0" applyFont="1" applyFill="1" applyBorder="1" applyAlignment="1">
      <alignment horizontal="left" vertical="center" wrapText="1"/>
    </xf>
    <xf numFmtId="0" fontId="22" fillId="7" borderId="1" xfId="0" applyFont="1" applyFill="1" applyBorder="1"/>
    <xf numFmtId="0" fontId="53" fillId="6" borderId="3" xfId="0" applyFont="1" applyFill="1" applyBorder="1" applyAlignment="1">
      <alignment horizontal="center" vertical="center"/>
    </xf>
    <xf numFmtId="0" fontId="53" fillId="6" borderId="1" xfId="0" applyFont="1" applyFill="1" applyBorder="1" applyAlignment="1">
      <alignment horizontal="center" vertical="center"/>
    </xf>
    <xf numFmtId="0" fontId="23" fillId="2" borderId="1" xfId="1" applyFill="1" applyBorder="1" applyAlignment="1">
      <alignment vertical="center"/>
    </xf>
    <xf numFmtId="0" fontId="57" fillId="4" borderId="1" xfId="0" applyFont="1" applyFill="1" applyBorder="1" applyAlignment="1">
      <alignment vertical="center"/>
    </xf>
    <xf numFmtId="0" fontId="59" fillId="4" borderId="1" xfId="0" applyFont="1" applyFill="1" applyBorder="1" applyAlignment="1">
      <alignment vertical="center"/>
    </xf>
    <xf numFmtId="0" fontId="41" fillId="0" borderId="0" xfId="0" applyFont="1"/>
    <xf numFmtId="0" fontId="61" fillId="0" borderId="0" xfId="0" applyFont="1"/>
    <xf numFmtId="0" fontId="62" fillId="0" borderId="0" xfId="0" applyFont="1"/>
    <xf numFmtId="0" fontId="57" fillId="2" borderId="1" xfId="0" applyFont="1" applyFill="1" applyBorder="1" applyAlignment="1">
      <alignment vertical="center"/>
    </xf>
    <xf numFmtId="0" fontId="57" fillId="2" borderId="1" xfId="0" applyFont="1" applyFill="1" applyBorder="1" applyAlignment="1">
      <alignment horizontal="left" vertical="center"/>
    </xf>
    <xf numFmtId="0" fontId="19" fillId="2" borderId="1" xfId="0" applyFont="1" applyFill="1" applyBorder="1" applyAlignment="1">
      <alignment vertical="center"/>
    </xf>
    <xf numFmtId="0" fontId="42" fillId="4" borderId="1" xfId="0" applyFont="1" applyFill="1" applyBorder="1" applyAlignment="1">
      <alignment vertical="center"/>
    </xf>
    <xf numFmtId="0" fontId="57" fillId="4" borderId="1" xfId="0" applyFont="1" applyFill="1" applyBorder="1" applyAlignment="1">
      <alignment vertical="center" wrapText="1"/>
    </xf>
    <xf numFmtId="0" fontId="59" fillId="4" borderId="1" xfId="0" applyFont="1" applyFill="1" applyBorder="1" applyAlignment="1">
      <alignment vertical="center" wrapText="1"/>
    </xf>
    <xf numFmtId="0" fontId="64" fillId="0" borderId="0" xfId="0" applyFont="1"/>
    <xf numFmtId="0" fontId="61" fillId="0" borderId="1" xfId="0" applyFont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48" fillId="2" borderId="41" xfId="0" applyFont="1" applyFill="1" applyBorder="1" applyAlignment="1">
      <alignment horizontal="center" vertical="center"/>
    </xf>
    <xf numFmtId="0" fontId="40" fillId="0" borderId="0" xfId="0" applyFont="1"/>
    <xf numFmtId="0" fontId="68" fillId="0" borderId="1" xfId="0" applyFont="1" applyBorder="1" applyAlignment="1">
      <alignment horizontal="center" vertical="center"/>
    </xf>
    <xf numFmtId="0" fontId="46" fillId="0" borderId="43" xfId="0" applyFont="1" applyBorder="1" applyAlignment="1">
      <alignment horizontal="center" vertical="center"/>
    </xf>
    <xf numFmtId="49" fontId="46" fillId="0" borderId="43" xfId="0" applyNumberFormat="1" applyFont="1" applyBorder="1" applyAlignment="1">
      <alignment horizontal="center" vertical="center"/>
    </xf>
    <xf numFmtId="176" fontId="5" fillId="2" borderId="49" xfId="0" applyNumberFormat="1" applyFont="1" applyFill="1" applyBorder="1" applyAlignment="1">
      <alignment horizontal="left" vertical="center"/>
    </xf>
    <xf numFmtId="176" fontId="5" fillId="2" borderId="50" xfId="0" applyNumberFormat="1" applyFont="1" applyFill="1" applyBorder="1" applyAlignment="1">
      <alignment horizontal="left" vertical="center"/>
    </xf>
    <xf numFmtId="0" fontId="72" fillId="0" borderId="76" xfId="0" applyFont="1" applyBorder="1" applyAlignment="1">
      <alignment horizontal="center" vertical="center" wrapText="1"/>
    </xf>
    <xf numFmtId="0" fontId="72" fillId="0" borderId="64" xfId="0" applyFont="1" applyBorder="1" applyAlignment="1">
      <alignment horizontal="center" vertical="center" wrapText="1"/>
    </xf>
    <xf numFmtId="0" fontId="73" fillId="0" borderId="65" xfId="0" applyFont="1" applyBorder="1" applyAlignment="1">
      <alignment horizontal="right" vertical="center" wrapText="1"/>
    </xf>
    <xf numFmtId="0" fontId="72" fillId="0" borderId="0" xfId="0" applyFont="1" applyAlignment="1">
      <alignment horizontal="center" vertical="center" wrapText="1"/>
    </xf>
    <xf numFmtId="0" fontId="57" fillId="2" borderId="1" xfId="0" applyFont="1" applyFill="1" applyBorder="1" applyAlignment="1">
      <alignment vertical="center" wrapText="1"/>
    </xf>
    <xf numFmtId="0" fontId="59" fillId="2" borderId="1" xfId="0" applyFont="1" applyFill="1" applyBorder="1" applyAlignment="1">
      <alignment vertical="center"/>
    </xf>
    <xf numFmtId="0" fontId="43" fillId="2" borderId="1" xfId="0" applyFont="1" applyFill="1" applyBorder="1" applyAlignment="1">
      <alignment vertical="center"/>
    </xf>
    <xf numFmtId="0" fontId="85" fillId="0" borderId="1" xfId="0" applyFont="1" applyBorder="1"/>
    <xf numFmtId="0" fontId="21" fillId="4" borderId="1" xfId="0" applyFont="1" applyFill="1" applyBorder="1" applyAlignment="1">
      <alignment vertical="center"/>
    </xf>
    <xf numFmtId="0" fontId="89" fillId="22" borderId="107" xfId="0" applyFont="1" applyFill="1" applyBorder="1" applyAlignment="1">
      <alignment horizontal="center" vertical="center" wrapText="1"/>
    </xf>
    <xf numFmtId="0" fontId="89" fillId="22" borderId="114" xfId="0" applyFont="1" applyFill="1" applyBorder="1" applyAlignment="1">
      <alignment horizontal="center" vertical="center" wrapText="1"/>
    </xf>
    <xf numFmtId="0" fontId="89" fillId="22" borderId="117" xfId="0" applyFont="1" applyFill="1" applyBorder="1" applyAlignment="1">
      <alignment horizontal="center" vertical="center" wrapText="1"/>
    </xf>
    <xf numFmtId="0" fontId="92" fillId="0" borderId="119" xfId="0" applyFont="1" applyBorder="1" applyAlignment="1">
      <alignment horizontal="center" vertical="center" wrapText="1"/>
    </xf>
    <xf numFmtId="0" fontId="92" fillId="0" borderId="74" xfId="0" applyFont="1" applyBorder="1" applyAlignment="1">
      <alignment horizontal="center" vertical="center" wrapText="1"/>
    </xf>
    <xf numFmtId="0" fontId="89" fillId="22" borderId="118" xfId="0" applyFont="1" applyFill="1" applyBorder="1" applyAlignment="1">
      <alignment horizontal="center" vertical="center" wrapText="1"/>
    </xf>
    <xf numFmtId="0" fontId="89" fillId="22" borderId="108" xfId="0" applyFont="1" applyFill="1" applyBorder="1" applyAlignment="1">
      <alignment horizontal="center" vertical="center" wrapText="1"/>
    </xf>
    <xf numFmtId="0" fontId="90" fillId="0" borderId="112" xfId="0" applyFont="1" applyBorder="1" applyAlignment="1">
      <alignment horizontal="center" vertical="center" wrapText="1"/>
    </xf>
    <xf numFmtId="0" fontId="89" fillId="22" borderId="38" xfId="0" applyFont="1" applyFill="1" applyBorder="1" applyAlignment="1">
      <alignment horizontal="center" vertical="center" wrapText="1"/>
    </xf>
    <xf numFmtId="0" fontId="89" fillId="22" borderId="125" xfId="0" applyFont="1" applyFill="1" applyBorder="1" applyAlignment="1">
      <alignment horizontal="center" vertical="center" wrapText="1"/>
    </xf>
    <xf numFmtId="0" fontId="89" fillId="22" borderId="124" xfId="0" applyFont="1" applyFill="1" applyBorder="1" applyAlignment="1">
      <alignment horizontal="center" vertical="center" wrapText="1"/>
    </xf>
    <xf numFmtId="0" fontId="0" fillId="22" borderId="124" xfId="0" applyFill="1" applyBorder="1" applyAlignment="1">
      <alignment vertical="center" wrapText="1"/>
    </xf>
    <xf numFmtId="0" fontId="0" fillId="22" borderId="118" xfId="0" applyFill="1" applyBorder="1" applyAlignment="1">
      <alignment vertical="center" wrapText="1"/>
    </xf>
    <xf numFmtId="0" fontId="97" fillId="23" borderId="38" xfId="0" applyFont="1" applyFill="1" applyBorder="1" applyAlignment="1">
      <alignment horizontal="center" vertical="center" wrapText="1"/>
    </xf>
    <xf numFmtId="0" fontId="97" fillId="0" borderId="38" xfId="0" applyFont="1" applyBorder="1" applyAlignment="1">
      <alignment horizontal="center" vertical="center" wrapText="1"/>
    </xf>
    <xf numFmtId="0" fontId="41" fillId="0" borderId="38" xfId="0" applyFont="1" applyBorder="1" applyAlignment="1">
      <alignment horizontal="center" vertical="center" wrapText="1"/>
    </xf>
    <xf numFmtId="0" fontId="97" fillId="23" borderId="115" xfId="0" applyFont="1" applyFill="1" applyBorder="1" applyAlignment="1">
      <alignment horizontal="center" vertical="center" wrapText="1"/>
    </xf>
    <xf numFmtId="0" fontId="41" fillId="0" borderId="115" xfId="0" applyFont="1" applyBorder="1" applyAlignment="1">
      <alignment horizontal="center" vertical="center" wrapText="1"/>
    </xf>
    <xf numFmtId="0" fontId="90" fillId="0" borderId="138" xfId="0" applyFont="1" applyBorder="1" applyAlignment="1">
      <alignment horizontal="center" vertical="center" wrapText="1"/>
    </xf>
    <xf numFmtId="0" fontId="89" fillId="23" borderId="138" xfId="0" applyFont="1" applyFill="1" applyBorder="1" applyAlignment="1">
      <alignment horizontal="center" vertical="center" wrapText="1"/>
    </xf>
    <xf numFmtId="0" fontId="90" fillId="0" borderId="126" xfId="0" applyFont="1" applyBorder="1" applyAlignment="1">
      <alignment horizontal="center" vertical="center" wrapText="1"/>
    </xf>
    <xf numFmtId="0" fontId="5" fillId="2" borderId="106" xfId="0" applyFont="1" applyFill="1" applyBorder="1" applyAlignment="1">
      <alignment horizontal="left" vertical="center"/>
    </xf>
    <xf numFmtId="0" fontId="103" fillId="9" borderId="0" xfId="3" applyFont="1" applyFill="1" applyAlignment="1">
      <alignment vertical="center"/>
    </xf>
    <xf numFmtId="0" fontId="104" fillId="9" borderId="0" xfId="3" applyFont="1" applyFill="1" applyAlignment="1">
      <alignment vertical="center"/>
    </xf>
    <xf numFmtId="0" fontId="105" fillId="9" borderId="0" xfId="3" applyFont="1" applyFill="1" applyAlignment="1">
      <alignment vertical="center"/>
    </xf>
    <xf numFmtId="0" fontId="104" fillId="9" borderId="0" xfId="3" applyFont="1" applyFill="1" applyAlignment="1">
      <alignment horizontal="center" vertical="center"/>
    </xf>
    <xf numFmtId="0" fontId="13" fillId="9" borderId="0" xfId="3" applyFill="1"/>
    <xf numFmtId="0" fontId="108" fillId="0" borderId="72" xfId="3" applyFont="1" applyBorder="1" applyAlignment="1">
      <alignment horizontal="center" vertical="center"/>
    </xf>
    <xf numFmtId="0" fontId="108" fillId="0" borderId="41" xfId="3" applyFont="1" applyBorder="1" applyAlignment="1">
      <alignment horizontal="center" vertical="center"/>
    </xf>
    <xf numFmtId="0" fontId="100" fillId="25" borderId="1" xfId="3" applyFont="1" applyFill="1" applyBorder="1"/>
    <xf numFmtId="0" fontId="100" fillId="9" borderId="1" xfId="3" applyFont="1" applyFill="1" applyBorder="1"/>
    <xf numFmtId="0" fontId="110" fillId="27" borderId="41" xfId="3" applyFont="1" applyFill="1" applyBorder="1" applyAlignment="1">
      <alignment vertical="center" wrapText="1"/>
    </xf>
    <xf numFmtId="0" fontId="110" fillId="27" borderId="73" xfId="3" applyFont="1" applyFill="1" applyBorder="1" applyAlignment="1">
      <alignment vertical="center" wrapText="1"/>
    </xf>
    <xf numFmtId="0" fontId="110" fillId="27" borderId="72" xfId="3" applyFont="1" applyFill="1" applyBorder="1" applyAlignment="1">
      <alignment vertical="center" wrapText="1"/>
    </xf>
    <xf numFmtId="0" fontId="111" fillId="0" borderId="41" xfId="3" applyFont="1" applyBorder="1" applyAlignment="1">
      <alignment vertical="center" wrapText="1"/>
    </xf>
    <xf numFmtId="0" fontId="111" fillId="0" borderId="73" xfId="3" applyFont="1" applyBorder="1" applyAlignment="1">
      <alignment vertical="center" wrapText="1"/>
    </xf>
    <xf numFmtId="0" fontId="111" fillId="0" borderId="72" xfId="3" applyFont="1" applyBorder="1" applyAlignment="1">
      <alignment vertical="center" wrapText="1"/>
    </xf>
    <xf numFmtId="0" fontId="100" fillId="25" borderId="1" xfId="3" applyFont="1" applyFill="1" applyBorder="1" applyAlignment="1">
      <alignment vertical="center"/>
    </xf>
    <xf numFmtId="0" fontId="100" fillId="9" borderId="1" xfId="3" applyFont="1" applyFill="1" applyBorder="1" applyAlignment="1">
      <alignment horizontal="center" vertical="center"/>
    </xf>
    <xf numFmtId="0" fontId="106" fillId="9" borderId="0" xfId="3" applyFont="1" applyFill="1" applyAlignment="1">
      <alignment horizontal="center" vertical="center"/>
    </xf>
    <xf numFmtId="14" fontId="107" fillId="0" borderId="0" xfId="3" applyNumberFormat="1" applyFont="1" applyAlignment="1">
      <alignment horizontal="center" vertical="center"/>
    </xf>
    <xf numFmtId="0" fontId="107" fillId="0" borderId="0" xfId="3" applyFont="1" applyAlignment="1">
      <alignment horizontal="center" vertical="center"/>
    </xf>
    <xf numFmtId="0" fontId="108" fillId="0" borderId="40" xfId="3" applyFont="1" applyBorder="1" applyAlignment="1">
      <alignment horizontal="center" vertical="center"/>
    </xf>
    <xf numFmtId="0" fontId="89" fillId="22" borderId="114" xfId="3" applyFont="1" applyFill="1" applyBorder="1" applyAlignment="1">
      <alignment horizontal="center" vertical="center" wrapText="1"/>
    </xf>
    <xf numFmtId="14" fontId="112" fillId="9" borderId="0" xfId="3" applyNumberFormat="1" applyFont="1" applyFill="1" applyAlignment="1">
      <alignment horizontal="center" vertical="center"/>
    </xf>
    <xf numFmtId="14" fontId="100" fillId="9" borderId="1" xfId="3" applyNumberFormat="1" applyFont="1" applyFill="1" applyBorder="1" applyAlignment="1">
      <alignment horizontal="center" vertical="center"/>
    </xf>
    <xf numFmtId="0" fontId="13" fillId="9" borderId="1" xfId="3" applyFill="1" applyBorder="1" applyAlignment="1">
      <alignment horizontal="center"/>
    </xf>
    <xf numFmtId="0" fontId="108" fillId="0" borderId="37" xfId="3" applyFont="1" applyBorder="1" applyAlignment="1">
      <alignment horizontal="center" vertical="center"/>
    </xf>
    <xf numFmtId="0" fontId="5" fillId="9" borderId="1" xfId="3" applyFont="1" applyFill="1" applyBorder="1" applyAlignment="1">
      <alignment horizontal="center" vertical="center"/>
    </xf>
    <xf numFmtId="0" fontId="109" fillId="25" borderId="149" xfId="3" applyFont="1" applyFill="1" applyBorder="1" applyAlignment="1">
      <alignment horizontal="center" vertical="center"/>
    </xf>
    <xf numFmtId="0" fontId="103" fillId="9" borderId="150" xfId="3" applyFont="1" applyFill="1" applyBorder="1" applyAlignment="1">
      <alignment horizontal="center" vertical="center"/>
    </xf>
    <xf numFmtId="0" fontId="114" fillId="0" borderId="41" xfId="3" applyFont="1" applyBorder="1" applyAlignment="1">
      <alignment horizontal="center" vertical="center"/>
    </xf>
    <xf numFmtId="0" fontId="89" fillId="22" borderId="117" xfId="3" applyFont="1" applyFill="1" applyBorder="1" applyAlignment="1">
      <alignment horizontal="center" vertical="center" wrapText="1"/>
    </xf>
    <xf numFmtId="0" fontId="13" fillId="28" borderId="1" xfId="3" applyFill="1" applyBorder="1"/>
    <xf numFmtId="0" fontId="13" fillId="28" borderId="3" xfId="3" applyFill="1" applyBorder="1" applyAlignment="1">
      <alignment horizontal="center"/>
    </xf>
    <xf numFmtId="0" fontId="69" fillId="9" borderId="0" xfId="3" applyFont="1" applyFill="1" applyAlignment="1">
      <alignment horizontal="center" vertical="center"/>
    </xf>
    <xf numFmtId="0" fontId="115" fillId="0" borderId="0" xfId="3" applyFont="1" applyAlignment="1">
      <alignment horizontal="center" vertical="center"/>
    </xf>
    <xf numFmtId="0" fontId="109" fillId="25" borderId="1" xfId="3" applyFont="1" applyFill="1" applyBorder="1" applyAlignment="1">
      <alignment horizontal="center" vertical="center"/>
    </xf>
    <xf numFmtId="0" fontId="103" fillId="9" borderId="153" xfId="3" applyFont="1" applyFill="1" applyBorder="1" applyAlignment="1">
      <alignment horizontal="center" vertical="center"/>
    </xf>
    <xf numFmtId="0" fontId="110" fillId="27" borderId="119" xfId="3" applyFont="1" applyFill="1" applyBorder="1" applyAlignment="1">
      <alignment vertical="center" wrapText="1"/>
    </xf>
    <xf numFmtId="0" fontId="110" fillId="27" borderId="40" xfId="3" applyFont="1" applyFill="1" applyBorder="1" applyAlignment="1">
      <alignment vertical="center" wrapText="1"/>
    </xf>
    <xf numFmtId="0" fontId="89" fillId="22" borderId="124" xfId="3" applyFont="1" applyFill="1" applyBorder="1" applyAlignment="1">
      <alignment horizontal="center" vertical="center" wrapText="1"/>
    </xf>
    <xf numFmtId="0" fontId="116" fillId="23" borderId="38" xfId="3" applyFont="1" applyFill="1" applyBorder="1" applyAlignment="1">
      <alignment horizontal="center" vertical="center" wrapText="1"/>
    </xf>
    <xf numFmtId="0" fontId="116" fillId="23" borderId="115" xfId="3" applyFont="1" applyFill="1" applyBorder="1" applyAlignment="1">
      <alignment horizontal="center" vertical="center" wrapText="1"/>
    </xf>
    <xf numFmtId="14" fontId="13" fillId="9" borderId="1" xfId="3" applyNumberFormat="1" applyFill="1" applyBorder="1"/>
    <xf numFmtId="0" fontId="106" fillId="25" borderId="45" xfId="3" applyFont="1" applyFill="1" applyBorder="1" applyAlignment="1">
      <alignment horizontal="center" vertical="center" wrapText="1" shrinkToFit="1"/>
    </xf>
    <xf numFmtId="0" fontId="106" fillId="25" borderId="154" xfId="3" applyFont="1" applyFill="1" applyBorder="1" applyAlignment="1">
      <alignment horizontal="center" vertical="center" shrinkToFit="1"/>
    </xf>
    <xf numFmtId="0" fontId="106" fillId="25" borderId="154" xfId="3" applyFont="1" applyFill="1" applyBorder="1" applyAlignment="1">
      <alignment horizontal="center" vertical="center"/>
    </xf>
    <xf numFmtId="0" fontId="106" fillId="24" borderId="155" xfId="3" applyFont="1" applyFill="1" applyBorder="1" applyAlignment="1">
      <alignment horizontal="center" vertical="center"/>
    </xf>
    <xf numFmtId="0" fontId="110" fillId="27" borderId="74" xfId="3" applyFont="1" applyFill="1" applyBorder="1" applyAlignment="1">
      <alignment vertical="center" wrapText="1"/>
    </xf>
    <xf numFmtId="0" fontId="110" fillId="27" borderId="37" xfId="3" applyFont="1" applyFill="1" applyBorder="1" applyAlignment="1">
      <alignment vertical="center" wrapText="1"/>
    </xf>
    <xf numFmtId="0" fontId="13" fillId="22" borderId="124" xfId="3" applyFill="1" applyBorder="1" applyAlignment="1">
      <alignment vertical="center" wrapText="1"/>
    </xf>
    <xf numFmtId="0" fontId="116" fillId="0" borderId="38" xfId="3" applyFont="1" applyBorder="1" applyAlignment="1">
      <alignment horizontal="center" vertical="center" wrapText="1"/>
    </xf>
    <xf numFmtId="0" fontId="40" fillId="0" borderId="38" xfId="3" applyFont="1" applyBorder="1" applyAlignment="1">
      <alignment horizontal="center" vertical="center" wrapText="1"/>
    </xf>
    <xf numFmtId="0" fontId="40" fillId="0" borderId="115" xfId="3" applyFont="1" applyBorder="1" applyAlignment="1">
      <alignment horizontal="center" vertical="center" wrapText="1"/>
    </xf>
    <xf numFmtId="0" fontId="104" fillId="9" borderId="1" xfId="3" applyFont="1" applyFill="1" applyBorder="1" applyAlignment="1">
      <alignment horizontal="center" vertical="center"/>
    </xf>
    <xf numFmtId="0" fontId="104" fillId="9" borderId="1" xfId="3" applyFont="1" applyFill="1" applyBorder="1" applyAlignment="1">
      <alignment vertical="center"/>
    </xf>
    <xf numFmtId="0" fontId="114" fillId="0" borderId="73" xfId="3" applyFont="1" applyBorder="1" applyAlignment="1">
      <alignment vertical="center" wrapText="1"/>
    </xf>
    <xf numFmtId="0" fontId="109" fillId="25" borderId="50" xfId="3" applyFont="1" applyFill="1" applyBorder="1" applyAlignment="1">
      <alignment horizontal="center" vertical="center"/>
    </xf>
    <xf numFmtId="0" fontId="103" fillId="9" borderId="159" xfId="3" applyFont="1" applyFill="1" applyBorder="1" applyAlignment="1">
      <alignment horizontal="center" vertical="center"/>
    </xf>
    <xf numFmtId="0" fontId="108" fillId="0" borderId="160" xfId="3" applyFont="1" applyBorder="1" applyAlignment="1">
      <alignment horizontal="center" vertical="center"/>
    </xf>
    <xf numFmtId="0" fontId="13" fillId="22" borderId="118" xfId="3" applyFill="1" applyBorder="1" applyAlignment="1">
      <alignment vertical="center" wrapText="1"/>
    </xf>
    <xf numFmtId="0" fontId="113" fillId="9" borderId="0" xfId="3" applyFont="1" applyFill="1" applyAlignment="1">
      <alignment vertical="center"/>
    </xf>
    <xf numFmtId="0" fontId="109" fillId="9" borderId="0" xfId="3" applyFont="1" applyFill="1" applyAlignment="1">
      <alignment horizontal="center" vertical="center"/>
    </xf>
    <xf numFmtId="0" fontId="103" fillId="9" borderId="0" xfId="3" applyFont="1" applyFill="1" applyAlignment="1">
      <alignment horizontal="center" vertical="center"/>
    </xf>
    <xf numFmtId="0" fontId="121" fillId="0" borderId="73" xfId="3" applyFont="1" applyBorder="1" applyAlignment="1">
      <alignment vertical="center" wrapText="1"/>
    </xf>
    <xf numFmtId="0" fontId="89" fillId="22" borderId="118" xfId="3" applyFont="1" applyFill="1" applyBorder="1" applyAlignment="1">
      <alignment horizontal="center" vertical="center" wrapText="1"/>
    </xf>
    <xf numFmtId="0" fontId="108" fillId="0" borderId="38" xfId="3" applyFont="1" applyBorder="1" applyAlignment="1">
      <alignment horizontal="center" vertical="center"/>
    </xf>
    <xf numFmtId="0" fontId="70" fillId="19" borderId="38" xfId="3" applyFont="1" applyFill="1" applyBorder="1" applyAlignment="1">
      <alignment horizontal="center" vertical="center" wrapText="1"/>
    </xf>
    <xf numFmtId="0" fontId="70" fillId="19" borderId="41" xfId="3" applyFont="1" applyFill="1" applyBorder="1" applyAlignment="1">
      <alignment vertical="center" wrapText="1"/>
    </xf>
    <xf numFmtId="0" fontId="70" fillId="19" borderId="72" xfId="3" applyFont="1" applyFill="1" applyBorder="1" applyAlignment="1">
      <alignment vertical="center" wrapText="1"/>
    </xf>
    <xf numFmtId="0" fontId="70" fillId="19" borderId="73" xfId="3" applyFont="1" applyFill="1" applyBorder="1" applyAlignment="1">
      <alignment vertical="center" wrapText="1"/>
    </xf>
    <xf numFmtId="0" fontId="123" fillId="0" borderId="38" xfId="3" applyFont="1" applyBorder="1" applyAlignment="1">
      <alignment horizontal="justify" vertical="center"/>
    </xf>
    <xf numFmtId="0" fontId="70" fillId="27" borderId="39" xfId="3" applyFont="1" applyFill="1" applyBorder="1" applyAlignment="1">
      <alignment horizontal="center" vertical="center" wrapText="1"/>
    </xf>
    <xf numFmtId="0" fontId="70" fillId="27" borderId="41" xfId="3" applyFont="1" applyFill="1" applyBorder="1" applyAlignment="1">
      <alignment vertical="center" wrapText="1"/>
    </xf>
    <xf numFmtId="0" fontId="70" fillId="27" borderId="72" xfId="3" applyFont="1" applyFill="1" applyBorder="1" applyAlignment="1">
      <alignment vertical="center" wrapText="1"/>
    </xf>
    <xf numFmtId="0" fontId="111" fillId="0" borderId="38" xfId="3" applyFont="1" applyBorder="1" applyAlignment="1">
      <alignment horizontal="center" vertical="center" wrapText="1"/>
    </xf>
    <xf numFmtId="0" fontId="13" fillId="0" borderId="37" xfId="3" applyBorder="1" applyAlignment="1">
      <alignment vertical="center"/>
    </xf>
    <xf numFmtId="0" fontId="70" fillId="27" borderId="164" xfId="3" applyFont="1" applyFill="1" applyBorder="1" applyAlignment="1">
      <alignment horizontal="center" vertical="center" wrapText="1"/>
    </xf>
    <xf numFmtId="0" fontId="70" fillId="27" borderId="119" xfId="3" applyFont="1" applyFill="1" applyBorder="1" applyAlignment="1">
      <alignment vertical="center" wrapText="1"/>
    </xf>
    <xf numFmtId="0" fontId="70" fillId="27" borderId="40" xfId="3" applyFont="1" applyFill="1" applyBorder="1" applyAlignment="1">
      <alignment vertical="center" wrapText="1"/>
    </xf>
    <xf numFmtId="0" fontId="111" fillId="0" borderId="119" xfId="3" applyFont="1" applyBorder="1" applyAlignment="1">
      <alignment vertical="center" wrapText="1"/>
    </xf>
    <xf numFmtId="0" fontId="111" fillId="0" borderId="40" xfId="3" applyFont="1" applyBorder="1" applyAlignment="1">
      <alignment vertical="center" wrapText="1"/>
    </xf>
    <xf numFmtId="0" fontId="124" fillId="0" borderId="119" xfId="3" applyFont="1" applyBorder="1" applyAlignment="1">
      <alignment vertical="center" wrapText="1"/>
    </xf>
    <xf numFmtId="0" fontId="124" fillId="0" borderId="40" xfId="3" applyFont="1" applyBorder="1" applyAlignment="1">
      <alignment vertical="center" wrapText="1"/>
    </xf>
    <xf numFmtId="0" fontId="111" fillId="0" borderId="39" xfId="3" applyFont="1" applyBorder="1" applyAlignment="1">
      <alignment horizontal="center" vertical="center" wrapText="1"/>
    </xf>
    <xf numFmtId="0" fontId="13" fillId="27" borderId="164" xfId="3" applyFill="1" applyBorder="1" applyAlignment="1">
      <alignment vertical="center" wrapText="1"/>
    </xf>
    <xf numFmtId="0" fontId="70" fillId="27" borderId="74" xfId="3" applyFont="1" applyFill="1" applyBorder="1" applyAlignment="1">
      <alignment vertical="center" wrapText="1"/>
    </xf>
    <xf numFmtId="0" fontId="70" fillId="27" borderId="37" xfId="3" applyFont="1" applyFill="1" applyBorder="1" applyAlignment="1">
      <alignment vertical="center" wrapText="1"/>
    </xf>
    <xf numFmtId="0" fontId="111" fillId="0" borderId="74" xfId="3" applyFont="1" applyBorder="1" applyAlignment="1">
      <alignment vertical="center" wrapText="1"/>
    </xf>
    <xf numFmtId="0" fontId="111" fillId="0" borderId="37" xfId="3" applyFont="1" applyBorder="1" applyAlignment="1">
      <alignment vertical="center" wrapText="1"/>
    </xf>
    <xf numFmtId="0" fontId="124" fillId="0" borderId="74" xfId="3" applyFont="1" applyBorder="1" applyAlignment="1">
      <alignment vertical="center" wrapText="1"/>
    </xf>
    <xf numFmtId="0" fontId="124" fillId="0" borderId="37" xfId="3" applyFont="1" applyBorder="1" applyAlignment="1">
      <alignment vertical="center" wrapText="1"/>
    </xf>
    <xf numFmtId="0" fontId="111" fillId="0" borderId="165" xfId="3" applyFont="1" applyBorder="1" applyAlignment="1">
      <alignment horizontal="center" vertical="center" wrapText="1"/>
    </xf>
    <xf numFmtId="0" fontId="111" fillId="0" borderId="42" xfId="3" applyFont="1" applyBorder="1" applyAlignment="1">
      <alignment vertical="center" wrapText="1"/>
    </xf>
    <xf numFmtId="0" fontId="108" fillId="0" borderId="41" xfId="3" applyFont="1" applyBorder="1" applyAlignment="1">
      <alignment horizontal="justify" vertical="center"/>
    </xf>
    <xf numFmtId="0" fontId="111" fillId="0" borderId="68" xfId="3" applyFont="1" applyBorder="1" applyAlignment="1">
      <alignment vertical="center" wrapText="1"/>
    </xf>
    <xf numFmtId="0" fontId="13" fillId="27" borderId="165" xfId="3" applyFill="1" applyBorder="1" applyAlignment="1">
      <alignment vertical="center" wrapText="1"/>
    </xf>
    <xf numFmtId="0" fontId="111" fillId="0" borderId="38" xfId="3" applyFont="1" applyBorder="1" applyAlignment="1">
      <alignment vertical="center" wrapText="1"/>
    </xf>
    <xf numFmtId="0" fontId="111" fillId="0" borderId="39" xfId="3" applyFont="1" applyBorder="1" applyAlignment="1">
      <alignment vertical="center" wrapText="1"/>
    </xf>
    <xf numFmtId="0" fontId="111" fillId="0" borderId="165" xfId="3" applyFont="1" applyBorder="1" applyAlignment="1">
      <alignment vertical="center" wrapText="1"/>
    </xf>
    <xf numFmtId="0" fontId="69" fillId="24" borderId="1" xfId="3" applyFont="1" applyFill="1" applyBorder="1" applyAlignment="1">
      <alignment horizontal="center" vertical="center"/>
    </xf>
    <xf numFmtId="0" fontId="69" fillId="24" borderId="1" xfId="3" applyFont="1" applyFill="1" applyBorder="1" applyAlignment="1">
      <alignment vertical="center"/>
    </xf>
    <xf numFmtId="0" fontId="127" fillId="20" borderId="1" xfId="2" applyFont="1" applyBorder="1" applyAlignment="1">
      <alignment horizontal="center" vertical="center"/>
    </xf>
    <xf numFmtId="0" fontId="127" fillId="20" borderId="1" xfId="2" applyFont="1" applyBorder="1" applyAlignment="1">
      <alignment vertical="center"/>
    </xf>
    <xf numFmtId="0" fontId="104" fillId="9" borderId="3" xfId="3" applyFont="1" applyFill="1" applyBorder="1" applyAlignment="1">
      <alignment vertical="center"/>
    </xf>
    <xf numFmtId="0" fontId="128" fillId="9" borderId="0" xfId="3" applyFont="1" applyFill="1"/>
    <xf numFmtId="0" fontId="129" fillId="20" borderId="1" xfId="2" applyFont="1" applyBorder="1" applyAlignment="1">
      <alignment horizontal="center" vertical="center"/>
    </xf>
    <xf numFmtId="0" fontId="129" fillId="20" borderId="1" xfId="2" applyFont="1" applyBorder="1" applyAlignment="1">
      <alignment vertical="center"/>
    </xf>
    <xf numFmtId="176" fontId="5" fillId="2" borderId="6" xfId="0" applyNumberFormat="1" applyFont="1" applyFill="1" applyBorder="1" applyAlignment="1">
      <alignment horizontal="left" vertical="center"/>
    </xf>
    <xf numFmtId="176" fontId="5" fillId="2" borderId="4" xfId="0" applyNumberFormat="1" applyFont="1" applyFill="1" applyBorder="1" applyAlignment="1">
      <alignment horizontal="left" vertical="center"/>
    </xf>
    <xf numFmtId="180" fontId="5" fillId="2" borderId="4" xfId="0" applyNumberFormat="1" applyFont="1" applyFill="1" applyBorder="1" applyAlignment="1">
      <alignment horizontal="left" vertical="center"/>
    </xf>
    <xf numFmtId="0" fontId="101" fillId="0" borderId="0" xfId="0" applyFont="1" applyAlignment="1">
      <alignment vertical="center" wrapText="1"/>
    </xf>
    <xf numFmtId="0" fontId="50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4" fillId="2" borderId="44" xfId="0" applyFont="1" applyFill="1" applyBorder="1" applyAlignment="1">
      <alignment horizontal="left" vertical="center"/>
    </xf>
    <xf numFmtId="0" fontId="4" fillId="2" borderId="166" xfId="0" applyFont="1" applyFill="1" applyBorder="1" applyAlignment="1">
      <alignment horizontal="left" vertical="center"/>
    </xf>
    <xf numFmtId="176" fontId="5" fillId="2" borderId="106" xfId="0" applyNumberFormat="1" applyFont="1" applyFill="1" applyBorder="1" applyAlignment="1">
      <alignment horizontal="left" vertical="center"/>
    </xf>
    <xf numFmtId="176" fontId="5" fillId="2" borderId="146" xfId="0" applyNumberFormat="1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5" fillId="2" borderId="51" xfId="0" applyFont="1" applyFill="1" applyBorder="1" applyAlignment="1">
      <alignment horizontal="left" vertical="center"/>
    </xf>
    <xf numFmtId="0" fontId="22" fillId="7" borderId="1" xfId="0" applyFont="1" applyFill="1" applyBorder="1" applyAlignment="1">
      <alignment vertical="center"/>
    </xf>
    <xf numFmtId="0" fontId="131" fillId="32" borderId="3" xfId="0" applyFont="1" applyFill="1" applyBorder="1" applyAlignment="1">
      <alignment horizontal="center" vertical="center" wrapText="1"/>
    </xf>
    <xf numFmtId="0" fontId="131" fillId="32" borderId="7" xfId="0" applyFont="1" applyFill="1" applyBorder="1" applyAlignment="1">
      <alignment horizontal="center" vertical="center" wrapText="1"/>
    </xf>
    <xf numFmtId="180" fontId="7" fillId="0" borderId="5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131" fillId="16" borderId="48" xfId="0" applyFont="1" applyFill="1" applyBorder="1" applyAlignment="1">
      <alignment vertical="center"/>
    </xf>
    <xf numFmtId="0" fontId="131" fillId="16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131" fillId="16" borderId="3" xfId="0" applyFont="1" applyFill="1" applyBorder="1" applyAlignment="1">
      <alignment vertical="center"/>
    </xf>
    <xf numFmtId="0" fontId="131" fillId="16" borderId="106" xfId="0" applyFont="1" applyFill="1" applyBorder="1" applyAlignment="1">
      <alignment vertical="center"/>
    </xf>
    <xf numFmtId="0" fontId="5" fillId="2" borderId="106" xfId="0" applyFont="1" applyFill="1" applyBorder="1" applyAlignment="1">
      <alignment vertical="center"/>
    </xf>
    <xf numFmtId="0" fontId="5" fillId="2" borderId="146" xfId="0" applyFont="1" applyFill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131" fillId="16" borderId="6" xfId="0" applyFont="1" applyFill="1" applyBorder="1" applyAlignment="1">
      <alignment vertical="center"/>
    </xf>
    <xf numFmtId="0" fontId="131" fillId="16" borderId="50" xfId="0" applyFont="1" applyFill="1" applyBorder="1" applyAlignment="1">
      <alignment vertical="center"/>
    </xf>
    <xf numFmtId="0" fontId="5" fillId="2" borderId="50" xfId="0" applyFont="1" applyFill="1" applyBorder="1" applyAlignment="1">
      <alignment vertical="center"/>
    </xf>
    <xf numFmtId="0" fontId="7" fillId="0" borderId="1" xfId="0" applyFont="1" applyBorder="1"/>
    <xf numFmtId="0" fontId="7" fillId="0" borderId="4" xfId="0" applyFont="1" applyBorder="1"/>
    <xf numFmtId="0" fontId="7" fillId="0" borderId="1" xfId="0" applyFont="1" applyBorder="1" applyAlignment="1">
      <alignment vertical="center"/>
    </xf>
    <xf numFmtId="0" fontId="7" fillId="0" borderId="4" xfId="0" applyFont="1" applyBorder="1" applyAlignment="1">
      <alignment horizontal="left" vertical="center"/>
    </xf>
    <xf numFmtId="0" fontId="131" fillId="32" borderId="48" xfId="0" applyFont="1" applyFill="1" applyBorder="1" applyAlignment="1">
      <alignment horizontal="left" vertical="center"/>
    </xf>
    <xf numFmtId="0" fontId="131" fillId="32" borderId="1" xfId="0" applyFont="1" applyFill="1" applyBorder="1" applyAlignment="1">
      <alignment horizontal="left" vertical="center"/>
    </xf>
    <xf numFmtId="0" fontId="131" fillId="32" borderId="1" xfId="0" applyFont="1" applyFill="1" applyBorder="1" applyAlignment="1">
      <alignment horizontal="left" vertical="center" wrapText="1"/>
    </xf>
    <xf numFmtId="0" fontId="131" fillId="32" borderId="3" xfId="0" applyFont="1" applyFill="1" applyBorder="1" applyAlignment="1">
      <alignment horizontal="left" vertical="center"/>
    </xf>
    <xf numFmtId="0" fontId="131" fillId="32" borderId="50" xfId="0" applyFont="1" applyFill="1" applyBorder="1" applyAlignment="1">
      <alignment horizontal="left" vertical="center"/>
    </xf>
    <xf numFmtId="0" fontId="131" fillId="32" borderId="48" xfId="0" applyFont="1" applyFill="1" applyBorder="1" applyAlignment="1">
      <alignment vertical="center"/>
    </xf>
    <xf numFmtId="0" fontId="131" fillId="32" borderId="1" xfId="0" applyFont="1" applyFill="1" applyBorder="1" applyAlignment="1">
      <alignment vertical="center"/>
    </xf>
    <xf numFmtId="0" fontId="131" fillId="32" borderId="1" xfId="0" applyFont="1" applyFill="1" applyBorder="1" applyAlignment="1">
      <alignment vertical="center" wrapText="1"/>
    </xf>
    <xf numFmtId="176" fontId="5" fillId="2" borderId="7" xfId="0" applyNumberFormat="1" applyFont="1" applyFill="1" applyBorder="1" applyAlignment="1">
      <alignment horizontal="left" vertical="center"/>
    </xf>
    <xf numFmtId="0" fontId="131" fillId="32" borderId="3" xfId="0" applyFont="1" applyFill="1" applyBorder="1" applyAlignment="1">
      <alignment vertical="center"/>
    </xf>
    <xf numFmtId="0" fontId="131" fillId="32" borderId="50" xfId="0" applyFont="1" applyFill="1" applyBorder="1" applyAlignment="1">
      <alignment vertical="center"/>
    </xf>
    <xf numFmtId="180" fontId="7" fillId="0" borderId="166" xfId="0" applyNumberFormat="1" applyFont="1" applyBorder="1" applyAlignment="1">
      <alignment horizontal="center" vertical="center"/>
    </xf>
    <xf numFmtId="0" fontId="7" fillId="0" borderId="16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/>
    </xf>
    <xf numFmtId="180" fontId="7" fillId="0" borderId="1" xfId="0" applyNumberFormat="1" applyFont="1" applyBorder="1" applyAlignment="1">
      <alignment horizontal="center" vertical="center"/>
    </xf>
    <xf numFmtId="180" fontId="7" fillId="0" borderId="50" xfId="0" applyNumberFormat="1" applyFont="1" applyBorder="1" applyAlignment="1">
      <alignment horizontal="center" vertical="center"/>
    </xf>
    <xf numFmtId="0" fontId="4" fillId="32" borderId="3" xfId="0" applyFont="1" applyFill="1" applyBorder="1" applyAlignment="1">
      <alignment horizontal="center" vertical="center"/>
    </xf>
    <xf numFmtId="0" fontId="4" fillId="32" borderId="7" xfId="0" applyFont="1" applyFill="1" applyBorder="1" applyAlignment="1">
      <alignment horizontal="center" vertical="center"/>
    </xf>
    <xf numFmtId="0" fontId="22" fillId="0" borderId="183" xfId="0" applyFont="1" applyBorder="1" applyAlignment="1">
      <alignment horizontal="justify" vertical="center" wrapText="1"/>
    </xf>
    <xf numFmtId="0" fontId="142" fillId="0" borderId="65" xfId="0" applyFont="1" applyBorder="1" applyAlignment="1">
      <alignment horizontal="right" vertical="center" wrapText="1"/>
    </xf>
    <xf numFmtId="0" fontId="22" fillId="0" borderId="0" xfId="0" applyFont="1" applyAlignment="1">
      <alignment horizontal="left" vertical="center"/>
    </xf>
    <xf numFmtId="0" fontId="22" fillId="0" borderId="173" xfId="0" applyFont="1" applyBorder="1" applyAlignment="1">
      <alignment vertical="center" wrapText="1"/>
    </xf>
    <xf numFmtId="0" fontId="22" fillId="0" borderId="172" xfId="0" applyFont="1" applyBorder="1" applyAlignment="1">
      <alignment vertical="center" wrapText="1"/>
    </xf>
    <xf numFmtId="0" fontId="160" fillId="31" borderId="45" xfId="0" applyFont="1" applyFill="1" applyBorder="1" applyAlignment="1">
      <alignment horizontal="center"/>
    </xf>
    <xf numFmtId="0" fontId="22" fillId="0" borderId="171" xfId="0" applyFont="1" applyBorder="1" applyAlignment="1">
      <alignment horizontal="justify" vertical="center" wrapText="1"/>
    </xf>
    <xf numFmtId="0" fontId="22" fillId="0" borderId="174" xfId="0" applyFont="1" applyBorder="1" applyAlignment="1">
      <alignment horizontal="justify" vertical="center" wrapText="1"/>
    </xf>
    <xf numFmtId="0" fontId="22" fillId="0" borderId="172" xfId="0" applyFont="1" applyBorder="1" applyAlignment="1">
      <alignment horizontal="justify" vertical="center" wrapText="1"/>
    </xf>
    <xf numFmtId="0" fontId="22" fillId="0" borderId="178" xfId="0" applyFont="1" applyBorder="1" applyAlignment="1">
      <alignment horizontal="justify" vertical="center" wrapText="1"/>
    </xf>
    <xf numFmtId="0" fontId="22" fillId="0" borderId="179" xfId="0" applyFont="1" applyBorder="1" applyAlignment="1">
      <alignment horizontal="justify" vertical="center" wrapText="1"/>
    </xf>
    <xf numFmtId="0" fontId="22" fillId="0" borderId="181" xfId="0" applyFont="1" applyBorder="1" applyAlignment="1">
      <alignment horizontal="justify" vertical="center" wrapText="1"/>
    </xf>
    <xf numFmtId="0" fontId="22" fillId="0" borderId="176" xfId="0" applyFont="1" applyBorder="1" applyAlignment="1">
      <alignment horizontal="justify" vertical="center" wrapText="1"/>
    </xf>
    <xf numFmtId="0" fontId="22" fillId="0" borderId="182" xfId="0" applyFont="1" applyBorder="1" applyAlignment="1">
      <alignment horizontal="justify" vertical="center" wrapText="1"/>
    </xf>
    <xf numFmtId="0" fontId="22" fillId="0" borderId="185" xfId="0" applyFont="1" applyBorder="1" applyAlignment="1">
      <alignment horizontal="center" vertical="center" wrapText="1"/>
    </xf>
    <xf numFmtId="0" fontId="51" fillId="0" borderId="181" xfId="0" applyFont="1" applyBorder="1" applyAlignment="1">
      <alignment horizontal="justify" vertical="center" wrapText="1"/>
    </xf>
    <xf numFmtId="0" fontId="51" fillId="0" borderId="172" xfId="0" applyFont="1" applyBorder="1" applyAlignment="1">
      <alignment horizontal="justify" vertical="center" wrapText="1"/>
    </xf>
    <xf numFmtId="0" fontId="165" fillId="0" borderId="179" xfId="0" applyFont="1" applyBorder="1" applyAlignment="1">
      <alignment horizontal="center" vertical="center" wrapText="1"/>
    </xf>
    <xf numFmtId="0" fontId="167" fillId="0" borderId="0" xfId="0" applyFont="1" applyAlignment="1">
      <alignment horizontal="right" vertical="center" wrapText="1"/>
    </xf>
    <xf numFmtId="0" fontId="160" fillId="31" borderId="155" xfId="0" applyFont="1" applyFill="1" applyBorder="1" applyAlignment="1">
      <alignment horizontal="center" vertical="center"/>
    </xf>
    <xf numFmtId="0" fontId="141" fillId="0" borderId="76" xfId="0" applyFont="1" applyBorder="1" applyAlignment="1">
      <alignment horizontal="center" vertical="center" wrapText="1"/>
    </xf>
    <xf numFmtId="0" fontId="141" fillId="0" borderId="64" xfId="0" applyFont="1" applyBorder="1" applyAlignment="1">
      <alignment horizontal="center" vertical="center" wrapText="1"/>
    </xf>
    <xf numFmtId="0" fontId="170" fillId="0" borderId="5" xfId="0" applyFont="1" applyBorder="1" applyAlignment="1">
      <alignment horizontal="center" vertical="center"/>
    </xf>
    <xf numFmtId="0" fontId="170" fillId="0" borderId="166" xfId="0" applyFont="1" applyBorder="1" applyAlignment="1">
      <alignment horizontal="center" vertical="center"/>
    </xf>
    <xf numFmtId="0" fontId="142" fillId="0" borderId="0" xfId="0" applyFont="1" applyAlignment="1">
      <alignment horizontal="center" vertical="center" wrapText="1"/>
    </xf>
    <xf numFmtId="0" fontId="5" fillId="2" borderId="18" xfId="0" applyFont="1" applyFill="1" applyBorder="1" applyAlignment="1">
      <alignment vertical="center"/>
    </xf>
    <xf numFmtId="0" fontId="5" fillId="2" borderId="46" xfId="0" applyFont="1" applyFill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2" borderId="48" xfId="0" applyFont="1" applyFill="1" applyBorder="1" applyAlignment="1">
      <alignment horizontal="left" vertical="center"/>
    </xf>
    <xf numFmtId="0" fontId="141" fillId="16" borderId="1" xfId="0" applyFont="1" applyFill="1" applyBorder="1" applyAlignment="1">
      <alignment vertical="center"/>
    </xf>
    <xf numFmtId="176" fontId="142" fillId="2" borderId="4" xfId="0" applyNumberFormat="1" applyFont="1" applyFill="1" applyBorder="1" applyAlignment="1">
      <alignment horizontal="left" vertical="center"/>
    </xf>
    <xf numFmtId="180" fontId="142" fillId="2" borderId="4" xfId="0" applyNumberFormat="1" applyFont="1" applyFill="1" applyBorder="1" applyAlignment="1">
      <alignment horizontal="left" vertical="center"/>
    </xf>
    <xf numFmtId="0" fontId="22" fillId="7" borderId="1" xfId="0" applyFont="1" applyFill="1" applyBorder="1" applyAlignment="1">
      <alignment horizontal="left" vertical="center"/>
    </xf>
    <xf numFmtId="0" fontId="20" fillId="15" borderId="45" xfId="0" applyFont="1" applyFill="1" applyBorder="1" applyAlignment="1">
      <alignment horizontal="center" vertical="center"/>
    </xf>
    <xf numFmtId="0" fontId="20" fillId="15" borderId="47" xfId="0" applyFont="1" applyFill="1" applyBorder="1" applyAlignment="1">
      <alignment horizontal="left" vertical="center"/>
    </xf>
    <xf numFmtId="0" fontId="22" fillId="0" borderId="46" xfId="0" applyFont="1" applyBorder="1" applyAlignment="1">
      <alignment vertical="center"/>
    </xf>
    <xf numFmtId="176" fontId="5" fillId="2" borderId="4" xfId="0" applyNumberFormat="1" applyFont="1" applyFill="1" applyBorder="1" applyAlignment="1">
      <alignment vertical="center" wrapText="1"/>
    </xf>
    <xf numFmtId="176" fontId="5" fillId="2" borderId="5" xfId="0" applyNumberFormat="1" applyFont="1" applyFill="1" applyBorder="1" applyAlignment="1">
      <alignment vertical="center" wrapText="1"/>
    </xf>
    <xf numFmtId="0" fontId="7" fillId="0" borderId="19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141" fillId="16" borderId="50" xfId="0" applyFont="1" applyFill="1" applyBorder="1" applyAlignment="1">
      <alignment vertical="center"/>
    </xf>
    <xf numFmtId="180" fontId="142" fillId="2" borderId="51" xfId="0" applyNumberFormat="1" applyFont="1" applyFill="1" applyBorder="1" applyAlignment="1">
      <alignment horizontal="left" vertical="center"/>
    </xf>
    <xf numFmtId="0" fontId="184" fillId="16" borderId="1" xfId="0" applyFont="1" applyFill="1" applyBorder="1" applyAlignment="1">
      <alignment vertical="center"/>
    </xf>
    <xf numFmtId="176" fontId="100" fillId="2" borderId="4" xfId="0" applyNumberFormat="1" applyFont="1" applyFill="1" applyBorder="1" applyAlignment="1">
      <alignment horizontal="left" vertical="center"/>
    </xf>
    <xf numFmtId="49" fontId="22" fillId="0" borderId="0" xfId="0" applyNumberFormat="1" applyFont="1"/>
    <xf numFmtId="49" fontId="0" fillId="0" borderId="0" xfId="0" applyNumberFormat="1"/>
    <xf numFmtId="0" fontId="46" fillId="0" borderId="6" xfId="0" applyFont="1" applyBorder="1" applyAlignment="1">
      <alignment horizontal="center" vertical="center"/>
    </xf>
    <xf numFmtId="49" fontId="165" fillId="0" borderId="179" xfId="0" applyNumberFormat="1" applyFont="1" applyBorder="1" applyAlignment="1">
      <alignment horizontal="center" vertical="center" wrapText="1"/>
    </xf>
    <xf numFmtId="0" fontId="51" fillId="0" borderId="194" xfId="0" applyFont="1" applyBorder="1" applyAlignment="1">
      <alignment vertical="center" wrapText="1"/>
    </xf>
    <xf numFmtId="0" fontId="53" fillId="6" borderId="4" xfId="0" applyFont="1" applyFill="1" applyBorder="1" applyAlignment="1">
      <alignment horizontal="center" vertical="center"/>
    </xf>
    <xf numFmtId="0" fontId="4" fillId="8" borderId="202" xfId="0" applyFont="1" applyFill="1" applyBorder="1" applyAlignment="1">
      <alignment vertical="center"/>
    </xf>
    <xf numFmtId="0" fontId="4" fillId="8" borderId="26" xfId="0" applyFont="1" applyFill="1" applyBorder="1" applyAlignment="1">
      <alignment vertical="center"/>
    </xf>
    <xf numFmtId="0" fontId="5" fillId="2" borderId="50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197" fillId="19" borderId="38" xfId="0" applyFont="1" applyFill="1" applyBorder="1" applyAlignment="1">
      <alignment horizontal="center" vertical="center" wrapText="1"/>
    </xf>
    <xf numFmtId="0" fontId="198" fillId="27" borderId="39" xfId="0" applyFont="1" applyFill="1" applyBorder="1" applyAlignment="1">
      <alignment horizontal="center" vertical="center" wrapText="1"/>
    </xf>
    <xf numFmtId="0" fontId="198" fillId="27" borderId="164" xfId="0" applyFont="1" applyFill="1" applyBorder="1" applyAlignment="1">
      <alignment horizontal="center" vertical="center" wrapText="1"/>
    </xf>
    <xf numFmtId="0" fontId="0" fillId="27" borderId="164" xfId="0" applyFill="1" applyBorder="1" applyAlignment="1">
      <alignment vertical="center" wrapText="1"/>
    </xf>
    <xf numFmtId="0" fontId="0" fillId="27" borderId="165" xfId="0" applyFill="1" applyBorder="1" applyAlignment="1">
      <alignment vertical="center" wrapText="1"/>
    </xf>
    <xf numFmtId="0" fontId="22" fillId="0" borderId="41" xfId="0" applyFont="1" applyBorder="1" applyAlignment="1">
      <alignment vertical="center" wrapText="1"/>
    </xf>
    <xf numFmtId="0" fontId="22" fillId="0" borderId="73" xfId="0" applyFont="1" applyBorder="1" applyAlignment="1">
      <alignment vertical="center" wrapText="1"/>
    </xf>
    <xf numFmtId="0" fontId="22" fillId="0" borderId="72" xfId="0" applyFont="1" applyBorder="1" applyAlignment="1">
      <alignment vertical="center" wrapText="1"/>
    </xf>
    <xf numFmtId="0" fontId="51" fillId="0" borderId="41" xfId="0" applyFont="1" applyBorder="1" applyAlignment="1">
      <alignment vertical="center" wrapText="1"/>
    </xf>
    <xf numFmtId="0" fontId="51" fillId="0" borderId="73" xfId="0" applyFont="1" applyBorder="1" applyAlignment="1">
      <alignment vertical="center" wrapText="1"/>
    </xf>
    <xf numFmtId="0" fontId="51" fillId="0" borderId="72" xfId="0" applyFont="1" applyBorder="1" applyAlignment="1">
      <alignment vertical="center" wrapText="1"/>
    </xf>
    <xf numFmtId="0" fontId="197" fillId="19" borderId="41" xfId="0" applyFont="1" applyFill="1" applyBorder="1" applyAlignment="1">
      <alignment vertical="center" wrapText="1"/>
    </xf>
    <xf numFmtId="0" fontId="197" fillId="19" borderId="73" xfId="0" applyFont="1" applyFill="1" applyBorder="1" applyAlignment="1">
      <alignment vertical="center" wrapText="1"/>
    </xf>
    <xf numFmtId="0" fontId="197" fillId="19" borderId="72" xfId="0" applyFont="1" applyFill="1" applyBorder="1" applyAlignment="1">
      <alignment vertical="center" wrapText="1"/>
    </xf>
    <xf numFmtId="0" fontId="197" fillId="27" borderId="41" xfId="0" applyFont="1" applyFill="1" applyBorder="1" applyAlignment="1">
      <alignment vertical="center" wrapText="1"/>
    </xf>
    <xf numFmtId="0" fontId="197" fillId="27" borderId="72" xfId="0" applyFont="1" applyFill="1" applyBorder="1" applyAlignment="1">
      <alignment vertical="center" wrapText="1"/>
    </xf>
    <xf numFmtId="0" fontId="22" fillId="0" borderId="38" xfId="0" applyFont="1" applyBorder="1" applyAlignment="1">
      <alignment vertical="center" wrapText="1"/>
    </xf>
    <xf numFmtId="0" fontId="51" fillId="0" borderId="38" xfId="0" applyFont="1" applyBorder="1" applyAlignment="1">
      <alignment vertical="center" wrapText="1"/>
    </xf>
    <xf numFmtId="0" fontId="197" fillId="19" borderId="38" xfId="0" applyFont="1" applyFill="1" applyBorder="1" applyAlignment="1">
      <alignment vertical="center" wrapText="1"/>
    </xf>
    <xf numFmtId="0" fontId="127" fillId="20" borderId="1" xfId="2" applyFont="1" applyBorder="1" applyAlignment="1">
      <alignment horizontal="left" vertical="center"/>
    </xf>
    <xf numFmtId="0" fontId="127" fillId="20" borderId="1" xfId="2" applyFont="1" applyBorder="1" applyAlignment="1">
      <alignment horizontal="left" vertical="center" wrapText="1"/>
    </xf>
    <xf numFmtId="0" fontId="104" fillId="9" borderId="1" xfId="3" applyFont="1" applyFill="1" applyBorder="1" applyAlignment="1">
      <alignment horizontal="left" vertical="center"/>
    </xf>
    <xf numFmtId="0" fontId="118" fillId="9" borderId="1" xfId="3" applyFont="1" applyFill="1" applyBorder="1" applyAlignment="1">
      <alignment horizontal="center" vertical="center"/>
    </xf>
    <xf numFmtId="0" fontId="104" fillId="9" borderId="1" xfId="3" applyFont="1" applyFill="1" applyBorder="1" applyAlignment="1">
      <alignment horizontal="left" vertical="center" wrapText="1"/>
    </xf>
    <xf numFmtId="0" fontId="104" fillId="0" borderId="1" xfId="3" applyFont="1" applyBorder="1" applyAlignment="1">
      <alignment horizontal="left" vertical="center" wrapText="1"/>
    </xf>
    <xf numFmtId="0" fontId="109" fillId="30" borderId="22" xfId="3" applyFont="1" applyFill="1" applyBorder="1" applyAlignment="1">
      <alignment horizontal="center" vertical="center" wrapText="1" shrinkToFit="1"/>
    </xf>
    <xf numFmtId="0" fontId="109" fillId="30" borderId="151" xfId="3" applyFont="1" applyFill="1" applyBorder="1" applyAlignment="1">
      <alignment horizontal="center" vertical="center" wrapText="1" shrinkToFit="1"/>
    </xf>
    <xf numFmtId="0" fontId="118" fillId="9" borderId="20" xfId="3" applyFont="1" applyFill="1" applyBorder="1" applyAlignment="1">
      <alignment horizontal="center" vertical="center"/>
    </xf>
    <xf numFmtId="0" fontId="118" fillId="9" borderId="147" xfId="3" applyFont="1" applyFill="1" applyBorder="1" applyAlignment="1">
      <alignment horizontal="center" vertical="center"/>
    </xf>
    <xf numFmtId="0" fontId="118" fillId="9" borderId="7" xfId="3" applyFont="1" applyFill="1" applyBorder="1" applyAlignment="1">
      <alignment horizontal="center" vertical="center"/>
    </xf>
    <xf numFmtId="0" fontId="118" fillId="9" borderId="151" xfId="3" applyFont="1" applyFill="1" applyBorder="1" applyAlignment="1">
      <alignment horizontal="center" vertical="center"/>
    </xf>
    <xf numFmtId="0" fontId="104" fillId="9" borderId="7" xfId="3" applyFont="1" applyFill="1" applyBorder="1" applyAlignment="1">
      <alignment horizontal="left" vertical="center"/>
    </xf>
    <xf numFmtId="0" fontId="104" fillId="9" borderId="44" xfId="3" applyFont="1" applyFill="1" applyBorder="1" applyAlignment="1">
      <alignment horizontal="left" vertical="center"/>
    </xf>
    <xf numFmtId="0" fontId="104" fillId="9" borderId="151" xfId="3" applyFont="1" applyFill="1" applyBorder="1" applyAlignment="1">
      <alignment horizontal="left" vertical="center"/>
    </xf>
    <xf numFmtId="0" fontId="104" fillId="9" borderId="3" xfId="3" applyFont="1" applyFill="1" applyBorder="1" applyAlignment="1">
      <alignment horizontal="left" vertical="center" wrapText="1"/>
    </xf>
    <xf numFmtId="0" fontId="104" fillId="0" borderId="3" xfId="3" applyFont="1" applyBorder="1" applyAlignment="1">
      <alignment horizontal="left" vertical="center" wrapText="1"/>
    </xf>
    <xf numFmtId="0" fontId="104" fillId="9" borderId="4" xfId="3" applyFont="1" applyFill="1" applyBorder="1" applyAlignment="1">
      <alignment horizontal="left" vertical="center"/>
    </xf>
    <xf numFmtId="0" fontId="104" fillId="9" borderId="5" xfId="3" applyFont="1" applyFill="1" applyBorder="1" applyAlignment="1">
      <alignment horizontal="left" vertical="center"/>
    </xf>
    <xf numFmtId="0" fontId="104" fillId="9" borderId="22" xfId="3" applyFont="1" applyFill="1" applyBorder="1" applyAlignment="1">
      <alignment horizontal="left" vertical="center"/>
    </xf>
    <xf numFmtId="0" fontId="120" fillId="9" borderId="20" xfId="3" applyFont="1" applyFill="1" applyBorder="1" applyAlignment="1">
      <alignment horizontal="center" vertical="center"/>
    </xf>
    <xf numFmtId="0" fontId="120" fillId="9" borderId="147" xfId="3" applyFont="1" applyFill="1" applyBorder="1" applyAlignment="1">
      <alignment horizontal="center" vertical="center"/>
    </xf>
    <xf numFmtId="0" fontId="120" fillId="9" borderId="7" xfId="3" applyFont="1" applyFill="1" applyBorder="1" applyAlignment="1">
      <alignment horizontal="center" vertical="center"/>
    </xf>
    <xf numFmtId="0" fontId="120" fillId="9" borderId="151" xfId="3" applyFont="1" applyFill="1" applyBorder="1" applyAlignment="1">
      <alignment horizontal="center" vertical="center"/>
    </xf>
    <xf numFmtId="0" fontId="69" fillId="24" borderId="1" xfId="3" applyFont="1" applyFill="1" applyBorder="1" applyAlignment="1">
      <alignment horizontal="left" vertical="center"/>
    </xf>
    <xf numFmtId="0" fontId="126" fillId="24" borderId="1" xfId="3" applyFont="1" applyFill="1" applyBorder="1" applyAlignment="1">
      <alignment horizontal="center" vertical="center"/>
    </xf>
    <xf numFmtId="0" fontId="69" fillId="24" borderId="1" xfId="3" applyFont="1" applyFill="1" applyBorder="1" applyAlignment="1">
      <alignment horizontal="left" vertical="center" wrapText="1"/>
    </xf>
    <xf numFmtId="0" fontId="127" fillId="20" borderId="20" xfId="2" applyFont="1" applyBorder="1" applyAlignment="1">
      <alignment horizontal="center" vertical="center"/>
    </xf>
    <xf numFmtId="0" fontId="127" fillId="20" borderId="147" xfId="2" applyFont="1" applyBorder="1" applyAlignment="1">
      <alignment horizontal="center" vertical="center"/>
    </xf>
    <xf numFmtId="0" fontId="127" fillId="20" borderId="46" xfId="2" applyFont="1" applyBorder="1" applyAlignment="1">
      <alignment horizontal="center" vertical="center"/>
    </xf>
    <xf numFmtId="0" fontId="127" fillId="20" borderId="156" xfId="2" applyFont="1" applyBorder="1" applyAlignment="1">
      <alignment horizontal="center" vertical="center"/>
    </xf>
    <xf numFmtId="0" fontId="127" fillId="20" borderId="7" xfId="2" applyFont="1" applyBorder="1" applyAlignment="1">
      <alignment horizontal="center" vertical="center"/>
    </xf>
    <xf numFmtId="0" fontId="127" fillId="20" borderId="151" xfId="2" applyFont="1" applyBorder="1" applyAlignment="1">
      <alignment horizontal="center" vertical="center"/>
    </xf>
    <xf numFmtId="0" fontId="120" fillId="9" borderId="1" xfId="3" applyFont="1" applyFill="1" applyBorder="1" applyAlignment="1">
      <alignment horizontal="left" vertical="center" wrapText="1"/>
    </xf>
    <xf numFmtId="0" fontId="120" fillId="0" borderId="1" xfId="3" applyFont="1" applyBorder="1" applyAlignment="1">
      <alignment horizontal="left" vertical="center" wrapText="1"/>
    </xf>
    <xf numFmtId="0" fontId="104" fillId="9" borderId="1" xfId="3" applyFont="1" applyFill="1" applyBorder="1" applyAlignment="1">
      <alignment horizontal="center" vertical="center" wrapText="1"/>
    </xf>
    <xf numFmtId="0" fontId="104" fillId="9" borderId="1" xfId="3" applyFont="1" applyFill="1" applyBorder="1" applyAlignment="1">
      <alignment horizontal="center" vertical="center"/>
    </xf>
    <xf numFmtId="0" fontId="113" fillId="26" borderId="161" xfId="3" applyFont="1" applyFill="1" applyBorder="1" applyAlignment="1">
      <alignment horizontal="center" vertical="center"/>
    </xf>
    <xf numFmtId="0" fontId="113" fillId="26" borderId="162" xfId="3" applyFont="1" applyFill="1" applyBorder="1" applyAlignment="1">
      <alignment horizontal="center" vertical="center"/>
    </xf>
    <xf numFmtId="0" fontId="113" fillId="26" borderId="163" xfId="3" applyFont="1" applyFill="1" applyBorder="1" applyAlignment="1">
      <alignment horizontal="center" vertical="center"/>
    </xf>
    <xf numFmtId="0" fontId="109" fillId="30" borderId="22" xfId="3" applyFont="1" applyFill="1" applyBorder="1" applyAlignment="1">
      <alignment horizontal="center" vertical="center" shrinkToFit="1"/>
    </xf>
    <xf numFmtId="0" fontId="104" fillId="9" borderId="6" xfId="3" applyFont="1" applyFill="1" applyBorder="1" applyAlignment="1">
      <alignment horizontal="center" vertical="center"/>
    </xf>
    <xf numFmtId="0" fontId="104" fillId="9" borderId="18" xfId="3" applyFont="1" applyFill="1" applyBorder="1" applyAlignment="1">
      <alignment horizontal="center" vertical="center"/>
    </xf>
    <xf numFmtId="0" fontId="104" fillId="9" borderId="3" xfId="3" applyFont="1" applyFill="1" applyBorder="1" applyAlignment="1">
      <alignment horizontal="center" vertical="center"/>
    </xf>
    <xf numFmtId="0" fontId="69" fillId="26" borderId="1" xfId="3" applyFont="1" applyFill="1" applyBorder="1" applyAlignment="1">
      <alignment horizontal="left" vertical="center" shrinkToFit="1"/>
    </xf>
    <xf numFmtId="0" fontId="118" fillId="9" borderId="46" xfId="3" applyFont="1" applyFill="1" applyBorder="1" applyAlignment="1">
      <alignment horizontal="center" vertical="center"/>
    </xf>
    <xf numFmtId="0" fontId="118" fillId="9" borderId="156" xfId="3" applyFont="1" applyFill="1" applyBorder="1" applyAlignment="1">
      <alignment horizontal="center" vertical="center"/>
    </xf>
    <xf numFmtId="0" fontId="129" fillId="20" borderId="1" xfId="2" applyFont="1" applyBorder="1" applyAlignment="1">
      <alignment horizontal="left" vertical="center"/>
    </xf>
    <xf numFmtId="0" fontId="130" fillId="20" borderId="20" xfId="2" applyFont="1" applyBorder="1" applyAlignment="1">
      <alignment horizontal="center" vertical="center"/>
    </xf>
    <xf numFmtId="0" fontId="129" fillId="20" borderId="147" xfId="2" applyFont="1" applyBorder="1" applyAlignment="1">
      <alignment horizontal="center" vertical="center"/>
    </xf>
    <xf numFmtId="0" fontId="129" fillId="20" borderId="7" xfId="2" applyFont="1" applyBorder="1" applyAlignment="1">
      <alignment horizontal="center" vertical="center"/>
    </xf>
    <xf numFmtId="0" fontId="129" fillId="20" borderId="151" xfId="2" applyFont="1" applyBorder="1" applyAlignment="1">
      <alignment horizontal="center" vertical="center"/>
    </xf>
    <xf numFmtId="0" fontId="129" fillId="20" borderId="1" xfId="2" applyFont="1" applyBorder="1" applyAlignment="1">
      <alignment horizontal="left" vertical="center" wrapText="1"/>
    </xf>
    <xf numFmtId="0" fontId="108" fillId="0" borderId="41" xfId="3" applyFont="1" applyBorder="1" applyAlignment="1">
      <alignment horizontal="center" vertical="center"/>
    </xf>
    <xf numFmtId="0" fontId="108" fillId="0" borderId="72" xfId="3" applyFont="1" applyBorder="1" applyAlignment="1">
      <alignment horizontal="center" vertical="center"/>
    </xf>
    <xf numFmtId="0" fontId="108" fillId="0" borderId="74" xfId="3" applyFont="1" applyBorder="1" applyAlignment="1">
      <alignment horizontal="justify" vertical="center"/>
    </xf>
    <xf numFmtId="0" fontId="108" fillId="0" borderId="68" xfId="3" applyFont="1" applyBorder="1" applyAlignment="1">
      <alignment horizontal="justify" vertical="center"/>
    </xf>
    <xf numFmtId="0" fontId="104" fillId="9" borderId="20" xfId="3" applyFont="1" applyFill="1" applyBorder="1" applyAlignment="1">
      <alignment horizontal="center" vertical="center"/>
    </xf>
    <xf numFmtId="0" fontId="104" fillId="9" borderId="147" xfId="3" applyFont="1" applyFill="1" applyBorder="1" applyAlignment="1">
      <alignment horizontal="center" vertical="center"/>
    </xf>
    <xf numFmtId="0" fontId="104" fillId="9" borderId="46" xfId="3" applyFont="1" applyFill="1" applyBorder="1" applyAlignment="1">
      <alignment horizontal="center" vertical="center"/>
    </xf>
    <xf numFmtId="0" fontId="104" fillId="9" borderId="156" xfId="3" applyFont="1" applyFill="1" applyBorder="1" applyAlignment="1">
      <alignment horizontal="center" vertical="center"/>
    </xf>
    <xf numFmtId="0" fontId="104" fillId="9" borderId="7" xfId="3" applyFont="1" applyFill="1" applyBorder="1" applyAlignment="1">
      <alignment horizontal="center" vertical="center"/>
    </xf>
    <xf numFmtId="0" fontId="104" fillId="9" borderId="151" xfId="3" applyFont="1" applyFill="1" applyBorder="1" applyAlignment="1">
      <alignment horizontal="center" vertical="center"/>
    </xf>
    <xf numFmtId="0" fontId="122" fillId="0" borderId="119" xfId="3" applyFont="1" applyBorder="1" applyAlignment="1">
      <alignment horizontal="justify" vertical="center"/>
    </xf>
    <xf numFmtId="0" fontId="122" fillId="0" borderId="42" xfId="3" applyFont="1" applyBorder="1" applyAlignment="1">
      <alignment horizontal="justify" vertical="center"/>
    </xf>
    <xf numFmtId="0" fontId="122" fillId="0" borderId="74" xfId="3" applyFont="1" applyBorder="1" applyAlignment="1">
      <alignment horizontal="justify" vertical="center"/>
    </xf>
    <xf numFmtId="0" fontId="122" fillId="0" borderId="68" xfId="3" applyFont="1" applyBorder="1" applyAlignment="1">
      <alignment horizontal="justify" vertical="center"/>
    </xf>
    <xf numFmtId="0" fontId="123" fillId="0" borderId="41" xfId="3" applyFont="1" applyBorder="1" applyAlignment="1">
      <alignment horizontal="justify" vertical="center"/>
    </xf>
    <xf numFmtId="0" fontId="123" fillId="0" borderId="72" xfId="3" applyFont="1" applyBorder="1" applyAlignment="1">
      <alignment horizontal="justify" vertical="center"/>
    </xf>
    <xf numFmtId="0" fontId="123" fillId="0" borderId="73" xfId="3" applyFont="1" applyBorder="1" applyAlignment="1">
      <alignment horizontal="justify" vertical="center"/>
    </xf>
    <xf numFmtId="0" fontId="125" fillId="0" borderId="73" xfId="3" applyFont="1" applyBorder="1" applyAlignment="1">
      <alignment horizontal="left" vertical="center"/>
    </xf>
    <xf numFmtId="0" fontId="108" fillId="0" borderId="73" xfId="3" applyFont="1" applyBorder="1" applyAlignment="1">
      <alignment horizontal="center" vertical="center"/>
    </xf>
    <xf numFmtId="0" fontId="108" fillId="0" borderId="137" xfId="3" applyFont="1" applyBorder="1" applyAlignment="1">
      <alignment horizontal="justify" vertical="center"/>
    </xf>
    <xf numFmtId="0" fontId="108" fillId="0" borderId="0" xfId="3" applyFont="1" applyAlignment="1">
      <alignment horizontal="justify" vertical="center"/>
    </xf>
    <xf numFmtId="0" fontId="111" fillId="0" borderId="119" xfId="3" applyFont="1" applyBorder="1" applyAlignment="1">
      <alignment horizontal="center" vertical="center" wrapText="1"/>
    </xf>
    <xf numFmtId="0" fontId="111" fillId="0" borderId="42" xfId="3" applyFont="1" applyBorder="1" applyAlignment="1">
      <alignment horizontal="center" vertical="center" wrapText="1"/>
    </xf>
    <xf numFmtId="0" fontId="111" fillId="0" borderId="120" xfId="3" applyFont="1" applyBorder="1" applyAlignment="1">
      <alignment horizontal="center" vertical="center" wrapText="1"/>
    </xf>
    <xf numFmtId="0" fontId="111" fillId="0" borderId="74" xfId="3" applyFont="1" applyBorder="1" applyAlignment="1">
      <alignment horizontal="center" vertical="center" wrapText="1"/>
    </xf>
    <xf numFmtId="0" fontId="111" fillId="0" borderId="68" xfId="3" applyFont="1" applyBorder="1" applyAlignment="1">
      <alignment horizontal="center" vertical="center" wrapText="1"/>
    </xf>
    <xf numFmtId="0" fontId="111" fillId="0" borderId="121" xfId="3" applyFont="1" applyBorder="1" applyAlignment="1">
      <alignment horizontal="center" vertical="center" wrapText="1"/>
    </xf>
    <xf numFmtId="0" fontId="117" fillId="29" borderId="105" xfId="3" applyFont="1" applyFill="1" applyBorder="1" applyAlignment="1">
      <alignment horizontal="center" vertical="center" textRotation="255"/>
    </xf>
    <xf numFmtId="0" fontId="117" fillId="29" borderId="18" xfId="3" applyFont="1" applyFill="1" applyBorder="1" applyAlignment="1">
      <alignment horizontal="center" vertical="center" textRotation="255"/>
    </xf>
    <xf numFmtId="0" fontId="117" fillId="29" borderId="3" xfId="3" applyFont="1" applyFill="1" applyBorder="1" applyAlignment="1">
      <alignment horizontal="center" vertical="center" textRotation="255"/>
    </xf>
    <xf numFmtId="0" fontId="109" fillId="30" borderId="156" xfId="3" applyFont="1" applyFill="1" applyBorder="1" applyAlignment="1">
      <alignment horizontal="center" vertical="center" wrapText="1" shrinkToFit="1"/>
    </xf>
    <xf numFmtId="0" fontId="104" fillId="9" borderId="145" xfId="3" applyFont="1" applyFill="1" applyBorder="1" applyAlignment="1">
      <alignment horizontal="left" vertical="center"/>
    </xf>
    <xf numFmtId="0" fontId="104" fillId="9" borderId="140" xfId="3" applyFont="1" applyFill="1" applyBorder="1" applyAlignment="1">
      <alignment horizontal="left" vertical="center"/>
    </xf>
    <xf numFmtId="0" fontId="104" fillId="9" borderId="157" xfId="3" applyFont="1" applyFill="1" applyBorder="1" applyAlignment="1">
      <alignment horizontal="left" vertical="center"/>
    </xf>
    <xf numFmtId="0" fontId="118" fillId="9" borderId="145" xfId="3" applyFont="1" applyFill="1" applyBorder="1" applyAlignment="1">
      <alignment horizontal="center" vertical="center"/>
    </xf>
    <xf numFmtId="0" fontId="118" fillId="9" borderId="157" xfId="3" applyFont="1" applyFill="1" applyBorder="1" applyAlignment="1">
      <alignment horizontal="center" vertical="center"/>
    </xf>
    <xf numFmtId="0" fontId="104" fillId="9" borderId="18" xfId="3" applyFont="1" applyFill="1" applyBorder="1" applyAlignment="1">
      <alignment horizontal="left" vertical="center" wrapText="1"/>
    </xf>
    <xf numFmtId="0" fontId="104" fillId="0" borderId="18" xfId="3" applyFont="1" applyBorder="1" applyAlignment="1">
      <alignment horizontal="left" vertical="center" wrapText="1"/>
    </xf>
    <xf numFmtId="0" fontId="119" fillId="0" borderId="74" xfId="3" applyFont="1" applyBorder="1" applyAlignment="1">
      <alignment horizontal="center" vertical="center"/>
    </xf>
    <xf numFmtId="0" fontId="119" fillId="0" borderId="37" xfId="3" applyFont="1" applyBorder="1" applyAlignment="1">
      <alignment horizontal="center" vertical="center"/>
    </xf>
    <xf numFmtId="0" fontId="108" fillId="0" borderId="40" xfId="3" applyFont="1" applyBorder="1" applyAlignment="1">
      <alignment horizontal="center" vertical="center"/>
    </xf>
    <xf numFmtId="0" fontId="108" fillId="0" borderId="160" xfId="3" applyFont="1" applyBorder="1" applyAlignment="1">
      <alignment horizontal="center" vertical="center"/>
    </xf>
    <xf numFmtId="0" fontId="108" fillId="0" borderId="37" xfId="3" applyFont="1" applyBorder="1" applyAlignment="1">
      <alignment horizontal="center" vertical="center"/>
    </xf>
    <xf numFmtId="0" fontId="108" fillId="0" borderId="119" xfId="3" applyFont="1" applyBorder="1" applyAlignment="1">
      <alignment horizontal="justify" vertical="center"/>
    </xf>
    <xf numFmtId="0" fontId="108" fillId="0" borderId="42" xfId="3" applyFont="1" applyBorder="1" applyAlignment="1">
      <alignment horizontal="justify" vertical="center"/>
    </xf>
    <xf numFmtId="0" fontId="69" fillId="26" borderId="1" xfId="3" applyFont="1" applyFill="1" applyBorder="1" applyAlignment="1">
      <alignment horizontal="left" vertical="center"/>
    </xf>
    <xf numFmtId="0" fontId="106" fillId="25" borderId="45" xfId="3" applyFont="1" applyFill="1" applyBorder="1" applyAlignment="1">
      <alignment horizontal="center" vertical="center"/>
    </xf>
    <xf numFmtId="0" fontId="106" fillId="25" borderId="155" xfId="3" applyFont="1" applyFill="1" applyBorder="1" applyAlignment="1">
      <alignment horizontal="center" vertical="center"/>
    </xf>
    <xf numFmtId="0" fontId="108" fillId="0" borderId="119" xfId="3" applyFont="1" applyBorder="1" applyAlignment="1">
      <alignment horizontal="center" vertical="center"/>
    </xf>
    <xf numFmtId="0" fontId="108" fillId="0" borderId="74" xfId="3" applyFont="1" applyBorder="1" applyAlignment="1">
      <alignment horizontal="center" vertical="center"/>
    </xf>
    <xf numFmtId="0" fontId="102" fillId="24" borderId="20" xfId="3" applyFont="1" applyFill="1" applyBorder="1" applyAlignment="1">
      <alignment horizontal="center" vertical="center"/>
    </xf>
    <xf numFmtId="0" fontId="102" fillId="24" borderId="19" xfId="3" applyFont="1" applyFill="1" applyBorder="1" applyAlignment="1">
      <alignment horizontal="center" vertical="center"/>
    </xf>
    <xf numFmtId="0" fontId="102" fillId="24" borderId="147" xfId="3" applyFont="1" applyFill="1" applyBorder="1" applyAlignment="1">
      <alignment horizontal="center" vertical="center"/>
    </xf>
    <xf numFmtId="0" fontId="102" fillId="24" borderId="46" xfId="3" applyFont="1" applyFill="1" applyBorder="1" applyAlignment="1">
      <alignment horizontal="center" vertical="center"/>
    </xf>
    <xf numFmtId="0" fontId="102" fillId="24" borderId="44" xfId="3" applyFont="1" applyFill="1" applyBorder="1" applyAlignment="1">
      <alignment horizontal="center" vertical="center"/>
    </xf>
    <xf numFmtId="0" fontId="102" fillId="24" borderId="151" xfId="3" applyFont="1" applyFill="1" applyBorder="1" applyAlignment="1">
      <alignment horizontal="center" vertical="center"/>
    </xf>
    <xf numFmtId="0" fontId="113" fillId="26" borderId="148" xfId="3" applyFont="1" applyFill="1" applyBorder="1" applyAlignment="1">
      <alignment horizontal="center" vertical="center"/>
    </xf>
    <xf numFmtId="0" fontId="113" fillId="26" borderId="152" xfId="3" applyFont="1" applyFill="1" applyBorder="1" applyAlignment="1">
      <alignment horizontal="center" vertical="center"/>
    </xf>
    <xf numFmtId="0" fontId="113" fillId="26" borderId="158" xfId="3" applyFont="1" applyFill="1" applyBorder="1" applyAlignment="1">
      <alignment horizontal="center" vertical="center"/>
    </xf>
    <xf numFmtId="0" fontId="114" fillId="0" borderId="41" xfId="3" applyFont="1" applyBorder="1" applyAlignment="1">
      <alignment horizontal="center" vertical="center"/>
    </xf>
    <xf numFmtId="0" fontId="114" fillId="0" borderId="72" xfId="3" applyFont="1" applyBorder="1" applyAlignment="1">
      <alignment horizontal="center" vertical="center"/>
    </xf>
    <xf numFmtId="0" fontId="109" fillId="26" borderId="18" xfId="3" applyFont="1" applyFill="1" applyBorder="1" applyAlignment="1">
      <alignment horizontal="center" vertical="center"/>
    </xf>
    <xf numFmtId="0" fontId="109" fillId="26" borderId="3" xfId="3" applyFont="1" applyFill="1" applyBorder="1" applyAlignment="1">
      <alignment horizontal="center" vertical="center"/>
    </xf>
    <xf numFmtId="0" fontId="40" fillId="0" borderId="41" xfId="3" applyFont="1" applyBorder="1" applyAlignment="1">
      <alignment horizontal="justify" vertical="center" wrapText="1"/>
    </xf>
    <xf numFmtId="0" fontId="40" fillId="0" borderId="73" xfId="3" applyFont="1" applyBorder="1" applyAlignment="1">
      <alignment horizontal="justify" vertical="center" wrapText="1"/>
    </xf>
    <xf numFmtId="0" fontId="40" fillId="0" borderId="116" xfId="3" applyFont="1" applyBorder="1" applyAlignment="1">
      <alignment horizontal="justify" vertical="center" wrapText="1"/>
    </xf>
    <xf numFmtId="0" fontId="109" fillId="26" borderId="1" xfId="3" applyFont="1" applyFill="1" applyBorder="1" applyAlignment="1">
      <alignment horizontal="center" vertical="center"/>
    </xf>
    <xf numFmtId="0" fontId="40" fillId="0" borderId="119" xfId="3" applyFont="1" applyBorder="1" applyAlignment="1">
      <alignment horizontal="justify" vertical="center" wrapText="1"/>
    </xf>
    <xf numFmtId="0" fontId="40" fillId="0" borderId="42" xfId="3" applyFont="1" applyBorder="1" applyAlignment="1">
      <alignment horizontal="justify" vertical="center" wrapText="1"/>
    </xf>
    <xf numFmtId="0" fontId="40" fillId="0" borderId="120" xfId="3" applyFont="1" applyBorder="1" applyAlignment="1">
      <alignment horizontal="justify" vertical="center" wrapText="1"/>
    </xf>
    <xf numFmtId="0" fontId="111" fillId="0" borderId="41" xfId="3" applyFont="1" applyBorder="1" applyAlignment="1">
      <alignment horizontal="center" vertical="center" wrapText="1"/>
    </xf>
    <xf numFmtId="0" fontId="111" fillId="0" borderId="73" xfId="3" applyFont="1" applyBorder="1" applyAlignment="1">
      <alignment horizontal="center" vertical="center" wrapText="1"/>
    </xf>
    <xf numFmtId="0" fontId="111" fillId="0" borderId="116" xfId="3" applyFont="1" applyBorder="1" applyAlignment="1">
      <alignment horizontal="center" vertical="center" wrapText="1"/>
    </xf>
    <xf numFmtId="0" fontId="40" fillId="0" borderId="74" xfId="3" applyFont="1" applyBorder="1" applyAlignment="1">
      <alignment horizontal="justify" vertical="center" wrapText="1"/>
    </xf>
    <xf numFmtId="0" fontId="40" fillId="0" borderId="68" xfId="3" applyFont="1" applyBorder="1" applyAlignment="1">
      <alignment horizontal="justify" vertical="center" wrapText="1"/>
    </xf>
    <xf numFmtId="0" fontId="40" fillId="0" borderId="121" xfId="3" applyFont="1" applyBorder="1" applyAlignment="1">
      <alignment horizontal="justify" vertical="center" wrapText="1"/>
    </xf>
    <xf numFmtId="0" fontId="181" fillId="27" borderId="41" xfId="0" applyFont="1" applyFill="1" applyBorder="1" applyAlignment="1">
      <alignment horizontal="center" vertical="center" wrapText="1"/>
    </xf>
    <xf numFmtId="0" fontId="181" fillId="27" borderId="73" xfId="0" applyFont="1" applyFill="1" applyBorder="1" applyAlignment="1">
      <alignment horizontal="center" vertical="center" wrapText="1"/>
    </xf>
    <xf numFmtId="0" fontId="181" fillId="27" borderId="72" xfId="0" applyFont="1" applyFill="1" applyBorder="1" applyAlignment="1">
      <alignment horizontal="center" vertical="center" wrapText="1"/>
    </xf>
    <xf numFmtId="0" fontId="53" fillId="0" borderId="41" xfId="0" applyFont="1" applyBorder="1" applyAlignment="1">
      <alignment horizontal="center" vertical="center" wrapText="1"/>
    </xf>
    <xf numFmtId="0" fontId="53" fillId="0" borderId="72" xfId="0" applyFont="1" applyBorder="1" applyAlignment="1">
      <alignment horizontal="center" vertical="center" wrapText="1"/>
    </xf>
    <xf numFmtId="0" fontId="194" fillId="0" borderId="41" xfId="0" applyFont="1" applyBorder="1" applyAlignment="1">
      <alignment horizontal="center" vertical="center" wrapText="1"/>
    </xf>
    <xf numFmtId="0" fontId="194" fillId="0" borderId="73" xfId="0" applyFont="1" applyBorder="1" applyAlignment="1">
      <alignment horizontal="center" vertical="center" wrapText="1"/>
    </xf>
    <xf numFmtId="0" fontId="194" fillId="0" borderId="72" xfId="0" applyFont="1" applyBorder="1" applyAlignment="1">
      <alignment horizontal="center" vertical="center" wrapText="1"/>
    </xf>
    <xf numFmtId="0" fontId="7" fillId="0" borderId="73" xfId="0" applyFont="1" applyBorder="1" applyAlignment="1">
      <alignment horizontal="center" vertical="center" wrapText="1"/>
    </xf>
    <xf numFmtId="0" fontId="193" fillId="0" borderId="73" xfId="0" applyFont="1" applyBorder="1" applyAlignment="1">
      <alignment horizontal="justify" vertical="center" wrapText="1"/>
    </xf>
    <xf numFmtId="0" fontId="193" fillId="0" borderId="72" xfId="0" applyFont="1" applyBorder="1" applyAlignment="1">
      <alignment horizontal="justify" vertical="center" wrapText="1"/>
    </xf>
    <xf numFmtId="0" fontId="193" fillId="0" borderId="73" xfId="0" applyFont="1" applyBorder="1" applyAlignment="1">
      <alignment horizontal="center" vertical="center" wrapText="1"/>
    </xf>
    <xf numFmtId="0" fontId="53" fillId="0" borderId="73" xfId="0" applyFont="1" applyBorder="1" applyAlignment="1">
      <alignment horizontal="center" vertical="center" wrapText="1"/>
    </xf>
    <xf numFmtId="0" fontId="193" fillId="0" borderId="41" xfId="0" applyFont="1" applyBorder="1" applyAlignment="1">
      <alignment horizontal="justify" vertical="center" wrapText="1"/>
    </xf>
    <xf numFmtId="0" fontId="196" fillId="0" borderId="41" xfId="0" applyFont="1" applyBorder="1" applyAlignment="1">
      <alignment horizontal="center" vertical="center" wrapText="1"/>
    </xf>
    <xf numFmtId="0" fontId="196" fillId="0" borderId="73" xfId="0" applyFont="1" applyBorder="1" applyAlignment="1">
      <alignment horizontal="center" vertical="center" wrapText="1"/>
    </xf>
    <xf numFmtId="0" fontId="196" fillId="0" borderId="72" xfId="0" applyFont="1" applyBorder="1" applyAlignment="1">
      <alignment horizontal="center" vertical="center" wrapText="1"/>
    </xf>
    <xf numFmtId="0" fontId="181" fillId="27" borderId="119" xfId="0" applyFont="1" applyFill="1" applyBorder="1" applyAlignment="1">
      <alignment horizontal="center" vertical="center" wrapText="1"/>
    </xf>
    <xf numFmtId="0" fontId="181" fillId="27" borderId="40" xfId="0" applyFont="1" applyFill="1" applyBorder="1" applyAlignment="1">
      <alignment horizontal="center" vertical="center" wrapText="1"/>
    </xf>
    <xf numFmtId="0" fontId="181" fillId="27" borderId="74" xfId="0" applyFont="1" applyFill="1" applyBorder="1" applyAlignment="1">
      <alignment horizontal="center" vertical="center" wrapText="1"/>
    </xf>
    <xf numFmtId="0" fontId="181" fillId="27" borderId="37" xfId="0" applyFont="1" applyFill="1" applyBorder="1" applyAlignment="1">
      <alignment horizontal="center" vertical="center" wrapText="1"/>
    </xf>
    <xf numFmtId="0" fontId="30" fillId="3" borderId="20" xfId="0" applyFont="1" applyFill="1" applyBorder="1" applyAlignment="1">
      <alignment horizontal="center" vertical="center"/>
    </xf>
    <xf numFmtId="0" fontId="30" fillId="3" borderId="19" xfId="0" applyFont="1" applyFill="1" applyBorder="1" applyAlignment="1">
      <alignment horizontal="center" vertical="center"/>
    </xf>
    <xf numFmtId="0" fontId="22" fillId="31" borderId="46" xfId="0" applyFont="1" applyFill="1" applyBorder="1" applyAlignment="1">
      <alignment horizontal="center"/>
    </xf>
    <xf numFmtId="0" fontId="22" fillId="31" borderId="146" xfId="0" applyFont="1" applyFill="1" applyBorder="1" applyAlignment="1">
      <alignment horizontal="center"/>
    </xf>
    <xf numFmtId="0" fontId="191" fillId="27" borderId="203" xfId="0" applyFont="1" applyFill="1" applyBorder="1" applyAlignment="1">
      <alignment horizontal="center" vertical="center" wrapText="1"/>
    </xf>
    <xf numFmtId="0" fontId="191" fillId="27" borderId="195" xfId="0" applyFont="1" applyFill="1" applyBorder="1" applyAlignment="1">
      <alignment horizontal="center" vertical="center" wrapText="1"/>
    </xf>
    <xf numFmtId="0" fontId="191" fillId="27" borderId="204" xfId="0" applyFont="1" applyFill="1" applyBorder="1" applyAlignment="1">
      <alignment horizontal="center" vertical="center" wrapText="1"/>
    </xf>
    <xf numFmtId="0" fontId="192" fillId="0" borderId="205" xfId="0" applyFont="1" applyBorder="1" applyAlignment="1">
      <alignment horizontal="center" vertical="center" wrapText="1"/>
    </xf>
    <xf numFmtId="0" fontId="192" fillId="0" borderId="73" xfId="0" applyFont="1" applyBorder="1" applyAlignment="1">
      <alignment horizontal="center" vertical="center" wrapText="1"/>
    </xf>
    <xf numFmtId="0" fontId="131" fillId="16" borderId="1" xfId="0" applyFont="1" applyFill="1" applyBorder="1" applyAlignment="1">
      <alignment horizontal="center" vertical="center"/>
    </xf>
    <xf numFmtId="0" fontId="131" fillId="16" borderId="22" xfId="0" applyFont="1" applyFill="1" applyBorder="1" applyAlignment="1">
      <alignment horizontal="center" vertical="center"/>
    </xf>
    <xf numFmtId="176" fontId="5" fillId="2" borderId="147" xfId="0" applyNumberFormat="1" applyFont="1" applyFill="1" applyBorder="1" applyAlignment="1">
      <alignment horizontal="center" vertical="center"/>
    </xf>
    <xf numFmtId="176" fontId="5" fillId="2" borderId="156" xfId="0" applyNumberFormat="1" applyFont="1" applyFill="1" applyBorder="1" applyAlignment="1">
      <alignment horizontal="center" vertical="center"/>
    </xf>
    <xf numFmtId="176" fontId="5" fillId="2" borderId="151" xfId="0" applyNumberFormat="1" applyFont="1" applyFill="1" applyBorder="1" applyAlignment="1">
      <alignment horizontal="center" vertical="center"/>
    </xf>
    <xf numFmtId="0" fontId="138" fillId="31" borderId="6" xfId="0" applyFont="1" applyFill="1" applyBorder="1" applyAlignment="1">
      <alignment horizontal="center" vertical="center" wrapText="1"/>
    </xf>
    <xf numFmtId="0" fontId="138" fillId="31" borderId="18" xfId="0" applyFont="1" applyFill="1" applyBorder="1" applyAlignment="1">
      <alignment horizontal="center" vertical="center" wrapText="1"/>
    </xf>
    <xf numFmtId="0" fontId="138" fillId="31" borderId="106" xfId="0" applyFont="1" applyFill="1" applyBorder="1" applyAlignment="1">
      <alignment horizontal="center" vertical="center" wrapText="1"/>
    </xf>
    <xf numFmtId="0" fontId="138" fillId="31" borderId="105" xfId="0" applyFont="1" applyFill="1" applyBorder="1" applyAlignment="1">
      <alignment horizontal="center" vertical="center"/>
    </xf>
    <xf numFmtId="0" fontId="138" fillId="31" borderId="18" xfId="0" applyFont="1" applyFill="1" applyBorder="1" applyAlignment="1">
      <alignment horizontal="center" vertical="center"/>
    </xf>
    <xf numFmtId="0" fontId="138" fillId="31" borderId="106" xfId="0" applyFont="1" applyFill="1" applyBorder="1" applyAlignment="1">
      <alignment horizontal="center" vertical="center"/>
    </xf>
    <xf numFmtId="0" fontId="141" fillId="18" borderId="95" xfId="0" applyFont="1" applyFill="1" applyBorder="1" applyAlignment="1">
      <alignment horizontal="center" vertical="center" wrapText="1"/>
    </xf>
    <xf numFmtId="0" fontId="141" fillId="18" borderId="96" xfId="0" applyFont="1" applyFill="1" applyBorder="1" applyAlignment="1">
      <alignment horizontal="center" vertical="center" wrapText="1"/>
    </xf>
    <xf numFmtId="0" fontId="142" fillId="19" borderId="97" xfId="0" applyFont="1" applyFill="1" applyBorder="1" applyAlignment="1">
      <alignment horizontal="center" vertical="center" wrapText="1"/>
    </xf>
    <xf numFmtId="0" fontId="142" fillId="19" borderId="98" xfId="0" applyFont="1" applyFill="1" applyBorder="1" applyAlignment="1">
      <alignment horizontal="center" vertical="center" wrapText="1"/>
    </xf>
    <xf numFmtId="0" fontId="142" fillId="19" borderId="95" xfId="0" applyFont="1" applyFill="1" applyBorder="1" applyAlignment="1">
      <alignment horizontal="center" vertical="center" wrapText="1"/>
    </xf>
    <xf numFmtId="0" fontId="142" fillId="19" borderId="99" xfId="0" applyFont="1" applyFill="1" applyBorder="1" applyAlignment="1">
      <alignment horizontal="center" vertical="center" wrapText="1"/>
    </xf>
    <xf numFmtId="0" fontId="142" fillId="19" borderId="100" xfId="0" applyFont="1" applyFill="1" applyBorder="1" applyAlignment="1">
      <alignment horizontal="center" vertical="center" wrapText="1"/>
    </xf>
    <xf numFmtId="0" fontId="142" fillId="19" borderId="96" xfId="0" applyFont="1" applyFill="1" applyBorder="1" applyAlignment="1">
      <alignment horizontal="center" vertical="center" wrapText="1"/>
    </xf>
    <xf numFmtId="0" fontId="142" fillId="19" borderId="97" xfId="0" applyFont="1" applyFill="1" applyBorder="1" applyAlignment="1">
      <alignment horizontal="justify" vertical="center" wrapText="1"/>
    </xf>
    <xf numFmtId="0" fontId="142" fillId="19" borderId="98" xfId="0" applyFont="1" applyFill="1" applyBorder="1" applyAlignment="1">
      <alignment horizontal="justify" vertical="center" wrapText="1"/>
    </xf>
    <xf numFmtId="0" fontId="142" fillId="19" borderId="95" xfId="0" applyFont="1" applyFill="1" applyBorder="1" applyAlignment="1">
      <alignment horizontal="justify" vertical="center" wrapText="1"/>
    </xf>
    <xf numFmtId="0" fontId="142" fillId="19" borderId="99" xfId="0" applyFont="1" applyFill="1" applyBorder="1" applyAlignment="1">
      <alignment horizontal="justify" vertical="center" wrapText="1"/>
    </xf>
    <xf numFmtId="0" fontId="142" fillId="19" borderId="100" xfId="0" applyFont="1" applyFill="1" applyBorder="1" applyAlignment="1">
      <alignment horizontal="justify" vertical="center" wrapText="1"/>
    </xf>
    <xf numFmtId="0" fontId="142" fillId="19" borderId="96" xfId="0" applyFont="1" applyFill="1" applyBorder="1" applyAlignment="1">
      <alignment horizontal="justify" vertical="center" wrapText="1"/>
    </xf>
    <xf numFmtId="0" fontId="142" fillId="19" borderId="92" xfId="0" applyFont="1" applyFill="1" applyBorder="1" applyAlignment="1">
      <alignment horizontal="center" vertical="center" wrapText="1"/>
    </xf>
    <xf numFmtId="0" fontId="142" fillId="19" borderId="93" xfId="0" applyFont="1" applyFill="1" applyBorder="1" applyAlignment="1">
      <alignment horizontal="center" vertical="center" wrapText="1"/>
    </xf>
    <xf numFmtId="0" fontId="142" fillId="19" borderId="101" xfId="0" applyFont="1" applyFill="1" applyBorder="1" applyAlignment="1">
      <alignment horizontal="center" vertical="center" wrapText="1"/>
    </xf>
    <xf numFmtId="0" fontId="142" fillId="19" borderId="102" xfId="0" applyFont="1" applyFill="1" applyBorder="1" applyAlignment="1">
      <alignment horizontal="center" vertical="center" wrapText="1"/>
    </xf>
    <xf numFmtId="0" fontId="142" fillId="0" borderId="82" xfId="0" applyFont="1" applyBorder="1" applyAlignment="1">
      <alignment horizontal="center" vertical="center" wrapText="1"/>
    </xf>
    <xf numFmtId="0" fontId="142" fillId="0" borderId="83" xfId="0" applyFont="1" applyBorder="1" applyAlignment="1">
      <alignment horizontal="center" vertical="center" wrapText="1"/>
    </xf>
    <xf numFmtId="0" fontId="142" fillId="0" borderId="100" xfId="0" applyFont="1" applyBorder="1" applyAlignment="1">
      <alignment horizontal="center" vertical="center" wrapText="1"/>
    </xf>
    <xf numFmtId="0" fontId="142" fillId="0" borderId="103" xfId="0" applyFont="1" applyBorder="1" applyAlignment="1">
      <alignment horizontal="center" vertical="center" wrapText="1"/>
    </xf>
    <xf numFmtId="0" fontId="142" fillId="0" borderId="85" xfId="0" applyFont="1" applyBorder="1" applyAlignment="1">
      <alignment horizontal="justify" vertical="center" wrapText="1"/>
    </xf>
    <xf numFmtId="0" fontId="142" fillId="0" borderId="82" xfId="0" applyFont="1" applyBorder="1" applyAlignment="1">
      <alignment horizontal="justify" vertical="center" wrapText="1"/>
    </xf>
    <xf numFmtId="0" fontId="142" fillId="0" borderId="104" xfId="0" applyFont="1" applyBorder="1" applyAlignment="1">
      <alignment horizontal="justify" vertical="center" wrapText="1"/>
    </xf>
    <xf numFmtId="0" fontId="142" fillId="0" borderId="100" xfId="0" applyFont="1" applyBorder="1" applyAlignment="1">
      <alignment horizontal="justify" vertical="center" wrapText="1"/>
    </xf>
    <xf numFmtId="0" fontId="141" fillId="0" borderId="86" xfId="0" applyFont="1" applyBorder="1" applyAlignment="1">
      <alignment horizontal="justify" vertical="center" wrapText="1"/>
    </xf>
    <xf numFmtId="0" fontId="141" fillId="18" borderId="88" xfId="0" applyFont="1" applyFill="1" applyBorder="1" applyAlignment="1">
      <alignment horizontal="center" vertical="center" wrapText="1"/>
    </xf>
    <xf numFmtId="0" fontId="141" fillId="18" borderId="89" xfId="0" applyFont="1" applyFill="1" applyBorder="1" applyAlignment="1">
      <alignment horizontal="center" vertical="center" wrapText="1"/>
    </xf>
    <xf numFmtId="0" fontId="142" fillId="19" borderId="90" xfId="0" applyFont="1" applyFill="1" applyBorder="1" applyAlignment="1">
      <alignment horizontal="center" vertical="center" wrapText="1"/>
    </xf>
    <xf numFmtId="0" fontId="142" fillId="19" borderId="91" xfId="0" applyFont="1" applyFill="1" applyBorder="1" applyAlignment="1">
      <alignment horizontal="center" vertical="center" wrapText="1"/>
    </xf>
    <xf numFmtId="0" fontId="142" fillId="19" borderId="87" xfId="0" applyFont="1" applyFill="1" applyBorder="1" applyAlignment="1">
      <alignment horizontal="center" vertical="center" wrapText="1"/>
    </xf>
    <xf numFmtId="0" fontId="142" fillId="19" borderId="94" xfId="0" applyFont="1" applyFill="1" applyBorder="1" applyAlignment="1">
      <alignment horizontal="center" vertical="center" wrapText="1"/>
    </xf>
    <xf numFmtId="0" fontId="142" fillId="19" borderId="92" xfId="0" applyFont="1" applyFill="1" applyBorder="1" applyAlignment="1">
      <alignment horizontal="justify" vertical="center" wrapText="1"/>
    </xf>
    <xf numFmtId="0" fontId="142" fillId="19" borderId="93" xfId="0" applyFont="1" applyFill="1" applyBorder="1" applyAlignment="1">
      <alignment horizontal="justify" vertical="center" wrapText="1"/>
    </xf>
    <xf numFmtId="0" fontId="142" fillId="19" borderId="94" xfId="0" applyFont="1" applyFill="1" applyBorder="1" applyAlignment="1">
      <alignment horizontal="justify" vertical="center" wrapText="1"/>
    </xf>
    <xf numFmtId="0" fontId="142" fillId="0" borderId="42" xfId="0" applyFont="1" applyBorder="1" applyAlignment="1">
      <alignment horizontal="justify" vertical="center" wrapText="1"/>
    </xf>
    <xf numFmtId="0" fontId="141" fillId="0" borderId="0" xfId="0" applyFont="1" applyAlignment="1">
      <alignment horizontal="justify" vertical="center" wrapText="1"/>
    </xf>
    <xf numFmtId="0" fontId="142" fillId="0" borderId="0" xfId="0" applyFont="1" applyAlignment="1">
      <alignment horizontal="right" vertical="center" wrapText="1"/>
    </xf>
    <xf numFmtId="0" fontId="142" fillId="0" borderId="0" xfId="0" applyFont="1" applyAlignment="1">
      <alignment vertical="center" wrapText="1"/>
    </xf>
    <xf numFmtId="0" fontId="141" fillId="0" borderId="0" xfId="0" applyFont="1" applyAlignment="1">
      <alignment horizontal="center" vertical="center" wrapText="1"/>
    </xf>
    <xf numFmtId="0" fontId="142" fillId="0" borderId="0" xfId="0" applyFont="1" applyAlignment="1">
      <alignment horizontal="center" vertical="center" wrapText="1"/>
    </xf>
    <xf numFmtId="0" fontId="141" fillId="0" borderId="79" xfId="0" applyFont="1" applyBorder="1" applyAlignment="1">
      <alignment horizontal="right" vertical="center" wrapText="1"/>
    </xf>
    <xf numFmtId="0" fontId="142" fillId="0" borderId="79" xfId="0" applyFont="1" applyBorder="1" applyAlignment="1">
      <alignment horizontal="justify" vertical="center" wrapText="1"/>
    </xf>
    <xf numFmtId="0" fontId="142" fillId="0" borderId="80" xfId="0" applyFont="1" applyBorder="1" applyAlignment="1">
      <alignment horizontal="center" vertical="center" wrapText="1"/>
    </xf>
    <xf numFmtId="0" fontId="142" fillId="0" borderId="66" xfId="0" applyFont="1" applyBorder="1" applyAlignment="1">
      <alignment horizontal="center" vertical="center" wrapText="1"/>
    </xf>
    <xf numFmtId="0" fontId="142" fillId="0" borderId="58" xfId="0" applyFont="1" applyBorder="1" applyAlignment="1">
      <alignment horizontal="center" vertical="center" wrapText="1"/>
    </xf>
    <xf numFmtId="180" fontId="142" fillId="0" borderId="65" xfId="0" applyNumberFormat="1" applyFont="1" applyBorder="1" applyAlignment="1">
      <alignment horizontal="center" vertical="center" wrapText="1"/>
    </xf>
    <xf numFmtId="0" fontId="142" fillId="0" borderId="65" xfId="0" applyFont="1" applyBorder="1" applyAlignment="1">
      <alignment horizontal="center" vertical="center" wrapText="1"/>
    </xf>
    <xf numFmtId="0" fontId="142" fillId="0" borderId="71" xfId="0" applyFont="1" applyBorder="1" applyAlignment="1">
      <alignment horizontal="right" vertical="center" wrapText="1"/>
    </xf>
    <xf numFmtId="0" fontId="142" fillId="0" borderId="73" xfId="0" applyFont="1" applyBorder="1" applyAlignment="1">
      <alignment horizontal="right" vertical="center" wrapText="1"/>
    </xf>
    <xf numFmtId="0" fontId="141" fillId="17" borderId="73" xfId="0" applyFont="1" applyFill="1" applyBorder="1" applyAlignment="1">
      <alignment horizontal="center" vertical="center" wrapText="1"/>
    </xf>
    <xf numFmtId="0" fontId="141" fillId="17" borderId="77" xfId="0" applyFont="1" applyFill="1" applyBorder="1" applyAlignment="1">
      <alignment horizontal="center" vertical="center" wrapText="1"/>
    </xf>
    <xf numFmtId="0" fontId="142" fillId="17" borderId="78" xfId="0" applyFont="1" applyFill="1" applyBorder="1" applyAlignment="1">
      <alignment horizontal="right" vertical="center" wrapText="1"/>
    </xf>
    <xf numFmtId="0" fontId="142" fillId="17" borderId="73" xfId="0" applyFont="1" applyFill="1" applyBorder="1" applyAlignment="1">
      <alignment horizontal="right" vertical="center" wrapText="1"/>
    </xf>
    <xf numFmtId="0" fontId="173" fillId="17" borderId="73" xfId="0" applyFont="1" applyFill="1" applyBorder="1" applyAlignment="1">
      <alignment horizontal="center" vertical="center" wrapText="1"/>
    </xf>
    <xf numFmtId="0" fontId="142" fillId="17" borderId="73" xfId="0" applyFont="1" applyFill="1" applyBorder="1" applyAlignment="1">
      <alignment horizontal="center" vertical="center" wrapText="1"/>
    </xf>
    <xf numFmtId="0" fontId="141" fillId="0" borderId="64" xfId="0" applyFont="1" applyBorder="1" applyAlignment="1">
      <alignment horizontal="center" vertical="center" wrapText="1"/>
    </xf>
    <xf numFmtId="0" fontId="141" fillId="0" borderId="61" xfId="0" applyFont="1" applyBorder="1" applyAlignment="1">
      <alignment horizontal="center" vertical="center" wrapText="1"/>
    </xf>
    <xf numFmtId="0" fontId="141" fillId="0" borderId="62" xfId="0" applyFont="1" applyBorder="1" applyAlignment="1">
      <alignment horizontal="center" vertical="center" wrapText="1"/>
    </xf>
    <xf numFmtId="0" fontId="155" fillId="31" borderId="105" xfId="0" applyFont="1" applyFill="1" applyBorder="1" applyAlignment="1">
      <alignment horizontal="center" vertical="center"/>
    </xf>
    <xf numFmtId="0" fontId="155" fillId="31" borderId="18" xfId="0" applyFont="1" applyFill="1" applyBorder="1" applyAlignment="1">
      <alignment horizontal="center" vertical="center"/>
    </xf>
    <xf numFmtId="0" fontId="155" fillId="31" borderId="106" xfId="0" applyFont="1" applyFill="1" applyBorder="1" applyAlignment="1">
      <alignment horizontal="center" vertical="center"/>
    </xf>
    <xf numFmtId="0" fontId="141" fillId="0" borderId="144" xfId="0" applyFont="1" applyBorder="1" applyAlignment="1">
      <alignment horizontal="center" vertical="center" wrapText="1"/>
    </xf>
    <xf numFmtId="0" fontId="142" fillId="17" borderId="52" xfId="0" applyFont="1" applyFill="1" applyBorder="1" applyAlignment="1">
      <alignment horizontal="center" vertical="center" wrapText="1"/>
    </xf>
    <xf numFmtId="0" fontId="142" fillId="17" borderId="81" xfId="0" applyFont="1" applyFill="1" applyBorder="1" applyAlignment="1">
      <alignment horizontal="center" vertical="center" wrapText="1"/>
    </xf>
    <xf numFmtId="0" fontId="142" fillId="17" borderId="53" xfId="0" applyFont="1" applyFill="1" applyBorder="1" applyAlignment="1">
      <alignment horizontal="justify" vertical="center" wrapText="1"/>
    </xf>
    <xf numFmtId="0" fontId="142" fillId="17" borderId="52" xfId="0" applyFont="1" applyFill="1" applyBorder="1" applyAlignment="1">
      <alignment horizontal="justify" vertical="center" wrapText="1"/>
    </xf>
    <xf numFmtId="0" fontId="141" fillId="17" borderId="52" xfId="0" applyFont="1" applyFill="1" applyBorder="1" applyAlignment="1">
      <alignment vertical="center" wrapText="1"/>
    </xf>
    <xf numFmtId="0" fontId="142" fillId="0" borderId="54" xfId="0" applyFont="1" applyBorder="1" applyAlignment="1">
      <alignment horizontal="justify" vertical="center" wrapText="1"/>
    </xf>
    <xf numFmtId="0" fontId="141" fillId="0" borderId="56" xfId="0" applyFont="1" applyBorder="1" applyAlignment="1">
      <alignment horizontal="justify" vertical="center" wrapText="1"/>
    </xf>
    <xf numFmtId="0" fontId="141" fillId="0" borderId="55" xfId="0" applyFont="1" applyBorder="1" applyAlignment="1">
      <alignment horizontal="justify" vertical="center" wrapText="1"/>
    </xf>
    <xf numFmtId="0" fontId="142" fillId="0" borderId="57" xfId="0" applyFont="1" applyBorder="1" applyAlignment="1">
      <alignment horizontal="center" vertical="center" wrapText="1"/>
    </xf>
    <xf numFmtId="0" fontId="142" fillId="0" borderId="56" xfId="0" applyFont="1" applyBorder="1" applyAlignment="1">
      <alignment horizontal="center" vertical="center" wrapText="1"/>
    </xf>
    <xf numFmtId="0" fontId="142" fillId="0" borderId="55" xfId="0" applyFont="1" applyBorder="1" applyAlignment="1">
      <alignment horizontal="center" vertical="center" wrapText="1"/>
    </xf>
    <xf numFmtId="0" fontId="141" fillId="0" borderId="57" xfId="0" applyFont="1" applyBorder="1" applyAlignment="1">
      <alignment horizontal="justify" vertical="center" wrapText="1"/>
    </xf>
    <xf numFmtId="0" fontId="141" fillId="0" borderId="59" xfId="0" applyFont="1" applyBorder="1" applyAlignment="1">
      <alignment horizontal="justify" vertical="center" wrapText="1"/>
    </xf>
    <xf numFmtId="0" fontId="141" fillId="0" borderId="60" xfId="0" applyFont="1" applyBorder="1" applyAlignment="1">
      <alignment horizontal="justify" vertical="center" wrapText="1"/>
    </xf>
    <xf numFmtId="0" fontId="142" fillId="0" borderId="63" xfId="0" applyFont="1" applyBorder="1" applyAlignment="1">
      <alignment horizontal="center" vertical="center" wrapText="1"/>
    </xf>
    <xf numFmtId="0" fontId="142" fillId="0" borderId="59" xfId="0" applyFont="1" applyBorder="1" applyAlignment="1">
      <alignment horizontal="center" vertical="center" wrapText="1"/>
    </xf>
    <xf numFmtId="0" fontId="142" fillId="0" borderId="60" xfId="0" applyFont="1" applyBorder="1" applyAlignment="1">
      <alignment horizontal="center" vertical="center" wrapText="1"/>
    </xf>
    <xf numFmtId="0" fontId="142" fillId="0" borderId="64" xfId="0" applyFont="1" applyBorder="1" applyAlignment="1">
      <alignment horizontal="center" vertical="center" wrapText="1"/>
    </xf>
    <xf numFmtId="0" fontId="142" fillId="0" borderId="61" xfId="0" applyFont="1" applyBorder="1" applyAlignment="1">
      <alignment horizontal="center" vertical="center" wrapText="1"/>
    </xf>
    <xf numFmtId="0" fontId="142" fillId="0" borderId="62" xfId="0" applyFont="1" applyBorder="1" applyAlignment="1">
      <alignment horizontal="center" vertical="center" wrapText="1"/>
    </xf>
    <xf numFmtId="0" fontId="141" fillId="0" borderId="63" xfId="0" applyFont="1" applyBorder="1" applyAlignment="1">
      <alignment horizontal="justify" vertical="center" wrapText="1"/>
    </xf>
    <xf numFmtId="0" fontId="141" fillId="0" borderId="61" xfId="0" applyFont="1" applyBorder="1" applyAlignment="1">
      <alignment horizontal="justify" vertical="center" wrapText="1"/>
    </xf>
    <xf numFmtId="0" fontId="141" fillId="0" borderId="62" xfId="0" applyFont="1" applyBorder="1" applyAlignment="1">
      <alignment horizontal="justify" vertical="center" wrapText="1"/>
    </xf>
    <xf numFmtId="0" fontId="141" fillId="0" borderId="64" xfId="0" applyFont="1" applyBorder="1" applyAlignment="1">
      <alignment horizontal="justify" vertical="center" wrapText="1"/>
    </xf>
    <xf numFmtId="0" fontId="141" fillId="0" borderId="66" xfId="0" applyFont="1" applyBorder="1" applyAlignment="1">
      <alignment horizontal="justify" vertical="center" wrapText="1"/>
    </xf>
    <xf numFmtId="0" fontId="141" fillId="0" borderId="58" xfId="0" applyFont="1" applyBorder="1" applyAlignment="1">
      <alignment horizontal="justify" vertical="center" wrapText="1"/>
    </xf>
    <xf numFmtId="0" fontId="141" fillId="0" borderId="68" xfId="0" applyFont="1" applyBorder="1" applyAlignment="1">
      <alignment horizontal="justify" vertical="center" wrapText="1"/>
    </xf>
    <xf numFmtId="0" fontId="141" fillId="0" borderId="69" xfId="0" applyFont="1" applyBorder="1" applyAlignment="1">
      <alignment horizontal="justify" vertical="center" wrapText="1"/>
    </xf>
    <xf numFmtId="0" fontId="141" fillId="0" borderId="65" xfId="0" applyFont="1" applyBorder="1" applyAlignment="1">
      <alignment horizontal="justify" vertical="center" wrapText="1"/>
    </xf>
    <xf numFmtId="0" fontId="30" fillId="3" borderId="7" xfId="0" applyFont="1" applyFill="1" applyBorder="1" applyAlignment="1">
      <alignment horizontal="center" vertical="center"/>
    </xf>
    <xf numFmtId="0" fontId="30" fillId="3" borderId="44" xfId="0" applyFont="1" applyFill="1" applyBorder="1" applyAlignment="1">
      <alignment horizontal="center" vertical="center"/>
    </xf>
    <xf numFmtId="0" fontId="160" fillId="31" borderId="142" xfId="0" applyFont="1" applyFill="1" applyBorder="1" applyAlignment="1">
      <alignment horizontal="center" vertical="center"/>
    </xf>
    <xf numFmtId="0" fontId="160" fillId="31" borderId="139" xfId="0" applyFont="1" applyFill="1" applyBorder="1" applyAlignment="1">
      <alignment horizontal="center" vertical="center"/>
    </xf>
    <xf numFmtId="0" fontId="155" fillId="31" borderId="20" xfId="0" applyFont="1" applyFill="1" applyBorder="1" applyAlignment="1">
      <alignment horizontal="center" vertical="center"/>
    </xf>
    <xf numFmtId="0" fontId="155" fillId="31" borderId="19" xfId="0" applyFont="1" applyFill="1" applyBorder="1" applyAlignment="1">
      <alignment horizontal="center" vertical="center"/>
    </xf>
    <xf numFmtId="0" fontId="155" fillId="31" borderId="142" xfId="0" applyFont="1" applyFill="1" applyBorder="1" applyAlignment="1">
      <alignment horizontal="center" vertical="center"/>
    </xf>
    <xf numFmtId="0" fontId="155" fillId="31" borderId="139" xfId="0" applyFont="1" applyFill="1" applyBorder="1" applyAlignment="1">
      <alignment horizontal="center" vertical="center"/>
    </xf>
    <xf numFmtId="0" fontId="141" fillId="0" borderId="70" xfId="0" applyFont="1" applyBorder="1" applyAlignment="1">
      <alignment horizontal="justify" vertical="center" wrapText="1"/>
    </xf>
    <xf numFmtId="0" fontId="141" fillId="0" borderId="67" xfId="0" applyFont="1" applyBorder="1" applyAlignment="1">
      <alignment horizontal="justify" vertical="center" wrapText="1"/>
    </xf>
    <xf numFmtId="0" fontId="142" fillId="0" borderId="70" xfId="0" applyFont="1" applyBorder="1" applyAlignment="1">
      <alignment horizontal="center" vertical="center" wrapText="1"/>
    </xf>
    <xf numFmtId="0" fontId="142" fillId="0" borderId="71" xfId="0" applyFont="1" applyBorder="1" applyAlignment="1">
      <alignment horizontal="center" vertical="center" wrapText="1"/>
    </xf>
    <xf numFmtId="0" fontId="142" fillId="0" borderId="67" xfId="0" applyFont="1" applyBorder="1" applyAlignment="1">
      <alignment horizontal="center" vertical="center" wrapText="1"/>
    </xf>
    <xf numFmtId="0" fontId="141" fillId="0" borderId="71" xfId="0" applyFont="1" applyBorder="1" applyAlignment="1">
      <alignment horizontal="justify" vertical="center" wrapText="1"/>
    </xf>
    <xf numFmtId="0" fontId="142" fillId="0" borderId="70" xfId="0" applyFont="1" applyBorder="1" applyAlignment="1">
      <alignment horizontal="justify" vertical="center" wrapText="1"/>
    </xf>
    <xf numFmtId="0" fontId="142" fillId="0" borderId="71" xfId="0" applyFont="1" applyBorder="1" applyAlignment="1">
      <alignment horizontal="justify" vertical="center" wrapText="1"/>
    </xf>
    <xf numFmtId="0" fontId="143" fillId="0" borderId="42" xfId="0" applyFont="1" applyBorder="1" applyAlignment="1">
      <alignment horizontal="center" vertical="center" wrapText="1"/>
    </xf>
    <xf numFmtId="0" fontId="141" fillId="0" borderId="73" xfId="0" applyFont="1" applyBorder="1" applyAlignment="1">
      <alignment horizontal="justify" vertical="center" wrapText="1"/>
    </xf>
    <xf numFmtId="0" fontId="141" fillId="0" borderId="72" xfId="0" applyFont="1" applyBorder="1" applyAlignment="1">
      <alignment horizontal="justify" vertical="center" wrapText="1"/>
    </xf>
    <xf numFmtId="0" fontId="144" fillId="0" borderId="74" xfId="0" applyFont="1" applyBorder="1" applyAlignment="1">
      <alignment horizontal="center" vertical="center" wrapText="1"/>
    </xf>
    <xf numFmtId="0" fontId="144" fillId="0" borderId="68" xfId="0" applyFont="1" applyBorder="1" applyAlignment="1">
      <alignment horizontal="center" vertical="center" wrapText="1"/>
    </xf>
    <xf numFmtId="0" fontId="141" fillId="0" borderId="42" xfId="0" applyFont="1" applyBorder="1" applyAlignment="1">
      <alignment horizontal="center" vertical="center" wrapText="1"/>
    </xf>
    <xf numFmtId="0" fontId="141" fillId="0" borderId="75" xfId="0" applyFont="1" applyBorder="1" applyAlignment="1">
      <alignment horizontal="center" vertical="center" wrapText="1"/>
    </xf>
    <xf numFmtId="0" fontId="141" fillId="0" borderId="76" xfId="0" applyFont="1" applyBorder="1" applyAlignment="1">
      <alignment horizontal="center" vertical="center" wrapText="1"/>
    </xf>
    <xf numFmtId="0" fontId="160" fillId="31" borderId="47" xfId="0" applyFont="1" applyFill="1" applyBorder="1" applyAlignment="1">
      <alignment horizontal="center" vertical="center"/>
    </xf>
    <xf numFmtId="0" fontId="160" fillId="31" borderId="167" xfId="0" applyFont="1" applyFill="1" applyBorder="1" applyAlignment="1">
      <alignment horizontal="center" vertical="center"/>
    </xf>
    <xf numFmtId="0" fontId="89" fillId="23" borderId="127" xfId="0" applyFont="1" applyFill="1" applyBorder="1" applyAlignment="1">
      <alignment horizontal="center" vertical="center" wrapText="1"/>
    </xf>
    <xf numFmtId="0" fontId="89" fillId="23" borderId="128" xfId="0" applyFont="1" applyFill="1" applyBorder="1" applyAlignment="1">
      <alignment horizontal="center" vertical="center" wrapText="1"/>
    </xf>
    <xf numFmtId="0" fontId="89" fillId="23" borderId="136" xfId="0" applyFont="1" applyFill="1" applyBorder="1" applyAlignment="1">
      <alignment horizontal="center" vertical="center" wrapText="1"/>
    </xf>
    <xf numFmtId="0" fontId="89" fillId="0" borderId="41" xfId="0" applyFont="1" applyBorder="1" applyAlignment="1">
      <alignment horizontal="center" vertical="center" wrapText="1"/>
    </xf>
    <xf numFmtId="0" fontId="89" fillId="0" borderId="73" xfId="0" applyFont="1" applyBorder="1" applyAlignment="1">
      <alignment horizontal="center" vertical="center" wrapText="1"/>
    </xf>
    <xf numFmtId="0" fontId="89" fillId="0" borderId="72" xfId="0" applyFont="1" applyBorder="1" applyAlignment="1">
      <alignment horizontal="center" vertical="center" wrapText="1"/>
    </xf>
    <xf numFmtId="0" fontId="92" fillId="0" borderId="41" xfId="0" applyFont="1" applyBorder="1" applyAlignment="1">
      <alignment horizontal="center" vertical="center" wrapText="1"/>
    </xf>
    <xf numFmtId="0" fontId="92" fillId="0" borderId="73" xfId="0" applyFont="1" applyBorder="1" applyAlignment="1">
      <alignment horizontal="center" vertical="center" wrapText="1"/>
    </xf>
    <xf numFmtId="0" fontId="92" fillId="0" borderId="116" xfId="0" applyFont="1" applyBorder="1" applyAlignment="1">
      <alignment horizontal="center" vertical="center" wrapText="1"/>
    </xf>
    <xf numFmtId="0" fontId="98" fillId="0" borderId="41" xfId="0" applyFont="1" applyBorder="1" applyAlignment="1">
      <alignment horizontal="center" vertical="center" wrapText="1"/>
    </xf>
    <xf numFmtId="0" fontId="98" fillId="0" borderId="73" xfId="0" applyFont="1" applyBorder="1" applyAlignment="1">
      <alignment horizontal="center" vertical="center" wrapText="1"/>
    </xf>
    <xf numFmtId="0" fontId="98" fillId="0" borderId="116" xfId="0" applyFont="1" applyBorder="1" applyAlignment="1">
      <alignment horizontal="center" vertical="center" wrapText="1"/>
    </xf>
    <xf numFmtId="0" fontId="41" fillId="0" borderId="41" xfId="0" applyFont="1" applyBorder="1" applyAlignment="1">
      <alignment horizontal="justify" vertical="center" wrapText="1"/>
    </xf>
    <xf numFmtId="0" fontId="41" fillId="0" borderId="73" xfId="0" applyFont="1" applyBorder="1" applyAlignment="1">
      <alignment horizontal="justify" vertical="center" wrapText="1"/>
    </xf>
    <xf numFmtId="0" fontId="41" fillId="0" borderId="116" xfId="0" applyFont="1" applyBorder="1" applyAlignment="1">
      <alignment horizontal="justify" vertical="center" wrapText="1"/>
    </xf>
    <xf numFmtId="0" fontId="41" fillId="0" borderId="119" xfId="0" applyFont="1" applyBorder="1" applyAlignment="1">
      <alignment horizontal="justify" vertical="center" wrapText="1"/>
    </xf>
    <xf numFmtId="0" fontId="41" fillId="0" borderId="42" xfId="0" applyFont="1" applyBorder="1" applyAlignment="1">
      <alignment horizontal="justify" vertical="center" wrapText="1"/>
    </xf>
    <xf numFmtId="0" fontId="41" fillId="0" borderId="120" xfId="0" applyFont="1" applyBorder="1" applyAlignment="1">
      <alignment horizontal="justify" vertical="center" wrapText="1"/>
    </xf>
    <xf numFmtId="0" fontId="41" fillId="0" borderId="74" xfId="0" applyFont="1" applyBorder="1" applyAlignment="1">
      <alignment horizontal="justify" vertical="center" wrapText="1"/>
    </xf>
    <xf numFmtId="0" fontId="41" fillId="0" borderId="68" xfId="0" applyFont="1" applyBorder="1" applyAlignment="1">
      <alignment horizontal="justify" vertical="center" wrapText="1"/>
    </xf>
    <xf numFmtId="0" fontId="41" fillId="0" borderId="121" xfId="0" applyFont="1" applyBorder="1" applyAlignment="1">
      <alignment horizontal="justify" vertical="center" wrapText="1"/>
    </xf>
    <xf numFmtId="0" fontId="98" fillId="0" borderId="119" xfId="0" applyFont="1" applyBorder="1" applyAlignment="1">
      <alignment horizontal="left" vertical="center" wrapText="1"/>
    </xf>
    <xf numFmtId="0" fontId="98" fillId="0" borderId="42" xfId="0" applyFont="1" applyBorder="1" applyAlignment="1">
      <alignment horizontal="left" vertical="center" wrapText="1"/>
    </xf>
    <xf numFmtId="0" fontId="98" fillId="0" borderId="120" xfId="0" applyFont="1" applyBorder="1" applyAlignment="1">
      <alignment horizontal="left" vertical="center" wrapText="1"/>
    </xf>
    <xf numFmtId="0" fontId="98" fillId="0" borderId="74" xfId="0" applyFont="1" applyBorder="1" applyAlignment="1">
      <alignment horizontal="left" vertical="center" wrapText="1"/>
    </xf>
    <xf numFmtId="0" fontId="98" fillId="0" borderId="68" xfId="0" applyFont="1" applyBorder="1" applyAlignment="1">
      <alignment horizontal="left" vertical="center" wrapText="1"/>
    </xf>
    <xf numFmtId="0" fontId="98" fillId="0" borderId="121" xfId="0" applyFont="1" applyBorder="1" applyAlignment="1">
      <alignment horizontal="left" vertical="center" wrapText="1"/>
    </xf>
    <xf numFmtId="0" fontId="22" fillId="0" borderId="127" xfId="0" applyFont="1" applyBorder="1" applyAlignment="1">
      <alignment horizontal="justify" vertical="center" wrapText="1"/>
    </xf>
    <xf numFmtId="0" fontId="22" fillId="0" borderId="128" xfId="0" applyFont="1" applyBorder="1" applyAlignment="1">
      <alignment horizontal="justify" vertical="center" wrapText="1"/>
    </xf>
    <xf numFmtId="0" fontId="22" fillId="0" borderId="129" xfId="0" applyFont="1" applyBorder="1" applyAlignment="1">
      <alignment horizontal="justify" vertical="center" wrapText="1"/>
    </xf>
    <xf numFmtId="0" fontId="88" fillId="0" borderId="132" xfId="0" applyFont="1" applyBorder="1" applyAlignment="1">
      <alignment horizontal="left" vertical="center" wrapText="1"/>
    </xf>
    <xf numFmtId="0" fontId="96" fillId="0" borderId="109" xfId="0" applyFont="1" applyBorder="1" applyAlignment="1">
      <alignment horizontal="center" vertical="center" wrapText="1"/>
    </xf>
    <xf numFmtId="0" fontId="96" fillId="0" borderId="110" xfId="0" applyFont="1" applyBorder="1" applyAlignment="1">
      <alignment horizontal="center" vertical="center" wrapText="1"/>
    </xf>
    <xf numFmtId="0" fontId="96" fillId="0" borderId="113" xfId="0" applyFont="1" applyBorder="1" applyAlignment="1">
      <alignment horizontal="center" vertical="center" wrapText="1"/>
    </xf>
    <xf numFmtId="0" fontId="96" fillId="0" borderId="41" xfId="0" applyFont="1" applyBorder="1" applyAlignment="1">
      <alignment horizontal="center" vertical="center" wrapText="1"/>
    </xf>
    <xf numFmtId="0" fontId="96" fillId="0" borderId="73" xfId="0" applyFont="1" applyBorder="1" applyAlignment="1">
      <alignment horizontal="center" vertical="center" wrapText="1"/>
    </xf>
    <xf numFmtId="0" fontId="96" fillId="0" borderId="116" xfId="0" applyFont="1" applyBorder="1" applyAlignment="1">
      <alignment horizontal="center" vertical="center" wrapText="1"/>
    </xf>
    <xf numFmtId="0" fontId="90" fillId="0" borderId="41" xfId="0" applyFont="1" applyBorder="1" applyAlignment="1">
      <alignment horizontal="center" vertical="center" wrapText="1"/>
    </xf>
    <xf numFmtId="0" fontId="90" fillId="0" borderId="73" xfId="0" applyFont="1" applyBorder="1" applyAlignment="1">
      <alignment horizontal="center" vertical="center" wrapText="1"/>
    </xf>
    <xf numFmtId="0" fontId="90" fillId="0" borderId="116" xfId="0" applyFont="1" applyBorder="1" applyAlignment="1">
      <alignment horizontal="center" vertical="center" wrapText="1"/>
    </xf>
    <xf numFmtId="0" fontId="88" fillId="0" borderId="122" xfId="0" applyFont="1" applyBorder="1" applyAlignment="1">
      <alignment horizontal="left" vertical="center" wrapText="1"/>
    </xf>
    <xf numFmtId="0" fontId="92" fillId="0" borderId="109" xfId="0" applyFont="1" applyBorder="1" applyAlignment="1">
      <alignment horizontal="justify" vertical="center" wrapText="1"/>
    </xf>
    <xf numFmtId="0" fontId="92" fillId="0" borderId="110" xfId="0" applyFont="1" applyBorder="1" applyAlignment="1">
      <alignment horizontal="justify" vertical="center" wrapText="1"/>
    </xf>
    <xf numFmtId="0" fontId="92" fillId="0" borderId="113" xfId="0" applyFont="1" applyBorder="1" applyAlignment="1">
      <alignment horizontal="justify" vertical="center" wrapText="1"/>
    </xf>
    <xf numFmtId="0" fontId="89" fillId="22" borderId="117" xfId="0" applyFont="1" applyFill="1" applyBorder="1" applyAlignment="1">
      <alignment horizontal="center" vertical="center" wrapText="1"/>
    </xf>
    <xf numFmtId="0" fontId="89" fillId="22" borderId="124" xfId="0" applyFont="1" applyFill="1" applyBorder="1" applyAlignment="1">
      <alignment horizontal="center" vertical="center" wrapText="1"/>
    </xf>
    <xf numFmtId="0" fontId="89" fillId="22" borderId="118" xfId="0" applyFont="1" applyFill="1" applyBorder="1" applyAlignment="1">
      <alignment horizontal="center" vertical="center" wrapText="1"/>
    </xf>
    <xf numFmtId="0" fontId="92" fillId="0" borderId="72" xfId="0" applyFont="1" applyBorder="1" applyAlignment="1">
      <alignment horizontal="center" vertical="center" wrapText="1"/>
    </xf>
    <xf numFmtId="0" fontId="92" fillId="0" borderId="41" xfId="0" applyFont="1" applyBorder="1" applyAlignment="1">
      <alignment horizontal="justify" vertical="center" wrapText="1"/>
    </xf>
    <xf numFmtId="0" fontId="92" fillId="0" borderId="73" xfId="0" applyFont="1" applyBorder="1" applyAlignment="1">
      <alignment horizontal="justify" vertical="center" wrapText="1"/>
    </xf>
    <xf numFmtId="0" fontId="92" fillId="0" borderId="116" xfId="0" applyFont="1" applyBorder="1" applyAlignment="1">
      <alignment horizontal="justify" vertical="center" wrapText="1"/>
    </xf>
    <xf numFmtId="0" fontId="92" fillId="0" borderId="119" xfId="0" applyFont="1" applyBorder="1" applyAlignment="1">
      <alignment horizontal="center" vertical="center" wrapText="1"/>
    </xf>
    <xf numFmtId="0" fontId="92" fillId="0" borderId="42" xfId="0" applyFont="1" applyBorder="1" applyAlignment="1">
      <alignment horizontal="center" vertical="center" wrapText="1"/>
    </xf>
    <xf numFmtId="0" fontId="92" fillId="0" borderId="40" xfId="0" applyFont="1" applyBorder="1" applyAlignment="1">
      <alignment horizontal="center" vertical="center" wrapText="1"/>
    </xf>
    <xf numFmtId="0" fontId="92" fillId="0" borderId="74" xfId="0" applyFont="1" applyBorder="1" applyAlignment="1">
      <alignment horizontal="center" vertical="center" wrapText="1"/>
    </xf>
    <xf numFmtId="0" fontId="92" fillId="0" borderId="68" xfId="0" applyFont="1" applyBorder="1" applyAlignment="1">
      <alignment horizontal="center" vertical="center" wrapText="1"/>
    </xf>
    <xf numFmtId="0" fontId="92" fillId="0" borderId="37" xfId="0" applyFont="1" applyBorder="1" applyAlignment="1">
      <alignment horizontal="center" vertical="center" wrapText="1"/>
    </xf>
    <xf numFmtId="0" fontId="92" fillId="0" borderId="119" xfId="0" applyFont="1" applyBorder="1" applyAlignment="1">
      <alignment horizontal="justify" vertical="center" wrapText="1"/>
    </xf>
    <xf numFmtId="0" fontId="92" fillId="0" borderId="42" xfId="0" applyFont="1" applyBorder="1" applyAlignment="1">
      <alignment horizontal="justify" vertical="center" wrapText="1"/>
    </xf>
    <xf numFmtId="0" fontId="92" fillId="0" borderId="120" xfId="0" applyFont="1" applyBorder="1" applyAlignment="1">
      <alignment horizontal="justify" vertical="center" wrapText="1"/>
    </xf>
    <xf numFmtId="0" fontId="92" fillId="0" borderId="74" xfId="0" applyFont="1" applyBorder="1" applyAlignment="1">
      <alignment horizontal="justify" vertical="center" wrapText="1"/>
    </xf>
    <xf numFmtId="0" fontId="92" fillId="0" borderId="68" xfId="0" applyFont="1" applyBorder="1" applyAlignment="1">
      <alignment horizontal="justify" vertical="center" wrapText="1"/>
    </xf>
    <xf numFmtId="0" fontId="92" fillId="0" borderId="121" xfId="0" applyFont="1" applyBorder="1" applyAlignment="1">
      <alignment horizontal="justify" vertical="center" wrapText="1"/>
    </xf>
    <xf numFmtId="0" fontId="93" fillId="0" borderId="134" xfId="0" applyFont="1" applyBorder="1" applyAlignment="1">
      <alignment horizontal="justify" vertical="center" wrapText="1"/>
    </xf>
    <xf numFmtId="0" fontId="93" fillId="0" borderId="122" xfId="0" applyFont="1" applyBorder="1" applyAlignment="1">
      <alignment horizontal="justify" vertical="center" wrapText="1"/>
    </xf>
    <xf numFmtId="0" fontId="89" fillId="22" borderId="123" xfId="0" applyFont="1" applyFill="1" applyBorder="1" applyAlignment="1">
      <alignment horizontal="center" vertical="center" wrapText="1"/>
    </xf>
    <xf numFmtId="0" fontId="89" fillId="22" borderId="135" xfId="0" applyFont="1" applyFill="1" applyBorder="1" applyAlignment="1">
      <alignment horizontal="center" vertical="center" wrapText="1"/>
    </xf>
    <xf numFmtId="0" fontId="89" fillId="22" borderId="109" xfId="0" applyFont="1" applyFill="1" applyBorder="1" applyAlignment="1">
      <alignment horizontal="center" vertical="center" wrapText="1"/>
    </xf>
    <xf numFmtId="0" fontId="89" fillId="22" borderId="111" xfId="0" applyFont="1" applyFill="1" applyBorder="1" applyAlignment="1">
      <alignment horizontal="center" vertical="center" wrapText="1"/>
    </xf>
    <xf numFmtId="0" fontId="90" fillId="0" borderId="109" xfId="0" applyFont="1" applyBorder="1" applyAlignment="1">
      <alignment horizontal="center" vertical="center" wrapText="1"/>
    </xf>
    <xf numFmtId="0" fontId="90" fillId="0" borderId="110" xfId="0" applyFont="1" applyBorder="1" applyAlignment="1">
      <alignment horizontal="center" vertical="center" wrapText="1"/>
    </xf>
    <xf numFmtId="0" fontId="90" fillId="0" borderId="111" xfId="0" applyFont="1" applyBorder="1" applyAlignment="1">
      <alignment horizontal="center" vertical="center" wrapText="1"/>
    </xf>
    <xf numFmtId="0" fontId="89" fillId="22" borderId="127" xfId="0" applyFont="1" applyFill="1" applyBorder="1" applyAlignment="1">
      <alignment horizontal="center" vertical="center" wrapText="1"/>
    </xf>
    <xf numFmtId="0" fontId="89" fillId="22" borderId="136" xfId="0" applyFont="1" applyFill="1" applyBorder="1" applyAlignment="1">
      <alignment horizontal="center" vertical="center" wrapText="1"/>
    </xf>
    <xf numFmtId="0" fontId="94" fillId="0" borderId="127" xfId="0" applyFont="1" applyBorder="1" applyAlignment="1">
      <alignment horizontal="center" vertical="center" wrapText="1"/>
    </xf>
    <xf numFmtId="0" fontId="94" fillId="0" borderId="128" xfId="0" applyFont="1" applyBorder="1" applyAlignment="1">
      <alignment horizontal="center" vertical="center" wrapText="1"/>
    </xf>
    <xf numFmtId="0" fontId="94" fillId="0" borderId="136" xfId="0" applyFont="1" applyBorder="1" applyAlignment="1">
      <alignment horizontal="center" vertical="center" wrapText="1"/>
    </xf>
    <xf numFmtId="0" fontId="91" fillId="0" borderId="127" xfId="0" applyFont="1" applyBorder="1" applyAlignment="1">
      <alignment horizontal="center" vertical="center" wrapText="1"/>
    </xf>
    <xf numFmtId="0" fontId="91" fillId="0" borderId="128" xfId="0" applyFont="1" applyBorder="1" applyAlignment="1">
      <alignment horizontal="center" vertical="center" wrapText="1"/>
    </xf>
    <xf numFmtId="0" fontId="91" fillId="0" borderId="129" xfId="0" applyFont="1" applyBorder="1" applyAlignment="1">
      <alignment horizontal="center" vertical="center" wrapText="1"/>
    </xf>
    <xf numFmtId="0" fontId="2" fillId="10" borderId="4" xfId="0" applyFont="1" applyFill="1" applyBorder="1" applyAlignment="1">
      <alignment vertical="center"/>
    </xf>
    <xf numFmtId="0" fontId="2" fillId="10" borderId="5" xfId="0" applyFont="1" applyFill="1" applyBorder="1" applyAlignment="1">
      <alignment vertical="center"/>
    </xf>
    <xf numFmtId="0" fontId="31" fillId="11" borderId="4" xfId="0" applyFont="1" applyFill="1" applyBorder="1" applyAlignment="1">
      <alignment horizontal="center" vertical="center"/>
    </xf>
    <xf numFmtId="0" fontId="30" fillId="11" borderId="5" xfId="0" applyFont="1" applyFill="1" applyBorder="1" applyAlignment="1">
      <alignment horizontal="center" vertical="center"/>
    </xf>
    <xf numFmtId="0" fontId="87" fillId="21" borderId="41" xfId="0" applyFont="1" applyFill="1" applyBorder="1" applyAlignment="1">
      <alignment horizontal="center" vertical="center" wrapText="1"/>
    </xf>
    <xf numFmtId="0" fontId="87" fillId="21" borderId="73" xfId="0" applyFont="1" applyFill="1" applyBorder="1" applyAlignment="1">
      <alignment horizontal="center" vertical="center" wrapText="1"/>
    </xf>
    <xf numFmtId="0" fontId="87" fillId="21" borderId="72" xfId="0" applyFont="1" applyFill="1" applyBorder="1" applyAlignment="1">
      <alignment horizontal="center" vertical="center" wrapText="1"/>
    </xf>
    <xf numFmtId="0" fontId="88" fillId="0" borderId="130" xfId="0" applyFont="1" applyBorder="1" applyAlignment="1">
      <alignment horizontal="left" vertical="center" wrapText="1"/>
    </xf>
    <xf numFmtId="0" fontId="88" fillId="0" borderId="128" xfId="0" applyFont="1" applyBorder="1" applyAlignment="1">
      <alignment horizontal="left" vertical="center" wrapText="1"/>
    </xf>
    <xf numFmtId="0" fontId="89" fillId="22" borderId="110" xfId="0" applyFont="1" applyFill="1" applyBorder="1" applyAlignment="1">
      <alignment horizontal="center" vertical="center" wrapText="1"/>
    </xf>
    <xf numFmtId="0" fontId="91" fillId="0" borderId="109" xfId="0" applyFont="1" applyBorder="1" applyAlignment="1">
      <alignment horizontal="center" vertical="center" wrapText="1"/>
    </xf>
    <xf numFmtId="0" fontId="91" fillId="0" borderId="110" xfId="0" applyFont="1" applyBorder="1" applyAlignment="1">
      <alignment horizontal="center" vertical="center" wrapText="1"/>
    </xf>
    <xf numFmtId="0" fontId="91" fillId="0" borderId="113" xfId="0" applyFont="1" applyBorder="1" applyAlignment="1">
      <alignment horizontal="center" vertical="center" wrapText="1"/>
    </xf>
    <xf numFmtId="0" fontId="90" fillId="0" borderId="72" xfId="0" applyFont="1" applyBorder="1" applyAlignment="1">
      <alignment horizontal="center" vertical="center" wrapText="1"/>
    </xf>
    <xf numFmtId="0" fontId="89" fillId="22" borderId="41" xfId="0" applyFont="1" applyFill="1" applyBorder="1" applyAlignment="1">
      <alignment horizontal="center" vertical="center" wrapText="1"/>
    </xf>
    <xf numFmtId="0" fontId="89" fillId="22" borderId="73" xfId="0" applyFont="1" applyFill="1" applyBorder="1" applyAlignment="1">
      <alignment horizontal="center" vertical="center" wrapText="1"/>
    </xf>
    <xf numFmtId="0" fontId="89" fillId="22" borderId="72" xfId="0" applyFont="1" applyFill="1" applyBorder="1" applyAlignment="1">
      <alignment horizontal="center" vertical="center" wrapText="1"/>
    </xf>
    <xf numFmtId="0" fontId="91" fillId="0" borderId="41" xfId="0" applyFont="1" applyBorder="1" applyAlignment="1">
      <alignment horizontal="center" vertical="center" wrapText="1"/>
    </xf>
    <xf numFmtId="0" fontId="91" fillId="0" borderId="73" xfId="0" applyFont="1" applyBorder="1" applyAlignment="1">
      <alignment horizontal="center" vertical="center" wrapText="1"/>
    </xf>
    <xf numFmtId="0" fontId="91" fillId="0" borderId="116" xfId="0" applyFont="1" applyBorder="1" applyAlignment="1">
      <alignment horizontal="center" vertical="center" wrapText="1"/>
    </xf>
    <xf numFmtId="0" fontId="91" fillId="0" borderId="42" xfId="0" applyFont="1" applyBorder="1" applyAlignment="1">
      <alignment horizontal="center" vertical="center" wrapText="1"/>
    </xf>
    <xf numFmtId="0" fontId="91" fillId="0" borderId="120" xfId="0" applyFont="1" applyBorder="1" applyAlignment="1">
      <alignment horizontal="center" vertical="center" wrapText="1"/>
    </xf>
    <xf numFmtId="0" fontId="91" fillId="0" borderId="68" xfId="0" applyFont="1" applyBorder="1" applyAlignment="1">
      <alignment horizontal="center" vertical="center" wrapText="1"/>
    </xf>
    <xf numFmtId="0" fontId="91" fillId="0" borderId="121" xfId="0" applyFont="1" applyBorder="1" applyAlignment="1">
      <alignment horizontal="center" vertical="center" wrapText="1"/>
    </xf>
    <xf numFmtId="0" fontId="90" fillId="0" borderId="119" xfId="0" applyFont="1" applyBorder="1" applyAlignment="1">
      <alignment horizontal="center" vertical="center" wrapText="1"/>
    </xf>
    <xf numFmtId="0" fontId="90" fillId="0" borderId="42" xfId="0" applyFont="1" applyBorder="1" applyAlignment="1">
      <alignment horizontal="center" vertical="center" wrapText="1"/>
    </xf>
    <xf numFmtId="0" fontId="90" fillId="0" borderId="120" xfId="0" applyFont="1" applyBorder="1" applyAlignment="1">
      <alignment horizontal="center" vertical="center" wrapText="1"/>
    </xf>
    <xf numFmtId="0" fontId="90" fillId="0" borderId="131" xfId="0" applyFont="1" applyBorder="1" applyAlignment="1">
      <alignment horizontal="center" vertical="center" wrapText="1"/>
    </xf>
    <xf numFmtId="0" fontId="90" fillId="0" borderId="132" xfId="0" applyFont="1" applyBorder="1" applyAlignment="1">
      <alignment horizontal="center" vertical="center" wrapText="1"/>
    </xf>
    <xf numFmtId="0" fontId="90" fillId="0" borderId="133" xfId="0" applyFont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3" fillId="0" borderId="1" xfId="0" applyFont="1" applyBorder="1"/>
    <xf numFmtId="177" fontId="9" fillId="0" borderId="1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2" fillId="3" borderId="1" xfId="0" applyFont="1" applyFill="1" applyBorder="1" applyAlignment="1">
      <alignment horizontal="center" vertical="center"/>
    </xf>
    <xf numFmtId="178" fontId="9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177" fontId="12" fillId="0" borderId="1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vertical="center"/>
    </xf>
    <xf numFmtId="0" fontId="11" fillId="2" borderId="1" xfId="0" applyFont="1" applyFill="1" applyBorder="1" applyAlignment="1">
      <alignment horizontal="left" vertical="center"/>
    </xf>
    <xf numFmtId="0" fontId="0" fillId="0" borderId="1" xfId="0" applyBorder="1"/>
    <xf numFmtId="0" fontId="35" fillId="3" borderId="4" xfId="0" applyFont="1" applyFill="1" applyBorder="1" applyAlignment="1">
      <alignment horizontal="center" vertical="center"/>
    </xf>
    <xf numFmtId="0" fontId="35" fillId="3" borderId="5" xfId="0" applyFont="1" applyFill="1" applyBorder="1" applyAlignment="1">
      <alignment horizontal="center" vertical="center"/>
    </xf>
    <xf numFmtId="0" fontId="30" fillId="3" borderId="4" xfId="0" applyFont="1" applyFill="1" applyBorder="1" applyAlignment="1">
      <alignment horizontal="center" vertical="center"/>
    </xf>
    <xf numFmtId="0" fontId="30" fillId="3" borderId="22" xfId="0" applyFont="1" applyFill="1" applyBorder="1" applyAlignment="1">
      <alignment horizontal="center" vertical="center"/>
    </xf>
    <xf numFmtId="0" fontId="66" fillId="3" borderId="4" xfId="0" applyFont="1" applyFill="1" applyBorder="1" applyAlignment="1">
      <alignment horizontal="center" vertical="center"/>
    </xf>
    <xf numFmtId="0" fontId="66" fillId="3" borderId="22" xfId="0" applyFont="1" applyFill="1" applyBorder="1" applyAlignment="1">
      <alignment horizontal="center" vertical="center"/>
    </xf>
    <xf numFmtId="0" fontId="45" fillId="3" borderId="4" xfId="0" applyFont="1" applyFill="1" applyBorder="1" applyAlignment="1">
      <alignment horizontal="center" vertical="center"/>
    </xf>
    <xf numFmtId="0" fontId="51" fillId="0" borderId="184" xfId="0" applyFont="1" applyBorder="1" applyAlignment="1">
      <alignment horizontal="justify" vertical="center" wrapText="1"/>
    </xf>
    <xf numFmtId="0" fontId="145" fillId="0" borderId="0" xfId="0" applyFont="1" applyAlignment="1">
      <alignment horizontal="justify" vertical="center" wrapText="1"/>
    </xf>
    <xf numFmtId="0" fontId="51" fillId="0" borderId="0" xfId="0" applyFont="1" applyAlignment="1">
      <alignment horizontal="right" vertical="center" wrapText="1"/>
    </xf>
    <xf numFmtId="0" fontId="51" fillId="0" borderId="0" xfId="0" applyFont="1" applyAlignment="1">
      <alignment vertical="center" wrapText="1"/>
    </xf>
    <xf numFmtId="0" fontId="51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22" fillId="0" borderId="79" xfId="0" applyFont="1" applyBorder="1" applyAlignment="1">
      <alignment horizontal="right" vertical="center" wrapText="1"/>
    </xf>
    <xf numFmtId="0" fontId="51" fillId="0" borderId="79" xfId="0" applyFont="1" applyBorder="1" applyAlignment="1">
      <alignment horizontal="justify" vertical="center" wrapText="1"/>
    </xf>
    <xf numFmtId="0" fontId="165" fillId="0" borderId="192" xfId="0" applyFont="1" applyBorder="1" applyAlignment="1">
      <alignment horizontal="center" vertical="center" wrapText="1"/>
    </xf>
    <xf numFmtId="0" fontId="165" fillId="0" borderId="193" xfId="0" applyFont="1" applyBorder="1" applyAlignment="1">
      <alignment horizontal="center" vertical="center" wrapText="1"/>
    </xf>
    <xf numFmtId="0" fontId="165" fillId="0" borderId="66" xfId="0" applyFont="1" applyBorder="1" applyAlignment="1">
      <alignment horizontal="center" vertical="center" wrapText="1"/>
    </xf>
    <xf numFmtId="49" fontId="165" fillId="0" borderId="192" xfId="0" applyNumberFormat="1" applyFont="1" applyBorder="1" applyAlignment="1">
      <alignment horizontal="center" vertical="center" wrapText="1"/>
    </xf>
    <xf numFmtId="0" fontId="165" fillId="0" borderId="199" xfId="0" applyFont="1" applyBorder="1" applyAlignment="1">
      <alignment horizontal="center" vertical="center" wrapText="1"/>
    </xf>
    <xf numFmtId="0" fontId="165" fillId="0" borderId="201" xfId="0" applyFont="1" applyBorder="1" applyAlignment="1">
      <alignment horizontal="center" vertical="center" wrapText="1"/>
    </xf>
    <xf numFmtId="0" fontId="165" fillId="0" borderId="200" xfId="0" applyFont="1" applyBorder="1" applyAlignment="1">
      <alignment horizontal="center" vertical="center" wrapText="1"/>
    </xf>
    <xf numFmtId="0" fontId="50" fillId="0" borderId="186" xfId="0" applyFont="1" applyBorder="1" applyAlignment="1">
      <alignment horizontal="center" vertical="center" wrapText="1"/>
    </xf>
    <xf numFmtId="0" fontId="50" fillId="0" borderId="86" xfId="0" applyFont="1" applyBorder="1" applyAlignment="1">
      <alignment horizontal="center" vertical="center" wrapText="1"/>
    </xf>
    <xf numFmtId="0" fontId="22" fillId="0" borderId="86" xfId="0" applyFont="1" applyBorder="1" applyAlignment="1">
      <alignment horizontal="justify" vertical="center" wrapText="1"/>
    </xf>
    <xf numFmtId="0" fontId="51" fillId="0" borderId="187" xfId="0" applyFont="1" applyBorder="1" applyAlignment="1">
      <alignment horizontal="center" vertical="center" wrapText="1"/>
    </xf>
    <xf numFmtId="0" fontId="51" fillId="0" borderId="188" xfId="0" applyFont="1" applyBorder="1" applyAlignment="1">
      <alignment horizontal="center" vertical="center" wrapText="1"/>
    </xf>
    <xf numFmtId="0" fontId="51" fillId="0" borderId="189" xfId="0" applyFont="1" applyBorder="1" applyAlignment="1">
      <alignment horizontal="center" vertical="center" wrapText="1"/>
    </xf>
    <xf numFmtId="0" fontId="51" fillId="0" borderId="181" xfId="0" applyFont="1" applyBorder="1" applyAlignment="1">
      <alignment horizontal="center" vertical="center" wrapText="1"/>
    </xf>
    <xf numFmtId="0" fontId="51" fillId="0" borderId="190" xfId="0" applyFont="1" applyBorder="1" applyAlignment="1">
      <alignment horizontal="center" vertical="center" wrapText="1"/>
    </xf>
    <xf numFmtId="0" fontId="51" fillId="0" borderId="191" xfId="0" applyFont="1" applyBorder="1" applyAlignment="1">
      <alignment horizontal="center" vertical="center" wrapText="1"/>
    </xf>
    <xf numFmtId="0" fontId="51" fillId="0" borderId="184" xfId="0" applyFont="1" applyBorder="1" applyAlignment="1">
      <alignment horizontal="center" vertical="center" wrapText="1"/>
    </xf>
    <xf numFmtId="0" fontId="51" fillId="0" borderId="61" xfId="0" applyFont="1" applyBorder="1" applyAlignment="1">
      <alignment horizontal="center" vertical="center" wrapText="1"/>
    </xf>
    <xf numFmtId="0" fontId="163" fillId="0" borderId="190" xfId="0" applyFont="1" applyBorder="1" applyAlignment="1">
      <alignment horizontal="center" vertical="center" wrapText="1"/>
    </xf>
    <xf numFmtId="0" fontId="163" fillId="0" borderId="61" xfId="0" applyFont="1" applyBorder="1" applyAlignment="1">
      <alignment horizontal="center" vertical="center" wrapText="1"/>
    </xf>
    <xf numFmtId="0" fontId="163" fillId="0" borderId="191" xfId="0" applyFont="1" applyBorder="1" applyAlignment="1">
      <alignment horizontal="center" vertical="center" wrapText="1"/>
    </xf>
    <xf numFmtId="0" fontId="187" fillId="0" borderId="192" xfId="0" applyFont="1" applyBorder="1" applyAlignment="1">
      <alignment horizontal="center" vertical="center" wrapText="1"/>
    </xf>
    <xf numFmtId="0" fontId="138" fillId="31" borderId="47" xfId="0" applyFont="1" applyFill="1" applyBorder="1" applyAlignment="1">
      <alignment horizontal="center"/>
    </xf>
    <xf numFmtId="0" fontId="138" fillId="31" borderId="167" xfId="0" applyFont="1" applyFill="1" applyBorder="1" applyAlignment="1">
      <alignment horizontal="center"/>
    </xf>
    <xf numFmtId="0" fontId="110" fillId="0" borderId="195" xfId="0" applyFont="1" applyBorder="1" applyAlignment="1">
      <alignment horizontal="center" vertical="center"/>
    </xf>
    <xf numFmtId="0" fontId="133" fillId="0" borderId="195" xfId="0" applyFont="1" applyBorder="1" applyAlignment="1">
      <alignment horizontal="center" vertical="center"/>
    </xf>
    <xf numFmtId="0" fontId="50" fillId="0" borderId="41" xfId="0" applyFont="1" applyBorder="1" applyAlignment="1">
      <alignment horizontal="center" vertical="center" wrapText="1"/>
    </xf>
    <xf numFmtId="0" fontId="50" fillId="0" borderId="73" xfId="0" applyFont="1" applyBorder="1" applyAlignment="1">
      <alignment horizontal="center" vertical="center" wrapText="1"/>
    </xf>
    <xf numFmtId="0" fontId="50" fillId="0" borderId="175" xfId="0" applyFont="1" applyBorder="1" applyAlignment="1">
      <alignment horizontal="center" vertical="center" wrapText="1"/>
    </xf>
    <xf numFmtId="0" fontId="22" fillId="0" borderId="177" xfId="0" applyFont="1" applyBorder="1" applyAlignment="1">
      <alignment horizontal="justify" vertical="center" wrapText="1"/>
    </xf>
    <xf numFmtId="0" fontId="22" fillId="0" borderId="175" xfId="0" applyFont="1" applyBorder="1" applyAlignment="1">
      <alignment horizontal="justify" vertical="center" wrapText="1"/>
    </xf>
    <xf numFmtId="0" fontId="50" fillId="0" borderId="177" xfId="0" applyFont="1" applyBorder="1" applyAlignment="1">
      <alignment horizontal="center" vertical="center" wrapText="1"/>
    </xf>
    <xf numFmtId="0" fontId="50" fillId="0" borderId="41" xfId="0" applyFont="1" applyBorder="1" applyAlignment="1">
      <alignment horizontal="justify" vertical="center" wrapText="1"/>
    </xf>
    <xf numFmtId="0" fontId="50" fillId="0" borderId="73" xfId="0" applyFont="1" applyBorder="1" applyAlignment="1">
      <alignment horizontal="justify" vertical="center" wrapText="1"/>
    </xf>
    <xf numFmtId="0" fontId="50" fillId="0" borderId="72" xfId="0" applyFont="1" applyBorder="1" applyAlignment="1">
      <alignment horizontal="center" vertical="center" wrapText="1"/>
    </xf>
    <xf numFmtId="0" fontId="22" fillId="0" borderId="41" xfId="0" applyFont="1" applyBorder="1" applyAlignment="1">
      <alignment horizontal="justify" vertical="center" wrapText="1"/>
    </xf>
    <xf numFmtId="0" fontId="22" fillId="0" borderId="72" xfId="0" applyFont="1" applyBorder="1" applyAlignment="1">
      <alignment horizontal="justify" vertical="center" wrapText="1"/>
    </xf>
    <xf numFmtId="0" fontId="185" fillId="0" borderId="119" xfId="0" applyFont="1" applyBorder="1" applyAlignment="1">
      <alignment horizontal="center" vertical="center" wrapText="1"/>
    </xf>
    <xf numFmtId="0" fontId="50" fillId="0" borderId="42" xfId="0" applyFont="1" applyBorder="1" applyAlignment="1">
      <alignment horizontal="center" vertical="center" wrapText="1"/>
    </xf>
    <xf numFmtId="0" fontId="50" fillId="0" borderId="40" xfId="0" applyFont="1" applyBorder="1" applyAlignment="1">
      <alignment horizontal="center" vertical="center" wrapText="1"/>
    </xf>
    <xf numFmtId="0" fontId="50" fillId="0" borderId="196" xfId="0" applyFont="1" applyBorder="1" applyAlignment="1">
      <alignment horizontal="center" vertical="center" wrapText="1"/>
    </xf>
    <xf numFmtId="0" fontId="50" fillId="0" borderId="100" xfId="0" applyFont="1" applyBorder="1" applyAlignment="1">
      <alignment horizontal="center" vertical="center" wrapText="1"/>
    </xf>
    <xf numFmtId="0" fontId="50" fillId="0" borderId="197" xfId="0" applyFont="1" applyBorder="1" applyAlignment="1">
      <alignment horizontal="center" vertical="center" wrapText="1"/>
    </xf>
    <xf numFmtId="0" fontId="22" fillId="0" borderId="119" xfId="0" applyFont="1" applyBorder="1" applyAlignment="1">
      <alignment horizontal="justify" vertical="center" wrapText="1"/>
    </xf>
    <xf numFmtId="0" fontId="22" fillId="0" borderId="40" xfId="0" applyFont="1" applyBorder="1" applyAlignment="1">
      <alignment horizontal="justify" vertical="center" wrapText="1"/>
    </xf>
    <xf numFmtId="0" fontId="22" fillId="0" borderId="196" xfId="0" applyFont="1" applyBorder="1" applyAlignment="1">
      <alignment horizontal="justify" vertical="center" wrapText="1"/>
    </xf>
    <xf numFmtId="0" fontId="22" fillId="0" borderId="197" xfId="0" applyFont="1" applyBorder="1" applyAlignment="1">
      <alignment horizontal="justify" vertical="center" wrapText="1"/>
    </xf>
    <xf numFmtId="0" fontId="50" fillId="0" borderId="119" xfId="0" applyFont="1" applyBorder="1" applyAlignment="1">
      <alignment horizontal="center" vertical="center" wrapText="1"/>
    </xf>
    <xf numFmtId="0" fontId="22" fillId="0" borderId="184" xfId="0" applyFont="1" applyBorder="1" applyAlignment="1">
      <alignment horizontal="justify" vertical="center" wrapText="1"/>
    </xf>
    <xf numFmtId="0" fontId="22" fillId="0" borderId="100" xfId="0" applyFont="1" applyBorder="1" applyAlignment="1">
      <alignment horizontal="justify" vertical="center" wrapText="1"/>
    </xf>
    <xf numFmtId="0" fontId="22" fillId="0" borderId="181" xfId="0" applyFont="1" applyBorder="1" applyAlignment="1">
      <alignment horizontal="justify" vertical="center" wrapText="1"/>
    </xf>
    <xf numFmtId="0" fontId="22" fillId="0" borderId="172" xfId="0" applyFont="1" applyBorder="1" applyAlignment="1">
      <alignment horizontal="justify" vertical="center" wrapText="1"/>
    </xf>
    <xf numFmtId="0" fontId="22" fillId="0" borderId="173" xfId="0" applyFont="1" applyBorder="1" applyAlignment="1">
      <alignment horizontal="justify" vertical="center" wrapText="1"/>
    </xf>
    <xf numFmtId="0" fontId="50" fillId="0" borderId="180" xfId="0" applyFont="1" applyBorder="1" applyAlignment="1">
      <alignment horizontal="center" vertical="center" wrapText="1"/>
    </xf>
    <xf numFmtId="0" fontId="22" fillId="0" borderId="186" xfId="0" applyFont="1" applyBorder="1" applyAlignment="1">
      <alignment horizontal="center" vertical="center" wrapText="1"/>
    </xf>
    <xf numFmtId="0" fontId="22" fillId="0" borderId="180" xfId="0" applyFont="1" applyBorder="1" applyAlignment="1">
      <alignment horizontal="center" vertical="center" wrapText="1"/>
    </xf>
    <xf numFmtId="0" fontId="50" fillId="0" borderId="198" xfId="0" applyFont="1" applyBorder="1" applyAlignment="1">
      <alignment horizontal="center" vertical="center" wrapText="1"/>
    </xf>
    <xf numFmtId="0" fontId="138" fillId="31" borderId="6" xfId="0" applyFont="1" applyFill="1" applyBorder="1" applyAlignment="1">
      <alignment horizontal="center" vertical="center"/>
    </xf>
    <xf numFmtId="0" fontId="135" fillId="3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135" fillId="32" borderId="3" xfId="0" applyFont="1" applyFill="1" applyBorder="1" applyAlignment="1">
      <alignment horizontal="center" vertical="center"/>
    </xf>
    <xf numFmtId="0" fontId="135" fillId="32" borderId="50" xfId="0" applyFont="1" applyFill="1" applyBorder="1" applyAlignment="1">
      <alignment horizontal="center" vertical="center"/>
    </xf>
    <xf numFmtId="0" fontId="4" fillId="2" borderId="50" xfId="0" applyFont="1" applyFill="1" applyBorder="1" applyAlignment="1">
      <alignment horizontal="center" vertical="center"/>
    </xf>
    <xf numFmtId="0" fontId="4" fillId="2" borderId="51" xfId="0" applyFont="1" applyFill="1" applyBorder="1" applyAlignment="1">
      <alignment horizontal="center" vertical="center"/>
    </xf>
    <xf numFmtId="0" fontId="45" fillId="3" borderId="20" xfId="0" applyFont="1" applyFill="1" applyBorder="1" applyAlignment="1">
      <alignment horizontal="center" vertical="center"/>
    </xf>
    <xf numFmtId="0" fontId="160" fillId="31" borderId="45" xfId="0" applyFont="1" applyFill="1" applyBorder="1" applyAlignment="1">
      <alignment horizontal="center"/>
    </xf>
    <xf numFmtId="0" fontId="160" fillId="31" borderId="47" xfId="0" applyFont="1" applyFill="1" applyBorder="1" applyAlignment="1">
      <alignment horizontal="center"/>
    </xf>
    <xf numFmtId="0" fontId="42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80" fillId="32" borderId="1" xfId="0" applyFont="1" applyFill="1" applyBorder="1" applyAlignment="1">
      <alignment horizontal="center" vertical="center"/>
    </xf>
    <xf numFmtId="176" fontId="4" fillId="2" borderId="50" xfId="0" applyNumberFormat="1" applyFont="1" applyFill="1" applyBorder="1" applyAlignment="1">
      <alignment horizontal="center" vertical="center"/>
    </xf>
    <xf numFmtId="0" fontId="136" fillId="32" borderId="1" xfId="0" applyFont="1" applyFill="1" applyBorder="1" applyAlignment="1">
      <alignment horizontal="center" vertical="center"/>
    </xf>
    <xf numFmtId="0" fontId="56" fillId="3" borderId="4" xfId="0" applyFont="1" applyFill="1" applyBorder="1" applyAlignment="1">
      <alignment horizontal="center" vertical="center"/>
    </xf>
    <xf numFmtId="0" fontId="72" fillId="0" borderId="61" xfId="0" applyFont="1" applyBorder="1" applyAlignment="1">
      <alignment horizontal="center" vertical="center" wrapText="1"/>
    </xf>
    <xf numFmtId="0" fontId="72" fillId="0" borderId="62" xfId="0" applyFont="1" applyBorder="1" applyAlignment="1">
      <alignment horizontal="center" vertical="center" wrapText="1"/>
    </xf>
    <xf numFmtId="0" fontId="72" fillId="0" borderId="64" xfId="0" applyFont="1" applyBorder="1" applyAlignment="1">
      <alignment horizontal="center" vertical="center" wrapText="1"/>
    </xf>
    <xf numFmtId="0" fontId="75" fillId="0" borderId="54" xfId="0" applyFont="1" applyBorder="1" applyAlignment="1">
      <alignment horizontal="justify" vertical="center" wrapText="1"/>
    </xf>
    <xf numFmtId="0" fontId="73" fillId="0" borderId="66" xfId="0" applyFont="1" applyBorder="1" applyAlignment="1">
      <alignment horizontal="center" vertical="center" wrapText="1"/>
    </xf>
    <xf numFmtId="0" fontId="73" fillId="0" borderId="58" xfId="0" applyFont="1" applyBorder="1" applyAlignment="1">
      <alignment horizontal="center" vertical="center" wrapText="1"/>
    </xf>
    <xf numFmtId="0" fontId="73" fillId="0" borderId="65" xfId="0" applyFont="1" applyBorder="1" applyAlignment="1">
      <alignment horizontal="center" vertical="center" wrapText="1"/>
    </xf>
    <xf numFmtId="0" fontId="73" fillId="0" borderId="63" xfId="0" applyFont="1" applyBorder="1" applyAlignment="1">
      <alignment horizontal="center" vertical="center" wrapText="1"/>
    </xf>
    <xf numFmtId="0" fontId="73" fillId="0" borderId="59" xfId="0" applyFont="1" applyBorder="1" applyAlignment="1">
      <alignment horizontal="center" vertical="center" wrapText="1"/>
    </xf>
    <xf numFmtId="0" fontId="73" fillId="0" borderId="60" xfId="0" applyFont="1" applyBorder="1" applyAlignment="1">
      <alignment horizontal="center" vertical="center" wrapText="1"/>
    </xf>
    <xf numFmtId="0" fontId="73" fillId="0" borderId="64" xfId="0" applyFont="1" applyBorder="1" applyAlignment="1">
      <alignment horizontal="center" vertical="center" wrapText="1"/>
    </xf>
    <xf numFmtId="0" fontId="73" fillId="0" borderId="61" xfId="0" applyFont="1" applyBorder="1" applyAlignment="1">
      <alignment horizontal="center" vertical="center" wrapText="1"/>
    </xf>
    <xf numFmtId="0" fontId="73" fillId="0" borderId="62" xfId="0" applyFont="1" applyBorder="1" applyAlignment="1">
      <alignment horizontal="center" vertical="center" wrapText="1"/>
    </xf>
    <xf numFmtId="0" fontId="72" fillId="0" borderId="64" xfId="0" applyFont="1" applyBorder="1" applyAlignment="1">
      <alignment horizontal="justify" vertical="center" wrapText="1"/>
    </xf>
    <xf numFmtId="0" fontId="72" fillId="0" borderId="61" xfId="0" applyFont="1" applyBorder="1" applyAlignment="1">
      <alignment horizontal="justify" vertical="center" wrapText="1"/>
    </xf>
    <xf numFmtId="0" fontId="72" fillId="0" borderId="62" xfId="0" applyFont="1" applyBorder="1" applyAlignment="1">
      <alignment horizontal="justify" vertical="center" wrapText="1"/>
    </xf>
    <xf numFmtId="0" fontId="72" fillId="0" borderId="56" xfId="0" applyFont="1" applyBorder="1" applyAlignment="1">
      <alignment horizontal="justify" vertical="center" wrapText="1"/>
    </xf>
    <xf numFmtId="0" fontId="72" fillId="0" borderId="55" xfId="0" applyFont="1" applyBorder="1" applyAlignment="1">
      <alignment horizontal="justify" vertical="center" wrapText="1"/>
    </xf>
    <xf numFmtId="0" fontId="72" fillId="0" borderId="59" xfId="0" applyFont="1" applyBorder="1" applyAlignment="1">
      <alignment horizontal="justify" vertical="center" wrapText="1"/>
    </xf>
    <xf numFmtId="0" fontId="72" fillId="0" borderId="60" xfId="0" applyFont="1" applyBorder="1" applyAlignment="1">
      <alignment horizontal="justify" vertical="center" wrapText="1"/>
    </xf>
    <xf numFmtId="0" fontId="72" fillId="0" borderId="73" xfId="0" applyFont="1" applyBorder="1" applyAlignment="1">
      <alignment horizontal="justify" vertical="center" wrapText="1"/>
    </xf>
    <xf numFmtId="0" fontId="72" fillId="0" borderId="72" xfId="0" applyFont="1" applyBorder="1" applyAlignment="1">
      <alignment horizontal="justify" vertical="center" wrapText="1"/>
    </xf>
    <xf numFmtId="0" fontId="72" fillId="0" borderId="42" xfId="0" applyFont="1" applyBorder="1" applyAlignment="1">
      <alignment horizontal="center" vertical="center" wrapText="1"/>
    </xf>
    <xf numFmtId="0" fontId="72" fillId="0" borderId="75" xfId="0" applyFont="1" applyBorder="1" applyAlignment="1">
      <alignment horizontal="center" vertical="center" wrapText="1"/>
    </xf>
    <xf numFmtId="0" fontId="72" fillId="0" borderId="76" xfId="0" applyFont="1" applyBorder="1" applyAlignment="1">
      <alignment horizontal="center" vertical="center" wrapText="1"/>
    </xf>
    <xf numFmtId="0" fontId="72" fillId="0" borderId="71" xfId="0" applyFont="1" applyBorder="1" applyAlignment="1">
      <alignment horizontal="right" vertical="center" wrapText="1"/>
    </xf>
    <xf numFmtId="0" fontId="75" fillId="0" borderId="73" xfId="0" applyFont="1" applyBorder="1" applyAlignment="1">
      <alignment horizontal="right" vertical="center" wrapText="1"/>
    </xf>
    <xf numFmtId="0" fontId="73" fillId="0" borderId="42" xfId="0" applyFont="1" applyBorder="1" applyAlignment="1">
      <alignment horizontal="justify" vertical="center" wrapText="1"/>
    </xf>
    <xf numFmtId="0" fontId="72" fillId="17" borderId="73" xfId="0" applyFont="1" applyFill="1" applyBorder="1" applyAlignment="1">
      <alignment horizontal="center" vertical="center" wrapText="1"/>
    </xf>
    <xf numFmtId="0" fontId="72" fillId="17" borderId="77" xfId="0" applyFont="1" applyFill="1" applyBorder="1" applyAlignment="1">
      <alignment horizontal="center" vertical="center" wrapText="1"/>
    </xf>
    <xf numFmtId="0" fontId="72" fillId="17" borderId="78" xfId="0" applyFont="1" applyFill="1" applyBorder="1" applyAlignment="1">
      <alignment horizontal="right" vertical="center" wrapText="1"/>
    </xf>
    <xf numFmtId="0" fontId="72" fillId="17" borderId="73" xfId="0" applyFont="1" applyFill="1" applyBorder="1" applyAlignment="1">
      <alignment horizontal="right" vertical="center" wrapText="1"/>
    </xf>
    <xf numFmtId="0" fontId="77" fillId="17" borderId="73" xfId="0" applyFont="1" applyFill="1" applyBorder="1" applyAlignment="1">
      <alignment vertical="center" wrapText="1"/>
    </xf>
    <xf numFmtId="0" fontId="76" fillId="0" borderId="42" xfId="0" applyFont="1" applyBorder="1" applyAlignment="1">
      <alignment horizontal="center" vertical="center" wrapText="1"/>
    </xf>
    <xf numFmtId="0" fontId="76" fillId="0" borderId="74" xfId="0" applyFont="1" applyBorder="1" applyAlignment="1">
      <alignment horizontal="center" vertical="center" wrapText="1"/>
    </xf>
    <xf numFmtId="0" fontId="76" fillId="0" borderId="68" xfId="0" applyFont="1" applyBorder="1" applyAlignment="1">
      <alignment horizontal="center" vertical="center" wrapText="1"/>
    </xf>
    <xf numFmtId="0" fontId="72" fillId="19" borderId="90" xfId="0" applyFont="1" applyFill="1" applyBorder="1" applyAlignment="1">
      <alignment horizontal="center" vertical="center" wrapText="1"/>
    </xf>
    <xf numFmtId="0" fontId="72" fillId="19" borderId="91" xfId="0" applyFont="1" applyFill="1" applyBorder="1" applyAlignment="1">
      <alignment horizontal="center" vertical="center" wrapText="1"/>
    </xf>
    <xf numFmtId="0" fontId="72" fillId="19" borderId="87" xfId="0" applyFont="1" applyFill="1" applyBorder="1" applyAlignment="1">
      <alignment horizontal="center" vertical="center" wrapText="1"/>
    </xf>
    <xf numFmtId="0" fontId="80" fillId="0" borderId="85" xfId="0" applyFont="1" applyBorder="1" applyAlignment="1">
      <alignment horizontal="justify" vertical="center" wrapText="1"/>
    </xf>
    <xf numFmtId="0" fontId="80" fillId="0" borderId="82" xfId="0" applyFont="1" applyBorder="1" applyAlignment="1">
      <alignment horizontal="justify" vertical="center" wrapText="1"/>
    </xf>
    <xf numFmtId="0" fontId="79" fillId="0" borderId="79" xfId="0" applyFont="1" applyBorder="1" applyAlignment="1">
      <alignment horizontal="right" vertical="center" wrapText="1"/>
    </xf>
    <xf numFmtId="0" fontId="72" fillId="0" borderId="79" xfId="0" applyFont="1" applyBorder="1" applyAlignment="1">
      <alignment horizontal="justify" vertical="center" wrapText="1"/>
    </xf>
    <xf numFmtId="0" fontId="73" fillId="0" borderId="80" xfId="0" applyFont="1" applyBorder="1" applyAlignment="1">
      <alignment horizontal="center" vertical="center" wrapText="1"/>
    </xf>
    <xf numFmtId="0" fontId="80" fillId="0" borderId="82" xfId="0" applyFont="1" applyBorder="1" applyAlignment="1">
      <alignment horizontal="center" vertical="center" wrapText="1"/>
    </xf>
    <xf numFmtId="0" fontId="80" fillId="0" borderId="83" xfId="0" applyFont="1" applyBorder="1" applyAlignment="1">
      <alignment horizontal="center" vertical="center" wrapText="1"/>
    </xf>
    <xf numFmtId="0" fontId="80" fillId="0" borderId="100" xfId="0" applyFont="1" applyBorder="1" applyAlignment="1">
      <alignment horizontal="center" vertical="center" wrapText="1"/>
    </xf>
    <xf numFmtId="0" fontId="80" fillId="0" borderId="103" xfId="0" applyFont="1" applyBorder="1" applyAlignment="1">
      <alignment horizontal="center" vertical="center" wrapText="1"/>
    </xf>
    <xf numFmtId="0" fontId="80" fillId="0" borderId="104" xfId="0" applyFont="1" applyBorder="1" applyAlignment="1">
      <alignment horizontal="justify" vertical="center" wrapText="1"/>
    </xf>
    <xf numFmtId="0" fontId="80" fillId="0" borderId="100" xfId="0" applyFont="1" applyBorder="1" applyAlignment="1">
      <alignment horizontal="justify" vertical="center" wrapText="1"/>
    </xf>
    <xf numFmtId="0" fontId="78" fillId="0" borderId="0" xfId="0" applyFont="1" applyAlignment="1">
      <alignment horizontal="justify" vertical="center" wrapText="1"/>
    </xf>
    <xf numFmtId="0" fontId="72" fillId="0" borderId="0" xfId="0" applyFont="1" applyAlignment="1">
      <alignment horizontal="right" vertical="center" wrapText="1"/>
    </xf>
    <xf numFmtId="0" fontId="73" fillId="0" borderId="0" xfId="0" applyFont="1" applyAlignment="1">
      <alignment vertical="top" wrapText="1"/>
    </xf>
    <xf numFmtId="0" fontId="72" fillId="0" borderId="0" xfId="0" applyFont="1" applyAlignment="1">
      <alignment horizontal="center" vertical="center" wrapText="1"/>
    </xf>
    <xf numFmtId="0" fontId="73" fillId="0" borderId="0" xfId="0" applyFont="1" applyAlignment="1">
      <alignment horizontal="center" vertical="center" wrapText="1"/>
    </xf>
    <xf numFmtId="0" fontId="72" fillId="19" borderId="92" xfId="0" applyFont="1" applyFill="1" applyBorder="1" applyAlignment="1">
      <alignment horizontal="center" vertical="center" wrapText="1"/>
    </xf>
    <xf numFmtId="0" fontId="72" fillId="19" borderId="93" xfId="0" applyFont="1" applyFill="1" applyBorder="1" applyAlignment="1">
      <alignment horizontal="center" vertical="center" wrapText="1"/>
    </xf>
    <xf numFmtId="0" fontId="81" fillId="0" borderId="86" xfId="0" applyFont="1" applyBorder="1" applyAlignment="1">
      <alignment horizontal="justify" vertical="center" wrapText="1"/>
    </xf>
    <xf numFmtId="0" fontId="81" fillId="18" borderId="88" xfId="0" applyFont="1" applyFill="1" applyBorder="1" applyAlignment="1">
      <alignment horizontal="center" vertical="center" wrapText="1"/>
    </xf>
    <xf numFmtId="0" fontId="81" fillId="18" borderId="89" xfId="0" applyFont="1" applyFill="1" applyBorder="1" applyAlignment="1">
      <alignment horizontal="center" vertical="center" wrapText="1"/>
    </xf>
    <xf numFmtId="0" fontId="82" fillId="19" borderId="92" xfId="0" applyFont="1" applyFill="1" applyBorder="1" applyAlignment="1">
      <alignment horizontal="center" vertical="center" wrapText="1"/>
    </xf>
    <xf numFmtId="0" fontId="82" fillId="19" borderId="93" xfId="0" applyFont="1" applyFill="1" applyBorder="1" applyAlignment="1">
      <alignment horizontal="center" vertical="center" wrapText="1"/>
    </xf>
    <xf numFmtId="0" fontId="82" fillId="19" borderId="94" xfId="0" applyFont="1" applyFill="1" applyBorder="1" applyAlignment="1">
      <alignment horizontal="center" vertical="center" wrapText="1"/>
    </xf>
    <xf numFmtId="0" fontId="82" fillId="19" borderId="92" xfId="0" applyFont="1" applyFill="1" applyBorder="1" applyAlignment="1">
      <alignment horizontal="justify" vertical="center" wrapText="1"/>
    </xf>
    <xf numFmtId="0" fontId="82" fillId="19" borderId="93" xfId="0" applyFont="1" applyFill="1" applyBorder="1" applyAlignment="1">
      <alignment horizontal="justify" vertical="center" wrapText="1"/>
    </xf>
    <xf numFmtId="0" fontId="82" fillId="19" borderId="94" xfId="0" applyFont="1" applyFill="1" applyBorder="1" applyAlignment="1">
      <alignment horizontal="justify" vertical="center" wrapText="1"/>
    </xf>
    <xf numFmtId="0" fontId="72" fillId="0" borderId="70" xfId="0" applyFont="1" applyBorder="1" applyAlignment="1">
      <alignment horizontal="justify" vertical="center" wrapText="1"/>
    </xf>
    <xf numFmtId="0" fontId="72" fillId="0" borderId="71" xfId="0" applyFont="1" applyBorder="1" applyAlignment="1">
      <alignment horizontal="justify" vertical="center" wrapText="1"/>
    </xf>
    <xf numFmtId="0" fontId="72" fillId="0" borderId="67" xfId="0" applyFont="1" applyBorder="1" applyAlignment="1">
      <alignment horizontal="justify" vertical="center" wrapText="1"/>
    </xf>
    <xf numFmtId="0" fontId="73" fillId="0" borderId="70" xfId="0" applyFont="1" applyBorder="1" applyAlignment="1">
      <alignment horizontal="justify" vertical="center" wrapText="1"/>
    </xf>
    <xf numFmtId="0" fontId="73" fillId="0" borderId="71" xfId="0" applyFont="1" applyBorder="1" applyAlignment="1">
      <alignment horizontal="justify" vertical="center" wrapText="1"/>
    </xf>
    <xf numFmtId="0" fontId="71" fillId="0" borderId="84" xfId="0" applyFont="1" applyBorder="1" applyAlignment="1">
      <alignment horizontal="center" vertical="center" wrapText="1"/>
    </xf>
    <xf numFmtId="0" fontId="72" fillId="17" borderId="52" xfId="0" applyFont="1" applyFill="1" applyBorder="1" applyAlignment="1">
      <alignment horizontal="justify" vertical="center" wrapText="1"/>
    </xf>
    <xf numFmtId="0" fontId="73" fillId="17" borderId="52" xfId="0" applyFont="1" applyFill="1" applyBorder="1" applyAlignment="1">
      <alignment vertical="top" wrapText="1"/>
    </xf>
    <xf numFmtId="0" fontId="73" fillId="17" borderId="81" xfId="0" applyFont="1" applyFill="1" applyBorder="1" applyAlignment="1">
      <alignment vertical="top" wrapText="1"/>
    </xf>
    <xf numFmtId="0" fontId="72" fillId="17" borderId="53" xfId="0" applyFont="1" applyFill="1" applyBorder="1" applyAlignment="1">
      <alignment horizontal="justify" vertical="center" wrapText="1"/>
    </xf>
    <xf numFmtId="0" fontId="74" fillId="17" borderId="52" xfId="0" applyFont="1" applyFill="1" applyBorder="1" applyAlignment="1">
      <alignment vertical="top" wrapText="1"/>
    </xf>
    <xf numFmtId="0" fontId="72" fillId="0" borderId="65" xfId="0" applyFont="1" applyBorder="1" applyAlignment="1">
      <alignment horizontal="justify" vertical="center" wrapText="1"/>
    </xf>
    <xf numFmtId="0" fontId="72" fillId="0" borderId="58" xfId="0" applyFont="1" applyBorder="1" applyAlignment="1">
      <alignment horizontal="justify" vertical="center" wrapText="1"/>
    </xf>
    <xf numFmtId="0" fontId="72" fillId="0" borderId="66" xfId="0" applyFont="1" applyBorder="1" applyAlignment="1">
      <alignment horizontal="justify" vertical="center" wrapText="1"/>
    </xf>
    <xf numFmtId="0" fontId="72" fillId="0" borderId="57" xfId="0" applyFont="1" applyBorder="1" applyAlignment="1">
      <alignment horizontal="justify" vertical="center" wrapText="1"/>
    </xf>
    <xf numFmtId="0" fontId="72" fillId="0" borderId="63" xfId="0" applyFont="1" applyBorder="1" applyAlignment="1">
      <alignment horizontal="justify" vertical="center" wrapText="1"/>
    </xf>
    <xf numFmtId="176" fontId="72" fillId="0" borderId="57" xfId="0" applyNumberFormat="1" applyFont="1" applyBorder="1" applyAlignment="1">
      <alignment horizontal="center" vertical="center" wrapText="1"/>
    </xf>
    <xf numFmtId="0" fontId="72" fillId="0" borderId="56" xfId="0" applyFont="1" applyBorder="1" applyAlignment="1">
      <alignment horizontal="center" vertical="center" wrapText="1"/>
    </xf>
    <xf numFmtId="0" fontId="72" fillId="0" borderId="55" xfId="0" applyFont="1" applyBorder="1" applyAlignment="1">
      <alignment horizontal="center" vertical="center" wrapText="1"/>
    </xf>
    <xf numFmtId="176" fontId="73" fillId="0" borderId="57" xfId="0" applyNumberFormat="1" applyFont="1" applyBorder="1" applyAlignment="1">
      <alignment horizontal="center" vertical="center" wrapText="1"/>
    </xf>
    <xf numFmtId="0" fontId="73" fillId="0" borderId="56" xfId="0" applyFont="1" applyBorder="1" applyAlignment="1">
      <alignment horizontal="center" vertical="center" wrapText="1"/>
    </xf>
    <xf numFmtId="0" fontId="64" fillId="0" borderId="19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1" fillId="18" borderId="95" xfId="0" applyFont="1" applyFill="1" applyBorder="1" applyAlignment="1">
      <alignment horizontal="center" vertical="center" wrapText="1"/>
    </xf>
    <xf numFmtId="0" fontId="81" fillId="18" borderId="96" xfId="0" applyFont="1" applyFill="1" applyBorder="1" applyAlignment="1">
      <alignment horizontal="center" vertical="center" wrapText="1"/>
    </xf>
    <xf numFmtId="0" fontId="72" fillId="19" borderId="97" xfId="0" applyFont="1" applyFill="1" applyBorder="1" applyAlignment="1">
      <alignment horizontal="center" vertical="center" wrapText="1"/>
    </xf>
    <xf numFmtId="0" fontId="72" fillId="19" borderId="98" xfId="0" applyFont="1" applyFill="1" applyBorder="1" applyAlignment="1">
      <alignment horizontal="center" vertical="center" wrapText="1"/>
    </xf>
    <xf numFmtId="0" fontId="72" fillId="19" borderId="95" xfId="0" applyFont="1" applyFill="1" applyBorder="1" applyAlignment="1">
      <alignment horizontal="center" vertical="center" wrapText="1"/>
    </xf>
    <xf numFmtId="0" fontId="72" fillId="19" borderId="99" xfId="0" applyFont="1" applyFill="1" applyBorder="1" applyAlignment="1">
      <alignment horizontal="center" vertical="center" wrapText="1"/>
    </xf>
    <xf numFmtId="0" fontId="72" fillId="19" borderId="100" xfId="0" applyFont="1" applyFill="1" applyBorder="1" applyAlignment="1">
      <alignment horizontal="center" vertical="center" wrapText="1"/>
    </xf>
    <xf numFmtId="0" fontId="72" fillId="19" borderId="96" xfId="0" applyFont="1" applyFill="1" applyBorder="1" applyAlignment="1">
      <alignment horizontal="center" vertical="center" wrapText="1"/>
    </xf>
    <xf numFmtId="0" fontId="82" fillId="19" borderId="97" xfId="0" applyFont="1" applyFill="1" applyBorder="1" applyAlignment="1">
      <alignment horizontal="center" vertical="center" wrapText="1"/>
    </xf>
    <xf numFmtId="0" fontId="82" fillId="19" borderId="95" xfId="0" applyFont="1" applyFill="1" applyBorder="1" applyAlignment="1">
      <alignment horizontal="center" vertical="center" wrapText="1"/>
    </xf>
    <xf numFmtId="0" fontId="82" fillId="19" borderId="99" xfId="0" applyFont="1" applyFill="1" applyBorder="1" applyAlignment="1">
      <alignment horizontal="center" vertical="center" wrapText="1"/>
    </xf>
    <xf numFmtId="0" fontId="82" fillId="19" borderId="96" xfId="0" applyFont="1" applyFill="1" applyBorder="1" applyAlignment="1">
      <alignment horizontal="center" vertical="center" wrapText="1"/>
    </xf>
    <xf numFmtId="0" fontId="82" fillId="19" borderId="98" xfId="0" applyFont="1" applyFill="1" applyBorder="1" applyAlignment="1">
      <alignment horizontal="center" vertical="center" wrapText="1"/>
    </xf>
    <xf numFmtId="0" fontId="82" fillId="19" borderId="100" xfId="0" applyFont="1" applyFill="1" applyBorder="1" applyAlignment="1">
      <alignment horizontal="center" vertical="center" wrapText="1"/>
    </xf>
    <xf numFmtId="0" fontId="82" fillId="19" borderId="97" xfId="0" applyFont="1" applyFill="1" applyBorder="1" applyAlignment="1">
      <alignment horizontal="justify" vertical="center" wrapText="1"/>
    </xf>
    <xf numFmtId="0" fontId="82" fillId="19" borderId="98" xfId="0" applyFont="1" applyFill="1" applyBorder="1" applyAlignment="1">
      <alignment horizontal="justify" vertical="center" wrapText="1"/>
    </xf>
    <xf numFmtId="0" fontId="82" fillId="19" borderId="95" xfId="0" applyFont="1" applyFill="1" applyBorder="1" applyAlignment="1">
      <alignment horizontal="justify" vertical="center" wrapText="1"/>
    </xf>
    <xf numFmtId="0" fontId="82" fillId="19" borderId="99" xfId="0" applyFont="1" applyFill="1" applyBorder="1" applyAlignment="1">
      <alignment horizontal="justify" vertical="center" wrapText="1"/>
    </xf>
    <xf numFmtId="0" fontId="82" fillId="19" borderId="100" xfId="0" applyFont="1" applyFill="1" applyBorder="1" applyAlignment="1">
      <alignment horizontal="justify" vertical="center" wrapText="1"/>
    </xf>
    <xf numFmtId="0" fontId="82" fillId="19" borderId="96" xfId="0" applyFont="1" applyFill="1" applyBorder="1" applyAlignment="1">
      <alignment horizontal="justify" vertical="center" wrapText="1"/>
    </xf>
    <xf numFmtId="0" fontId="72" fillId="19" borderId="101" xfId="0" applyFont="1" applyFill="1" applyBorder="1" applyAlignment="1">
      <alignment horizontal="center" vertical="center" wrapText="1"/>
    </xf>
    <xf numFmtId="0" fontId="72" fillId="19" borderId="102" xfId="0" applyFont="1" applyFill="1" applyBorder="1" applyAlignment="1">
      <alignment horizontal="center" vertical="center" wrapText="1"/>
    </xf>
    <xf numFmtId="0" fontId="27" fillId="0" borderId="65" xfId="0" applyFont="1" applyBorder="1" applyAlignment="1">
      <alignment horizontal="center" vertical="center" wrapText="1"/>
    </xf>
    <xf numFmtId="0" fontId="27" fillId="0" borderId="66" xfId="0" applyFont="1" applyBorder="1" applyAlignment="1">
      <alignment horizontal="center" vertical="center" wrapText="1"/>
    </xf>
    <xf numFmtId="0" fontId="72" fillId="0" borderId="68" xfId="0" applyFont="1" applyBorder="1" applyAlignment="1">
      <alignment horizontal="justify" vertical="center" wrapText="1"/>
    </xf>
    <xf numFmtId="0" fontId="72" fillId="0" borderId="69" xfId="0" applyFont="1" applyBorder="1" applyAlignment="1">
      <alignment horizontal="justify" vertical="center" wrapText="1"/>
    </xf>
    <xf numFmtId="0" fontId="73" fillId="0" borderId="70" xfId="0" applyFont="1" applyBorder="1" applyAlignment="1">
      <alignment horizontal="center" vertical="center" wrapText="1"/>
    </xf>
    <xf numFmtId="0" fontId="73" fillId="0" borderId="71" xfId="0" applyFont="1" applyBorder="1" applyAlignment="1">
      <alignment horizontal="center" vertical="center" wrapText="1"/>
    </xf>
    <xf numFmtId="0" fontId="73" fillId="0" borderId="67" xfId="0" applyFont="1" applyBorder="1" applyAlignment="1">
      <alignment horizontal="center" vertical="center" wrapText="1"/>
    </xf>
    <xf numFmtId="0" fontId="22" fillId="0" borderId="0" xfId="5" applyAlignment="1">
      <alignment vertical="center"/>
    </xf>
    <xf numFmtId="0" fontId="22" fillId="0" borderId="0" xfId="5"/>
    <xf numFmtId="0" fontId="5" fillId="2" borderId="166" xfId="5" applyFont="1" applyFill="1" applyBorder="1" applyAlignment="1">
      <alignment horizontal="left" vertical="center"/>
    </xf>
    <xf numFmtId="0" fontId="131" fillId="16" borderId="169" xfId="5" applyFont="1" applyFill="1" applyBorder="1" applyAlignment="1">
      <alignment horizontal="left" vertical="center"/>
    </xf>
    <xf numFmtId="0" fontId="131" fillId="16" borderId="51" xfId="5" applyFont="1" applyFill="1" applyBorder="1" applyAlignment="1">
      <alignment horizontal="left" vertical="center"/>
    </xf>
    <xf numFmtId="0" fontId="138" fillId="31" borderId="170" xfId="5" applyFont="1" applyFill="1" applyBorder="1" applyAlignment="1">
      <alignment horizontal="center" vertical="center"/>
    </xf>
    <xf numFmtId="0" fontId="138" fillId="31" borderId="168" xfId="5" applyFont="1" applyFill="1" applyBorder="1" applyAlignment="1">
      <alignment horizontal="center" vertical="center"/>
    </xf>
    <xf numFmtId="0" fontId="5" fillId="2" borderId="5" xfId="5" applyFont="1" applyFill="1" applyBorder="1" applyAlignment="1">
      <alignment horizontal="left" vertical="center"/>
    </xf>
    <xf numFmtId="0" fontId="131" fillId="16" borderId="22" xfId="5" applyFont="1" applyFill="1" applyBorder="1" applyAlignment="1">
      <alignment horizontal="left" vertical="center"/>
    </xf>
    <xf numFmtId="0" fontId="131" fillId="16" borderId="4" xfId="5" applyFont="1" applyFill="1" applyBorder="1" applyAlignment="1">
      <alignment horizontal="left" vertical="center"/>
    </xf>
    <xf numFmtId="0" fontId="138" fillId="31" borderId="156" xfId="5" applyFont="1" applyFill="1" applyBorder="1" applyAlignment="1">
      <alignment horizontal="center" vertical="center"/>
    </xf>
    <xf numFmtId="0" fontId="138" fillId="31" borderId="0" xfId="5" applyFont="1" applyFill="1" applyAlignment="1">
      <alignment horizontal="center" vertical="center"/>
    </xf>
    <xf numFmtId="0" fontId="5" fillId="2" borderId="141" xfId="5" applyFont="1" applyFill="1" applyBorder="1" applyAlignment="1">
      <alignment horizontal="left" vertical="center"/>
    </xf>
    <xf numFmtId="0" fontId="131" fillId="16" borderId="143" xfId="5" applyFont="1" applyFill="1" applyBorder="1" applyAlignment="1">
      <alignment horizontal="left" vertical="center"/>
    </xf>
    <xf numFmtId="0" fontId="131" fillId="16" borderId="49" xfId="5" applyFont="1" applyFill="1" applyBorder="1" applyAlignment="1">
      <alignment horizontal="left" vertical="center"/>
    </xf>
    <xf numFmtId="0" fontId="138" fillId="31" borderId="157" xfId="5" applyFont="1" applyFill="1" applyBorder="1" applyAlignment="1">
      <alignment horizontal="center" vertical="center"/>
    </xf>
    <xf numFmtId="0" fontId="138" fillId="31" borderId="140" xfId="5" applyFont="1" applyFill="1" applyBorder="1" applyAlignment="1">
      <alignment horizontal="center" vertical="center"/>
    </xf>
    <xf numFmtId="0" fontId="8" fillId="0" borderId="0" xfId="5" applyFont="1" applyAlignment="1">
      <alignment vertical="center"/>
    </xf>
    <xf numFmtId="0" fontId="5" fillId="2" borderId="51" xfId="5" applyFont="1" applyFill="1" applyBorder="1" applyAlignment="1">
      <alignment horizontal="left" vertical="center"/>
    </xf>
    <xf numFmtId="0" fontId="5" fillId="2" borderId="4" xfId="5" applyFont="1" applyFill="1" applyBorder="1" applyAlignment="1">
      <alignment horizontal="left" vertical="center"/>
    </xf>
    <xf numFmtId="0" fontId="20" fillId="15" borderId="167" xfId="5" applyFont="1" applyFill="1" applyBorder="1" applyAlignment="1">
      <alignment horizontal="center" vertical="center"/>
    </xf>
    <xf numFmtId="0" fontId="20" fillId="15" borderId="154" xfId="5" applyFont="1" applyFill="1" applyBorder="1" applyAlignment="1">
      <alignment horizontal="center" vertical="center"/>
    </xf>
    <xf numFmtId="0" fontId="20" fillId="15" borderId="47" xfId="5" applyFont="1" applyFill="1" applyBorder="1" applyAlignment="1">
      <alignment horizontal="center" vertical="center"/>
    </xf>
    <xf numFmtId="0" fontId="30" fillId="3" borderId="5" xfId="5" applyFont="1" applyFill="1" applyBorder="1" applyAlignment="1">
      <alignment horizontal="center" vertical="center"/>
    </xf>
    <xf numFmtId="0" fontId="22" fillId="0" borderId="0" xfId="5" applyAlignment="1">
      <alignment horizontal="center" vertical="center"/>
    </xf>
    <xf numFmtId="0" fontId="134" fillId="0" borderId="0" xfId="5" applyFont="1" applyAlignment="1">
      <alignment horizontal="center" vertical="center"/>
    </xf>
    <xf numFmtId="0" fontId="5" fillId="2" borderId="166" xfId="5" applyFont="1" applyFill="1" applyBorder="1" applyAlignment="1">
      <alignment horizontal="center" vertical="center"/>
    </xf>
    <xf numFmtId="0" fontId="5" fillId="2" borderId="169" xfId="5" applyFont="1" applyFill="1" applyBorder="1" applyAlignment="1">
      <alignment horizontal="center" vertical="center"/>
    </xf>
    <xf numFmtId="0" fontId="5" fillId="2" borderId="51" xfId="5" applyFont="1" applyFill="1" applyBorder="1" applyAlignment="1">
      <alignment horizontal="center" vertical="center"/>
    </xf>
    <xf numFmtId="0" fontId="5" fillId="2" borderId="5" xfId="5" applyFont="1" applyFill="1" applyBorder="1" applyAlignment="1">
      <alignment horizontal="center" vertical="center"/>
    </xf>
    <xf numFmtId="0" fontId="5" fillId="2" borderId="22" xfId="5" applyFont="1" applyFill="1" applyBorder="1" applyAlignment="1">
      <alignment horizontal="center" vertical="center"/>
    </xf>
    <xf numFmtId="0" fontId="5" fillId="2" borderId="4" xfId="5" applyFont="1" applyFill="1" applyBorder="1" applyAlignment="1">
      <alignment horizontal="center" vertical="center"/>
    </xf>
    <xf numFmtId="0" fontId="5" fillId="2" borderId="44" xfId="5" applyFont="1" applyFill="1" applyBorder="1" applyAlignment="1">
      <alignment horizontal="center" vertical="center"/>
    </xf>
    <xf numFmtId="0" fontId="5" fillId="2" borderId="151" xfId="5" applyFont="1" applyFill="1" applyBorder="1" applyAlignment="1">
      <alignment horizontal="center" vertical="center"/>
    </xf>
    <xf numFmtId="0" fontId="5" fillId="2" borderId="7" xfId="5" applyFont="1" applyFill="1" applyBorder="1" applyAlignment="1">
      <alignment horizontal="center" vertical="center"/>
    </xf>
    <xf numFmtId="0" fontId="152" fillId="25" borderId="167" xfId="5" applyFont="1" applyFill="1" applyBorder="1" applyAlignment="1">
      <alignment horizontal="center" vertical="center"/>
    </xf>
    <xf numFmtId="0" fontId="201" fillId="25" borderId="167" xfId="5" applyFont="1" applyFill="1" applyBorder="1" applyAlignment="1">
      <alignment horizontal="center" vertical="center"/>
    </xf>
    <xf numFmtId="0" fontId="131" fillId="16" borderId="44" xfId="5" applyFont="1" applyFill="1" applyBorder="1" applyAlignment="1">
      <alignment horizontal="center" vertical="center"/>
    </xf>
    <xf numFmtId="0" fontId="131" fillId="16" borderId="151" xfId="5" applyFont="1" applyFill="1" applyBorder="1" applyAlignment="1">
      <alignment horizontal="center" vertical="center"/>
    </xf>
    <xf numFmtId="0" fontId="131" fillId="16" borderId="7" xfId="5" applyFont="1" applyFill="1" applyBorder="1" applyAlignment="1">
      <alignment horizontal="center" vertical="center"/>
    </xf>
    <xf numFmtId="0" fontId="203" fillId="0" borderId="44" xfId="5" applyFont="1" applyBorder="1" applyAlignment="1">
      <alignment horizontal="center" vertical="center"/>
    </xf>
    <xf numFmtId="0" fontId="7" fillId="0" borderId="151" xfId="5" applyFont="1" applyBorder="1" applyAlignment="1">
      <alignment horizontal="center" vertical="center"/>
    </xf>
    <xf numFmtId="0" fontId="148" fillId="0" borderId="3" xfId="5" applyFont="1" applyBorder="1" applyAlignment="1">
      <alignment vertical="center"/>
    </xf>
    <xf numFmtId="0" fontId="22" fillId="9" borderId="22" xfId="5" applyFill="1" applyBorder="1" applyAlignment="1">
      <alignment horizontal="center" vertical="center"/>
    </xf>
    <xf numFmtId="0" fontId="155" fillId="31" borderId="167" xfId="5" applyFont="1" applyFill="1" applyBorder="1" applyAlignment="1">
      <alignment horizontal="center" vertical="center"/>
    </xf>
    <xf numFmtId="0" fontId="204" fillId="31" borderId="167" xfId="5" applyFont="1" applyFill="1" applyBorder="1" applyAlignment="1">
      <alignment horizontal="center" vertical="center"/>
    </xf>
    <xf numFmtId="0" fontId="148" fillId="0" borderId="1" xfId="5" applyFont="1" applyBorder="1" applyAlignment="1">
      <alignment vertical="center"/>
    </xf>
    <xf numFmtId="0" fontId="134" fillId="0" borderId="0" xfId="5" applyFont="1" applyAlignment="1">
      <alignment horizontal="center" vertical="center"/>
    </xf>
    <xf numFmtId="0" fontId="134" fillId="0" borderId="44" xfId="5" applyFont="1" applyBorder="1" applyAlignment="1">
      <alignment vertical="center"/>
    </xf>
    <xf numFmtId="0" fontId="193" fillId="0" borderId="151" xfId="5" applyFont="1" applyBorder="1" applyAlignment="1">
      <alignment horizontal="center" vertical="center"/>
    </xf>
    <xf numFmtId="0" fontId="7" fillId="24" borderId="151" xfId="5" applyFont="1" applyFill="1" applyBorder="1" applyAlignment="1">
      <alignment horizontal="center" vertical="center"/>
    </xf>
    <xf numFmtId="0" fontId="174" fillId="13" borderId="139" xfId="5" applyFont="1" applyFill="1" applyBorder="1" applyAlignment="1">
      <alignment horizontal="center" vertical="center"/>
    </xf>
    <xf numFmtId="0" fontId="174" fillId="13" borderId="0" xfId="5" applyFont="1" applyFill="1" applyAlignment="1">
      <alignment horizontal="center" vertical="center"/>
    </xf>
    <xf numFmtId="0" fontId="205" fillId="13" borderId="0" xfId="5" applyFont="1" applyFill="1" applyAlignment="1">
      <alignment horizontal="center" vertical="center"/>
    </xf>
    <xf numFmtId="0" fontId="206" fillId="34" borderId="44" xfId="4" applyFont="1" applyBorder="1" applyAlignment="1">
      <alignment horizontal="center" vertical="center"/>
    </xf>
    <xf numFmtId="0" fontId="152" fillId="25" borderId="139" xfId="5" applyFont="1" applyFill="1" applyBorder="1" applyAlignment="1">
      <alignment horizontal="center" vertical="center"/>
    </xf>
    <xf numFmtId="0" fontId="22" fillId="0" borderId="5" xfId="5" applyBorder="1" applyAlignment="1">
      <alignment vertical="center"/>
    </xf>
    <xf numFmtId="0" fontId="22" fillId="0" borderId="22" xfId="5" applyBorder="1" applyAlignment="1">
      <alignment horizontal="center" vertical="center"/>
    </xf>
    <xf numFmtId="0" fontId="22" fillId="0" borderId="4" xfId="5" applyBorder="1" applyAlignment="1">
      <alignment horizontal="center" vertical="center"/>
    </xf>
    <xf numFmtId="0" fontId="22" fillId="0" borderId="22" xfId="5" applyBorder="1" applyAlignment="1">
      <alignment vertical="center"/>
    </xf>
    <xf numFmtId="0" fontId="22" fillId="0" borderId="4" xfId="5" applyBorder="1" applyAlignment="1">
      <alignment vertical="center"/>
    </xf>
    <xf numFmtId="0" fontId="22" fillId="0" borderId="1" xfId="5" applyBorder="1" applyAlignment="1">
      <alignment vertical="center"/>
    </xf>
    <xf numFmtId="0" fontId="145" fillId="31" borderId="22" xfId="5" applyFont="1" applyFill="1" applyBorder="1" applyAlignment="1">
      <alignment vertical="center"/>
    </xf>
    <xf numFmtId="0" fontId="22" fillId="0" borderId="44" xfId="5" applyBorder="1" applyAlignment="1">
      <alignment horizontal="left" vertical="center"/>
    </xf>
    <xf numFmtId="0" fontId="22" fillId="0" borderId="0" xfId="5" applyAlignment="1">
      <alignment horizontal="left" vertical="center"/>
    </xf>
    <xf numFmtId="0" fontId="22" fillId="0" borderId="49" xfId="5" applyBorder="1" applyAlignment="1">
      <alignment vertical="center"/>
    </xf>
    <xf numFmtId="0" fontId="22" fillId="0" borderId="3" xfId="5" applyBorder="1" applyAlignment="1">
      <alignment vertical="center"/>
    </xf>
    <xf numFmtId="0" fontId="145" fillId="31" borderId="143" xfId="5" applyFont="1" applyFill="1" applyBorder="1" applyAlignment="1">
      <alignment vertical="center"/>
    </xf>
    <xf numFmtId="0" fontId="133" fillId="33" borderId="5" xfId="5" applyFont="1" applyFill="1" applyBorder="1" applyAlignment="1">
      <alignment horizontal="left" vertical="center"/>
    </xf>
    <xf numFmtId="0" fontId="145" fillId="35" borderId="139" xfId="5" applyFont="1" applyFill="1" applyBorder="1" applyAlignment="1">
      <alignment horizontal="center" vertical="center"/>
    </xf>
    <xf numFmtId="0" fontId="145" fillId="35" borderId="155" xfId="5" applyFont="1" applyFill="1" applyBorder="1" applyAlignment="1">
      <alignment horizontal="center" vertical="center"/>
    </xf>
    <xf numFmtId="0" fontId="145" fillId="35" borderId="206" xfId="5" applyFont="1" applyFill="1" applyBorder="1" applyAlignment="1">
      <alignment horizontal="center" vertical="center"/>
    </xf>
    <xf numFmtId="0" fontId="145" fillId="35" borderId="142" xfId="5" applyFont="1" applyFill="1" applyBorder="1" applyAlignment="1">
      <alignment horizontal="center" vertical="center"/>
    </xf>
    <xf numFmtId="0" fontId="22" fillId="0" borderId="19" xfId="5" applyBorder="1" applyAlignment="1">
      <alignment horizontal="left" vertical="center"/>
    </xf>
    <xf numFmtId="0" fontId="40" fillId="0" borderId="19" xfId="5" applyFont="1" applyBorder="1" applyAlignment="1">
      <alignment horizontal="left" vertical="center"/>
    </xf>
    <xf numFmtId="0" fontId="22" fillId="0" borderId="5" xfId="5" applyBorder="1" applyAlignment="1">
      <alignment horizontal="left" vertical="center"/>
    </xf>
    <xf numFmtId="0" fontId="148" fillId="0" borderId="48" xfId="5" applyFont="1" applyBorder="1" applyAlignment="1">
      <alignment vertical="center"/>
    </xf>
    <xf numFmtId="0" fontId="22" fillId="9" borderId="151" xfId="5" applyFill="1" applyBorder="1" applyAlignment="1">
      <alignment horizontal="center" vertical="center"/>
    </xf>
    <xf numFmtId="0" fontId="133" fillId="33" borderId="44" xfId="5" applyFont="1" applyFill="1" applyBorder="1" applyAlignment="1">
      <alignment horizontal="left" vertical="center"/>
    </xf>
    <xf numFmtId="0" fontId="22" fillId="0" borderId="141" xfId="5" applyBorder="1" applyAlignment="1">
      <alignment horizontal="left" vertical="center"/>
    </xf>
    <xf numFmtId="0" fontId="160" fillId="31" borderId="139" xfId="5" applyFont="1" applyFill="1" applyBorder="1" applyAlignment="1">
      <alignment horizontal="center" vertical="center"/>
    </xf>
    <xf numFmtId="0" fontId="160" fillId="31" borderId="206" xfId="5" applyFont="1" applyFill="1" applyBorder="1" applyAlignment="1">
      <alignment horizontal="center" vertical="center"/>
    </xf>
    <xf numFmtId="0" fontId="160" fillId="31" borderId="155" xfId="5" applyFont="1" applyFill="1" applyBorder="1" applyAlignment="1">
      <alignment horizontal="center" vertical="center"/>
    </xf>
    <xf numFmtId="0" fontId="209" fillId="9" borderId="0" xfId="5" applyFont="1" applyFill="1" applyAlignment="1">
      <alignment vertical="center"/>
    </xf>
    <xf numFmtId="0" fontId="155" fillId="13" borderId="139" xfId="5" applyFont="1" applyFill="1" applyBorder="1" applyAlignment="1">
      <alignment horizontal="center" vertical="center"/>
    </xf>
    <xf numFmtId="0" fontId="22" fillId="9" borderId="0" xfId="5" applyFill="1" applyAlignment="1">
      <alignment vertical="center"/>
    </xf>
    <xf numFmtId="0" fontId="155" fillId="13" borderId="0" xfId="5" applyFont="1" applyFill="1" applyAlignment="1">
      <alignment horizontal="center" vertical="center"/>
    </xf>
    <xf numFmtId="0" fontId="146" fillId="0" borderId="0" xfId="5" applyFont="1" applyAlignment="1">
      <alignment vertical="center"/>
    </xf>
    <xf numFmtId="0" fontId="146" fillId="0" borderId="142" xfId="5" applyFont="1" applyBorder="1" applyAlignment="1">
      <alignment vertical="center"/>
    </xf>
    <xf numFmtId="0" fontId="22" fillId="9" borderId="45" xfId="5" applyFill="1" applyBorder="1" applyAlignment="1">
      <alignment vertical="center"/>
    </xf>
  </cellXfs>
  <cellStyles count="6">
    <cellStyle name="나쁨" xfId="2" builtinId="27"/>
    <cellStyle name="좋음" xfId="4" builtinId="26"/>
    <cellStyle name="표준" xfId="0" builtinId="0"/>
    <cellStyle name="표준 2" xfId="3" xr:uid="{751D343F-DA69-4A4F-AFB8-E24B97E8BF2A}"/>
    <cellStyle name="표준 3" xfId="5" xr:uid="{8AC8FC0C-E48F-4CD0-AEE7-C5C3B7885351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39" fmlaLink="목차!$B$1" fmlaRange="$C$6:$C$36" noThreeD="1" sel="5" val="4"/>
</file>

<file path=xl/ctrlProps/ctrlProp46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7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8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9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0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1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2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3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4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5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6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7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8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9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60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61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62.xml><?xml version="1.0" encoding="utf-8"?>
<formControlPr xmlns="http://schemas.microsoft.com/office/spreadsheetml/2009/9/main" objectType="Drop" dropStyle="combo" dx="39" fmlaLink="#REF!" fmlaRange="#REF!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4763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9</xdr:row>
          <xdr:rowOff>228600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14</xdr:row>
          <xdr:rowOff>228600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4763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209550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26</xdr:row>
          <xdr:rowOff>123825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27</xdr:row>
          <xdr:rowOff>219075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28</xdr:row>
          <xdr:rowOff>228600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29</xdr:row>
          <xdr:rowOff>219075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30</xdr:row>
          <xdr:rowOff>219075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35</xdr:row>
          <xdr:rowOff>123825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35</xdr:row>
          <xdr:rowOff>228600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37</xdr:row>
          <xdr:rowOff>219075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40</xdr:row>
          <xdr:rowOff>219075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41</xdr:row>
          <xdr:rowOff>219075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42</xdr:row>
          <xdr:rowOff>219075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43</xdr:row>
          <xdr:rowOff>219075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44</xdr:row>
          <xdr:rowOff>219075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46</xdr:row>
          <xdr:rowOff>219075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47</xdr:row>
          <xdr:rowOff>219075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48</xdr:row>
          <xdr:rowOff>219075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36</xdr:row>
          <xdr:rowOff>247650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45</xdr:row>
          <xdr:rowOff>219075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39</xdr:row>
          <xdr:rowOff>247650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9525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31</xdr:row>
          <xdr:rowOff>219075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32</xdr:row>
          <xdr:rowOff>219075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2838450</xdr:colOff>
          <xdr:row>31</xdr:row>
          <xdr:rowOff>123825</xdr:rowOff>
        </xdr:from>
        <xdr:ext cx="2419350" cy="742950"/>
        <xdr:sp macro="" textlink="">
          <xdr:nvSpPr>
            <xdr:cNvPr id="61441" name="Drop Dow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283CE632-2607-41DA-A993-2F628C3D7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1514475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171450</xdr:rowOff>
        </xdr:from>
        <xdr:to>
          <xdr:col>12</xdr:col>
          <xdr:colOff>419100</xdr:colOff>
          <xdr:row>4</xdr:row>
          <xdr:rowOff>142875</xdr:rowOff>
        </xdr:to>
        <xdr:sp macro="" textlink="">
          <xdr:nvSpPr>
            <xdr:cNvPr id="3079" name="Drop Dow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5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38100</xdr:rowOff>
        </xdr:from>
        <xdr:to>
          <xdr:col>35</xdr:col>
          <xdr:colOff>295275</xdr:colOff>
          <xdr:row>4</xdr:row>
          <xdr:rowOff>123825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19050</xdr:rowOff>
        </xdr:from>
        <xdr:to>
          <xdr:col>10</xdr:col>
          <xdr:colOff>419100</xdr:colOff>
          <xdr:row>5</xdr:row>
          <xdr:rowOff>152400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8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647700</xdr:colOff>
          <xdr:row>1</xdr:row>
          <xdr:rowOff>228600</xdr:rowOff>
        </xdr:from>
        <xdr:to>
          <xdr:col>10</xdr:col>
          <xdr:colOff>400050</xdr:colOff>
          <xdr:row>5</xdr:row>
          <xdr:rowOff>47625</xdr:rowOff>
        </xdr:to>
        <xdr:sp macro="" textlink="">
          <xdr:nvSpPr>
            <xdr:cNvPr id="10243" name="Drop Dow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9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2</xdr:row>
          <xdr:rowOff>0</xdr:rowOff>
        </xdr:from>
        <xdr:to>
          <xdr:col>10</xdr:col>
          <xdr:colOff>400050</xdr:colOff>
          <xdr:row>5</xdr:row>
          <xdr:rowOff>133350</xdr:rowOff>
        </xdr:to>
        <xdr:sp macro="" textlink="">
          <xdr:nvSpPr>
            <xdr:cNvPr id="11266" name="Drop Dow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A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285750</xdr:rowOff>
        </xdr:from>
        <xdr:to>
          <xdr:col>8</xdr:col>
          <xdr:colOff>457200</xdr:colOff>
          <xdr:row>5</xdr:row>
          <xdr:rowOff>114300</xdr:rowOff>
        </xdr:to>
        <xdr:sp macro="" textlink="">
          <xdr:nvSpPr>
            <xdr:cNvPr id="17409" name="Drop Dow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B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7</xdr:col>
          <xdr:colOff>419100</xdr:colOff>
          <xdr:row>5</xdr:row>
          <xdr:rowOff>114300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C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0</xdr:rowOff>
        </xdr:from>
        <xdr:to>
          <xdr:col>11</xdr:col>
          <xdr:colOff>400050</xdr:colOff>
          <xdr:row>5</xdr:row>
          <xdr:rowOff>47625</xdr:rowOff>
        </xdr:to>
        <xdr:sp macro="" textlink="">
          <xdr:nvSpPr>
            <xdr:cNvPr id="19457" name="Drop Dow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2</xdr:row>
          <xdr:rowOff>9525</xdr:rowOff>
        </xdr:from>
        <xdr:to>
          <xdr:col>24</xdr:col>
          <xdr:colOff>133350</xdr:colOff>
          <xdr:row>5</xdr:row>
          <xdr:rowOff>123825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19050</xdr:rowOff>
        </xdr:to>
        <xdr:sp macro="" textlink="">
          <xdr:nvSpPr>
            <xdr:cNvPr id="33793" name="Drop Dow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F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4817" name="Drop Dow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9525</xdr:rowOff>
        </xdr:from>
        <xdr:to>
          <xdr:col>6</xdr:col>
          <xdr:colOff>57150</xdr:colOff>
          <xdr:row>5</xdr:row>
          <xdr:rowOff>95250</xdr:rowOff>
        </xdr:to>
        <xdr:sp macro="" textlink="">
          <xdr:nvSpPr>
            <xdr:cNvPr id="36865" name="Drop Dow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95250</xdr:colOff>
          <xdr:row>1</xdr:row>
          <xdr:rowOff>38100</xdr:rowOff>
        </xdr:from>
        <xdr:to>
          <xdr:col>36</xdr:col>
          <xdr:colOff>390525</xdr:colOff>
          <xdr:row>3</xdr:row>
          <xdr:rowOff>171450</xdr:rowOff>
        </xdr:to>
        <xdr:sp macro="" textlink="">
          <xdr:nvSpPr>
            <xdr:cNvPr id="39937" name="Drop Dow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1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50.xml"/><Relationship Id="rId4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hyperlink" Target="mailto:asd@asd.net" TargetMode="External"/><Relationship Id="rId1" Type="http://schemas.openxmlformats.org/officeDocument/2006/relationships/hyperlink" Target="mailto:asd@asd.net" TargetMode="External"/><Relationship Id="rId5" Type="http://schemas.openxmlformats.org/officeDocument/2006/relationships/ctrlProp" Target="../ctrlProps/ctrlProp57.xml"/><Relationship Id="rId4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hyperlink" Target="mailto:example@nate.com" TargetMode="External"/><Relationship Id="rId4" Type="http://schemas.openxmlformats.org/officeDocument/2006/relationships/ctrlProp" Target="../ctrlProps/ctrlProp5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0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1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hyperlink" Target="mailto:KJH5848@GMAIL.COM" TargetMode="External"/><Relationship Id="rId4" Type="http://schemas.openxmlformats.org/officeDocument/2006/relationships/ctrlProp" Target="../ctrlProps/ctrlProp6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workbookViewId="0"/>
  </sheetViews>
  <sheetFormatPr defaultColWidth="9.1328125" defaultRowHeight="20.25"/>
  <cols>
    <col min="1" max="2" width="9.1328125" style="188"/>
    <col min="3" max="3" width="25" style="188" customWidth="1"/>
    <col min="4" max="4" width="18.3984375" style="188" bestFit="1" customWidth="1"/>
    <col min="5" max="5" width="7.3984375" style="188" bestFit="1" customWidth="1"/>
    <col min="6" max="6" width="18.3984375" style="188" bestFit="1" customWidth="1"/>
    <col min="7" max="7" width="14.59765625" style="188" customWidth="1"/>
    <col min="8" max="8" width="9.1328125" style="188"/>
    <col min="9" max="9" width="12.59765625" style="188" customWidth="1"/>
    <col min="10" max="10" width="10.265625" style="188" customWidth="1"/>
    <col min="11" max="11" width="14.265625" style="188" bestFit="1" customWidth="1"/>
    <col min="12" max="13" width="17.265625" style="188" customWidth="1"/>
    <col min="14" max="14" width="14.59765625" style="188" customWidth="1"/>
    <col min="15" max="15" width="13.73046875" style="188" customWidth="1"/>
    <col min="16" max="16" width="9" style="188" customWidth="1"/>
    <col min="17" max="22" width="9.1328125" style="188"/>
    <col min="23" max="23" width="14.73046875" style="189" bestFit="1" customWidth="1"/>
    <col min="24" max="24" width="24.86328125" style="190" bestFit="1" customWidth="1"/>
    <col min="25" max="25" width="103.1328125" style="188" bestFit="1" customWidth="1"/>
    <col min="26" max="28" width="9.1328125" style="188"/>
    <col min="29" max="30" width="9.1328125" style="191"/>
    <col min="31" max="31" width="18.86328125" style="191" bestFit="1" customWidth="1"/>
    <col min="32" max="32" width="35.1328125" style="191" bestFit="1" customWidth="1"/>
    <col min="33" max="35" width="9.1328125" style="191"/>
    <col min="36" max="36" width="23.3984375" style="191" bestFit="1" customWidth="1"/>
    <col min="37" max="38" width="9.1328125" style="191"/>
    <col min="39" max="39" width="17.265625" style="191" bestFit="1" customWidth="1"/>
    <col min="40" max="40" width="35.1328125" style="191" bestFit="1" customWidth="1"/>
    <col min="41" max="41" width="9.1328125" style="191"/>
    <col min="42" max="42" width="7.73046875" style="191" bestFit="1" customWidth="1"/>
    <col min="43" max="54" width="9.1328125" style="191"/>
    <col min="55" max="55" width="15.86328125" style="191" bestFit="1" customWidth="1"/>
    <col min="56" max="56" width="9.1328125" style="191"/>
    <col min="57" max="57" width="11.1328125" style="191" bestFit="1" customWidth="1"/>
    <col min="58" max="58" width="18" style="191" bestFit="1" customWidth="1"/>
    <col min="59" max="59" width="82.1328125" style="191" customWidth="1"/>
    <col min="60" max="72" width="9.1328125" style="191"/>
    <col min="73" max="73" width="13.59765625" style="191" bestFit="1" customWidth="1"/>
    <col min="74" max="74" width="58.73046875" style="191" bestFit="1" customWidth="1"/>
    <col min="75" max="75" width="14.59765625" style="191" bestFit="1" customWidth="1"/>
    <col min="76" max="76" width="15.59765625" style="191" bestFit="1" customWidth="1"/>
    <col min="77" max="78" width="12.73046875" style="191" bestFit="1" customWidth="1"/>
    <col min="79" max="79" width="4" style="191" bestFit="1" customWidth="1"/>
    <col min="80" max="80" width="9.1328125" style="191"/>
    <col min="81" max="16384" width="9.1328125" style="188"/>
  </cols>
  <sheetData>
    <row r="2" spans="3:80">
      <c r="C2" s="204"/>
      <c r="D2" s="205"/>
      <c r="E2" s="206"/>
      <c r="AE2" s="207" t="s">
        <v>349</v>
      </c>
      <c r="AF2" s="523"/>
      <c r="AG2" s="515"/>
      <c r="AH2" s="523" t="s">
        <v>513</v>
      </c>
      <c r="AI2" s="515"/>
      <c r="AJ2" s="523"/>
      <c r="AL2" s="536"/>
      <c r="AM2" s="194" t="s">
        <v>239</v>
      </c>
      <c r="AN2" s="195" t="e">
        <f>#REF!</f>
        <v>#REF!</v>
      </c>
      <c r="AP2" s="196"/>
      <c r="AQ2" s="197"/>
      <c r="AR2" s="197"/>
      <c r="AS2" s="198"/>
      <c r="AT2" s="199"/>
      <c r="AU2" s="200"/>
      <c r="AV2" s="200"/>
      <c r="AW2" s="200"/>
      <c r="AX2" s="200"/>
      <c r="AY2" s="200"/>
      <c r="AZ2" s="200"/>
      <c r="BA2" s="200"/>
      <c r="BB2" s="200"/>
      <c r="BC2" s="201"/>
      <c r="BE2" s="536"/>
      <c r="BF2" s="202" t="s">
        <v>223</v>
      </c>
      <c r="BG2" s="203">
        <f>AT7</f>
        <v>0</v>
      </c>
      <c r="BI2" s="208"/>
      <c r="BJ2" s="545" t="s">
        <v>648</v>
      </c>
      <c r="BK2" s="546"/>
      <c r="BL2" s="546"/>
      <c r="BM2" s="546"/>
      <c r="BN2" s="546"/>
      <c r="BO2" s="546"/>
      <c r="BP2" s="546"/>
      <c r="BQ2" s="546"/>
      <c r="BR2" s="547"/>
      <c r="BT2" s="536"/>
      <c r="BU2" s="202" t="s">
        <v>514</v>
      </c>
      <c r="BV2" s="203" t="e">
        <f>"2024. " &amp; TEXT(MONTH(BY5), "00") &amp; ". " &amp; TEXT(DAY(BY5), "00") &amp; " ~ 2024. " &amp; TEXT(MONTH(BZ5), "00") &amp; ". " &amp; TEXT(DAY(BZ5), "00")</f>
        <v>#REF!</v>
      </c>
      <c r="BW2" s="209"/>
      <c r="BX2" s="210" t="e">
        <f>LEFT(#REF!, FIND("~",#REF!) - 2)</f>
        <v>#REF!</v>
      </c>
      <c r="BY2" s="203" t="e">
        <f>LEFT(BX2, 4)</f>
        <v>#REF!</v>
      </c>
      <c r="BZ2" s="211" t="e">
        <f>MID(BX2, 7, 2)</f>
        <v>#REF!</v>
      </c>
      <c r="CA2" s="211" t="e">
        <f>RIGHT(BX2, 2)</f>
        <v>#REF!</v>
      </c>
      <c r="CB2" s="291" t="s">
        <v>644</v>
      </c>
    </row>
    <row r="3" spans="3:80" ht="20.65" thickBot="1">
      <c r="P3" s="188" t="s">
        <v>515</v>
      </c>
      <c r="AE3" s="212" t="s">
        <v>516</v>
      </c>
      <c r="AF3" s="524"/>
      <c r="AG3" s="517"/>
      <c r="AH3" s="524" t="s">
        <v>517</v>
      </c>
      <c r="AI3" s="517"/>
      <c r="AJ3" s="524"/>
      <c r="AL3" s="536"/>
      <c r="AM3" s="194" t="s">
        <v>242</v>
      </c>
      <c r="AN3" s="195">
        <f>AF5</f>
        <v>0</v>
      </c>
      <c r="AP3" s="196"/>
      <c r="AQ3" s="197"/>
      <c r="AR3" s="197"/>
      <c r="AS3" s="198"/>
      <c r="AT3" s="199"/>
      <c r="AU3" s="200"/>
      <c r="AV3" s="200"/>
      <c r="AW3" s="200"/>
      <c r="AX3" s="200"/>
      <c r="AY3" s="200"/>
      <c r="AZ3" s="200"/>
      <c r="BA3" s="200"/>
      <c r="BB3" s="200"/>
      <c r="BC3" s="201"/>
      <c r="BE3" s="536"/>
      <c r="BF3" s="202" t="s">
        <v>518</v>
      </c>
      <c r="BG3" s="203">
        <f>AT15</f>
        <v>0</v>
      </c>
      <c r="BI3" s="208"/>
      <c r="BJ3" s="545"/>
      <c r="BK3" s="546"/>
      <c r="BL3" s="546"/>
      <c r="BM3" s="546"/>
      <c r="BN3" s="546"/>
      <c r="BO3" s="546"/>
      <c r="BP3" s="546"/>
      <c r="BQ3" s="546"/>
      <c r="BR3" s="547"/>
      <c r="BT3" s="536"/>
      <c r="BU3" s="202" t="s">
        <v>519</v>
      </c>
      <c r="BV3" s="203" t="e">
        <f>"2024. " &amp; TEXT(MONTH(BY6), "00") &amp; ". " &amp; TEXT(DAY(BY6), "00") &amp; " ~ 2024. " &amp; TEXT(MONTH(BZ6), "00") &amp; ". " &amp; TEXT(DAY(BZ6), "00")</f>
        <v>#REF!</v>
      </c>
      <c r="BW3" s="209"/>
      <c r="BX3" s="213" t="e">
        <f>RIGHT(#REF!, LEN(#REF!) - FIND("~",#REF!) - 1)</f>
        <v>#REF!</v>
      </c>
      <c r="BY3" s="203" t="e">
        <f>LEFT(BX3, 4)</f>
        <v>#REF!</v>
      </c>
      <c r="BZ3" s="211" t="e">
        <f>MID(BX3, 7, 2)</f>
        <v>#REF!</v>
      </c>
      <c r="CA3" s="211" t="e">
        <f>RIGHT(BX3, 2)</f>
        <v>#REF!</v>
      </c>
    </row>
    <row r="4" spans="3:80" ht="17.25">
      <c r="N4" s="525" t="s">
        <v>520</v>
      </c>
      <c r="O4" s="526"/>
      <c r="P4" s="526"/>
      <c r="Q4" s="526"/>
      <c r="R4" s="526"/>
      <c r="S4" s="526"/>
      <c r="T4" s="526"/>
      <c r="U4" s="527"/>
      <c r="W4" s="531" t="s">
        <v>508</v>
      </c>
      <c r="X4" s="214" t="s">
        <v>238</v>
      </c>
      <c r="Y4" s="215" t="e">
        <f>#REF!</f>
        <v>#REF!</v>
      </c>
      <c r="AE4" s="192" t="s">
        <v>521</v>
      </c>
      <c r="AF4" s="475"/>
      <c r="AG4" s="476"/>
      <c r="AH4" s="534"/>
      <c r="AI4" s="535"/>
      <c r="AJ4" s="216"/>
      <c r="AL4" s="536"/>
      <c r="AM4" s="194" t="s">
        <v>522</v>
      </c>
      <c r="AN4" s="195">
        <f>AF6</f>
        <v>0</v>
      </c>
      <c r="AP4" s="196"/>
      <c r="AQ4" s="197"/>
      <c r="AR4" s="197"/>
      <c r="AS4" s="198"/>
      <c r="AT4" s="199"/>
      <c r="AU4" s="200"/>
      <c r="AV4" s="200"/>
      <c r="AW4" s="200"/>
      <c r="AX4" s="200"/>
      <c r="AY4" s="200"/>
      <c r="AZ4" s="200"/>
      <c r="BA4" s="200"/>
      <c r="BB4" s="200"/>
      <c r="BC4" s="201"/>
      <c r="BE4" s="536"/>
      <c r="BF4" s="202" t="s">
        <v>523</v>
      </c>
      <c r="BG4" s="203">
        <f>AT6</f>
        <v>0</v>
      </c>
      <c r="BI4" s="217"/>
      <c r="BJ4" s="538"/>
      <c r="BK4" s="539"/>
      <c r="BL4" s="539"/>
      <c r="BM4" s="539"/>
      <c r="BN4" s="539"/>
      <c r="BO4" s="539"/>
      <c r="BP4" s="539"/>
      <c r="BQ4" s="539"/>
      <c r="BR4" s="540"/>
      <c r="BT4" s="536"/>
      <c r="BU4" s="202" t="s">
        <v>524</v>
      </c>
      <c r="BV4" s="203" t="str">
        <f>BJ2</f>
        <v>2024. 11. 18 ~ 2025. 01. 10</v>
      </c>
      <c r="BX4" s="218" t="s">
        <v>525</v>
      </c>
      <c r="BY4" s="219" t="s">
        <v>526</v>
      </c>
      <c r="BZ4" s="219" t="s">
        <v>527</v>
      </c>
    </row>
    <row r="5" spans="3:80" ht="17.25">
      <c r="C5" s="220"/>
      <c r="D5" s="221"/>
      <c r="E5" s="221"/>
      <c r="N5" s="528"/>
      <c r="O5" s="529"/>
      <c r="P5" s="529"/>
      <c r="Q5" s="529"/>
      <c r="R5" s="529"/>
      <c r="S5" s="529"/>
      <c r="T5" s="529"/>
      <c r="U5" s="530"/>
      <c r="W5" s="532"/>
      <c r="X5" s="222" t="s">
        <v>239</v>
      </c>
      <c r="Y5" s="223" t="e">
        <f>AN2</f>
        <v>#REF!</v>
      </c>
      <c r="AE5" s="192" t="s">
        <v>528</v>
      </c>
      <c r="AF5" s="475"/>
      <c r="AG5" s="493"/>
      <c r="AH5" s="493"/>
      <c r="AI5" s="493"/>
      <c r="AJ5" s="493"/>
      <c r="AL5" s="536"/>
      <c r="AM5" s="194" t="s">
        <v>529</v>
      </c>
      <c r="AN5" s="195">
        <f>AF2</f>
        <v>0</v>
      </c>
      <c r="AP5" s="224"/>
      <c r="AQ5" s="225"/>
      <c r="AR5" s="196"/>
      <c r="AS5" s="198"/>
      <c r="AT5" s="199"/>
      <c r="AU5" s="200"/>
      <c r="AV5" s="200"/>
      <c r="AW5" s="200"/>
      <c r="AX5" s="200"/>
      <c r="AY5" s="200"/>
      <c r="AZ5" s="200"/>
      <c r="BA5" s="200"/>
      <c r="BB5" s="200"/>
      <c r="BC5" s="201"/>
      <c r="BE5" s="536"/>
      <c r="BF5" s="202" t="s">
        <v>530</v>
      </c>
      <c r="BG5" s="203">
        <f>AT14</f>
        <v>0</v>
      </c>
      <c r="BI5" s="226"/>
      <c r="BJ5" s="227"/>
      <c r="BK5" s="227"/>
      <c r="BL5" s="227"/>
      <c r="BM5" s="227"/>
      <c r="BN5" s="227"/>
      <c r="BO5" s="227"/>
      <c r="BP5" s="227"/>
      <c r="BQ5" s="227"/>
      <c r="BR5" s="228"/>
      <c r="BT5" s="536"/>
      <c r="BU5" s="202" t="s">
        <v>531</v>
      </c>
      <c r="BV5" s="203">
        <f>BJ3</f>
        <v>0</v>
      </c>
      <c r="BX5" s="202" t="s">
        <v>514</v>
      </c>
      <c r="BY5" s="229" t="e">
        <f>DATE(BY2, BZ2, CA2)</f>
        <v>#REF!</v>
      </c>
      <c r="BZ5" s="229" t="e">
        <f>BY5+ 25</f>
        <v>#REF!</v>
      </c>
    </row>
    <row r="6" spans="3:80" ht="18" thickBot="1">
      <c r="C6" s="230" t="s">
        <v>532</v>
      </c>
      <c r="D6" s="231" t="s">
        <v>533</v>
      </c>
      <c r="E6" s="232" t="s">
        <v>534</v>
      </c>
      <c r="F6" s="521" t="s">
        <v>535</v>
      </c>
      <c r="G6" s="521"/>
      <c r="H6" s="521"/>
      <c r="I6" s="521"/>
      <c r="J6" s="521"/>
      <c r="K6" s="521"/>
      <c r="L6" s="521" t="s">
        <v>536</v>
      </c>
      <c r="M6" s="521"/>
      <c r="N6" s="233" t="s">
        <v>537</v>
      </c>
      <c r="O6" s="522" t="s">
        <v>538</v>
      </c>
      <c r="P6" s="522"/>
      <c r="Q6" s="522"/>
      <c r="R6" s="522"/>
      <c r="S6" s="522"/>
      <c r="T6" s="522"/>
      <c r="U6" s="522"/>
      <c r="W6" s="532"/>
      <c r="X6" s="222" t="s">
        <v>242</v>
      </c>
      <c r="Y6" s="223">
        <f>AN3</f>
        <v>0</v>
      </c>
      <c r="AE6" s="515" t="s">
        <v>539</v>
      </c>
      <c r="AF6" s="523"/>
      <c r="AG6" s="515"/>
      <c r="AH6" s="523" t="s">
        <v>540</v>
      </c>
      <c r="AI6" s="515"/>
      <c r="AJ6" s="518"/>
      <c r="AL6" s="537"/>
      <c r="AM6" s="194" t="s">
        <v>541</v>
      </c>
      <c r="AN6" s="195">
        <f>AJ6</f>
        <v>0</v>
      </c>
      <c r="AP6" s="234"/>
      <c r="AQ6" s="235"/>
      <c r="AR6" s="196"/>
      <c r="AS6" s="198"/>
      <c r="AT6" s="199"/>
      <c r="AU6" s="200"/>
      <c r="AV6" s="200"/>
      <c r="AW6" s="200"/>
      <c r="AX6" s="200"/>
      <c r="AY6" s="200"/>
      <c r="AZ6" s="200"/>
      <c r="BA6" s="200"/>
      <c r="BB6" s="200"/>
      <c r="BC6" s="201"/>
      <c r="BE6" s="537"/>
      <c r="BF6" s="202" t="s">
        <v>512</v>
      </c>
      <c r="BG6" s="203">
        <f>AT13</f>
        <v>0</v>
      </c>
      <c r="BI6" s="236"/>
      <c r="BJ6" s="237"/>
      <c r="BK6" s="238"/>
      <c r="BL6" s="238"/>
      <c r="BM6" s="238"/>
      <c r="BN6" s="238"/>
      <c r="BO6" s="238"/>
      <c r="BP6" s="238"/>
      <c r="BQ6" s="238"/>
      <c r="BR6" s="239"/>
      <c r="BT6" s="537"/>
      <c r="BU6" s="202" t="s">
        <v>542</v>
      </c>
      <c r="BV6" s="203">
        <f>BJ10</f>
        <v>0</v>
      </c>
      <c r="BX6" s="202" t="s">
        <v>519</v>
      </c>
      <c r="BY6" s="229" t="e">
        <f>BZ5+3</f>
        <v>#REF!</v>
      </c>
      <c r="BZ6" s="229" t="e">
        <f>BY6+25</f>
        <v>#REF!</v>
      </c>
    </row>
    <row r="7" spans="3:80" ht="18.75" thickTop="1">
      <c r="C7" s="502" t="s">
        <v>543</v>
      </c>
      <c r="D7" s="505" t="s">
        <v>544</v>
      </c>
      <c r="E7" s="240">
        <v>1</v>
      </c>
      <c r="F7" s="506" t="s">
        <v>545</v>
      </c>
      <c r="G7" s="507" t="s">
        <v>546</v>
      </c>
      <c r="H7" s="507" t="s">
        <v>546</v>
      </c>
      <c r="I7" s="507" t="s">
        <v>546</v>
      </c>
      <c r="J7" s="507" t="s">
        <v>546</v>
      </c>
      <c r="K7" s="508" t="s">
        <v>546</v>
      </c>
      <c r="L7" s="509" t="s">
        <v>547</v>
      </c>
      <c r="M7" s="510"/>
      <c r="N7" s="241" t="b">
        <v>0</v>
      </c>
      <c r="O7" s="511"/>
      <c r="P7" s="512"/>
      <c r="Q7" s="512"/>
      <c r="R7" s="512"/>
      <c r="S7" s="512"/>
      <c r="T7" s="512"/>
      <c r="U7" s="512"/>
      <c r="W7" s="532"/>
      <c r="X7" s="222" t="s">
        <v>522</v>
      </c>
      <c r="Y7" s="223">
        <f>AN4</f>
        <v>0</v>
      </c>
      <c r="AE7" s="517"/>
      <c r="AF7" s="524"/>
      <c r="AG7" s="517"/>
      <c r="AH7" s="513" t="s">
        <v>548</v>
      </c>
      <c r="AI7" s="514"/>
      <c r="AJ7" s="477"/>
      <c r="AL7" s="541" t="s">
        <v>549</v>
      </c>
      <c r="AM7" s="194" t="s">
        <v>550</v>
      </c>
      <c r="AN7" s="195">
        <f>AF21</f>
        <v>0</v>
      </c>
      <c r="AP7" s="196"/>
      <c r="AQ7" s="197"/>
      <c r="AR7" s="197"/>
      <c r="AS7" s="198"/>
      <c r="AT7" s="199"/>
      <c r="AU7" s="200"/>
      <c r="AV7" s="200"/>
      <c r="AW7" s="200"/>
      <c r="AX7" s="200"/>
      <c r="AY7" s="200"/>
      <c r="AZ7" s="200"/>
      <c r="BA7" s="200"/>
      <c r="BB7" s="200"/>
      <c r="BC7" s="201"/>
      <c r="BI7" s="236"/>
      <c r="BJ7" s="237"/>
      <c r="BK7" s="238"/>
      <c r="BL7" s="238"/>
      <c r="BM7" s="238"/>
      <c r="BN7" s="238"/>
      <c r="BO7" s="238"/>
      <c r="BP7" s="238"/>
      <c r="BQ7" s="238"/>
      <c r="BR7" s="239"/>
    </row>
    <row r="8" spans="3:80" ht="17.25">
      <c r="C8" s="503"/>
      <c r="D8" s="428"/>
      <c r="E8" s="240">
        <v>2</v>
      </c>
      <c r="F8" s="424" t="s">
        <v>551</v>
      </c>
      <c r="G8" s="424" t="s">
        <v>552</v>
      </c>
      <c r="H8" s="424" t="s">
        <v>552</v>
      </c>
      <c r="I8" s="424" t="s">
        <v>552</v>
      </c>
      <c r="J8" s="424" t="s">
        <v>552</v>
      </c>
      <c r="K8" s="424" t="s">
        <v>552</v>
      </c>
      <c r="L8" s="467"/>
      <c r="M8" s="468"/>
      <c r="N8" s="241" t="b">
        <v>0</v>
      </c>
      <c r="O8" s="426"/>
      <c r="P8" s="427"/>
      <c r="Q8" s="427"/>
      <c r="R8" s="427"/>
      <c r="S8" s="427"/>
      <c r="T8" s="427"/>
      <c r="U8" s="427"/>
      <c r="W8" s="532"/>
      <c r="X8" s="222" t="s">
        <v>529</v>
      </c>
      <c r="Y8" s="223">
        <f>AN5</f>
        <v>0</v>
      </c>
      <c r="AE8" s="515" t="s">
        <v>12</v>
      </c>
      <c r="AF8" s="518" t="s">
        <v>553</v>
      </c>
      <c r="AG8" s="519"/>
      <c r="AH8" s="519"/>
      <c r="AI8" s="519"/>
      <c r="AJ8" s="519"/>
      <c r="AL8" s="541"/>
      <c r="AM8" s="194" t="s">
        <v>554</v>
      </c>
      <c r="AN8" s="195">
        <f>AJ21</f>
        <v>0</v>
      </c>
      <c r="AP8" s="242"/>
      <c r="AQ8" s="242"/>
      <c r="AR8" s="242"/>
      <c r="AS8" s="242"/>
      <c r="AT8" s="242"/>
      <c r="AU8" s="242"/>
      <c r="AV8" s="242"/>
      <c r="AW8" s="242"/>
      <c r="AX8" s="242"/>
      <c r="AY8" s="242"/>
      <c r="AZ8" s="242"/>
      <c r="BA8" s="242"/>
      <c r="BB8" s="242"/>
      <c r="BC8" s="242"/>
      <c r="BI8" s="236"/>
      <c r="BJ8" s="542"/>
      <c r="BK8" s="543"/>
      <c r="BL8" s="543"/>
      <c r="BM8" s="543"/>
      <c r="BN8" s="543"/>
      <c r="BO8" s="543"/>
      <c r="BP8" s="543"/>
      <c r="BQ8" s="543"/>
      <c r="BR8" s="544"/>
    </row>
    <row r="9" spans="3:80" s="187" customFormat="1" ht="17.649999999999999" thickBot="1">
      <c r="C9" s="503"/>
      <c r="D9" s="428"/>
      <c r="E9" s="240">
        <v>3</v>
      </c>
      <c r="F9" s="424" t="s">
        <v>555</v>
      </c>
      <c r="G9" s="424" t="s">
        <v>556</v>
      </c>
      <c r="H9" s="424" t="s">
        <v>556</v>
      </c>
      <c r="I9" s="424" t="s">
        <v>556</v>
      </c>
      <c r="J9" s="424" t="s">
        <v>556</v>
      </c>
      <c r="K9" s="424" t="s">
        <v>556</v>
      </c>
      <c r="L9" s="467"/>
      <c r="M9" s="468"/>
      <c r="N9" s="241" t="b">
        <v>0</v>
      </c>
      <c r="O9" s="426"/>
      <c r="P9" s="426"/>
      <c r="Q9" s="426"/>
      <c r="R9" s="426"/>
      <c r="S9" s="426"/>
      <c r="T9" s="426"/>
      <c r="U9" s="426"/>
      <c r="W9" s="533"/>
      <c r="X9" s="243" t="s">
        <v>541</v>
      </c>
      <c r="Y9" s="244">
        <f>AN6</f>
        <v>0</v>
      </c>
      <c r="AC9" s="191"/>
      <c r="AD9" s="191"/>
      <c r="AE9" s="516"/>
      <c r="AF9" s="494" t="s">
        <v>557</v>
      </c>
      <c r="AG9" s="495"/>
      <c r="AH9" s="495"/>
      <c r="AI9" s="495"/>
      <c r="AJ9" s="495"/>
      <c r="AK9" s="191"/>
      <c r="AL9" s="541"/>
      <c r="AM9" s="194" t="s">
        <v>558</v>
      </c>
      <c r="AN9" s="195">
        <f>AF22</f>
        <v>0</v>
      </c>
      <c r="AO9" s="191"/>
      <c r="AP9" s="196"/>
      <c r="AQ9" s="197"/>
      <c r="AR9" s="197"/>
      <c r="AS9" s="198"/>
      <c r="AT9" s="199"/>
      <c r="AU9" s="200"/>
      <c r="AV9" s="200"/>
      <c r="AW9" s="201"/>
      <c r="AX9" s="196"/>
      <c r="AY9" s="197"/>
      <c r="AZ9" s="197"/>
      <c r="BA9" s="198"/>
      <c r="BB9" s="199"/>
      <c r="BC9" s="201"/>
      <c r="BD9" s="191"/>
      <c r="BE9" s="191"/>
      <c r="BF9" s="191"/>
      <c r="BG9" s="191"/>
      <c r="BH9" s="191"/>
      <c r="BI9" s="246"/>
      <c r="BJ9" s="548"/>
      <c r="BK9" s="549"/>
      <c r="BL9" s="549"/>
      <c r="BM9" s="549"/>
      <c r="BN9" s="549"/>
      <c r="BO9" s="549"/>
      <c r="BP9" s="549"/>
      <c r="BQ9" s="549"/>
      <c r="BR9" s="550"/>
      <c r="BS9" s="191"/>
      <c r="BT9" s="191"/>
      <c r="BU9" s="191"/>
      <c r="BV9" s="191"/>
      <c r="BW9" s="191"/>
      <c r="BX9" s="191"/>
      <c r="BY9" s="191"/>
      <c r="BZ9" s="191"/>
      <c r="CA9" s="191"/>
      <c r="CB9" s="191"/>
    </row>
    <row r="10" spans="3:80" ht="21" thickBot="1">
      <c r="C10" s="503"/>
      <c r="D10" s="428"/>
      <c r="E10" s="240">
        <v>4</v>
      </c>
      <c r="F10" s="424" t="s">
        <v>559</v>
      </c>
      <c r="G10" s="424"/>
      <c r="H10" s="424"/>
      <c r="I10" s="424"/>
      <c r="J10" s="424"/>
      <c r="K10" s="424"/>
      <c r="L10" s="467"/>
      <c r="M10" s="468"/>
      <c r="N10" s="241" t="b">
        <v>0</v>
      </c>
      <c r="O10" s="455" t="s">
        <v>560</v>
      </c>
      <c r="P10" s="427"/>
      <c r="Q10" s="427"/>
      <c r="R10" s="427"/>
      <c r="S10" s="427"/>
      <c r="T10" s="427"/>
      <c r="U10" s="427"/>
      <c r="W10" s="247"/>
      <c r="X10" s="248"/>
      <c r="Y10" s="249"/>
      <c r="AE10" s="516"/>
      <c r="AF10" s="494" t="s">
        <v>561</v>
      </c>
      <c r="AG10" s="495"/>
      <c r="AH10" s="495"/>
      <c r="AI10" s="495"/>
      <c r="AJ10" s="495"/>
      <c r="AL10" s="541"/>
      <c r="AM10" s="194" t="s">
        <v>562</v>
      </c>
      <c r="AN10" s="195">
        <f>AJ22</f>
        <v>0</v>
      </c>
      <c r="AP10" s="196"/>
      <c r="AQ10" s="197"/>
      <c r="AR10" s="197"/>
      <c r="AS10" s="198"/>
      <c r="AT10" s="199"/>
      <c r="AU10" s="200"/>
      <c r="AV10" s="200"/>
      <c r="AW10" s="201"/>
      <c r="AX10" s="196"/>
      <c r="AY10" s="197"/>
      <c r="AZ10" s="197"/>
      <c r="BA10" s="198"/>
      <c r="BB10" s="199"/>
      <c r="BC10" s="201"/>
      <c r="BI10" s="217"/>
      <c r="BJ10" s="496"/>
      <c r="BK10" s="497"/>
      <c r="BL10" s="497"/>
      <c r="BM10" s="497"/>
      <c r="BN10" s="497"/>
      <c r="BO10" s="497"/>
      <c r="BP10" s="497"/>
      <c r="BQ10" s="497"/>
      <c r="BR10" s="498"/>
    </row>
    <row r="11" spans="3:80" ht="17.25">
      <c r="C11" s="503"/>
      <c r="D11" s="428"/>
      <c r="E11" s="463">
        <v>5</v>
      </c>
      <c r="F11" s="520" t="s">
        <v>563</v>
      </c>
      <c r="G11" s="520"/>
      <c r="H11" s="520"/>
      <c r="I11" s="520"/>
      <c r="J11" s="520"/>
      <c r="K11" s="520"/>
      <c r="L11" s="467"/>
      <c r="M11" s="468"/>
      <c r="N11" s="463" t="b">
        <v>0</v>
      </c>
      <c r="O11" s="455" t="s">
        <v>564</v>
      </c>
      <c r="P11" s="427"/>
      <c r="Q11" s="427"/>
      <c r="R11" s="427"/>
      <c r="S11" s="427"/>
      <c r="T11" s="427"/>
      <c r="U11" s="427"/>
      <c r="W11" s="459" t="s">
        <v>549</v>
      </c>
      <c r="X11" s="214" t="s">
        <v>550</v>
      </c>
      <c r="Y11" s="215">
        <f>AN7</f>
        <v>0</v>
      </c>
      <c r="AE11" s="516"/>
      <c r="AF11" s="494" t="s">
        <v>565</v>
      </c>
      <c r="AG11" s="495"/>
      <c r="AH11" s="495"/>
      <c r="AI11" s="495"/>
      <c r="AJ11" s="495"/>
      <c r="AP11" s="250"/>
      <c r="AQ11" s="250"/>
      <c r="AR11" s="250"/>
      <c r="AS11" s="250"/>
      <c r="AT11" s="250"/>
      <c r="AU11" s="250"/>
      <c r="AV11" s="250"/>
      <c r="AW11" s="250"/>
      <c r="AX11" s="250"/>
      <c r="AY11" s="250"/>
      <c r="AZ11" s="250"/>
      <c r="BA11" s="250"/>
      <c r="BB11" s="250"/>
      <c r="BC11" s="250"/>
      <c r="BI11" s="251"/>
      <c r="BJ11" s="499"/>
      <c r="BK11" s="500"/>
      <c r="BL11" s="500"/>
      <c r="BM11" s="500"/>
      <c r="BN11" s="500"/>
      <c r="BO11" s="500"/>
      <c r="BP11" s="500"/>
      <c r="BQ11" s="500"/>
      <c r="BR11" s="501"/>
    </row>
    <row r="12" spans="3:80" ht="17.25">
      <c r="C12" s="503"/>
      <c r="D12" s="428"/>
      <c r="E12" s="464"/>
      <c r="F12" s="520"/>
      <c r="G12" s="520"/>
      <c r="H12" s="520"/>
      <c r="I12" s="520"/>
      <c r="J12" s="520"/>
      <c r="K12" s="520"/>
      <c r="L12" s="467"/>
      <c r="M12" s="468"/>
      <c r="N12" s="464"/>
      <c r="O12" s="455" t="s">
        <v>566</v>
      </c>
      <c r="P12" s="427"/>
      <c r="Q12" s="427"/>
      <c r="R12" s="427"/>
      <c r="S12" s="427"/>
      <c r="T12" s="427"/>
      <c r="U12" s="427"/>
      <c r="W12" s="460"/>
      <c r="X12" s="222" t="s">
        <v>554</v>
      </c>
      <c r="Y12" s="223">
        <f>AN8</f>
        <v>0</v>
      </c>
      <c r="AE12" s="516"/>
      <c r="AF12" s="494" t="s">
        <v>567</v>
      </c>
      <c r="AG12" s="495"/>
      <c r="AH12" s="495"/>
      <c r="AI12" s="495"/>
      <c r="AJ12" s="495"/>
      <c r="AP12" s="196"/>
      <c r="AQ12" s="197"/>
      <c r="AR12" s="197"/>
      <c r="AS12" s="198"/>
      <c r="AT12" s="199"/>
      <c r="AU12" s="200"/>
      <c r="AV12" s="200"/>
      <c r="AW12" s="200"/>
      <c r="AX12" s="200"/>
      <c r="AY12" s="200"/>
      <c r="AZ12" s="200"/>
      <c r="BA12" s="200"/>
      <c r="BB12" s="200"/>
      <c r="BC12" s="201"/>
    </row>
    <row r="13" spans="3:80" ht="17.25">
      <c r="C13" s="503"/>
      <c r="D13" s="428"/>
      <c r="E13" s="464"/>
      <c r="F13" s="520"/>
      <c r="G13" s="520"/>
      <c r="H13" s="520"/>
      <c r="I13" s="520"/>
      <c r="J13" s="520"/>
      <c r="K13" s="520"/>
      <c r="L13" s="467"/>
      <c r="M13" s="468"/>
      <c r="N13" s="464"/>
      <c r="O13" s="455" t="s">
        <v>568</v>
      </c>
      <c r="P13" s="427"/>
      <c r="Q13" s="427"/>
      <c r="R13" s="427"/>
      <c r="S13" s="427"/>
      <c r="T13" s="427"/>
      <c r="U13" s="427"/>
      <c r="W13" s="460"/>
      <c r="X13" s="222" t="s">
        <v>558</v>
      </c>
      <c r="Y13" s="223">
        <f>AN9</f>
        <v>0</v>
      </c>
      <c r="AE13" s="516"/>
      <c r="AF13" s="494" t="s">
        <v>569</v>
      </c>
      <c r="AG13" s="495"/>
      <c r="AH13" s="495"/>
      <c r="AI13" s="495"/>
      <c r="AJ13" s="495"/>
      <c r="AP13" s="196"/>
      <c r="AQ13" s="197"/>
      <c r="AR13" s="197"/>
      <c r="AS13" s="198"/>
      <c r="AT13" s="199"/>
      <c r="AU13" s="200"/>
      <c r="AV13" s="200"/>
      <c r="AW13" s="200"/>
      <c r="AX13" s="200"/>
      <c r="AY13" s="200"/>
      <c r="AZ13" s="200"/>
      <c r="BA13" s="200"/>
      <c r="BB13" s="200"/>
      <c r="BC13" s="201"/>
    </row>
    <row r="14" spans="3:80" ht="17.649999999999999" thickBot="1">
      <c r="C14" s="503"/>
      <c r="D14" s="428"/>
      <c r="E14" s="465"/>
      <c r="F14" s="520"/>
      <c r="G14" s="520"/>
      <c r="H14" s="520"/>
      <c r="I14" s="520"/>
      <c r="J14" s="520"/>
      <c r="K14" s="520"/>
      <c r="L14" s="432"/>
      <c r="M14" s="433"/>
      <c r="N14" s="465"/>
      <c r="O14" s="455" t="s">
        <v>570</v>
      </c>
      <c r="P14" s="427"/>
      <c r="Q14" s="427"/>
      <c r="R14" s="427"/>
      <c r="S14" s="427"/>
      <c r="T14" s="427"/>
      <c r="U14" s="427"/>
      <c r="W14" s="461"/>
      <c r="X14" s="243" t="s">
        <v>562</v>
      </c>
      <c r="Y14" s="244">
        <f>AN10</f>
        <v>0</v>
      </c>
      <c r="AE14" s="517"/>
      <c r="AF14" s="477" t="s">
        <v>571</v>
      </c>
      <c r="AG14" s="478"/>
      <c r="AH14" s="478"/>
      <c r="AI14" s="478"/>
      <c r="AJ14" s="478"/>
      <c r="AP14" s="196"/>
      <c r="AQ14" s="197"/>
      <c r="AR14" s="197"/>
      <c r="AS14" s="198"/>
      <c r="AT14" s="199"/>
      <c r="AU14" s="200"/>
      <c r="AV14" s="200"/>
      <c r="AW14" s="200"/>
      <c r="AX14" s="200"/>
      <c r="AY14" s="200"/>
      <c r="AZ14" s="200"/>
      <c r="BA14" s="200"/>
      <c r="BB14" s="200"/>
      <c r="BC14" s="201"/>
    </row>
    <row r="15" spans="3:80" ht="21" thickBot="1">
      <c r="C15" s="503"/>
      <c r="D15" s="428"/>
      <c r="E15" s="240">
        <v>6</v>
      </c>
      <c r="F15" s="424" t="s">
        <v>572</v>
      </c>
      <c r="G15" s="424"/>
      <c r="H15" s="424"/>
      <c r="I15" s="424"/>
      <c r="J15" s="424"/>
      <c r="K15" s="424"/>
      <c r="L15" s="479" t="s">
        <v>573</v>
      </c>
      <c r="M15" s="480"/>
      <c r="N15" s="241" t="b">
        <v>0</v>
      </c>
      <c r="O15" s="455"/>
      <c r="P15" s="427"/>
      <c r="Q15" s="427"/>
      <c r="R15" s="427"/>
      <c r="S15" s="427"/>
      <c r="T15" s="427"/>
      <c r="U15" s="427"/>
      <c r="W15" s="247"/>
      <c r="X15" s="248"/>
      <c r="Y15" s="249"/>
      <c r="AE15" s="207" t="s">
        <v>574</v>
      </c>
      <c r="AF15" s="485" t="s">
        <v>575</v>
      </c>
      <c r="AG15" s="486"/>
      <c r="AH15" s="486"/>
      <c r="AI15" s="486"/>
      <c r="AJ15" s="486"/>
      <c r="AP15" s="196"/>
      <c r="AQ15" s="197"/>
      <c r="AR15" s="197"/>
      <c r="AS15" s="198"/>
      <c r="AT15" s="199"/>
      <c r="AU15" s="200"/>
      <c r="AV15" s="200"/>
      <c r="AW15" s="200"/>
      <c r="AX15" s="200"/>
      <c r="AY15" s="200"/>
      <c r="AZ15" s="200"/>
      <c r="BA15" s="200"/>
      <c r="BB15" s="200"/>
      <c r="BC15" s="201"/>
    </row>
    <row r="16" spans="3:80" ht="17.25">
      <c r="C16" s="503"/>
      <c r="D16" s="428"/>
      <c r="E16" s="240">
        <v>7</v>
      </c>
      <c r="F16" s="424" t="s">
        <v>576</v>
      </c>
      <c r="G16" s="424"/>
      <c r="H16" s="424"/>
      <c r="I16" s="424"/>
      <c r="J16" s="424"/>
      <c r="K16" s="424"/>
      <c r="L16" s="481"/>
      <c r="M16" s="482"/>
      <c r="N16" s="241" t="b">
        <v>0</v>
      </c>
      <c r="O16" s="455"/>
      <c r="P16" s="427"/>
      <c r="Q16" s="427"/>
      <c r="R16" s="427"/>
      <c r="S16" s="427"/>
      <c r="T16" s="427"/>
      <c r="U16" s="427"/>
      <c r="W16" s="459" t="s">
        <v>509</v>
      </c>
      <c r="X16" s="214" t="s">
        <v>510</v>
      </c>
      <c r="Y16" s="215" t="e">
        <f>#REF!</f>
        <v>#REF!</v>
      </c>
      <c r="AE16" s="212" t="s">
        <v>577</v>
      </c>
      <c r="AF16" s="487"/>
      <c r="AG16" s="488"/>
      <c r="AH16" s="488"/>
      <c r="AI16" s="488"/>
      <c r="AJ16" s="488"/>
      <c r="AP16" s="242"/>
      <c r="AQ16" s="242"/>
      <c r="AR16" s="242"/>
      <c r="AS16" s="242"/>
      <c r="AT16" s="242"/>
      <c r="AU16" s="242"/>
      <c r="AV16" s="242"/>
      <c r="AW16" s="242"/>
      <c r="AX16" s="242"/>
      <c r="AY16" s="242"/>
      <c r="AZ16" s="242"/>
      <c r="BA16" s="242"/>
      <c r="BB16" s="242"/>
      <c r="BC16" s="242"/>
    </row>
    <row r="17" spans="3:55" ht="17.25">
      <c r="C17" s="503"/>
      <c r="D17" s="428"/>
      <c r="E17" s="240">
        <v>8</v>
      </c>
      <c r="F17" s="424" t="s">
        <v>578</v>
      </c>
      <c r="G17" s="424"/>
      <c r="H17" s="424"/>
      <c r="I17" s="424"/>
      <c r="J17" s="424"/>
      <c r="K17" s="424"/>
      <c r="L17" s="481"/>
      <c r="M17" s="482"/>
      <c r="N17" s="241" t="b">
        <v>0</v>
      </c>
      <c r="O17" s="455"/>
      <c r="P17" s="427"/>
      <c r="Q17" s="427"/>
      <c r="R17" s="427"/>
      <c r="S17" s="427"/>
      <c r="T17" s="427"/>
      <c r="U17" s="427"/>
      <c r="W17" s="460"/>
      <c r="X17" s="222" t="s">
        <v>223</v>
      </c>
      <c r="Y17" s="223">
        <f>BG2</f>
        <v>0</v>
      </c>
      <c r="AE17" s="207" t="s">
        <v>579</v>
      </c>
      <c r="AF17" s="252" t="s">
        <v>580</v>
      </c>
      <c r="AG17" s="475" t="s">
        <v>581</v>
      </c>
      <c r="AH17" s="476"/>
      <c r="AI17" s="475" t="s">
        <v>582</v>
      </c>
      <c r="AJ17" s="493"/>
      <c r="AP17" s="253"/>
      <c r="AQ17" s="254"/>
      <c r="AR17" s="255"/>
      <c r="AS17" s="254"/>
      <c r="AT17" s="255"/>
      <c r="AU17" s="254"/>
      <c r="AV17" s="255"/>
      <c r="AW17" s="254"/>
      <c r="AX17" s="256"/>
      <c r="AY17" s="256"/>
      <c r="AZ17" s="255"/>
      <c r="BA17" s="254"/>
      <c r="BB17" s="255"/>
      <c r="BC17" s="253"/>
    </row>
    <row r="18" spans="3:55" ht="17.25">
      <c r="C18" s="503"/>
      <c r="D18" s="428"/>
      <c r="E18" s="240">
        <v>9</v>
      </c>
      <c r="F18" s="424" t="s">
        <v>583</v>
      </c>
      <c r="G18" s="424"/>
      <c r="H18" s="424"/>
      <c r="I18" s="424"/>
      <c r="J18" s="424"/>
      <c r="K18" s="424"/>
      <c r="L18" s="481"/>
      <c r="M18" s="482"/>
      <c r="N18" s="241" t="b">
        <v>0</v>
      </c>
      <c r="O18" s="455"/>
      <c r="P18" s="427"/>
      <c r="Q18" s="427"/>
      <c r="R18" s="427"/>
      <c r="S18" s="427"/>
      <c r="T18" s="427"/>
      <c r="U18" s="427"/>
      <c r="W18" s="460"/>
      <c r="X18" s="222" t="s">
        <v>584</v>
      </c>
      <c r="Y18" s="223">
        <f>BG3</f>
        <v>0</v>
      </c>
      <c r="AE18" s="245" t="s">
        <v>585</v>
      </c>
      <c r="AF18" s="257"/>
      <c r="AG18" s="489"/>
      <c r="AH18" s="490"/>
      <c r="AI18" s="489"/>
      <c r="AJ18" s="491"/>
      <c r="AP18" s="258"/>
      <c r="AQ18" s="259"/>
      <c r="AR18" s="260"/>
      <c r="AS18" s="199"/>
      <c r="AT18" s="201"/>
      <c r="AU18" s="199"/>
      <c r="AV18" s="201"/>
      <c r="AW18" s="199"/>
      <c r="AX18" s="200"/>
      <c r="AY18" s="200"/>
      <c r="AZ18" s="201"/>
      <c r="BA18" s="199"/>
      <c r="BB18" s="201"/>
      <c r="BC18" s="261"/>
    </row>
    <row r="19" spans="3:55" ht="17.25">
      <c r="C19" s="503"/>
      <c r="D19" s="428"/>
      <c r="E19" s="240">
        <v>10</v>
      </c>
      <c r="F19" s="424" t="s">
        <v>586</v>
      </c>
      <c r="G19" s="424"/>
      <c r="H19" s="424"/>
      <c r="I19" s="424"/>
      <c r="J19" s="424"/>
      <c r="K19" s="424"/>
      <c r="L19" s="481"/>
      <c r="M19" s="482"/>
      <c r="N19" s="241" t="b">
        <v>0</v>
      </c>
      <c r="O19" s="455" t="s">
        <v>587</v>
      </c>
      <c r="P19" s="427"/>
      <c r="Q19" s="427"/>
      <c r="R19" s="427"/>
      <c r="S19" s="427"/>
      <c r="T19" s="427"/>
      <c r="U19" s="427"/>
      <c r="W19" s="460"/>
      <c r="X19" s="222" t="s">
        <v>523</v>
      </c>
      <c r="Y19" s="223">
        <f>BG4</f>
        <v>0</v>
      </c>
      <c r="AE19" s="262"/>
      <c r="AF19" s="257"/>
      <c r="AG19" s="489"/>
      <c r="AH19" s="490"/>
      <c r="AI19" s="489"/>
      <c r="AJ19" s="491"/>
      <c r="AP19" s="263"/>
      <c r="AQ19" s="264"/>
      <c r="AR19" s="265"/>
      <c r="AS19" s="266"/>
      <c r="AT19" s="267"/>
      <c r="AU19" s="268"/>
      <c r="AV19" s="269"/>
      <c r="AW19" s="266"/>
      <c r="AX19" s="267"/>
      <c r="AY19" s="266"/>
      <c r="AZ19" s="267"/>
      <c r="BA19" s="266"/>
      <c r="BB19" s="267"/>
      <c r="BC19" s="270"/>
    </row>
    <row r="20" spans="3:55" ht="17.25">
      <c r="C20" s="503"/>
      <c r="D20" s="428"/>
      <c r="E20" s="240">
        <v>11</v>
      </c>
      <c r="F20" s="424" t="s">
        <v>588</v>
      </c>
      <c r="G20" s="424"/>
      <c r="H20" s="424"/>
      <c r="I20" s="424"/>
      <c r="J20" s="424"/>
      <c r="K20" s="424"/>
      <c r="L20" s="483"/>
      <c r="M20" s="484"/>
      <c r="N20" s="241" t="b">
        <v>0</v>
      </c>
      <c r="O20" s="455"/>
      <c r="P20" s="427"/>
      <c r="Q20" s="427"/>
      <c r="R20" s="427"/>
      <c r="S20" s="427"/>
      <c r="T20" s="427"/>
      <c r="U20" s="427"/>
      <c r="W20" s="460"/>
      <c r="X20" s="222" t="s">
        <v>530</v>
      </c>
      <c r="Y20" s="223">
        <f>BG5</f>
        <v>0</v>
      </c>
      <c r="AE20" s="492" t="s">
        <v>589</v>
      </c>
      <c r="AF20" s="492"/>
      <c r="AG20" s="492"/>
      <c r="AH20" s="492"/>
      <c r="AI20" s="492"/>
      <c r="AJ20" s="492"/>
      <c r="AP20" s="271"/>
      <c r="AQ20" s="272"/>
      <c r="AR20" s="273"/>
      <c r="AS20" s="274"/>
      <c r="AT20" s="275"/>
      <c r="AU20" s="276"/>
      <c r="AV20" s="277"/>
      <c r="AW20" s="274"/>
      <c r="AX20" s="275"/>
      <c r="AY20" s="274"/>
      <c r="AZ20" s="275"/>
      <c r="BA20" s="274"/>
      <c r="BB20" s="275"/>
      <c r="BC20" s="278"/>
    </row>
    <row r="21" spans="3:55" ht="17.649999999999999" thickBot="1">
      <c r="C21" s="503"/>
      <c r="D21" s="428"/>
      <c r="E21" s="292">
        <v>12</v>
      </c>
      <c r="F21" s="469" t="s">
        <v>645</v>
      </c>
      <c r="G21" s="469"/>
      <c r="H21" s="469"/>
      <c r="I21" s="469"/>
      <c r="J21" s="469"/>
      <c r="K21" s="469"/>
      <c r="L21" s="470" t="s">
        <v>646</v>
      </c>
      <c r="M21" s="471"/>
      <c r="N21" s="293" t="b">
        <v>0</v>
      </c>
      <c r="O21" s="474"/>
      <c r="P21" s="474"/>
      <c r="Q21" s="474"/>
      <c r="R21" s="474"/>
      <c r="S21" s="474"/>
      <c r="T21" s="474"/>
      <c r="U21" s="474"/>
      <c r="W21" s="461"/>
      <c r="X21" s="243" t="s">
        <v>512</v>
      </c>
      <c r="Y21" s="244">
        <f>BG6</f>
        <v>0</v>
      </c>
      <c r="AE21" s="192" t="s">
        <v>590</v>
      </c>
      <c r="AF21" s="475"/>
      <c r="AG21" s="476"/>
      <c r="AH21" s="475" t="s">
        <v>591</v>
      </c>
      <c r="AI21" s="476"/>
      <c r="AJ21" s="193"/>
      <c r="AP21" s="271"/>
      <c r="AQ21" s="264"/>
      <c r="AR21" s="265"/>
      <c r="AS21" s="266"/>
      <c r="AT21" s="267"/>
      <c r="AU21" s="266"/>
      <c r="AV21" s="267"/>
      <c r="AW21" s="266"/>
      <c r="AX21" s="279"/>
      <c r="AY21" s="279"/>
      <c r="AZ21" s="267"/>
      <c r="BA21" s="266"/>
      <c r="BB21" s="267"/>
      <c r="BC21" s="270"/>
    </row>
    <row r="22" spans="3:55" ht="21" thickBot="1">
      <c r="C22" s="503"/>
      <c r="D22" s="428"/>
      <c r="E22" s="292">
        <v>13</v>
      </c>
      <c r="F22" s="469" t="s">
        <v>647</v>
      </c>
      <c r="G22" s="469"/>
      <c r="H22" s="469"/>
      <c r="I22" s="469"/>
      <c r="J22" s="469"/>
      <c r="K22" s="469"/>
      <c r="L22" s="472"/>
      <c r="M22" s="473"/>
      <c r="N22" s="293" t="b">
        <v>0</v>
      </c>
      <c r="O22" s="474"/>
      <c r="P22" s="474"/>
      <c r="Q22" s="474"/>
      <c r="R22" s="474"/>
      <c r="S22" s="474"/>
      <c r="T22" s="474"/>
      <c r="U22" s="474"/>
      <c r="W22" s="247"/>
      <c r="X22" s="248"/>
      <c r="Y22" s="249"/>
      <c r="AE22" s="192" t="s">
        <v>592</v>
      </c>
      <c r="AF22" s="475"/>
      <c r="AG22" s="476"/>
      <c r="AH22" s="475" t="s">
        <v>593</v>
      </c>
      <c r="AI22" s="476"/>
      <c r="AJ22" s="280"/>
      <c r="AP22" s="271"/>
      <c r="AQ22" s="272"/>
      <c r="AR22" s="273"/>
      <c r="AS22" s="274"/>
      <c r="AT22" s="275"/>
      <c r="AU22" s="274"/>
      <c r="AV22" s="275"/>
      <c r="AW22" s="274"/>
      <c r="AX22" s="281"/>
      <c r="AY22" s="281"/>
      <c r="AZ22" s="275"/>
      <c r="BA22" s="274"/>
      <c r="BB22" s="275"/>
      <c r="BC22" s="278"/>
    </row>
    <row r="23" spans="3:55" ht="17.25">
      <c r="C23" s="503"/>
      <c r="D23" s="428"/>
      <c r="E23" s="240">
        <v>14</v>
      </c>
      <c r="F23" s="424" t="s">
        <v>594</v>
      </c>
      <c r="G23" s="424"/>
      <c r="H23" s="424"/>
      <c r="I23" s="424"/>
      <c r="J23" s="424"/>
      <c r="K23" s="424"/>
      <c r="L23" s="457" t="s">
        <v>595</v>
      </c>
      <c r="M23" s="458"/>
      <c r="N23" s="241" t="b">
        <v>0</v>
      </c>
      <c r="O23" s="455"/>
      <c r="P23" s="427"/>
      <c r="Q23" s="427"/>
      <c r="R23" s="427"/>
      <c r="S23" s="427"/>
      <c r="T23" s="427"/>
      <c r="U23" s="427"/>
      <c r="W23" s="459" t="s">
        <v>511</v>
      </c>
      <c r="X23" s="214" t="s">
        <v>512</v>
      </c>
      <c r="Y23" s="215" t="e">
        <f>#REF!</f>
        <v>#REF!</v>
      </c>
      <c r="AP23" s="282"/>
      <c r="AQ23" s="259"/>
      <c r="AR23" s="260"/>
      <c r="AS23" s="199"/>
      <c r="AT23" s="201"/>
      <c r="AU23" s="199"/>
      <c r="AV23" s="201"/>
      <c r="AW23" s="199"/>
      <c r="AX23" s="200"/>
      <c r="AY23" s="200"/>
      <c r="AZ23" s="201"/>
      <c r="BA23" s="199"/>
      <c r="BB23" s="201"/>
      <c r="BC23" s="283"/>
    </row>
    <row r="24" spans="3:55" ht="17.25">
      <c r="C24" s="503"/>
      <c r="D24" s="428" t="s">
        <v>596</v>
      </c>
      <c r="E24" s="240">
        <v>15</v>
      </c>
      <c r="F24" s="424" t="s">
        <v>597</v>
      </c>
      <c r="G24" s="424"/>
      <c r="H24" s="424"/>
      <c r="I24" s="424"/>
      <c r="J24" s="424"/>
      <c r="K24" s="424"/>
      <c r="L24" s="430" t="s">
        <v>598</v>
      </c>
      <c r="M24" s="431"/>
      <c r="N24" s="241" t="b">
        <v>0</v>
      </c>
      <c r="O24" s="426"/>
      <c r="P24" s="427"/>
      <c r="Q24" s="427"/>
      <c r="R24" s="427"/>
      <c r="S24" s="427"/>
      <c r="T24" s="427"/>
      <c r="U24" s="427"/>
      <c r="W24" s="460"/>
      <c r="X24" s="222" t="s">
        <v>514</v>
      </c>
      <c r="Y24" s="223" t="e">
        <f>BV2</f>
        <v>#REF!</v>
      </c>
      <c r="AP24" s="258"/>
      <c r="AQ24" s="259"/>
      <c r="AR24" s="260"/>
      <c r="AS24" s="199"/>
      <c r="AT24" s="201"/>
      <c r="AU24" s="199"/>
      <c r="AV24" s="201"/>
      <c r="AW24" s="199"/>
      <c r="AX24" s="200"/>
      <c r="AY24" s="200"/>
      <c r="AZ24" s="201"/>
      <c r="BA24" s="199"/>
      <c r="BB24" s="201"/>
      <c r="BC24" s="261"/>
    </row>
    <row r="25" spans="3:55" ht="17.25">
      <c r="C25" s="503"/>
      <c r="D25" s="428"/>
      <c r="E25" s="240">
        <v>16</v>
      </c>
      <c r="F25" s="424" t="s">
        <v>599</v>
      </c>
      <c r="G25" s="424"/>
      <c r="H25" s="424"/>
      <c r="I25" s="424"/>
      <c r="J25" s="424"/>
      <c r="K25" s="424"/>
      <c r="L25" s="432"/>
      <c r="M25" s="433"/>
      <c r="N25" s="241" t="b">
        <v>0</v>
      </c>
      <c r="O25" s="426"/>
      <c r="P25" s="427"/>
      <c r="Q25" s="427"/>
      <c r="R25" s="427"/>
      <c r="S25" s="427"/>
      <c r="T25" s="427"/>
      <c r="U25" s="427"/>
      <c r="W25" s="460"/>
      <c r="X25" s="222" t="s">
        <v>519</v>
      </c>
      <c r="Y25" s="223" t="e">
        <f>BV3</f>
        <v>#REF!</v>
      </c>
      <c r="AP25" s="263"/>
      <c r="AQ25" s="264"/>
      <c r="AR25" s="265"/>
      <c r="AS25" s="266"/>
      <c r="AT25" s="267"/>
      <c r="AU25" s="266"/>
      <c r="AV25" s="267"/>
      <c r="AW25" s="266"/>
      <c r="AX25" s="279"/>
      <c r="AY25" s="279"/>
      <c r="AZ25" s="267"/>
      <c r="BA25" s="266"/>
      <c r="BB25" s="267"/>
      <c r="BC25" s="284"/>
    </row>
    <row r="26" spans="3:55" ht="17.25">
      <c r="C26" s="503"/>
      <c r="D26" s="428" t="s">
        <v>600</v>
      </c>
      <c r="E26" s="463">
        <v>17</v>
      </c>
      <c r="F26" s="466" t="s">
        <v>601</v>
      </c>
      <c r="G26" s="466"/>
      <c r="H26" s="466"/>
      <c r="I26" s="466"/>
      <c r="J26" s="466"/>
      <c r="K26" s="466"/>
      <c r="L26" s="430" t="s">
        <v>602</v>
      </c>
      <c r="M26" s="431"/>
      <c r="N26" s="241" t="b">
        <v>0</v>
      </c>
      <c r="O26" s="455" t="s">
        <v>603</v>
      </c>
      <c r="P26" s="456"/>
      <c r="Q26" s="456"/>
      <c r="R26" s="456"/>
      <c r="S26" s="456"/>
      <c r="T26" s="456"/>
      <c r="U26" s="456"/>
      <c r="W26" s="460"/>
      <c r="X26" s="222" t="s">
        <v>524</v>
      </c>
      <c r="Y26" s="223" t="str">
        <f>BV4</f>
        <v>2024. 11. 18 ~ 2025. 01. 10</v>
      </c>
      <c r="AP26" s="271"/>
      <c r="AQ26" s="272"/>
      <c r="AR26" s="273"/>
      <c r="AS26" s="274"/>
      <c r="AT26" s="275"/>
      <c r="AU26" s="274"/>
      <c r="AV26" s="275"/>
      <c r="AW26" s="274"/>
      <c r="AX26" s="281"/>
      <c r="AY26" s="281"/>
      <c r="AZ26" s="275"/>
      <c r="BA26" s="274"/>
      <c r="BB26" s="275"/>
      <c r="BC26" s="285"/>
    </row>
    <row r="27" spans="3:55" ht="17.25">
      <c r="C27" s="503"/>
      <c r="D27" s="462"/>
      <c r="E27" s="464"/>
      <c r="F27" s="466"/>
      <c r="G27" s="466"/>
      <c r="H27" s="466"/>
      <c r="I27" s="466"/>
      <c r="J27" s="466"/>
      <c r="K27" s="466"/>
      <c r="L27" s="467"/>
      <c r="M27" s="468"/>
      <c r="N27" s="241" t="b">
        <v>0</v>
      </c>
      <c r="O27" s="455" t="s">
        <v>604</v>
      </c>
      <c r="P27" s="456"/>
      <c r="Q27" s="456"/>
      <c r="R27" s="456"/>
      <c r="S27" s="456"/>
      <c r="T27" s="456"/>
      <c r="U27" s="456"/>
      <c r="W27" s="460"/>
      <c r="X27" s="222" t="s">
        <v>531</v>
      </c>
      <c r="Y27" s="223">
        <f>BV5</f>
        <v>0</v>
      </c>
      <c r="AP27" s="271"/>
      <c r="AQ27" s="264"/>
      <c r="AR27" s="265"/>
      <c r="AS27" s="266"/>
      <c r="AT27" s="267"/>
      <c r="AU27" s="266"/>
      <c r="AV27" s="267"/>
      <c r="AW27" s="266"/>
      <c r="AX27" s="279"/>
      <c r="AY27" s="279"/>
      <c r="AZ27" s="267"/>
      <c r="BA27" s="266"/>
      <c r="BB27" s="267"/>
      <c r="BC27" s="270"/>
    </row>
    <row r="28" spans="3:55" ht="17.649999999999999" thickBot="1">
      <c r="C28" s="503"/>
      <c r="D28" s="462"/>
      <c r="E28" s="465"/>
      <c r="F28" s="466"/>
      <c r="G28" s="466"/>
      <c r="H28" s="466"/>
      <c r="I28" s="466"/>
      <c r="J28" s="466"/>
      <c r="K28" s="466"/>
      <c r="L28" s="467"/>
      <c r="M28" s="468"/>
      <c r="N28" s="241" t="b">
        <v>0</v>
      </c>
      <c r="O28" s="455" t="s">
        <v>605</v>
      </c>
      <c r="P28" s="456"/>
      <c r="Q28" s="456"/>
      <c r="R28" s="456"/>
      <c r="S28" s="456"/>
      <c r="T28" s="456"/>
      <c r="U28" s="456"/>
      <c r="W28" s="461"/>
      <c r="X28" s="243" t="s">
        <v>542</v>
      </c>
      <c r="Y28" s="244">
        <f>BV6</f>
        <v>0</v>
      </c>
      <c r="AP28" s="271"/>
      <c r="AQ28" s="272"/>
      <c r="AR28" s="273"/>
      <c r="AS28" s="274"/>
      <c r="AT28" s="275"/>
      <c r="AU28" s="274"/>
      <c r="AV28" s="275"/>
      <c r="AW28" s="274"/>
      <c r="AX28" s="281"/>
      <c r="AY28" s="281"/>
      <c r="AZ28" s="275"/>
      <c r="BA28" s="274"/>
      <c r="BB28" s="275"/>
      <c r="BC28" s="278"/>
    </row>
    <row r="29" spans="3:55">
      <c r="C29" s="503"/>
      <c r="D29" s="462"/>
      <c r="E29" s="240">
        <v>18</v>
      </c>
      <c r="F29" s="424" t="s">
        <v>606</v>
      </c>
      <c r="G29" s="424"/>
      <c r="H29" s="424"/>
      <c r="I29" s="424"/>
      <c r="J29" s="424"/>
      <c r="K29" s="424"/>
      <c r="L29" s="467"/>
      <c r="M29" s="468"/>
      <c r="N29" s="241" t="b">
        <v>0</v>
      </c>
      <c r="O29" s="426"/>
      <c r="P29" s="427"/>
      <c r="Q29" s="427"/>
      <c r="R29" s="427"/>
      <c r="S29" s="427"/>
      <c r="T29" s="427"/>
      <c r="U29" s="427"/>
      <c r="AP29" s="282"/>
      <c r="AQ29" s="259"/>
      <c r="AR29" s="260"/>
      <c r="AS29" s="199"/>
      <c r="AT29" s="201"/>
      <c r="AU29" s="199"/>
      <c r="AV29" s="201"/>
      <c r="AW29" s="199"/>
      <c r="AX29" s="200"/>
      <c r="AY29" s="200"/>
      <c r="AZ29" s="201"/>
      <c r="BA29" s="199"/>
      <c r="BB29" s="201"/>
      <c r="BC29" s="261"/>
    </row>
    <row r="30" spans="3:55">
      <c r="C30" s="503"/>
      <c r="D30" s="462"/>
      <c r="E30" s="240">
        <v>19</v>
      </c>
      <c r="F30" s="424" t="s">
        <v>607</v>
      </c>
      <c r="G30" s="424"/>
      <c r="H30" s="424"/>
      <c r="I30" s="424"/>
      <c r="J30" s="424"/>
      <c r="K30" s="424"/>
      <c r="L30" s="467"/>
      <c r="M30" s="468"/>
      <c r="N30" s="241" t="b">
        <v>0</v>
      </c>
      <c r="O30" s="426"/>
      <c r="P30" s="427"/>
      <c r="Q30" s="427"/>
      <c r="R30" s="427"/>
      <c r="S30" s="427"/>
      <c r="T30" s="427"/>
      <c r="U30" s="427"/>
    </row>
    <row r="31" spans="3:55">
      <c r="C31" s="503"/>
      <c r="D31" s="462"/>
      <c r="E31" s="240">
        <v>20</v>
      </c>
      <c r="F31" s="424" t="s">
        <v>608</v>
      </c>
      <c r="G31" s="424"/>
      <c r="H31" s="424"/>
      <c r="I31" s="424"/>
      <c r="J31" s="424"/>
      <c r="K31" s="424"/>
      <c r="L31" s="467"/>
      <c r="M31" s="468"/>
      <c r="N31" s="241" t="b">
        <v>0</v>
      </c>
      <c r="O31" s="426"/>
      <c r="P31" s="427"/>
      <c r="Q31" s="427"/>
      <c r="R31" s="427"/>
      <c r="S31" s="427"/>
      <c r="T31" s="427"/>
      <c r="U31" s="427"/>
    </row>
    <row r="32" spans="3:55" ht="30.75" customHeight="1">
      <c r="C32" s="503"/>
      <c r="D32" s="462"/>
      <c r="E32" s="240">
        <v>21</v>
      </c>
      <c r="F32" s="424" t="s">
        <v>609</v>
      </c>
      <c r="G32" s="424"/>
      <c r="H32" s="424"/>
      <c r="I32" s="424"/>
      <c r="J32" s="424"/>
      <c r="K32" s="424"/>
      <c r="L32" s="432"/>
      <c r="M32" s="433"/>
      <c r="N32" s="241" t="b">
        <v>0</v>
      </c>
      <c r="O32" s="426" t="s">
        <v>610</v>
      </c>
      <c r="P32" s="427"/>
      <c r="Q32" s="427"/>
      <c r="R32" s="427"/>
      <c r="S32" s="427"/>
      <c r="T32" s="427"/>
      <c r="U32" s="427"/>
    </row>
    <row r="33" spans="3:21">
      <c r="C33" s="503"/>
      <c r="D33" s="428" t="s">
        <v>611</v>
      </c>
      <c r="E33" s="286">
        <v>22</v>
      </c>
      <c r="F33" s="446" t="s">
        <v>612</v>
      </c>
      <c r="G33" s="446"/>
      <c r="H33" s="446"/>
      <c r="I33" s="446"/>
      <c r="J33" s="446"/>
      <c r="K33" s="446"/>
      <c r="L33" s="447" t="s">
        <v>613</v>
      </c>
      <c r="M33" s="447"/>
      <c r="N33" s="287" t="b">
        <v>0</v>
      </c>
      <c r="O33" s="448" t="s">
        <v>614</v>
      </c>
      <c r="P33" s="448"/>
      <c r="Q33" s="448"/>
      <c r="R33" s="448"/>
      <c r="S33" s="448"/>
      <c r="T33" s="448"/>
      <c r="U33" s="448"/>
    </row>
    <row r="34" spans="3:21">
      <c r="C34" s="503"/>
      <c r="D34" s="428"/>
      <c r="E34" s="240">
        <v>23</v>
      </c>
      <c r="F34" s="424" t="s">
        <v>615</v>
      </c>
      <c r="G34" s="424"/>
      <c r="H34" s="424"/>
      <c r="I34" s="424"/>
      <c r="J34" s="424"/>
      <c r="K34" s="424"/>
      <c r="L34" s="430" t="s">
        <v>616</v>
      </c>
      <c r="M34" s="431"/>
      <c r="N34" s="241" t="b">
        <v>0</v>
      </c>
      <c r="O34" s="455" t="s">
        <v>617</v>
      </c>
      <c r="P34" s="456"/>
      <c r="Q34" s="456"/>
      <c r="R34" s="456"/>
      <c r="S34" s="456"/>
      <c r="T34" s="456"/>
      <c r="U34" s="456"/>
    </row>
    <row r="35" spans="3:21">
      <c r="C35" s="503"/>
      <c r="D35" s="428"/>
      <c r="E35" s="240">
        <v>24</v>
      </c>
      <c r="F35" s="424" t="s">
        <v>618</v>
      </c>
      <c r="G35" s="424"/>
      <c r="H35" s="424"/>
      <c r="I35" s="424"/>
      <c r="J35" s="424"/>
      <c r="K35" s="424"/>
      <c r="L35" s="432"/>
      <c r="M35" s="433"/>
      <c r="N35" s="241" t="b">
        <v>0</v>
      </c>
      <c r="O35" s="426"/>
      <c r="P35" s="427"/>
      <c r="Q35" s="427"/>
      <c r="R35" s="427"/>
      <c r="S35" s="427"/>
      <c r="T35" s="427"/>
      <c r="U35" s="427"/>
    </row>
    <row r="36" spans="3:21">
      <c r="C36" s="503"/>
      <c r="D36" s="428"/>
      <c r="E36" s="240">
        <v>25</v>
      </c>
      <c r="F36" s="424" t="s">
        <v>619</v>
      </c>
      <c r="G36" s="424"/>
      <c r="H36" s="424"/>
      <c r="I36" s="424"/>
      <c r="J36" s="424"/>
      <c r="K36" s="424"/>
      <c r="L36" s="425" t="s">
        <v>620</v>
      </c>
      <c r="M36" s="425"/>
      <c r="N36" s="241" t="b">
        <v>0</v>
      </c>
      <c r="O36" s="426"/>
      <c r="P36" s="427"/>
      <c r="Q36" s="427"/>
      <c r="R36" s="427"/>
      <c r="S36" s="427"/>
      <c r="T36" s="427"/>
      <c r="U36" s="427"/>
    </row>
    <row r="37" spans="3:21">
      <c r="C37" s="503"/>
      <c r="D37" s="428"/>
      <c r="E37" s="240">
        <v>26</v>
      </c>
      <c r="F37" s="439" t="s">
        <v>621</v>
      </c>
      <c r="G37" s="440"/>
      <c r="H37" s="440"/>
      <c r="I37" s="440"/>
      <c r="J37" s="440"/>
      <c r="K37" s="441"/>
      <c r="L37" s="442" t="s">
        <v>622</v>
      </c>
      <c r="M37" s="443"/>
      <c r="N37" s="241" t="b">
        <v>0</v>
      </c>
      <c r="O37" s="426"/>
      <c r="P37" s="427"/>
      <c r="Q37" s="427"/>
      <c r="R37" s="427"/>
      <c r="S37" s="427"/>
      <c r="T37" s="427"/>
      <c r="U37" s="427"/>
    </row>
    <row r="38" spans="3:21">
      <c r="C38" s="503"/>
      <c r="D38" s="428"/>
      <c r="E38" s="240">
        <v>27</v>
      </c>
      <c r="F38" s="424" t="s">
        <v>623</v>
      </c>
      <c r="G38" s="424"/>
      <c r="H38" s="424"/>
      <c r="I38" s="424"/>
      <c r="J38" s="424"/>
      <c r="K38" s="424"/>
      <c r="L38" s="444"/>
      <c r="M38" s="445"/>
      <c r="N38" s="241" t="b">
        <v>0</v>
      </c>
      <c r="O38" s="426" t="s">
        <v>624</v>
      </c>
      <c r="P38" s="427"/>
      <c r="Q38" s="427"/>
      <c r="R38" s="427"/>
      <c r="S38" s="427"/>
      <c r="T38" s="427"/>
      <c r="U38" s="427"/>
    </row>
    <row r="39" spans="3:21">
      <c r="C39" s="503"/>
      <c r="D39" s="428" t="s">
        <v>625</v>
      </c>
      <c r="E39" s="286">
        <v>28</v>
      </c>
      <c r="F39" s="446" t="s">
        <v>626</v>
      </c>
      <c r="G39" s="446"/>
      <c r="H39" s="446"/>
      <c r="I39" s="446"/>
      <c r="J39" s="446"/>
      <c r="K39" s="446"/>
      <c r="L39" s="447" t="s">
        <v>627</v>
      </c>
      <c r="M39" s="447"/>
      <c r="N39" s="287" t="b">
        <v>0</v>
      </c>
      <c r="O39" s="448"/>
      <c r="P39" s="448"/>
      <c r="Q39" s="448"/>
      <c r="R39" s="448"/>
      <c r="S39" s="448"/>
      <c r="T39" s="448"/>
      <c r="U39" s="448"/>
    </row>
    <row r="40" spans="3:21">
      <c r="C40" s="503"/>
      <c r="D40" s="428"/>
      <c r="E40" s="240">
        <v>29</v>
      </c>
      <c r="F40" s="424" t="s">
        <v>628</v>
      </c>
      <c r="G40" s="424"/>
      <c r="H40" s="424"/>
      <c r="I40" s="424"/>
      <c r="J40" s="424"/>
      <c r="K40" s="424"/>
      <c r="L40" s="425" t="s">
        <v>629</v>
      </c>
      <c r="M40" s="425"/>
      <c r="N40" s="241" t="b">
        <v>0</v>
      </c>
      <c r="O40" s="426"/>
      <c r="P40" s="427"/>
      <c r="Q40" s="427"/>
      <c r="R40" s="427"/>
      <c r="S40" s="427"/>
      <c r="T40" s="427"/>
      <c r="U40" s="427"/>
    </row>
    <row r="41" spans="3:21">
      <c r="C41" s="503"/>
      <c r="D41" s="428"/>
      <c r="E41" s="288">
        <v>30</v>
      </c>
      <c r="F41" s="422" t="s">
        <v>630</v>
      </c>
      <c r="G41" s="422"/>
      <c r="H41" s="422"/>
      <c r="I41" s="422"/>
      <c r="J41" s="422"/>
      <c r="K41" s="422"/>
      <c r="L41" s="449" t="s">
        <v>631</v>
      </c>
      <c r="M41" s="450"/>
      <c r="N41" s="289" t="b">
        <v>0</v>
      </c>
      <c r="O41" s="423" t="s">
        <v>632</v>
      </c>
      <c r="P41" s="423"/>
      <c r="Q41" s="423"/>
      <c r="R41" s="423"/>
      <c r="S41" s="423"/>
      <c r="T41" s="423"/>
      <c r="U41" s="423"/>
    </row>
    <row r="42" spans="3:21">
      <c r="C42" s="503"/>
      <c r="D42" s="428"/>
      <c r="E42" s="288">
        <v>31</v>
      </c>
      <c r="F42" s="422" t="s">
        <v>633</v>
      </c>
      <c r="G42" s="422"/>
      <c r="H42" s="422"/>
      <c r="I42" s="422"/>
      <c r="J42" s="422"/>
      <c r="K42" s="422"/>
      <c r="L42" s="451"/>
      <c r="M42" s="452"/>
      <c r="N42" s="289" t="b">
        <v>0</v>
      </c>
      <c r="O42" s="423"/>
      <c r="P42" s="423"/>
      <c r="Q42" s="423"/>
      <c r="R42" s="423"/>
      <c r="S42" s="423"/>
      <c r="T42" s="423"/>
      <c r="U42" s="423"/>
    </row>
    <row r="43" spans="3:21">
      <c r="C43" s="503"/>
      <c r="D43" s="428"/>
      <c r="E43" s="288">
        <v>32</v>
      </c>
      <c r="F43" s="422" t="s">
        <v>634</v>
      </c>
      <c r="G43" s="422"/>
      <c r="H43" s="422"/>
      <c r="I43" s="422"/>
      <c r="J43" s="422"/>
      <c r="K43" s="422"/>
      <c r="L43" s="451"/>
      <c r="M43" s="452"/>
      <c r="N43" s="289" t="b">
        <v>0</v>
      </c>
      <c r="O43" s="423"/>
      <c r="P43" s="423"/>
      <c r="Q43" s="423"/>
      <c r="R43" s="423"/>
      <c r="S43" s="423"/>
      <c r="T43" s="423"/>
      <c r="U43" s="423"/>
    </row>
    <row r="44" spans="3:21">
      <c r="C44" s="503"/>
      <c r="D44" s="428"/>
      <c r="E44" s="288">
        <v>33</v>
      </c>
      <c r="F44" s="422" t="s">
        <v>635</v>
      </c>
      <c r="G44" s="422"/>
      <c r="H44" s="422"/>
      <c r="I44" s="422"/>
      <c r="J44" s="422"/>
      <c r="K44" s="422"/>
      <c r="L44" s="451"/>
      <c r="M44" s="452"/>
      <c r="N44" s="289" t="b">
        <v>0</v>
      </c>
      <c r="O44" s="423"/>
      <c r="P44" s="423"/>
      <c r="Q44" s="423"/>
      <c r="R44" s="423"/>
      <c r="S44" s="423"/>
      <c r="T44" s="423"/>
      <c r="U44" s="423"/>
    </row>
    <row r="45" spans="3:21">
      <c r="C45" s="503"/>
      <c r="D45" s="428"/>
      <c r="E45" s="288">
        <v>34</v>
      </c>
      <c r="F45" s="422" t="s">
        <v>636</v>
      </c>
      <c r="G45" s="422"/>
      <c r="H45" s="422"/>
      <c r="I45" s="422"/>
      <c r="J45" s="422"/>
      <c r="K45" s="422"/>
      <c r="L45" s="453"/>
      <c r="M45" s="454"/>
      <c r="N45" s="289" t="b">
        <v>0</v>
      </c>
      <c r="O45" s="423"/>
      <c r="P45" s="423"/>
      <c r="Q45" s="423"/>
      <c r="R45" s="423"/>
      <c r="S45" s="423"/>
      <c r="T45" s="423"/>
      <c r="U45" s="423"/>
    </row>
    <row r="46" spans="3:21">
      <c r="C46" s="503"/>
      <c r="D46" s="428"/>
      <c r="E46" s="240">
        <v>35</v>
      </c>
      <c r="F46" s="424" t="s">
        <v>637</v>
      </c>
      <c r="G46" s="424"/>
      <c r="H46" s="424"/>
      <c r="I46" s="424"/>
      <c r="J46" s="424"/>
      <c r="K46" s="424"/>
      <c r="L46" s="425" t="s">
        <v>638</v>
      </c>
      <c r="M46" s="425"/>
      <c r="N46" s="241" t="b">
        <v>0</v>
      </c>
      <c r="O46" s="426"/>
      <c r="P46" s="427"/>
      <c r="Q46" s="427"/>
      <c r="R46" s="427"/>
      <c r="S46" s="427"/>
      <c r="T46" s="427"/>
      <c r="U46" s="427"/>
    </row>
    <row r="47" spans="3:21">
      <c r="C47" s="503"/>
      <c r="D47" s="428"/>
      <c r="E47" s="240">
        <v>36</v>
      </c>
      <c r="F47" s="424" t="s">
        <v>639</v>
      </c>
      <c r="G47" s="424"/>
      <c r="H47" s="424"/>
      <c r="I47" s="424"/>
      <c r="J47" s="424"/>
      <c r="K47" s="424"/>
      <c r="L47" s="425" t="s">
        <v>620</v>
      </c>
      <c r="M47" s="425"/>
      <c r="N47" s="241" t="b">
        <v>0</v>
      </c>
      <c r="O47" s="426"/>
      <c r="P47" s="427"/>
      <c r="Q47" s="427"/>
      <c r="R47" s="427"/>
      <c r="S47" s="427"/>
      <c r="T47" s="427"/>
      <c r="U47" s="427"/>
    </row>
    <row r="48" spans="3:21">
      <c r="C48" s="503"/>
      <c r="D48" s="428" t="s">
        <v>640</v>
      </c>
      <c r="E48" s="240">
        <v>37</v>
      </c>
      <c r="F48" s="424" t="s">
        <v>641</v>
      </c>
      <c r="G48" s="424"/>
      <c r="H48" s="424"/>
      <c r="I48" s="424"/>
      <c r="J48" s="424"/>
      <c r="K48" s="424"/>
      <c r="L48" s="430" t="s">
        <v>642</v>
      </c>
      <c r="M48" s="431"/>
      <c r="N48" s="241" t="b">
        <v>0</v>
      </c>
      <c r="O48" s="426"/>
      <c r="P48" s="427"/>
      <c r="Q48" s="427"/>
      <c r="R48" s="427"/>
      <c r="S48" s="427"/>
      <c r="T48" s="427"/>
      <c r="U48" s="427"/>
    </row>
    <row r="49" spans="3:21">
      <c r="C49" s="504"/>
      <c r="D49" s="429"/>
      <c r="E49" s="240">
        <v>38</v>
      </c>
      <c r="F49" s="434" t="s">
        <v>643</v>
      </c>
      <c r="G49" s="435"/>
      <c r="H49" s="435"/>
      <c r="I49" s="435"/>
      <c r="J49" s="435"/>
      <c r="K49" s="436"/>
      <c r="L49" s="432"/>
      <c r="M49" s="433"/>
      <c r="N49" s="290" t="b">
        <v>0</v>
      </c>
      <c r="O49" s="437"/>
      <c r="P49" s="438"/>
      <c r="Q49" s="438"/>
      <c r="R49" s="438"/>
      <c r="S49" s="438"/>
      <c r="T49" s="438"/>
      <c r="U49" s="438"/>
    </row>
    <row r="50" spans="3:21" ht="16.5" customHeight="1"/>
    <row r="51" spans="3:21" ht="17.25" customHeight="1"/>
    <row r="52" spans="3:21" ht="16.5" customHeight="1"/>
  </sheetData>
  <mergeCells count="157"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4763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CB327-67DA-4268-9296-A010A739F91A}">
  <sheetPr codeName="Sheet21"/>
  <dimension ref="A1:AE68"/>
  <sheetViews>
    <sheetView topLeftCell="N30" zoomScale="95" zoomScaleNormal="95" workbookViewId="0">
      <selection activeCell="V35" sqref="V35"/>
    </sheetView>
  </sheetViews>
  <sheetFormatPr defaultColWidth="9" defaultRowHeight="12.75"/>
  <cols>
    <col min="1" max="2" width="9" style="1041"/>
    <col min="3" max="3" width="73.59765625" style="1041" bestFit="1" customWidth="1"/>
    <col min="4" max="4" width="17.265625" style="1041" bestFit="1" customWidth="1"/>
    <col min="5" max="5" width="9" style="1041"/>
    <col min="6" max="6" width="9" style="1042"/>
    <col min="7" max="7" width="7.265625" style="1041" bestFit="1" customWidth="1"/>
    <col min="8" max="9" width="9" style="1041"/>
    <col min="10" max="10" width="5.3984375" style="1041" bestFit="1" customWidth="1"/>
    <col min="11" max="11" width="21.3984375" style="1041" bestFit="1" customWidth="1"/>
    <col min="12" max="12" width="8.1328125" style="1041" bestFit="1" customWidth="1"/>
    <col min="13" max="13" width="18.3984375" style="1041" customWidth="1"/>
    <col min="14" max="14" width="7.265625" style="1041" bestFit="1" customWidth="1"/>
    <col min="15" max="15" width="9" style="1041" customWidth="1"/>
    <col min="16" max="16" width="9" style="1041"/>
    <col min="17" max="17" width="21.265625" style="1041" customWidth="1"/>
    <col min="18" max="18" width="9" style="1041"/>
    <col min="19" max="19" width="9" style="1041" customWidth="1"/>
    <col min="20" max="27" width="9" style="1041"/>
    <col min="28" max="28" width="2.73046875" style="1041" bestFit="1" customWidth="1"/>
    <col min="29" max="29" width="31.1328125" style="1041" bestFit="1" customWidth="1"/>
    <col min="30" max="16384" width="9" style="1041"/>
  </cols>
  <sheetData>
    <row r="1" spans="1:31" ht="14.25" thickBot="1">
      <c r="A1" s="1126"/>
      <c r="B1" s="1130">
        <v>5</v>
      </c>
      <c r="C1" s="1129" t="s">
        <v>729</v>
      </c>
      <c r="D1" s="1128"/>
    </row>
    <row r="2" spans="1:31" ht="13.15" thickTop="1">
      <c r="A2" s="1126"/>
      <c r="B2" s="1126"/>
    </row>
    <row r="3" spans="1:31" ht="12.75" customHeight="1">
      <c r="A3" s="1126"/>
      <c r="B3" s="1093" t="s">
        <v>889</v>
      </c>
      <c r="C3" s="1093"/>
      <c r="D3" s="1093"/>
      <c r="E3" s="1093"/>
      <c r="G3" s="1093" t="s">
        <v>733</v>
      </c>
      <c r="H3" s="1093"/>
      <c r="I3" s="1093"/>
      <c r="J3" s="1093"/>
      <c r="K3" s="1093"/>
      <c r="L3" s="1093"/>
      <c r="M3" s="1093"/>
      <c r="N3" s="1093"/>
      <c r="O3" s="1093"/>
      <c r="Q3" s="1093" t="s">
        <v>999</v>
      </c>
      <c r="R3" s="1093"/>
      <c r="S3" s="1093"/>
      <c r="T3" s="1093"/>
      <c r="U3" s="1093"/>
      <c r="V3" s="1093"/>
      <c r="W3" s="1093"/>
      <c r="X3" s="1093"/>
      <c r="Y3" s="1093"/>
      <c r="Z3" s="1093"/>
      <c r="AB3" s="1127" t="s">
        <v>998</v>
      </c>
      <c r="AC3" s="1127"/>
      <c r="AD3" s="1127"/>
      <c r="AE3" s="1127"/>
    </row>
    <row r="4" spans="1:31" ht="12.75" customHeight="1" thickBot="1">
      <c r="A4" s="1126"/>
      <c r="B4" s="1092"/>
      <c r="C4" s="1092"/>
      <c r="D4" s="1092"/>
      <c r="E4" s="1092"/>
      <c r="G4" s="1092"/>
      <c r="H4" s="1092"/>
      <c r="I4" s="1092"/>
      <c r="J4" s="1092"/>
      <c r="K4" s="1092"/>
      <c r="L4" s="1092"/>
      <c r="M4" s="1092"/>
      <c r="N4" s="1092"/>
      <c r="O4" s="1092"/>
      <c r="Q4" s="1092"/>
      <c r="R4" s="1092"/>
      <c r="S4" s="1092"/>
      <c r="T4" s="1092"/>
      <c r="U4" s="1092"/>
      <c r="V4" s="1092"/>
      <c r="W4" s="1092"/>
      <c r="X4" s="1092"/>
      <c r="Y4" s="1092"/>
      <c r="Z4" s="1092"/>
      <c r="AB4" s="1125"/>
      <c r="AC4" s="1125"/>
      <c r="AD4" s="1125"/>
      <c r="AE4" s="1125"/>
    </row>
    <row r="5" spans="1:31" ht="18.399999999999999" thickTop="1" thickBot="1">
      <c r="A5" s="1124"/>
      <c r="B5" s="1122" t="s">
        <v>890</v>
      </c>
      <c r="C5" s="1123" t="s">
        <v>891</v>
      </c>
      <c r="D5" s="1122" t="s">
        <v>997</v>
      </c>
      <c r="E5" s="1121" t="s">
        <v>996</v>
      </c>
      <c r="G5" s="1120" t="s">
        <v>727</v>
      </c>
      <c r="H5" s="1120"/>
      <c r="I5" s="1120"/>
      <c r="J5" s="1120"/>
      <c r="K5" s="1120"/>
      <c r="L5" s="1120"/>
      <c r="M5" s="1120"/>
      <c r="N5" s="1120"/>
      <c r="O5" s="1120"/>
      <c r="Q5" s="1119" t="s">
        <v>717</v>
      </c>
      <c r="R5" s="1119"/>
      <c r="S5" s="1119"/>
      <c r="T5" s="1119"/>
      <c r="U5" s="1119"/>
      <c r="V5" s="1119"/>
      <c r="W5" s="1119"/>
      <c r="X5" s="1119"/>
      <c r="Y5" s="1119"/>
      <c r="Z5" s="1119"/>
    </row>
    <row r="6" spans="1:31" ht="19.5" thickTop="1">
      <c r="B6" s="1118">
        <v>1</v>
      </c>
      <c r="C6" s="1117" t="s">
        <v>730</v>
      </c>
      <c r="D6" s="1082" t="s">
        <v>549</v>
      </c>
      <c r="E6" s="1081" t="s">
        <v>973</v>
      </c>
      <c r="G6" s="1116" t="s">
        <v>728</v>
      </c>
      <c r="H6" s="1116"/>
      <c r="I6" s="1116"/>
      <c r="J6" s="1116"/>
      <c r="K6" s="1116"/>
      <c r="L6" s="1116"/>
      <c r="M6" s="1116"/>
      <c r="N6" s="1116"/>
      <c r="O6" s="1116"/>
      <c r="Q6" s="1105" t="s">
        <v>718</v>
      </c>
      <c r="R6" s="1105"/>
      <c r="S6" s="1105"/>
      <c r="T6" s="1105"/>
      <c r="U6" s="1105"/>
      <c r="V6" s="1105"/>
      <c r="W6" s="1105"/>
      <c r="X6" s="1105"/>
      <c r="Y6" s="1105"/>
      <c r="Z6" s="1105"/>
      <c r="AB6" s="1041">
        <v>1</v>
      </c>
      <c r="AC6" s="1041" t="s">
        <v>762</v>
      </c>
    </row>
    <row r="7" spans="1:31" ht="19.149999999999999">
      <c r="B7" s="1084">
        <v>2</v>
      </c>
      <c r="C7" s="1087" t="s">
        <v>182</v>
      </c>
      <c r="D7" s="1082" t="s">
        <v>549</v>
      </c>
      <c r="E7" s="1081" t="s">
        <v>973</v>
      </c>
      <c r="G7" s="1116" t="s">
        <v>726</v>
      </c>
      <c r="H7" s="1116"/>
      <c r="I7" s="1116"/>
      <c r="J7" s="1116"/>
      <c r="K7" s="1116"/>
      <c r="L7" s="1116"/>
      <c r="M7" s="1116"/>
      <c r="N7" s="1116"/>
      <c r="O7" s="1116"/>
      <c r="Q7" s="1105" t="s">
        <v>719</v>
      </c>
      <c r="R7" s="1105"/>
      <c r="S7" s="1105"/>
      <c r="T7" s="1105"/>
      <c r="U7" s="1105"/>
      <c r="V7" s="1105"/>
      <c r="W7" s="1105"/>
      <c r="X7" s="1105"/>
      <c r="Y7" s="1105"/>
      <c r="Z7" s="1105"/>
    </row>
    <row r="8" spans="1:31" ht="19.149999999999999">
      <c r="B8" s="1084">
        <v>3</v>
      </c>
      <c r="C8" s="1087" t="s">
        <v>731</v>
      </c>
      <c r="D8" s="1082" t="s">
        <v>549</v>
      </c>
      <c r="E8" s="1081" t="s">
        <v>973</v>
      </c>
      <c r="G8" s="1115" t="s">
        <v>760</v>
      </c>
      <c r="H8" s="1114"/>
      <c r="I8" s="1114"/>
      <c r="J8" s="1114"/>
      <c r="K8" s="1114"/>
      <c r="L8" s="1114"/>
      <c r="M8" s="1114"/>
      <c r="N8" s="1114"/>
      <c r="O8" s="1114"/>
      <c r="Q8" s="1105" t="s">
        <v>720</v>
      </c>
      <c r="R8" s="1105"/>
      <c r="S8" s="1105"/>
      <c r="T8" s="1105"/>
      <c r="U8" s="1105"/>
      <c r="V8" s="1105"/>
      <c r="W8" s="1105"/>
      <c r="X8" s="1105"/>
      <c r="Y8" s="1105"/>
      <c r="Z8" s="1105"/>
    </row>
    <row r="9" spans="1:31" ht="19.5" thickBot="1">
      <c r="B9" s="1084">
        <v>4</v>
      </c>
      <c r="C9" s="1087" t="s">
        <v>732</v>
      </c>
      <c r="D9" s="1082" t="s">
        <v>549</v>
      </c>
      <c r="E9" s="1081" t="s">
        <v>973</v>
      </c>
      <c r="G9" s="1096" t="s">
        <v>502</v>
      </c>
      <c r="H9" s="1096"/>
      <c r="I9" s="1096"/>
      <c r="J9" s="1096"/>
      <c r="K9" s="1096"/>
      <c r="L9" s="1096"/>
      <c r="M9" s="1096"/>
      <c r="N9" s="1096"/>
      <c r="O9" s="1096"/>
      <c r="Q9" s="1105" t="s">
        <v>758</v>
      </c>
      <c r="R9" s="1105"/>
      <c r="S9" s="1105"/>
      <c r="T9" s="1105"/>
      <c r="U9" s="1105"/>
      <c r="V9" s="1105"/>
      <c r="W9" s="1105"/>
      <c r="X9" s="1105"/>
      <c r="Y9" s="1105"/>
      <c r="Z9" s="1105"/>
    </row>
    <row r="10" spans="1:31" ht="19.5" thickTop="1">
      <c r="B10" s="1084">
        <v>5</v>
      </c>
      <c r="C10" s="1087" t="s">
        <v>734</v>
      </c>
      <c r="D10" s="1082" t="s">
        <v>549</v>
      </c>
      <c r="E10" s="1081" t="s">
        <v>973</v>
      </c>
      <c r="G10" s="1042"/>
      <c r="H10" s="1042"/>
      <c r="I10" s="1042"/>
      <c r="J10" s="1042"/>
      <c r="K10" s="1042"/>
      <c r="L10" s="1042"/>
      <c r="M10" s="1042"/>
      <c r="N10" s="1042"/>
      <c r="O10" s="1042"/>
      <c r="Q10" s="1104" t="s">
        <v>721</v>
      </c>
      <c r="R10" s="1104"/>
      <c r="S10" s="1104"/>
      <c r="T10" s="1104"/>
      <c r="U10" s="1104"/>
      <c r="V10" s="1104"/>
      <c r="W10" s="1104"/>
      <c r="X10" s="1104"/>
      <c r="Y10" s="1104"/>
      <c r="Z10" s="1104"/>
    </row>
    <row r="11" spans="1:31" ht="25.5" thickBot="1">
      <c r="B11" s="1084">
        <v>6</v>
      </c>
      <c r="C11" s="1087" t="s">
        <v>735</v>
      </c>
      <c r="D11" s="1082" t="s">
        <v>549</v>
      </c>
      <c r="E11" s="1081" t="s">
        <v>973</v>
      </c>
      <c r="G11" s="1092" t="s">
        <v>995</v>
      </c>
      <c r="H11" s="1092"/>
      <c r="I11" s="1092"/>
      <c r="J11" s="1092"/>
      <c r="K11" s="1092"/>
      <c r="L11" s="1092"/>
      <c r="M11" s="1092"/>
      <c r="N11" s="1092"/>
      <c r="O11" s="1092"/>
      <c r="Q11" s="1105"/>
      <c r="R11" s="1105"/>
      <c r="S11" s="1105"/>
      <c r="T11" s="1105"/>
      <c r="U11" s="1105"/>
      <c r="V11" s="1105"/>
      <c r="W11" s="1105"/>
      <c r="X11" s="1105"/>
      <c r="Y11" s="1105"/>
      <c r="Z11" s="1105"/>
    </row>
    <row r="12" spans="1:31" ht="19.899999999999999" thickTop="1" thickBot="1">
      <c r="B12" s="1084">
        <v>7</v>
      </c>
      <c r="C12" s="1087" t="s">
        <v>736</v>
      </c>
      <c r="D12" s="1082" t="s">
        <v>549</v>
      </c>
      <c r="E12" s="1081" t="s">
        <v>973</v>
      </c>
      <c r="G12" s="1110" t="s">
        <v>994</v>
      </c>
      <c r="H12" s="1113" t="s">
        <v>993</v>
      </c>
      <c r="I12" s="1112"/>
      <c r="J12" s="1111" t="s">
        <v>992</v>
      </c>
      <c r="K12" s="1111" t="s">
        <v>991</v>
      </c>
      <c r="L12" s="1111" t="s">
        <v>990</v>
      </c>
      <c r="M12" s="1111" t="s">
        <v>989</v>
      </c>
      <c r="N12" s="1110" t="s">
        <v>698</v>
      </c>
      <c r="O12" s="1110"/>
      <c r="Q12" s="1109" t="s">
        <v>722</v>
      </c>
      <c r="R12" s="1109"/>
      <c r="S12" s="1109"/>
      <c r="T12" s="1109"/>
      <c r="U12" s="1109"/>
      <c r="V12" s="1109"/>
      <c r="W12" s="1109"/>
      <c r="X12" s="1109"/>
      <c r="Y12" s="1109"/>
      <c r="Z12" s="1109"/>
    </row>
    <row r="13" spans="1:31" ht="19.5" thickTop="1">
      <c r="B13" s="1084">
        <v>8</v>
      </c>
      <c r="C13" s="1087" t="s">
        <v>143</v>
      </c>
      <c r="D13" s="1082" t="s">
        <v>549</v>
      </c>
      <c r="E13" s="1081" t="s">
        <v>973</v>
      </c>
      <c r="G13" s="1108" t="s">
        <v>988</v>
      </c>
      <c r="H13" s="1099" t="s">
        <v>691</v>
      </c>
      <c r="I13" s="1098"/>
      <c r="J13" s="1107">
        <v>20</v>
      </c>
      <c r="K13" s="1107" t="s">
        <v>697</v>
      </c>
      <c r="L13" s="1107" t="s">
        <v>694</v>
      </c>
      <c r="M13" s="1107" t="s">
        <v>738</v>
      </c>
      <c r="N13" s="1106" t="s">
        <v>739</v>
      </c>
      <c r="O13" s="1106"/>
      <c r="Q13" s="1105" t="s">
        <v>723</v>
      </c>
      <c r="R13" s="1105"/>
      <c r="S13" s="1105"/>
      <c r="T13" s="1105"/>
      <c r="U13" s="1105"/>
      <c r="V13" s="1105"/>
      <c r="W13" s="1105"/>
      <c r="X13" s="1105"/>
      <c r="Y13" s="1105"/>
      <c r="Z13" s="1105"/>
    </row>
    <row r="14" spans="1:31" ht="19.149999999999999">
      <c r="B14" s="1084">
        <v>9</v>
      </c>
      <c r="C14" s="1087" t="s">
        <v>144</v>
      </c>
      <c r="D14" s="1082" t="s">
        <v>549</v>
      </c>
      <c r="E14" s="1081" t="s">
        <v>973</v>
      </c>
      <c r="G14" s="1103" t="s">
        <v>987</v>
      </c>
      <c r="H14" s="1099" t="s">
        <v>691</v>
      </c>
      <c r="I14" s="1098"/>
      <c r="J14" s="1102">
        <v>14</v>
      </c>
      <c r="K14" s="1102" t="s">
        <v>741</v>
      </c>
      <c r="L14" s="1102" t="s">
        <v>693</v>
      </c>
      <c r="M14" s="1102" t="s">
        <v>742</v>
      </c>
      <c r="N14" s="1101" t="s">
        <v>739</v>
      </c>
      <c r="O14" s="1101"/>
      <c r="Q14" s="1105" t="s">
        <v>761</v>
      </c>
      <c r="R14" s="1105"/>
      <c r="S14" s="1105"/>
      <c r="T14" s="1105"/>
      <c r="U14" s="1105"/>
      <c r="V14" s="1105"/>
      <c r="W14" s="1105"/>
      <c r="X14" s="1105"/>
      <c r="Y14" s="1105"/>
      <c r="Z14" s="1105"/>
    </row>
    <row r="15" spans="1:31" ht="20.65">
      <c r="B15" s="1084">
        <v>10</v>
      </c>
      <c r="C15" s="1087" t="s">
        <v>986</v>
      </c>
      <c r="D15" s="1082" t="s">
        <v>549</v>
      </c>
      <c r="E15" s="1081" t="s">
        <v>973</v>
      </c>
      <c r="G15" s="1103" t="s">
        <v>985</v>
      </c>
      <c r="H15" s="1099" t="s">
        <v>691</v>
      </c>
      <c r="I15" s="1098"/>
      <c r="J15" s="1102">
        <v>12</v>
      </c>
      <c r="K15" s="1102" t="s">
        <v>743</v>
      </c>
      <c r="L15" s="1102" t="s">
        <v>695</v>
      </c>
      <c r="M15" s="1102" t="s">
        <v>744</v>
      </c>
      <c r="N15" s="1101" t="s">
        <v>739</v>
      </c>
      <c r="O15" s="1101"/>
      <c r="Q15" s="1105" t="s">
        <v>724</v>
      </c>
      <c r="R15" s="1105"/>
      <c r="S15" s="1105"/>
      <c r="T15" s="1105"/>
      <c r="U15" s="1105"/>
      <c r="V15" s="1105"/>
      <c r="W15" s="1105"/>
      <c r="X15" s="1105"/>
      <c r="Y15" s="1105"/>
      <c r="Z15" s="1105"/>
    </row>
    <row r="16" spans="1:31" ht="19.149999999999999">
      <c r="B16" s="1084">
        <v>11</v>
      </c>
      <c r="C16" s="1087" t="s">
        <v>145</v>
      </c>
      <c r="D16" s="1082" t="s">
        <v>549</v>
      </c>
      <c r="E16" s="1081" t="s">
        <v>973</v>
      </c>
      <c r="G16" s="1103" t="s">
        <v>984</v>
      </c>
      <c r="H16" s="1099" t="s">
        <v>691</v>
      </c>
      <c r="I16" s="1098"/>
      <c r="J16" s="1102">
        <v>14</v>
      </c>
      <c r="K16" s="1102" t="s">
        <v>741</v>
      </c>
      <c r="L16" s="1102" t="s">
        <v>693</v>
      </c>
      <c r="M16" s="1102" t="s">
        <v>745</v>
      </c>
      <c r="N16" s="1101" t="s">
        <v>739</v>
      </c>
      <c r="O16" s="1101"/>
      <c r="Q16" s="1104" t="s">
        <v>725</v>
      </c>
      <c r="R16" s="1104"/>
      <c r="S16" s="1104"/>
      <c r="T16" s="1104"/>
      <c r="U16" s="1104"/>
      <c r="V16" s="1104"/>
      <c r="W16" s="1104"/>
      <c r="X16" s="1104"/>
      <c r="Y16" s="1104"/>
      <c r="Z16" s="1104"/>
    </row>
    <row r="17" spans="2:22" ht="19.149999999999999">
      <c r="B17" s="1084">
        <v>12</v>
      </c>
      <c r="C17" s="1087" t="s">
        <v>737</v>
      </c>
      <c r="D17" s="1082" t="s">
        <v>549</v>
      </c>
      <c r="E17" s="1081" t="s">
        <v>973</v>
      </c>
      <c r="G17" s="1103" t="s">
        <v>983</v>
      </c>
      <c r="H17" s="1099" t="s">
        <v>691</v>
      </c>
      <c r="I17" s="1098"/>
      <c r="J17" s="1102">
        <v>12</v>
      </c>
      <c r="K17" s="1102" t="s">
        <v>743</v>
      </c>
      <c r="L17" s="1102" t="s">
        <v>696</v>
      </c>
      <c r="M17" s="1102" t="s">
        <v>738</v>
      </c>
      <c r="N17" s="1101" t="s">
        <v>746</v>
      </c>
      <c r="O17" s="1101"/>
    </row>
    <row r="18" spans="2:22" ht="19.149999999999999">
      <c r="B18" s="1084">
        <v>13</v>
      </c>
      <c r="C18" s="1087" t="s">
        <v>982</v>
      </c>
      <c r="D18" s="1091" t="s">
        <v>888</v>
      </c>
      <c r="E18" s="1081" t="s">
        <v>973</v>
      </c>
      <c r="G18" s="1103" t="s">
        <v>981</v>
      </c>
      <c r="H18" s="1099" t="s">
        <v>691</v>
      </c>
      <c r="I18" s="1098"/>
      <c r="J18" s="1102">
        <v>14</v>
      </c>
      <c r="K18" s="1102" t="s">
        <v>741</v>
      </c>
      <c r="L18" s="1102" t="s">
        <v>693</v>
      </c>
      <c r="M18" s="1102" t="s">
        <v>745</v>
      </c>
      <c r="N18" s="1101" t="s">
        <v>739</v>
      </c>
      <c r="O18" s="1101"/>
    </row>
    <row r="19" spans="2:22" ht="19.149999999999999">
      <c r="B19" s="1084">
        <v>14</v>
      </c>
      <c r="C19" s="1087" t="s">
        <v>740</v>
      </c>
      <c r="D19" s="1082" t="s">
        <v>549</v>
      </c>
      <c r="E19" s="1081" t="s">
        <v>973</v>
      </c>
      <c r="G19" s="1103" t="s">
        <v>980</v>
      </c>
      <c r="H19" s="1099" t="s">
        <v>691</v>
      </c>
      <c r="I19" s="1098"/>
      <c r="J19" s="1102">
        <v>20</v>
      </c>
      <c r="K19" s="1102" t="s">
        <v>741</v>
      </c>
      <c r="L19" s="1102" t="s">
        <v>693</v>
      </c>
      <c r="M19" s="1102" t="s">
        <v>748</v>
      </c>
      <c r="N19" s="1101" t="s">
        <v>739</v>
      </c>
      <c r="O19" s="1101"/>
    </row>
    <row r="20" spans="2:22" ht="19.149999999999999">
      <c r="B20" s="1084">
        <v>15</v>
      </c>
      <c r="C20" s="1087" t="s">
        <v>503</v>
      </c>
      <c r="D20" s="1082" t="s">
        <v>549</v>
      </c>
      <c r="E20" s="1081" t="s">
        <v>973</v>
      </c>
      <c r="G20" s="1100"/>
      <c r="H20" s="1099"/>
      <c r="I20" s="1098"/>
      <c r="J20" s="1097"/>
      <c r="K20" s="1097"/>
      <c r="L20" s="1097"/>
      <c r="M20" s="1097"/>
      <c r="N20" s="1097"/>
      <c r="O20" s="1097"/>
    </row>
    <row r="21" spans="2:22" ht="19.5" thickBot="1">
      <c r="B21" s="1084">
        <v>16</v>
      </c>
      <c r="C21" s="1087" t="s">
        <v>504</v>
      </c>
      <c r="D21" s="1082" t="s">
        <v>549</v>
      </c>
      <c r="E21" s="1081" t="s">
        <v>973</v>
      </c>
      <c r="G21" s="1096" t="s">
        <v>502</v>
      </c>
      <c r="H21" s="1096"/>
      <c r="I21" s="1096"/>
      <c r="J21" s="1096"/>
      <c r="K21" s="1096"/>
      <c r="L21" s="1096"/>
      <c r="M21" s="1096"/>
      <c r="N21" s="1096"/>
      <c r="O21" s="1096"/>
    </row>
    <row r="22" spans="2:22" ht="19.5" thickTop="1">
      <c r="B22" s="1084">
        <v>17</v>
      </c>
      <c r="C22" s="1087" t="s">
        <v>505</v>
      </c>
      <c r="D22" s="1082" t="s">
        <v>549</v>
      </c>
      <c r="E22" s="1081" t="s">
        <v>973</v>
      </c>
      <c r="G22" s="1042"/>
      <c r="H22" s="1042"/>
      <c r="I22" s="1042"/>
      <c r="J22" s="1042"/>
      <c r="K22" s="1042"/>
      <c r="L22" s="1042"/>
      <c r="M22" s="1042"/>
      <c r="N22" s="1042"/>
      <c r="O22" s="1042"/>
    </row>
    <row r="23" spans="2:22" ht="17.25" customHeight="1">
      <c r="B23" s="1084">
        <v>18</v>
      </c>
      <c r="C23" s="1087" t="s">
        <v>747</v>
      </c>
      <c r="D23" s="1091" t="s">
        <v>888</v>
      </c>
      <c r="E23" s="1095" t="s">
        <v>979</v>
      </c>
      <c r="G23" s="1042"/>
      <c r="H23" s="1042"/>
      <c r="I23" s="1042"/>
      <c r="J23" s="1042"/>
      <c r="K23" s="1042"/>
      <c r="L23" s="1042"/>
      <c r="M23" s="1042"/>
      <c r="N23" s="1042"/>
      <c r="O23" s="1042"/>
      <c r="V23" s="1041" t="s">
        <v>649</v>
      </c>
    </row>
    <row r="24" spans="2:22" ht="17.25" customHeight="1">
      <c r="B24" s="1084">
        <v>19</v>
      </c>
      <c r="C24" s="1087" t="s">
        <v>978</v>
      </c>
      <c r="D24" s="1091" t="s">
        <v>888</v>
      </c>
      <c r="E24" s="1081" t="s">
        <v>973</v>
      </c>
      <c r="G24" s="1094" t="s">
        <v>977</v>
      </c>
      <c r="H24" s="1093"/>
      <c r="I24" s="1093"/>
      <c r="J24" s="1093"/>
      <c r="K24" s="1093"/>
      <c r="L24" s="1093"/>
      <c r="M24" s="1093"/>
      <c r="N24" s="1093"/>
      <c r="O24" s="1093"/>
      <c r="P24" s="1093"/>
      <c r="Q24" s="1093"/>
      <c r="R24" s="1093"/>
      <c r="S24" s="1093"/>
    </row>
    <row r="25" spans="2:22" ht="17.649999999999999" customHeight="1" thickBot="1">
      <c r="B25" s="1084">
        <v>20</v>
      </c>
      <c r="C25" s="1087" t="s">
        <v>976</v>
      </c>
      <c r="D25" s="1091" t="s">
        <v>888</v>
      </c>
      <c r="E25" s="1081" t="s">
        <v>973</v>
      </c>
      <c r="G25" s="1092"/>
      <c r="H25" s="1092"/>
      <c r="I25" s="1092"/>
      <c r="J25" s="1092"/>
      <c r="K25" s="1092"/>
      <c r="L25" s="1092"/>
      <c r="M25" s="1092"/>
      <c r="N25" s="1092"/>
      <c r="O25" s="1092"/>
      <c r="P25" s="1092"/>
      <c r="Q25" s="1092"/>
      <c r="R25" s="1092"/>
      <c r="S25" s="1092"/>
    </row>
    <row r="26" spans="2:22" ht="17.649999999999999" customHeight="1" thickTop="1">
      <c r="B26" s="1084">
        <v>21</v>
      </c>
      <c r="C26" s="1087" t="s">
        <v>975</v>
      </c>
      <c r="D26" s="1091" t="s">
        <v>888</v>
      </c>
      <c r="E26" s="1081" t="s">
        <v>973</v>
      </c>
      <c r="G26" s="1066" t="s">
        <v>692</v>
      </c>
      <c r="H26" s="1066"/>
      <c r="I26" s="1066"/>
      <c r="J26" s="1066"/>
      <c r="K26" s="1066"/>
      <c r="L26" s="1066"/>
      <c r="M26" s="1088"/>
      <c r="N26" s="1066" t="s">
        <v>759</v>
      </c>
      <c r="O26" s="1066"/>
      <c r="P26" s="1066"/>
      <c r="Q26" s="1066"/>
      <c r="R26" s="1066"/>
      <c r="S26" s="1066"/>
    </row>
    <row r="27" spans="2:22" ht="24.75">
      <c r="B27" s="1084">
        <v>22</v>
      </c>
      <c r="C27" s="1087" t="s">
        <v>974</v>
      </c>
      <c r="D27" s="1090"/>
      <c r="E27" s="1081" t="s">
        <v>973</v>
      </c>
      <c r="G27" s="1066"/>
      <c r="H27" s="1066"/>
      <c r="I27" s="1066"/>
      <c r="J27" s="1066"/>
      <c r="K27" s="1066"/>
      <c r="L27" s="1066"/>
      <c r="M27" s="1088"/>
      <c r="N27" s="1066"/>
      <c r="O27" s="1066"/>
      <c r="P27" s="1066"/>
      <c r="Q27" s="1066"/>
      <c r="R27" s="1066"/>
      <c r="S27" s="1066"/>
    </row>
    <row r="28" spans="2:22" ht="24.75">
      <c r="B28" s="1084">
        <v>23</v>
      </c>
      <c r="C28" s="1087"/>
      <c r="D28" s="1082"/>
      <c r="E28" s="1081" t="s">
        <v>973</v>
      </c>
      <c r="G28" s="1089"/>
      <c r="H28" s="1089"/>
      <c r="I28" s="1089"/>
      <c r="J28" s="1089"/>
      <c r="K28" s="1089"/>
      <c r="L28" s="1089"/>
      <c r="M28" s="1042"/>
      <c r="N28" s="1042"/>
      <c r="O28" s="1042"/>
      <c r="P28" s="1088"/>
      <c r="Q28" s="1088"/>
      <c r="R28" s="1088"/>
      <c r="S28" s="1088"/>
    </row>
    <row r="29" spans="2:22" ht="28.9" thickBot="1">
      <c r="B29" s="1084">
        <v>24</v>
      </c>
      <c r="C29" s="1087"/>
      <c r="D29" s="1082"/>
      <c r="E29" s="1081" t="s">
        <v>973</v>
      </c>
      <c r="G29" s="1064" t="s">
        <v>749</v>
      </c>
      <c r="H29" s="1064"/>
      <c r="I29" s="1064"/>
      <c r="J29" s="1064"/>
      <c r="K29" s="1064"/>
      <c r="L29" s="1064"/>
      <c r="N29" s="1086" t="s">
        <v>182</v>
      </c>
      <c r="O29" s="1085"/>
      <c r="P29" s="1085"/>
      <c r="Q29" s="1085"/>
      <c r="R29" s="1085"/>
      <c r="S29" s="1085"/>
    </row>
    <row r="30" spans="2:22" ht="19.899999999999999" thickTop="1" thickBot="1">
      <c r="B30" s="1084">
        <v>25</v>
      </c>
      <c r="C30" s="1083"/>
      <c r="D30" s="1082"/>
      <c r="E30" s="1081" t="s">
        <v>973</v>
      </c>
      <c r="G30" s="1061" t="s">
        <v>752</v>
      </c>
      <c r="H30" s="1062"/>
      <c r="I30" s="1063" t="s">
        <v>753</v>
      </c>
      <c r="J30" s="1062"/>
      <c r="K30" s="1061" t="s">
        <v>754</v>
      </c>
      <c r="L30" s="1061"/>
      <c r="N30" s="1078" t="s">
        <v>751</v>
      </c>
      <c r="O30" s="1079"/>
      <c r="P30" s="1080" t="s">
        <v>751</v>
      </c>
      <c r="Q30" s="1079"/>
      <c r="R30" s="1078" t="s">
        <v>751</v>
      </c>
      <c r="S30" s="1078"/>
    </row>
    <row r="31" spans="2:22" ht="16.5" thickTop="1" thickBot="1">
      <c r="B31" s="1077" t="s">
        <v>972</v>
      </c>
      <c r="C31" s="1076"/>
      <c r="D31" s="1076"/>
      <c r="E31" s="1076"/>
      <c r="G31" s="1057" t="s">
        <v>756</v>
      </c>
      <c r="H31" s="1056"/>
      <c r="I31" s="1055" t="s">
        <v>751</v>
      </c>
      <c r="J31" s="1054"/>
      <c r="K31" s="1053" t="s">
        <v>755</v>
      </c>
      <c r="L31" s="1053"/>
      <c r="N31" s="1073" t="s">
        <v>755</v>
      </c>
      <c r="O31" s="1074"/>
      <c r="P31" s="1075" t="s">
        <v>755</v>
      </c>
      <c r="Q31" s="1074"/>
      <c r="R31" s="1073" t="s">
        <v>755</v>
      </c>
      <c r="S31" s="1073"/>
    </row>
    <row r="32" spans="2:22" ht="17.25" customHeight="1" thickTop="1">
      <c r="G32" s="1052"/>
      <c r="H32" s="1051"/>
      <c r="I32" s="1050" t="s">
        <v>751</v>
      </c>
      <c r="J32" s="1049"/>
      <c r="K32" s="1048" t="s">
        <v>755</v>
      </c>
      <c r="L32" s="1048"/>
      <c r="N32" s="1070" t="s">
        <v>755</v>
      </c>
      <c r="O32" s="1071"/>
      <c r="P32" s="1072" t="s">
        <v>755</v>
      </c>
      <c r="Q32" s="1071"/>
      <c r="R32" s="1070" t="s">
        <v>755</v>
      </c>
      <c r="S32" s="1070"/>
    </row>
    <row r="33" spans="7:19" ht="15.75" customHeight="1">
      <c r="G33" s="1052"/>
      <c r="H33" s="1051"/>
      <c r="I33" s="1050" t="s">
        <v>751</v>
      </c>
      <c r="J33" s="1049"/>
      <c r="K33" s="1048" t="s">
        <v>755</v>
      </c>
      <c r="L33" s="1048"/>
      <c r="N33" s="1070" t="s">
        <v>755</v>
      </c>
      <c r="O33" s="1071"/>
      <c r="P33" s="1072" t="s">
        <v>755</v>
      </c>
      <c r="Q33" s="1071"/>
      <c r="R33" s="1070" t="s">
        <v>755</v>
      </c>
      <c r="S33" s="1070"/>
    </row>
    <row r="34" spans="7:19" ht="15.75" customHeight="1">
      <c r="G34" s="1052"/>
      <c r="H34" s="1051"/>
      <c r="I34" s="1050" t="s">
        <v>751</v>
      </c>
      <c r="J34" s="1049"/>
      <c r="K34" s="1048" t="s">
        <v>755</v>
      </c>
      <c r="L34" s="1048"/>
      <c r="N34" s="1070" t="s">
        <v>755</v>
      </c>
      <c r="O34" s="1071"/>
      <c r="P34" s="1072" t="s">
        <v>755</v>
      </c>
      <c r="Q34" s="1071"/>
      <c r="R34" s="1070" t="s">
        <v>755</v>
      </c>
      <c r="S34" s="1070"/>
    </row>
    <row r="35" spans="7:19" ht="15.75" customHeight="1">
      <c r="G35" s="1052"/>
      <c r="H35" s="1051"/>
      <c r="I35" s="1050" t="s">
        <v>751</v>
      </c>
      <c r="J35" s="1049"/>
      <c r="K35" s="1048" t="s">
        <v>755</v>
      </c>
      <c r="L35" s="1048"/>
      <c r="N35" s="1070" t="s">
        <v>755</v>
      </c>
      <c r="O35" s="1071"/>
      <c r="P35" s="1072" t="s">
        <v>755</v>
      </c>
      <c r="Q35" s="1071"/>
      <c r="R35" s="1070" t="s">
        <v>755</v>
      </c>
      <c r="S35" s="1070"/>
    </row>
    <row r="36" spans="7:19" ht="17.25" customHeight="1">
      <c r="G36" s="1052"/>
      <c r="H36" s="1051"/>
      <c r="I36" s="1050" t="s">
        <v>751</v>
      </c>
      <c r="J36" s="1049"/>
      <c r="K36" s="1048" t="s">
        <v>755</v>
      </c>
      <c r="L36" s="1048"/>
      <c r="N36" s="1070" t="s">
        <v>755</v>
      </c>
      <c r="O36" s="1071"/>
      <c r="P36" s="1072" t="s">
        <v>755</v>
      </c>
      <c r="Q36" s="1071"/>
      <c r="R36" s="1070" t="s">
        <v>755</v>
      </c>
      <c r="S36" s="1070"/>
    </row>
    <row r="37" spans="7:19" ht="15.75" customHeight="1">
      <c r="G37" s="1052"/>
      <c r="H37" s="1051"/>
      <c r="I37" s="1050" t="s">
        <v>751</v>
      </c>
      <c r="J37" s="1049"/>
      <c r="K37" s="1048" t="s">
        <v>755</v>
      </c>
      <c r="L37" s="1048"/>
      <c r="N37" s="1070" t="s">
        <v>755</v>
      </c>
      <c r="O37" s="1071"/>
      <c r="P37" s="1072" t="s">
        <v>755</v>
      </c>
      <c r="Q37" s="1071"/>
      <c r="R37" s="1070" t="s">
        <v>755</v>
      </c>
      <c r="S37" s="1070"/>
    </row>
    <row r="38" spans="7:19" ht="17.25" customHeight="1">
      <c r="G38" s="1052"/>
      <c r="H38" s="1051"/>
      <c r="I38" s="1050" t="s">
        <v>751</v>
      </c>
      <c r="J38" s="1049"/>
      <c r="K38" s="1048" t="s">
        <v>755</v>
      </c>
      <c r="L38" s="1048"/>
      <c r="N38" s="1070" t="s">
        <v>755</v>
      </c>
      <c r="O38" s="1071"/>
      <c r="P38" s="1072" t="s">
        <v>755</v>
      </c>
      <c r="Q38" s="1071"/>
      <c r="R38" s="1070" t="s">
        <v>755</v>
      </c>
      <c r="S38" s="1070"/>
    </row>
    <row r="39" spans="7:19" ht="16.5" customHeight="1">
      <c r="G39" s="1052"/>
      <c r="H39" s="1051"/>
      <c r="I39" s="1050" t="s">
        <v>751</v>
      </c>
      <c r="J39" s="1049"/>
      <c r="K39" s="1048" t="s">
        <v>755</v>
      </c>
      <c r="L39" s="1048"/>
      <c r="N39" s="1070" t="s">
        <v>755</v>
      </c>
      <c r="O39" s="1071"/>
      <c r="P39" s="1072" t="s">
        <v>755</v>
      </c>
      <c r="Q39" s="1071"/>
      <c r="R39" s="1070" t="s">
        <v>755</v>
      </c>
      <c r="S39" s="1070"/>
    </row>
    <row r="40" spans="7:19" ht="15.4" thickBot="1">
      <c r="G40" s="1047"/>
      <c r="H40" s="1046"/>
      <c r="I40" s="1045" t="s">
        <v>751</v>
      </c>
      <c r="J40" s="1044"/>
      <c r="K40" s="1043" t="s">
        <v>755</v>
      </c>
      <c r="L40" s="1043"/>
      <c r="N40" s="1067" t="s">
        <v>755</v>
      </c>
      <c r="O40" s="1068"/>
      <c r="P40" s="1069" t="s">
        <v>755</v>
      </c>
      <c r="Q40" s="1068"/>
      <c r="R40" s="1067" t="s">
        <v>755</v>
      </c>
      <c r="S40" s="1067"/>
    </row>
    <row r="43" spans="7:19">
      <c r="G43" s="1066" t="s">
        <v>757</v>
      </c>
      <c r="H43" s="1065"/>
      <c r="I43" s="1065"/>
      <c r="J43" s="1065"/>
      <c r="K43" s="1065"/>
      <c r="L43" s="1065"/>
    </row>
    <row r="44" spans="7:19">
      <c r="G44" s="1065"/>
      <c r="H44" s="1065"/>
      <c r="I44" s="1065"/>
      <c r="J44" s="1065"/>
      <c r="K44" s="1065"/>
      <c r="L44" s="1065"/>
    </row>
    <row r="46" spans="7:19" ht="25.15">
      <c r="G46" s="1064" t="s">
        <v>749</v>
      </c>
      <c r="H46" s="1064"/>
      <c r="I46" s="1064"/>
      <c r="J46" s="1064"/>
      <c r="K46" s="1064"/>
      <c r="L46" s="1064"/>
    </row>
    <row r="47" spans="7:19" ht="18" thickBot="1">
      <c r="G47" s="1061" t="s">
        <v>752</v>
      </c>
      <c r="H47" s="1062"/>
      <c r="I47" s="1063" t="s">
        <v>753</v>
      </c>
      <c r="J47" s="1062"/>
      <c r="K47" s="1061" t="s">
        <v>754</v>
      </c>
      <c r="L47" s="1061"/>
    </row>
    <row r="48" spans="7:19" ht="15.4" thickTop="1">
      <c r="G48" s="1057" t="s">
        <v>756</v>
      </c>
      <c r="H48" s="1056"/>
      <c r="I48" s="1055" t="s">
        <v>751</v>
      </c>
      <c r="J48" s="1054"/>
      <c r="K48" s="1053" t="s">
        <v>755</v>
      </c>
      <c r="L48" s="1053"/>
    </row>
    <row r="49" spans="7:12" ht="15">
      <c r="G49" s="1052"/>
      <c r="H49" s="1051"/>
      <c r="I49" s="1050" t="s">
        <v>751</v>
      </c>
      <c r="J49" s="1049"/>
      <c r="K49" s="1048" t="s">
        <v>755</v>
      </c>
      <c r="L49" s="1048"/>
    </row>
    <row r="50" spans="7:12" ht="15">
      <c r="G50" s="1052"/>
      <c r="H50" s="1051"/>
      <c r="I50" s="1050" t="s">
        <v>751</v>
      </c>
      <c r="J50" s="1049"/>
      <c r="K50" s="1048" t="s">
        <v>755</v>
      </c>
      <c r="L50" s="1048"/>
    </row>
    <row r="51" spans="7:12" ht="15">
      <c r="G51" s="1052"/>
      <c r="H51" s="1051"/>
      <c r="I51" s="1050" t="s">
        <v>751</v>
      </c>
      <c r="J51" s="1049"/>
      <c r="K51" s="1048" t="s">
        <v>755</v>
      </c>
      <c r="L51" s="1048"/>
    </row>
    <row r="52" spans="7:12" ht="15">
      <c r="G52" s="1052"/>
      <c r="H52" s="1051"/>
      <c r="I52" s="1050" t="s">
        <v>751</v>
      </c>
      <c r="J52" s="1049"/>
      <c r="K52" s="1048" t="s">
        <v>755</v>
      </c>
      <c r="L52" s="1048"/>
    </row>
    <row r="53" spans="7:12" ht="15">
      <c r="G53" s="1052"/>
      <c r="H53" s="1051"/>
      <c r="I53" s="1050" t="s">
        <v>751</v>
      </c>
      <c r="J53" s="1049"/>
      <c r="K53" s="1060" t="s">
        <v>755</v>
      </c>
      <c r="L53" s="1048"/>
    </row>
    <row r="54" spans="7:12" ht="15">
      <c r="G54" s="1052"/>
      <c r="H54" s="1051"/>
      <c r="I54" s="1050" t="s">
        <v>751</v>
      </c>
      <c r="J54" s="1049"/>
      <c r="K54" s="1060" t="s">
        <v>755</v>
      </c>
      <c r="L54" s="1048"/>
    </row>
    <row r="55" spans="7:12" ht="15">
      <c r="G55" s="1052"/>
      <c r="H55" s="1051"/>
      <c r="I55" s="1050" t="s">
        <v>751</v>
      </c>
      <c r="J55" s="1049"/>
      <c r="K55" s="1060" t="s">
        <v>755</v>
      </c>
      <c r="L55" s="1048"/>
    </row>
    <row r="56" spans="7:12" ht="15">
      <c r="G56" s="1052"/>
      <c r="H56" s="1051"/>
      <c r="I56" s="1050" t="s">
        <v>751</v>
      </c>
      <c r="J56" s="1049"/>
      <c r="K56" s="1060" t="s">
        <v>755</v>
      </c>
      <c r="L56" s="1048"/>
    </row>
    <row r="57" spans="7:12" ht="15.4" thickBot="1">
      <c r="G57" s="1047"/>
      <c r="H57" s="1046"/>
      <c r="I57" s="1045" t="s">
        <v>751</v>
      </c>
      <c r="J57" s="1044"/>
      <c r="K57" s="1059" t="s">
        <v>755</v>
      </c>
      <c r="L57" s="1043"/>
    </row>
    <row r="58" spans="7:12" ht="15.4" thickBot="1">
      <c r="G58" s="1058" t="s">
        <v>971</v>
      </c>
    </row>
    <row r="59" spans="7:12" ht="15.4" thickTop="1">
      <c r="G59" s="1057" t="s">
        <v>756</v>
      </c>
      <c r="H59" s="1056"/>
      <c r="I59" s="1055" t="s">
        <v>751</v>
      </c>
      <c r="J59" s="1054"/>
      <c r="K59" s="1053" t="s">
        <v>755</v>
      </c>
      <c r="L59" s="1053"/>
    </row>
    <row r="60" spans="7:12" ht="15">
      <c r="G60" s="1052"/>
      <c r="H60" s="1051"/>
      <c r="I60" s="1050" t="s">
        <v>751</v>
      </c>
      <c r="J60" s="1049"/>
      <c r="K60" s="1048" t="s">
        <v>755</v>
      </c>
      <c r="L60" s="1048"/>
    </row>
    <row r="61" spans="7:12" ht="15">
      <c r="G61" s="1052"/>
      <c r="H61" s="1051"/>
      <c r="I61" s="1050" t="s">
        <v>751</v>
      </c>
      <c r="J61" s="1049"/>
      <c r="K61" s="1048" t="s">
        <v>755</v>
      </c>
      <c r="L61" s="1048"/>
    </row>
    <row r="62" spans="7:12" ht="15">
      <c r="G62" s="1052"/>
      <c r="H62" s="1051"/>
      <c r="I62" s="1050" t="s">
        <v>751</v>
      </c>
      <c r="J62" s="1049"/>
      <c r="K62" s="1048" t="s">
        <v>755</v>
      </c>
      <c r="L62" s="1048"/>
    </row>
    <row r="63" spans="7:12" ht="15">
      <c r="G63" s="1052"/>
      <c r="H63" s="1051"/>
      <c r="I63" s="1050" t="s">
        <v>751</v>
      </c>
      <c r="J63" s="1049"/>
      <c r="K63" s="1048" t="s">
        <v>755</v>
      </c>
      <c r="L63" s="1048"/>
    </row>
    <row r="64" spans="7:12" ht="15">
      <c r="G64" s="1052"/>
      <c r="H64" s="1051"/>
      <c r="I64" s="1050" t="s">
        <v>751</v>
      </c>
      <c r="J64" s="1049"/>
      <c r="K64" s="1048" t="s">
        <v>755</v>
      </c>
      <c r="L64" s="1048"/>
    </row>
    <row r="65" spans="7:12" ht="15">
      <c r="G65" s="1052"/>
      <c r="H65" s="1051"/>
      <c r="I65" s="1050" t="s">
        <v>751</v>
      </c>
      <c r="J65" s="1049"/>
      <c r="K65" s="1048" t="s">
        <v>755</v>
      </c>
      <c r="L65" s="1048"/>
    </row>
    <row r="66" spans="7:12" ht="15">
      <c r="G66" s="1052"/>
      <c r="H66" s="1051"/>
      <c r="I66" s="1050" t="s">
        <v>751</v>
      </c>
      <c r="J66" s="1049"/>
      <c r="K66" s="1048" t="s">
        <v>755</v>
      </c>
      <c r="L66" s="1048"/>
    </row>
    <row r="67" spans="7:12" ht="15">
      <c r="G67" s="1052"/>
      <c r="H67" s="1051"/>
      <c r="I67" s="1050" t="s">
        <v>751</v>
      </c>
      <c r="J67" s="1049"/>
      <c r="K67" s="1048" t="s">
        <v>755</v>
      </c>
      <c r="L67" s="1048"/>
    </row>
    <row r="68" spans="7:12" ht="15.4" thickBot="1">
      <c r="G68" s="1047"/>
      <c r="H68" s="1046"/>
      <c r="I68" s="1045" t="s">
        <v>751</v>
      </c>
      <c r="J68" s="1044"/>
      <c r="K68" s="1043" t="s">
        <v>755</v>
      </c>
      <c r="L68" s="1043"/>
    </row>
  </sheetData>
  <mergeCells count="142">
    <mergeCell ref="H20:I20"/>
    <mergeCell ref="G11:O11"/>
    <mergeCell ref="H16:I16"/>
    <mergeCell ref="H12:I12"/>
    <mergeCell ref="H17:I17"/>
    <mergeCell ref="G8:O8"/>
    <mergeCell ref="H18:I18"/>
    <mergeCell ref="H19:I19"/>
    <mergeCell ref="Q3:Z4"/>
    <mergeCell ref="AB3:AE4"/>
    <mergeCell ref="B3:E4"/>
    <mergeCell ref="G24:S25"/>
    <mergeCell ref="K31:L31"/>
    <mergeCell ref="K32:L32"/>
    <mergeCell ref="G9:O9"/>
    <mergeCell ref="G21:O21"/>
    <mergeCell ref="G5:O5"/>
    <mergeCell ref="G6:O6"/>
    <mergeCell ref="G29:L29"/>
    <mergeCell ref="K33:L33"/>
    <mergeCell ref="K34:L34"/>
    <mergeCell ref="K35:L35"/>
    <mergeCell ref="B31:E31"/>
    <mergeCell ref="G3:O4"/>
    <mergeCell ref="G7:O7"/>
    <mergeCell ref="H13:I13"/>
    <mergeCell ref="H14:I14"/>
    <mergeCell ref="H15:I15"/>
    <mergeCell ref="I39:J39"/>
    <mergeCell ref="R39:S39"/>
    <mergeCell ref="G30:H30"/>
    <mergeCell ref="G31:H40"/>
    <mergeCell ref="I30:J30"/>
    <mergeCell ref="I31:J31"/>
    <mergeCell ref="I32:J32"/>
    <mergeCell ref="I33:J33"/>
    <mergeCell ref="I40:J40"/>
    <mergeCell ref="K40:L40"/>
    <mergeCell ref="N26:S27"/>
    <mergeCell ref="N29:S29"/>
    <mergeCell ref="Q5:Z5"/>
    <mergeCell ref="K39:L39"/>
    <mergeCell ref="G26:L27"/>
    <mergeCell ref="I34:J34"/>
    <mergeCell ref="I35:J35"/>
    <mergeCell ref="I36:J36"/>
    <mergeCell ref="I37:J37"/>
    <mergeCell ref="I38:J38"/>
    <mergeCell ref="K36:L36"/>
    <mergeCell ref="K37:L37"/>
    <mergeCell ref="K30:L30"/>
    <mergeCell ref="R34:S34"/>
    <mergeCell ref="P35:Q35"/>
    <mergeCell ref="R35:S35"/>
    <mergeCell ref="P36:Q36"/>
    <mergeCell ref="R36:S36"/>
    <mergeCell ref="P37:Q37"/>
    <mergeCell ref="R37:S37"/>
    <mergeCell ref="P39:Q39"/>
    <mergeCell ref="P40:Q40"/>
    <mergeCell ref="R40:S40"/>
    <mergeCell ref="P31:Q31"/>
    <mergeCell ref="R31:S31"/>
    <mergeCell ref="P32:Q32"/>
    <mergeCell ref="R32:S32"/>
    <mergeCell ref="P33:Q33"/>
    <mergeCell ref="R33:S33"/>
    <mergeCell ref="P34:Q34"/>
    <mergeCell ref="N35:O35"/>
    <mergeCell ref="N36:O36"/>
    <mergeCell ref="N37:O37"/>
    <mergeCell ref="N38:O38"/>
    <mergeCell ref="N30:O30"/>
    <mergeCell ref="R38:S38"/>
    <mergeCell ref="P38:Q38"/>
    <mergeCell ref="K38:L38"/>
    <mergeCell ref="N40:O40"/>
    <mergeCell ref="R30:S30"/>
    <mergeCell ref="N39:O39"/>
    <mergeCell ref="P30:Q30"/>
    <mergeCell ref="N31:O31"/>
    <mergeCell ref="N32:O32"/>
    <mergeCell ref="N33:O33"/>
    <mergeCell ref="N34:O34"/>
    <mergeCell ref="K50:L50"/>
    <mergeCell ref="I51:J51"/>
    <mergeCell ref="K51:L51"/>
    <mergeCell ref="I52:J52"/>
    <mergeCell ref="K52:L52"/>
    <mergeCell ref="I53:J53"/>
    <mergeCell ref="G46:L46"/>
    <mergeCell ref="G47:H47"/>
    <mergeCell ref="I47:J47"/>
    <mergeCell ref="K47:L47"/>
    <mergeCell ref="G48:H57"/>
    <mergeCell ref="I48:J48"/>
    <mergeCell ref="K48:L48"/>
    <mergeCell ref="I49:J49"/>
    <mergeCell ref="K49:L49"/>
    <mergeCell ref="I50:J50"/>
    <mergeCell ref="I64:J64"/>
    <mergeCell ref="K53:L53"/>
    <mergeCell ref="I54:J54"/>
    <mergeCell ref="K54:L54"/>
    <mergeCell ref="I55:J55"/>
    <mergeCell ref="K55:L55"/>
    <mergeCell ref="G59:H68"/>
    <mergeCell ref="I59:J59"/>
    <mergeCell ref="K59:L59"/>
    <mergeCell ref="I60:J60"/>
    <mergeCell ref="K60:L60"/>
    <mergeCell ref="I61:J61"/>
    <mergeCell ref="K61:L61"/>
    <mergeCell ref="I62:J62"/>
    <mergeCell ref="K62:L62"/>
    <mergeCell ref="I63:J63"/>
    <mergeCell ref="I68:J68"/>
    <mergeCell ref="K68:L68"/>
    <mergeCell ref="G43:L44"/>
    <mergeCell ref="K64:L64"/>
    <mergeCell ref="I65:J65"/>
    <mergeCell ref="K65:L65"/>
    <mergeCell ref="I66:J66"/>
    <mergeCell ref="K66:L66"/>
    <mergeCell ref="I56:J56"/>
    <mergeCell ref="K56:L56"/>
    <mergeCell ref="Q6:Z6"/>
    <mergeCell ref="Q7:Z7"/>
    <mergeCell ref="Q8:Z8"/>
    <mergeCell ref="Q9:Z9"/>
    <mergeCell ref="Q10:Z10"/>
    <mergeCell ref="I67:J67"/>
    <mergeCell ref="K67:L67"/>
    <mergeCell ref="I57:J57"/>
    <mergeCell ref="K57:L57"/>
    <mergeCell ref="K63:L63"/>
    <mergeCell ref="Q16:Z16"/>
    <mergeCell ref="Q11:Z11"/>
    <mergeCell ref="Q12:Z12"/>
    <mergeCell ref="Q13:Z13"/>
    <mergeCell ref="Q14:Z14"/>
    <mergeCell ref="Q15:Z15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Drop Down 1">
              <controlPr defaultSize="0" autoLine="0" autoPict="0" macro="[0]!목차드롭다운">
                <anchor moveWithCells="1">
                  <from>
                    <xdr:col>2</xdr:col>
                    <xdr:colOff>2838450</xdr:colOff>
                    <xdr:row>31</xdr:row>
                    <xdr:rowOff>123825</xdr:rowOff>
                  </from>
                  <to>
                    <xdr:col>3</xdr:col>
                    <xdr:colOff>0</xdr:colOff>
                    <xdr:row>35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/>
  </sheetViews>
  <sheetFormatPr defaultRowHeight="12.75"/>
  <cols>
    <col min="1" max="1" width="14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</row>
    <row r="3" spans="1:38" ht="16.899999999999999">
      <c r="A3" s="2">
        <v>1</v>
      </c>
    </row>
    <row r="4" spans="1:38" ht="16.899999999999999">
      <c r="A4" s="2">
        <v>2</v>
      </c>
    </row>
    <row r="5" spans="1:38" ht="16.899999999999999">
      <c r="A5" s="2">
        <v>3</v>
      </c>
    </row>
    <row r="6" spans="1:38" ht="16.899999999999999">
      <c r="A6" s="2">
        <v>4</v>
      </c>
    </row>
    <row r="7" spans="1:38" ht="16.899999999999999">
      <c r="A7" s="2">
        <v>5</v>
      </c>
    </row>
    <row r="8" spans="1:38" ht="16.899999999999999">
      <c r="A8" s="2">
        <v>6</v>
      </c>
    </row>
    <row r="9" spans="1:38" ht="16.899999999999999">
      <c r="A9" s="2">
        <v>7</v>
      </c>
    </row>
    <row r="10" spans="1:38" ht="16.899999999999999">
      <c r="A10" s="2">
        <v>8</v>
      </c>
    </row>
    <row r="11" spans="1:38" ht="16.899999999999999">
      <c r="A11" s="2">
        <v>9</v>
      </c>
    </row>
    <row r="12" spans="1:38" ht="16.899999999999999">
      <c r="A12" s="2">
        <v>10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/>
  <dimension ref="A1:AL63"/>
  <sheetViews>
    <sheetView workbookViewId="0"/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4.3984375" bestFit="1" customWidth="1"/>
    <col min="5" max="5" width="29.59765625" bestFit="1" customWidth="1"/>
    <col min="6" max="6" width="12" customWidth="1"/>
    <col min="7" max="7" width="12.1328125" bestFit="1" customWidth="1"/>
    <col min="8" max="8" width="12.1328125" customWidth="1"/>
    <col min="9" max="9" width="16.3984375" customWidth="1"/>
    <col min="10" max="11" width="18.86328125" customWidth="1"/>
    <col min="12" max="12" width="20.73046875" customWidth="1"/>
    <col min="13" max="13" width="17" customWidth="1"/>
    <col min="14" max="14" width="37.73046875" customWidth="1"/>
    <col min="15" max="15" width="20.73046875" customWidth="1"/>
    <col min="16" max="16" width="21.3984375" bestFit="1" customWidth="1"/>
    <col min="17" max="17" width="35.73046875" bestFit="1" customWidth="1"/>
    <col min="18" max="18" width="34.3984375" customWidth="1"/>
    <col min="19" max="19" width="33.265625" bestFit="1" customWidth="1"/>
    <col min="20" max="20" width="22.73046875" bestFit="1" customWidth="1"/>
    <col min="21" max="21" width="14" bestFit="1" customWidth="1"/>
    <col min="22" max="22" width="22.59765625" bestFit="1" customWidth="1"/>
    <col min="23" max="23" width="8.1328125" bestFit="1" customWidth="1"/>
    <col min="24" max="25" width="9.59765625" bestFit="1" customWidth="1"/>
    <col min="26" max="26" width="8.1328125" bestFit="1" customWidth="1"/>
    <col min="27" max="27" width="5.59765625" customWidth="1"/>
    <col min="28" max="28" width="3.265625" customWidth="1"/>
    <col min="29" max="29" width="16.265625" bestFit="1" customWidth="1"/>
    <col min="30" max="30" width="30.265625" customWidth="1"/>
    <col min="31" max="31" width="5.59765625" customWidth="1"/>
    <col min="32" max="32" width="14" bestFit="1" customWidth="1"/>
    <col min="33" max="33" width="9.59765625" bestFit="1" customWidth="1"/>
    <col min="34" max="34" width="8.1328125" bestFit="1" customWidth="1"/>
    <col min="35" max="38" width="7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899999999999999">
      <c r="A2" s="3">
        <v>0</v>
      </c>
      <c r="B2" s="113" t="s">
        <v>160</v>
      </c>
      <c r="C2" s="114" t="s">
        <v>161</v>
      </c>
      <c r="D2" s="114" t="s">
        <v>162</v>
      </c>
      <c r="E2" s="114" t="s">
        <v>163</v>
      </c>
      <c r="F2" s="114" t="s">
        <v>164</v>
      </c>
      <c r="G2" s="114" t="s">
        <v>165</v>
      </c>
      <c r="H2" s="114" t="s">
        <v>166</v>
      </c>
      <c r="I2" s="114" t="s">
        <v>167</v>
      </c>
      <c r="J2" s="114" t="s">
        <v>205</v>
      </c>
      <c r="K2" s="114" t="s">
        <v>168</v>
      </c>
      <c r="L2" s="114" t="s">
        <v>197</v>
      </c>
      <c r="M2" s="114" t="s">
        <v>169</v>
      </c>
      <c r="N2" s="114" t="s">
        <v>170</v>
      </c>
      <c r="O2" s="115" t="s">
        <v>171</v>
      </c>
      <c r="P2" s="115" t="s">
        <v>172</v>
      </c>
      <c r="Q2" s="115" t="s">
        <v>173</v>
      </c>
      <c r="R2" s="149" t="s">
        <v>174</v>
      </c>
      <c r="S2" s="116" t="s">
        <v>175</v>
      </c>
      <c r="T2" s="117" t="s">
        <v>176</v>
      </c>
      <c r="U2" s="117" t="s">
        <v>177</v>
      </c>
      <c r="V2" s="118" t="s">
        <v>178</v>
      </c>
      <c r="W2" s="116" t="s">
        <v>179</v>
      </c>
    </row>
    <row r="3" spans="1:38" ht="16.899999999999999">
      <c r="A3" s="2">
        <v>1</v>
      </c>
      <c r="B3" s="119" t="s">
        <v>341</v>
      </c>
      <c r="C3" s="120"/>
      <c r="D3" s="121">
        <v>1</v>
      </c>
      <c r="E3" s="122" t="s">
        <v>340</v>
      </c>
      <c r="F3" s="122" t="s">
        <v>257</v>
      </c>
      <c r="G3" s="122" t="s">
        <v>325</v>
      </c>
      <c r="H3" s="122" t="s">
        <v>319</v>
      </c>
      <c r="I3" s="122" t="s">
        <v>258</v>
      </c>
      <c r="J3" s="122" t="s">
        <v>259</v>
      </c>
      <c r="K3" s="123">
        <v>3</v>
      </c>
      <c r="L3" s="123" t="s">
        <v>260</v>
      </c>
      <c r="M3" s="123" t="s">
        <v>316</v>
      </c>
      <c r="N3" s="124"/>
      <c r="O3" s="146" t="s">
        <v>318</v>
      </c>
      <c r="P3" s="147" t="s">
        <v>261</v>
      </c>
      <c r="Q3" s="148" t="s">
        <v>262</v>
      </c>
      <c r="R3" s="125" t="str">
        <f t="shared" ref="R3:R17" si="0">P3&amp; "/" &amp;Q3</f>
        <v>신한은행/605-2241-148731</v>
      </c>
      <c r="S3" s="125" t="str">
        <f>IF(OR(MID(G3, 8, 1) = "3", MOD(MID(G3, 8, 1), 2) = 1), "남", "여")</f>
        <v>남</v>
      </c>
      <c r="T3" s="125" t="str">
        <f>LEFT(G3, 6)</f>
        <v>900699</v>
      </c>
      <c r="U3" s="125" t="str">
        <f>IF(VALUE(MID(G3, 8, 1)) &lt;= 2, "19" &amp; LEFT(G3, 2), "20" &amp; LEFT(G3, 2))</f>
        <v>1990</v>
      </c>
      <c r="V3" s="125">
        <f ca="1">YEAR(TODAY()) - VALUE(IF(VALUE(MID(G3, 8, 1)) &lt;= 2, "19" &amp; LEFT(G3, 2), "20" &amp; LEFT(G3, 2)))</f>
        <v>34</v>
      </c>
      <c r="W3" s="125" t="str">
        <f>IF(OR(ISNUMBER(SEARCH("서울", O3)), ISNUMBER(SEARCH("인천", O3)), ISNUMBER(SEARCH("경기", O3))), "수도권",
   IF(OR(ISNUMBER(SEARCH("부산", O3)), ISNUMBER(SEARCH("대구", O3)), ISNUMBER(SEARCH("울산", O3)), ISNUMBER(SEARCH("경북", O3)), ISNUMBER(SEARCH("경남", O3)), ISNUMBER(SEARCH("양산", O3)), ISNUMBER(SEARCH("김해", O3)), ISNUMBER(SEARCH("창원", O3)), ISNUMBER(SEARCH("경상북도", O3)), ISNUMBER(SEARCH("경상남도", O3))), "경상권",
   IF(OR(ISNUMBER(SEARCH("광주", O3)), ISNUMBER(SEARCH("전북", O3)), ISNUMBER(SEARCH("전남", O3)), ISNUMBER(SEARCH("전라북도", O3)), ISNUMBER(SEARCH("전라남도", O3))), "호남권",
   IF(OR(ISNUMBER(SEARCH("대전", O3)), ISNUMBER(SEARCH("충북", O3)), ISNUMBER(SEARCH("세종", O3)), ISNUMBER(SEARCH("충남", O3)), ISNUMBER(SEARCH("충청북도", O3)), ISNUMBER(SEARCH("충청남도", O3))), "충청권",
   IF(ISNUMBER(SEARCH("강원", O3)), "강원권",
   IF(ISNUMBER(SEARCH("제주", O3)), "제주"))))))</f>
        <v>경상권</v>
      </c>
    </row>
    <row r="4" spans="1:38" ht="16.899999999999999">
      <c r="A4" s="2">
        <v>2</v>
      </c>
      <c r="B4" s="119" t="s">
        <v>341</v>
      </c>
      <c r="C4" s="127"/>
      <c r="D4" s="121">
        <v>2</v>
      </c>
      <c r="E4" s="122" t="s">
        <v>340</v>
      </c>
      <c r="F4" s="126" t="s">
        <v>263</v>
      </c>
      <c r="G4" s="126" t="s">
        <v>326</v>
      </c>
      <c r="H4" s="122" t="s">
        <v>319</v>
      </c>
      <c r="I4" s="126" t="s">
        <v>264</v>
      </c>
      <c r="J4" s="126" t="s">
        <v>259</v>
      </c>
      <c r="K4" s="123">
        <v>3</v>
      </c>
      <c r="L4" s="123" t="s">
        <v>260</v>
      </c>
      <c r="M4" s="123" t="s">
        <v>315</v>
      </c>
      <c r="N4" s="124"/>
      <c r="O4" s="146" t="s">
        <v>265</v>
      </c>
      <c r="P4" s="147" t="s">
        <v>181</v>
      </c>
      <c r="Q4" s="148" t="s">
        <v>266</v>
      </c>
      <c r="R4" s="125" t="str">
        <f t="shared" si="0"/>
        <v>국민은행/296-6536-108357</v>
      </c>
      <c r="S4" s="125" t="str">
        <f t="shared" ref="S4:S17" si="1">IF(OR(MID(G4, 8, 1) = "3", MOD(MID(G4, 8, 1), 2) = 1), "남", "여")</f>
        <v>여</v>
      </c>
      <c r="T4" s="125" t="str">
        <f t="shared" ref="T4:T17" si="2">LEFT(G4, 6)</f>
        <v>950499</v>
      </c>
      <c r="U4" s="125" t="str">
        <f t="shared" ref="U4:U17" si="3">IF(VALUE(MID(G4, 8, 1)) &lt;= 2, "19" &amp; LEFT(G4, 2), "20" &amp; LEFT(G4, 2))</f>
        <v>1995</v>
      </c>
      <c r="V4" s="125">
        <f t="shared" ref="V4:V17" ca="1" si="4">YEAR(TODAY()) - VALUE(IF(VALUE(MID(G4, 8, 1)) &lt;= 2, "19" &amp; LEFT(G4, 2), "20" &amp; LEFT(G4, 2)))</f>
        <v>29</v>
      </c>
      <c r="W4" s="125" t="str">
        <f t="shared" ref="W4:W17" si="5">IF(OR(ISNUMBER(SEARCH("서울", O4)), ISNUMBER(SEARCH("인천", O4)), ISNUMBER(SEARCH("경기", O4))), "수도권",
   IF(OR(ISNUMBER(SEARCH("부산", O4)), ISNUMBER(SEARCH("대구", O4)), ISNUMBER(SEARCH("울산", O4)), ISNUMBER(SEARCH("경북", O4)), ISNUMBER(SEARCH("경남", O4)), ISNUMBER(SEARCH("양산", O4)), ISNUMBER(SEARCH("김해", O4)), ISNUMBER(SEARCH("창원", O4)), ISNUMBER(SEARCH("경상북도", O4)), ISNUMBER(SEARCH("경상남도", O4))), "경상권",
   IF(OR(ISNUMBER(SEARCH("광주", O4)), ISNUMBER(SEARCH("전북", O4)), ISNUMBER(SEARCH("전남", O4)), ISNUMBER(SEARCH("전라북도", O4)), ISNUMBER(SEARCH("전라남도", O4))), "호남권",
   IF(OR(ISNUMBER(SEARCH("대전", O4)), ISNUMBER(SEARCH("충북", O4)), ISNUMBER(SEARCH("세종", O4)), ISNUMBER(SEARCH("충남", O4)), ISNUMBER(SEARCH("충청북도", O4)), ISNUMBER(SEARCH("충청남도", O4))), "충청권",
   IF(ISNUMBER(SEARCH("강원", O4)), "강원권",
   IF(ISNUMBER(SEARCH("제주", O4)), "제주"))))))</f>
        <v>경상권</v>
      </c>
    </row>
    <row r="5" spans="1:38" ht="16.899999999999999">
      <c r="A5" s="2">
        <v>3</v>
      </c>
      <c r="B5" s="119" t="s">
        <v>341</v>
      </c>
      <c r="C5" s="127"/>
      <c r="D5" s="121">
        <v>3</v>
      </c>
      <c r="E5" s="122" t="s">
        <v>340</v>
      </c>
      <c r="F5" s="126" t="s">
        <v>267</v>
      </c>
      <c r="G5" s="126" t="s">
        <v>327</v>
      </c>
      <c r="H5" s="122" t="s">
        <v>319</v>
      </c>
      <c r="I5" s="126" t="s">
        <v>268</v>
      </c>
      <c r="J5" s="126" t="s">
        <v>256</v>
      </c>
      <c r="K5" s="123">
        <v>2</v>
      </c>
      <c r="L5" s="123" t="s">
        <v>269</v>
      </c>
      <c r="M5" s="123" t="s">
        <v>270</v>
      </c>
      <c r="N5" s="124" t="s">
        <v>271</v>
      </c>
      <c r="O5" s="146" t="s">
        <v>317</v>
      </c>
      <c r="P5" s="147" t="s">
        <v>261</v>
      </c>
      <c r="Q5" s="148" t="s">
        <v>272</v>
      </c>
      <c r="R5" s="125" t="str">
        <f t="shared" si="0"/>
        <v>신한은행/309-4311-417843</v>
      </c>
      <c r="S5" s="125" t="str">
        <f>IF(OR(MID(G5, 8, 1) = "3", MOD(MID(G5, 8, 1), 2) = 1), "남", "여")</f>
        <v>여</v>
      </c>
      <c r="T5" s="125" t="str">
        <f t="shared" si="2"/>
        <v>960399</v>
      </c>
      <c r="U5" s="125" t="str">
        <f t="shared" si="3"/>
        <v>1996</v>
      </c>
      <c r="V5" s="125">
        <f t="shared" ca="1" si="4"/>
        <v>28</v>
      </c>
      <c r="W5" s="125" t="str">
        <f t="shared" si="5"/>
        <v>경상권</v>
      </c>
    </row>
    <row r="6" spans="1:38" ht="16.899999999999999">
      <c r="A6" s="2">
        <v>4</v>
      </c>
      <c r="B6" s="119" t="s">
        <v>341</v>
      </c>
      <c r="C6" s="127"/>
      <c r="D6" s="121">
        <v>4</v>
      </c>
      <c r="E6" s="122" t="s">
        <v>340</v>
      </c>
      <c r="F6" s="126" t="s">
        <v>273</v>
      </c>
      <c r="G6" s="126" t="s">
        <v>328</v>
      </c>
      <c r="H6" s="122" t="s">
        <v>319</v>
      </c>
      <c r="I6" s="126" t="s">
        <v>274</v>
      </c>
      <c r="J6" s="126" t="s">
        <v>256</v>
      </c>
      <c r="K6" s="123">
        <v>2</v>
      </c>
      <c r="L6" s="123" t="s">
        <v>269</v>
      </c>
      <c r="M6" s="123" t="s">
        <v>270</v>
      </c>
      <c r="N6" s="124" t="s">
        <v>275</v>
      </c>
      <c r="O6" s="146" t="s">
        <v>265</v>
      </c>
      <c r="P6" s="147" t="s">
        <v>261</v>
      </c>
      <c r="Q6" s="148" t="s">
        <v>276</v>
      </c>
      <c r="R6" s="125" t="str">
        <f t="shared" si="0"/>
        <v>신한은행/916-4781-629387</v>
      </c>
      <c r="S6" s="125" t="str">
        <f t="shared" si="1"/>
        <v>남</v>
      </c>
      <c r="T6" s="125" t="str">
        <f t="shared" si="2"/>
        <v>930699</v>
      </c>
      <c r="U6" s="125" t="str">
        <f t="shared" si="3"/>
        <v>1993</v>
      </c>
      <c r="V6" s="125">
        <f t="shared" ca="1" si="4"/>
        <v>31</v>
      </c>
      <c r="W6" s="125" t="str">
        <f t="shared" si="5"/>
        <v>경상권</v>
      </c>
    </row>
    <row r="7" spans="1:38" ht="16.899999999999999">
      <c r="A7" s="2">
        <v>5</v>
      </c>
      <c r="B7" s="119" t="s">
        <v>341</v>
      </c>
      <c r="C7" s="127"/>
      <c r="D7" s="121">
        <v>5</v>
      </c>
      <c r="E7" s="122" t="s">
        <v>340</v>
      </c>
      <c r="F7" s="126" t="s">
        <v>257</v>
      </c>
      <c r="G7" s="126" t="s">
        <v>339</v>
      </c>
      <c r="H7" s="122" t="s">
        <v>319</v>
      </c>
      <c r="I7" s="126" t="s">
        <v>258</v>
      </c>
      <c r="J7" s="126" t="s">
        <v>277</v>
      </c>
      <c r="K7" s="123">
        <v>4</v>
      </c>
      <c r="L7" s="123" t="s">
        <v>260</v>
      </c>
      <c r="M7" s="123" t="s">
        <v>278</v>
      </c>
      <c r="N7" s="124" t="s">
        <v>279</v>
      </c>
      <c r="O7" s="146" t="s">
        <v>318</v>
      </c>
      <c r="P7" s="147" t="s">
        <v>280</v>
      </c>
      <c r="Q7" s="148" t="s">
        <v>281</v>
      </c>
      <c r="R7" s="125" t="str">
        <f t="shared" si="0"/>
        <v>우리은행/165-6075-449479</v>
      </c>
      <c r="S7" s="125" t="str">
        <f t="shared" si="1"/>
        <v>남</v>
      </c>
      <c r="T7" s="125" t="str">
        <f t="shared" si="2"/>
        <v>020699</v>
      </c>
      <c r="U7" s="125" t="str">
        <f t="shared" si="3"/>
        <v>2002</v>
      </c>
      <c r="V7" s="125">
        <f t="shared" ca="1" si="4"/>
        <v>22</v>
      </c>
      <c r="W7" s="125" t="str">
        <f t="shared" si="5"/>
        <v>경상권</v>
      </c>
    </row>
    <row r="8" spans="1:38" ht="16.899999999999999">
      <c r="A8" s="2">
        <v>6</v>
      </c>
      <c r="B8" s="119" t="s">
        <v>341</v>
      </c>
      <c r="C8" s="127"/>
      <c r="D8" s="121">
        <v>6</v>
      </c>
      <c r="E8" s="122" t="s">
        <v>340</v>
      </c>
      <c r="F8" s="126" t="s">
        <v>282</v>
      </c>
      <c r="G8" s="126" t="s">
        <v>329</v>
      </c>
      <c r="H8" s="122" t="s">
        <v>319</v>
      </c>
      <c r="I8" s="126" t="s">
        <v>283</v>
      </c>
      <c r="J8" s="126" t="s">
        <v>256</v>
      </c>
      <c r="K8" s="123">
        <v>1</v>
      </c>
      <c r="L8" s="123" t="s">
        <v>284</v>
      </c>
      <c r="M8" s="123" t="s">
        <v>270</v>
      </c>
      <c r="N8" s="124" t="s">
        <v>285</v>
      </c>
      <c r="O8" s="146" t="s">
        <v>265</v>
      </c>
      <c r="P8" s="147" t="s">
        <v>286</v>
      </c>
      <c r="Q8" s="148" t="s">
        <v>287</v>
      </c>
      <c r="R8" s="125" t="str">
        <f t="shared" si="0"/>
        <v>농협/894-4629-468857</v>
      </c>
      <c r="S8" s="125" t="str">
        <f t="shared" si="1"/>
        <v>남</v>
      </c>
      <c r="T8" s="125" t="str">
        <f t="shared" si="2"/>
        <v>930899</v>
      </c>
      <c r="U8" s="125" t="str">
        <f t="shared" si="3"/>
        <v>1993</v>
      </c>
      <c r="V8" s="125">
        <f t="shared" ca="1" si="4"/>
        <v>31</v>
      </c>
      <c r="W8" s="125" t="str">
        <f t="shared" si="5"/>
        <v>경상권</v>
      </c>
    </row>
    <row r="9" spans="1:38" ht="16.899999999999999">
      <c r="A9" s="2">
        <v>7</v>
      </c>
      <c r="B9" s="119" t="s">
        <v>341</v>
      </c>
      <c r="C9" s="127"/>
      <c r="D9" s="121">
        <v>7</v>
      </c>
      <c r="E9" s="122" t="s">
        <v>340</v>
      </c>
      <c r="F9" s="126" t="s">
        <v>288</v>
      </c>
      <c r="G9" s="126" t="s">
        <v>338</v>
      </c>
      <c r="H9" s="122" t="s">
        <v>319</v>
      </c>
      <c r="I9" s="126" t="s">
        <v>289</v>
      </c>
      <c r="J9" s="126" t="s">
        <v>290</v>
      </c>
      <c r="K9" s="123">
        <v>2</v>
      </c>
      <c r="L9" s="123" t="s">
        <v>284</v>
      </c>
      <c r="M9" s="123" t="s">
        <v>270</v>
      </c>
      <c r="N9" s="124" t="s">
        <v>291</v>
      </c>
      <c r="O9" s="146" t="s">
        <v>318</v>
      </c>
      <c r="P9" s="147" t="s">
        <v>286</v>
      </c>
      <c r="Q9" s="148" t="s">
        <v>292</v>
      </c>
      <c r="R9" s="125" t="str">
        <f t="shared" si="0"/>
        <v>농협/273-7528-862196</v>
      </c>
      <c r="S9" s="125" t="str">
        <f t="shared" si="1"/>
        <v>남</v>
      </c>
      <c r="T9" s="125" t="str">
        <f t="shared" si="2"/>
        <v>001199</v>
      </c>
      <c r="U9" s="125" t="str">
        <f t="shared" si="3"/>
        <v>2000</v>
      </c>
      <c r="V9" s="125">
        <f t="shared" ca="1" si="4"/>
        <v>24</v>
      </c>
      <c r="W9" s="125" t="str">
        <f t="shared" si="5"/>
        <v>경상권</v>
      </c>
    </row>
    <row r="10" spans="1:38" ht="16.899999999999999">
      <c r="A10" s="2">
        <v>8</v>
      </c>
      <c r="B10" s="119" t="s">
        <v>341</v>
      </c>
      <c r="C10" s="127"/>
      <c r="D10" s="121">
        <v>8</v>
      </c>
      <c r="E10" s="122" t="s">
        <v>340</v>
      </c>
      <c r="F10" s="126" t="s">
        <v>293</v>
      </c>
      <c r="G10" s="126" t="s">
        <v>330</v>
      </c>
      <c r="H10" s="122" t="s">
        <v>319</v>
      </c>
      <c r="I10" s="126" t="s">
        <v>294</v>
      </c>
      <c r="J10" s="126" t="s">
        <v>277</v>
      </c>
      <c r="K10" s="123">
        <v>4</v>
      </c>
      <c r="L10" s="123" t="s">
        <v>269</v>
      </c>
      <c r="M10" s="123" t="s">
        <v>278</v>
      </c>
      <c r="N10" s="124" t="s">
        <v>285</v>
      </c>
      <c r="O10" s="146" t="s">
        <v>317</v>
      </c>
      <c r="P10" s="147" t="s">
        <v>280</v>
      </c>
      <c r="Q10" s="148" t="s">
        <v>295</v>
      </c>
      <c r="R10" s="125" t="str">
        <f t="shared" si="0"/>
        <v>우리은행/295-1855-371274</v>
      </c>
      <c r="S10" s="125" t="str">
        <f t="shared" si="1"/>
        <v>남</v>
      </c>
      <c r="T10" s="125" t="str">
        <f t="shared" si="2"/>
        <v>920699</v>
      </c>
      <c r="U10" s="125" t="str">
        <f t="shared" si="3"/>
        <v>1992</v>
      </c>
      <c r="V10" s="125">
        <f t="shared" ca="1" si="4"/>
        <v>32</v>
      </c>
      <c r="W10" s="125" t="str">
        <f t="shared" si="5"/>
        <v>경상권</v>
      </c>
    </row>
    <row r="11" spans="1:38" ht="16.899999999999999">
      <c r="A11" s="2">
        <v>9</v>
      </c>
      <c r="B11" s="119" t="s">
        <v>341</v>
      </c>
      <c r="C11" s="127"/>
      <c r="D11" s="121">
        <v>9</v>
      </c>
      <c r="E11" s="122" t="s">
        <v>340</v>
      </c>
      <c r="F11" s="126" t="s">
        <v>282</v>
      </c>
      <c r="G11" s="126" t="s">
        <v>331</v>
      </c>
      <c r="H11" s="122" t="s">
        <v>319</v>
      </c>
      <c r="I11" s="126" t="s">
        <v>296</v>
      </c>
      <c r="J11" s="126" t="s">
        <v>290</v>
      </c>
      <c r="K11" s="123">
        <v>2</v>
      </c>
      <c r="L11" s="123" t="s">
        <v>269</v>
      </c>
      <c r="M11" s="123" t="s">
        <v>278</v>
      </c>
      <c r="N11" s="124" t="s">
        <v>285</v>
      </c>
      <c r="O11" s="146" t="s">
        <v>318</v>
      </c>
      <c r="P11" s="147" t="s">
        <v>297</v>
      </c>
      <c r="Q11" s="148" t="s">
        <v>298</v>
      </c>
      <c r="R11" s="125" t="str">
        <f t="shared" si="0"/>
        <v>하나은행/869-2828-526225</v>
      </c>
      <c r="S11" s="125" t="str">
        <f t="shared" si="1"/>
        <v>여</v>
      </c>
      <c r="T11" s="125" t="str">
        <f t="shared" si="2"/>
        <v>900699</v>
      </c>
      <c r="U11" s="125" t="str">
        <f t="shared" si="3"/>
        <v>1990</v>
      </c>
      <c r="V11" s="125">
        <f t="shared" ca="1" si="4"/>
        <v>34</v>
      </c>
      <c r="W11" s="125" t="str">
        <f t="shared" si="5"/>
        <v>경상권</v>
      </c>
    </row>
    <row r="12" spans="1:38" ht="16.899999999999999">
      <c r="A12" s="2">
        <v>10</v>
      </c>
      <c r="B12" s="119" t="s">
        <v>341</v>
      </c>
      <c r="C12" s="127"/>
      <c r="D12" s="121">
        <v>10</v>
      </c>
      <c r="E12" s="122" t="s">
        <v>340</v>
      </c>
      <c r="F12" s="126" t="s">
        <v>299</v>
      </c>
      <c r="G12" s="126" t="s">
        <v>332</v>
      </c>
      <c r="H12" s="122" t="s">
        <v>319</v>
      </c>
      <c r="I12" s="126" t="s">
        <v>300</v>
      </c>
      <c r="J12" s="126" t="s">
        <v>277</v>
      </c>
      <c r="K12" s="123">
        <v>3</v>
      </c>
      <c r="L12" s="123" t="s">
        <v>269</v>
      </c>
      <c r="M12" s="123" t="s">
        <v>301</v>
      </c>
      <c r="N12" s="124" t="s">
        <v>271</v>
      </c>
      <c r="O12" s="146" t="s">
        <v>265</v>
      </c>
      <c r="P12" s="147" t="s">
        <v>286</v>
      </c>
      <c r="Q12" s="148" t="s">
        <v>302</v>
      </c>
      <c r="R12" s="125" t="str">
        <f t="shared" si="0"/>
        <v>농협/954-9797-760181</v>
      </c>
      <c r="S12" s="125" t="str">
        <f t="shared" si="1"/>
        <v>남</v>
      </c>
      <c r="T12" s="125" t="str">
        <f t="shared" si="2"/>
        <v>900799</v>
      </c>
      <c r="U12" s="125" t="str">
        <f t="shared" si="3"/>
        <v>1990</v>
      </c>
      <c r="V12" s="125">
        <f t="shared" ca="1" si="4"/>
        <v>34</v>
      </c>
      <c r="W12" s="125" t="str">
        <f t="shared" si="5"/>
        <v>경상권</v>
      </c>
    </row>
    <row r="13" spans="1:38" ht="16.899999999999999">
      <c r="A13" s="2">
        <v>11</v>
      </c>
      <c r="B13" s="119" t="s">
        <v>341</v>
      </c>
      <c r="C13" s="127"/>
      <c r="D13" s="121">
        <v>11</v>
      </c>
      <c r="E13" s="122" t="s">
        <v>340</v>
      </c>
      <c r="F13" s="126" t="s">
        <v>263</v>
      </c>
      <c r="G13" s="126" t="s">
        <v>333</v>
      </c>
      <c r="H13" s="122" t="s">
        <v>319</v>
      </c>
      <c r="I13" s="126" t="s">
        <v>264</v>
      </c>
      <c r="J13" s="126" t="s">
        <v>256</v>
      </c>
      <c r="K13" s="123">
        <v>2</v>
      </c>
      <c r="L13" s="123" t="s">
        <v>260</v>
      </c>
      <c r="M13" s="123" t="s">
        <v>303</v>
      </c>
      <c r="N13" s="124" t="s">
        <v>279</v>
      </c>
      <c r="O13" s="147" t="s">
        <v>324</v>
      </c>
      <c r="P13" s="147" t="s">
        <v>261</v>
      </c>
      <c r="Q13" s="148" t="s">
        <v>304</v>
      </c>
      <c r="R13" s="125" t="str">
        <f t="shared" si="0"/>
        <v>신한은행/129-2235-418768</v>
      </c>
      <c r="S13" s="125" t="str">
        <f t="shared" si="1"/>
        <v>남</v>
      </c>
      <c r="T13" s="125" t="str">
        <f t="shared" si="2"/>
        <v>910699</v>
      </c>
      <c r="U13" s="125" t="str">
        <f t="shared" si="3"/>
        <v>1991</v>
      </c>
      <c r="V13" s="125">
        <f t="shared" ca="1" si="4"/>
        <v>33</v>
      </c>
      <c r="W13" s="125" t="str">
        <f t="shared" si="5"/>
        <v>제주</v>
      </c>
    </row>
    <row r="14" spans="1:38" ht="16.899999999999999">
      <c r="A14" s="2">
        <v>12</v>
      </c>
      <c r="B14" s="119" t="s">
        <v>341</v>
      </c>
      <c r="C14" s="127"/>
      <c r="D14" s="121">
        <v>12</v>
      </c>
      <c r="E14" s="122" t="s">
        <v>340</v>
      </c>
      <c r="F14" s="126" t="s">
        <v>305</v>
      </c>
      <c r="G14" s="126" t="s">
        <v>337</v>
      </c>
      <c r="H14" s="122" t="s">
        <v>319</v>
      </c>
      <c r="I14" s="126" t="s">
        <v>306</v>
      </c>
      <c r="J14" s="126" t="s">
        <v>256</v>
      </c>
      <c r="K14" s="123">
        <v>1</v>
      </c>
      <c r="L14" s="123" t="s">
        <v>284</v>
      </c>
      <c r="M14" s="123" t="s">
        <v>270</v>
      </c>
      <c r="N14" s="124" t="s">
        <v>291</v>
      </c>
      <c r="O14" s="151" t="s">
        <v>323</v>
      </c>
      <c r="P14" s="147" t="s">
        <v>280</v>
      </c>
      <c r="Q14" s="148" t="s">
        <v>307</v>
      </c>
      <c r="R14" s="125" t="str">
        <f t="shared" si="0"/>
        <v>우리은행/404-5984-950896</v>
      </c>
      <c r="S14" s="125" t="str">
        <f t="shared" si="1"/>
        <v>여</v>
      </c>
      <c r="T14" s="125" t="str">
        <f t="shared" si="2"/>
        <v>000899</v>
      </c>
      <c r="U14" s="125" t="str">
        <f t="shared" si="3"/>
        <v>2000</v>
      </c>
      <c r="V14" s="125">
        <f ca="1">YEAR(TODAY()) - VALUE(IF(VALUE(MID(G14, 8, 1)) &lt;= 2, "19" &amp; LEFT(G14, 2), "20" &amp; LEFT(G14, 2)))</f>
        <v>24</v>
      </c>
      <c r="W14" s="125" t="str">
        <f t="shared" si="5"/>
        <v>충청권</v>
      </c>
    </row>
    <row r="15" spans="1:38" ht="16.899999999999999">
      <c r="A15" s="2">
        <v>13</v>
      </c>
      <c r="B15" s="119" t="s">
        <v>341</v>
      </c>
      <c r="C15" s="127"/>
      <c r="D15" s="121">
        <v>13</v>
      </c>
      <c r="E15" s="122" t="s">
        <v>340</v>
      </c>
      <c r="F15" s="126" t="s">
        <v>308</v>
      </c>
      <c r="G15" s="126" t="s">
        <v>334</v>
      </c>
      <c r="H15" s="122" t="s">
        <v>319</v>
      </c>
      <c r="I15" s="126" t="s">
        <v>309</v>
      </c>
      <c r="J15" s="126" t="s">
        <v>256</v>
      </c>
      <c r="K15" s="123">
        <v>2</v>
      </c>
      <c r="L15" s="123" t="s">
        <v>269</v>
      </c>
      <c r="M15" s="123" t="s">
        <v>270</v>
      </c>
      <c r="N15" s="124" t="s">
        <v>279</v>
      </c>
      <c r="O15" s="147" t="s">
        <v>322</v>
      </c>
      <c r="P15" s="147" t="s">
        <v>286</v>
      </c>
      <c r="Q15" s="148" t="s">
        <v>310</v>
      </c>
      <c r="R15" s="125" t="str">
        <f t="shared" si="0"/>
        <v>농협/756-6616-606584</v>
      </c>
      <c r="S15" s="125" t="str">
        <f t="shared" si="1"/>
        <v>여</v>
      </c>
      <c r="T15" s="125" t="str">
        <f t="shared" si="2"/>
        <v>921299</v>
      </c>
      <c r="U15" s="125" t="str">
        <f t="shared" si="3"/>
        <v>1992</v>
      </c>
      <c r="V15" s="125">
        <f t="shared" ca="1" si="4"/>
        <v>32</v>
      </c>
      <c r="W15" s="125" t="str">
        <f t="shared" si="5"/>
        <v>경상권</v>
      </c>
    </row>
    <row r="16" spans="1:38" ht="16.899999999999999">
      <c r="A16" s="2">
        <v>14</v>
      </c>
      <c r="B16" s="119" t="s">
        <v>341</v>
      </c>
      <c r="C16" s="395"/>
      <c r="D16" s="121">
        <v>14</v>
      </c>
      <c r="E16" s="122" t="s">
        <v>340</v>
      </c>
      <c r="F16" s="126" t="s">
        <v>288</v>
      </c>
      <c r="G16" s="126" t="s">
        <v>335</v>
      </c>
      <c r="H16" s="122" t="s">
        <v>319</v>
      </c>
      <c r="I16" s="126" t="s">
        <v>289</v>
      </c>
      <c r="J16" s="126" t="s">
        <v>290</v>
      </c>
      <c r="K16" s="123">
        <v>2</v>
      </c>
      <c r="L16" s="123" t="s">
        <v>269</v>
      </c>
      <c r="M16" s="123" t="s">
        <v>278</v>
      </c>
      <c r="N16" s="124" t="s">
        <v>275</v>
      </c>
      <c r="O16" s="146" t="s">
        <v>321</v>
      </c>
      <c r="P16" s="147" t="s">
        <v>297</v>
      </c>
      <c r="Q16" s="148" t="s">
        <v>311</v>
      </c>
      <c r="R16" s="125" t="str">
        <f t="shared" si="0"/>
        <v>하나은행/588-1300-685386</v>
      </c>
      <c r="S16" s="125" t="str">
        <f t="shared" si="1"/>
        <v>남</v>
      </c>
      <c r="T16" s="125" t="str">
        <f t="shared" si="2"/>
        <v>901199</v>
      </c>
      <c r="U16" s="125" t="str">
        <f t="shared" si="3"/>
        <v>1990</v>
      </c>
      <c r="V16" s="125">
        <f t="shared" ca="1" si="4"/>
        <v>34</v>
      </c>
      <c r="W16" s="125" t="str">
        <f t="shared" si="5"/>
        <v>호남권</v>
      </c>
    </row>
    <row r="17" spans="1:23" ht="16.899999999999999">
      <c r="A17" s="2">
        <v>15</v>
      </c>
      <c r="B17" s="126" t="s">
        <v>341</v>
      </c>
      <c r="C17" s="127"/>
      <c r="D17" s="127">
        <v>15</v>
      </c>
      <c r="E17" s="126" t="s">
        <v>340</v>
      </c>
      <c r="F17" s="126" t="s">
        <v>312</v>
      </c>
      <c r="G17" s="126" t="s">
        <v>336</v>
      </c>
      <c r="H17" s="153" t="s">
        <v>319</v>
      </c>
      <c r="I17" s="126" t="s">
        <v>313</v>
      </c>
      <c r="J17" s="126" t="s">
        <v>277</v>
      </c>
      <c r="K17" s="152">
        <v>1</v>
      </c>
      <c r="L17" s="123" t="s">
        <v>284</v>
      </c>
      <c r="M17" s="123" t="s">
        <v>301</v>
      </c>
      <c r="N17" s="124" t="s">
        <v>291</v>
      </c>
      <c r="O17" s="146" t="s">
        <v>320</v>
      </c>
      <c r="P17" s="147" t="s">
        <v>297</v>
      </c>
      <c r="Q17" s="148" t="s">
        <v>314</v>
      </c>
      <c r="R17" s="125" t="str">
        <f t="shared" si="0"/>
        <v>하나은행/694-9043-121446</v>
      </c>
      <c r="S17" s="125" t="str">
        <f t="shared" si="1"/>
        <v>남</v>
      </c>
      <c r="T17" s="125" t="str">
        <f t="shared" si="2"/>
        <v>941099</v>
      </c>
      <c r="U17" s="125" t="str">
        <f t="shared" si="3"/>
        <v>1994</v>
      </c>
      <c r="V17" s="125">
        <f t="shared" ca="1" si="4"/>
        <v>30</v>
      </c>
      <c r="W17" s="125" t="str">
        <f t="shared" si="5"/>
        <v>수도권</v>
      </c>
    </row>
    <row r="18" spans="1:23" ht="16.899999999999999">
      <c r="A18" s="2">
        <v>16</v>
      </c>
    </row>
    <row r="19" spans="1:23" ht="16.899999999999999">
      <c r="A19" s="2">
        <v>17</v>
      </c>
    </row>
    <row r="20" spans="1:23" ht="16.899999999999999">
      <c r="A20" s="2">
        <v>18</v>
      </c>
    </row>
    <row r="21" spans="1:23" ht="16.899999999999999">
      <c r="A21" s="2">
        <v>19</v>
      </c>
      <c r="G21" s="150"/>
      <c r="H21" s="150"/>
      <c r="I21" s="150"/>
      <c r="J21" s="150"/>
      <c r="K21" s="150"/>
      <c r="L21" s="150"/>
      <c r="M21" s="150"/>
      <c r="N21" s="150"/>
      <c r="O21" s="150"/>
      <c r="P21" s="150"/>
      <c r="Q21" s="150"/>
      <c r="R21" s="150"/>
    </row>
    <row r="22" spans="1:23" ht="16.899999999999999">
      <c r="A22" s="2">
        <v>20</v>
      </c>
      <c r="G22" s="150"/>
      <c r="J22" s="150"/>
      <c r="K22" s="150"/>
      <c r="M22" s="150"/>
      <c r="P22" s="150"/>
      <c r="Q22" s="150"/>
    </row>
    <row r="23" spans="1:23" ht="16.899999999999999">
      <c r="A23" s="2">
        <v>21</v>
      </c>
      <c r="G23" s="150"/>
      <c r="J23" s="150"/>
      <c r="K23" s="150"/>
      <c r="M23" s="150"/>
      <c r="P23" s="150"/>
      <c r="Q23" s="150"/>
    </row>
    <row r="24" spans="1:23" ht="16.899999999999999">
      <c r="A24" s="2">
        <v>22</v>
      </c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0"/>
      <c r="P24" s="150"/>
      <c r="Q24" s="150"/>
    </row>
    <row r="25" spans="1:23" ht="16.899999999999999">
      <c r="A25" s="2">
        <v>23</v>
      </c>
      <c r="E25" s="150"/>
      <c r="G25" s="150"/>
      <c r="H25" s="150"/>
      <c r="I25" s="150"/>
      <c r="J25" s="150"/>
      <c r="K25" s="150"/>
      <c r="L25" s="136"/>
      <c r="M25" s="150"/>
      <c r="N25" s="150"/>
      <c r="O25" s="150"/>
      <c r="P25" s="150"/>
      <c r="Q25" s="150"/>
    </row>
    <row r="26" spans="1:23" ht="16.899999999999999">
      <c r="A26" s="2">
        <v>24</v>
      </c>
      <c r="E26" s="150"/>
      <c r="G26" s="150"/>
      <c r="H26" s="150"/>
      <c r="I26" s="150"/>
      <c r="J26" s="150"/>
      <c r="K26" s="150"/>
      <c r="L26" s="145"/>
      <c r="M26" s="150"/>
      <c r="N26" s="150"/>
      <c r="O26" s="150"/>
      <c r="P26" s="150"/>
      <c r="Q26" s="150"/>
    </row>
    <row r="27" spans="1:23" ht="16.899999999999999">
      <c r="A27" s="2">
        <v>25</v>
      </c>
      <c r="E27" s="150"/>
      <c r="G27" s="150"/>
      <c r="H27" s="150"/>
      <c r="I27" s="150"/>
      <c r="J27" s="150"/>
      <c r="K27" s="150"/>
      <c r="L27" s="150"/>
      <c r="M27" s="150"/>
      <c r="N27" s="136"/>
      <c r="O27" s="150"/>
      <c r="P27" s="150"/>
      <c r="Q27" s="150"/>
    </row>
    <row r="28" spans="1:23" ht="16.899999999999999">
      <c r="A28" s="2">
        <v>26</v>
      </c>
      <c r="E28" s="150"/>
      <c r="G28" s="150"/>
      <c r="H28" s="150"/>
      <c r="I28" s="150"/>
      <c r="J28" s="150"/>
      <c r="K28" s="150"/>
      <c r="L28" s="150"/>
      <c r="M28" s="150"/>
      <c r="N28" s="150"/>
      <c r="O28" s="150"/>
      <c r="P28" s="150"/>
      <c r="Q28" s="150"/>
    </row>
    <row r="29" spans="1:23" ht="16.899999999999999">
      <c r="A29" s="2">
        <v>27</v>
      </c>
      <c r="E29" s="150"/>
      <c r="G29" s="150"/>
      <c r="H29" s="150"/>
      <c r="I29" s="150"/>
      <c r="J29" s="150"/>
      <c r="K29" s="150"/>
      <c r="L29" s="150"/>
      <c r="M29" s="150"/>
      <c r="N29" s="150"/>
      <c r="O29" s="150"/>
      <c r="P29" s="150"/>
      <c r="Q29" s="150"/>
    </row>
    <row r="30" spans="1:23" ht="16.899999999999999">
      <c r="A30" s="2">
        <v>28</v>
      </c>
      <c r="E30" s="150"/>
      <c r="G30" s="150"/>
      <c r="H30" s="150"/>
      <c r="I30" s="150"/>
      <c r="J30" s="150"/>
      <c r="K30" s="150"/>
      <c r="L30" s="150"/>
      <c r="M30" s="150"/>
      <c r="N30" s="150"/>
      <c r="O30" s="150"/>
      <c r="P30" s="150"/>
      <c r="Q30" s="150"/>
    </row>
    <row r="31" spans="1:23" ht="16.899999999999999">
      <c r="A31" s="2">
        <v>29</v>
      </c>
      <c r="E31" s="150"/>
      <c r="G31" s="150"/>
      <c r="H31" s="150"/>
      <c r="I31" s="150"/>
      <c r="J31" s="150"/>
      <c r="K31" s="150"/>
      <c r="L31" s="150"/>
      <c r="M31" s="150"/>
      <c r="N31" s="150"/>
      <c r="O31" s="150"/>
      <c r="P31" s="150"/>
      <c r="Q31" s="150"/>
    </row>
    <row r="32" spans="1:23" ht="16.899999999999999">
      <c r="A32" s="2">
        <v>30</v>
      </c>
      <c r="E32" s="150"/>
      <c r="G32" s="150"/>
      <c r="H32" s="150"/>
      <c r="I32" s="150"/>
      <c r="J32" s="150"/>
      <c r="K32" s="150"/>
      <c r="L32" s="150"/>
      <c r="M32" s="150"/>
      <c r="N32" s="136"/>
      <c r="O32" s="150"/>
      <c r="P32" s="150"/>
      <c r="Q32" s="150"/>
    </row>
    <row r="33" spans="1:17" ht="16.899999999999999">
      <c r="A33" s="2">
        <v>31</v>
      </c>
      <c r="E33" s="150"/>
      <c r="G33" s="150"/>
      <c r="H33" s="150"/>
      <c r="I33" s="150"/>
      <c r="J33" s="150"/>
      <c r="K33" s="150"/>
      <c r="L33" s="150"/>
      <c r="M33" s="150"/>
      <c r="N33" s="150"/>
      <c r="O33" s="150"/>
      <c r="P33" s="150"/>
      <c r="Q33" s="150"/>
    </row>
    <row r="34" spans="1:17" ht="16.899999999999999">
      <c r="A34" s="2">
        <v>32</v>
      </c>
      <c r="E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</row>
    <row r="35" spans="1:17" ht="16.899999999999999">
      <c r="A35" s="2">
        <v>33</v>
      </c>
      <c r="E35" s="150"/>
      <c r="G35" s="150"/>
      <c r="H35" s="150"/>
      <c r="I35" s="150"/>
      <c r="J35" s="150"/>
      <c r="K35" s="150"/>
      <c r="L35" s="150"/>
      <c r="M35" s="150"/>
      <c r="N35" s="150"/>
      <c r="O35" s="150"/>
      <c r="P35" s="150"/>
      <c r="Q35" s="150"/>
    </row>
    <row r="36" spans="1:17" ht="16.899999999999999">
      <c r="A36" s="2">
        <v>34</v>
      </c>
      <c r="E36" s="150"/>
      <c r="G36" s="150"/>
      <c r="H36" s="150"/>
      <c r="I36" s="150"/>
      <c r="J36" s="150"/>
      <c r="K36" s="150"/>
      <c r="L36" s="150"/>
      <c r="M36" s="150"/>
      <c r="N36" s="136"/>
      <c r="O36" s="150"/>
      <c r="P36" s="150"/>
      <c r="Q36" s="150"/>
    </row>
    <row r="37" spans="1:17" ht="16.899999999999999">
      <c r="A37" s="2">
        <v>35</v>
      </c>
      <c r="E37" s="150"/>
      <c r="H37" s="150"/>
      <c r="I37" s="150"/>
      <c r="K37" s="150"/>
      <c r="L37" s="150"/>
      <c r="M37" s="150"/>
      <c r="N37" s="150"/>
      <c r="O37" s="150"/>
    </row>
    <row r="38" spans="1:17" ht="16.899999999999999">
      <c r="A38" s="2">
        <v>36</v>
      </c>
      <c r="E38" s="150"/>
      <c r="H38" s="150"/>
      <c r="I38" s="150"/>
      <c r="K38" s="150"/>
      <c r="L38" s="150"/>
      <c r="M38" s="150"/>
      <c r="N38" s="136"/>
      <c r="O38" s="150"/>
    </row>
    <row r="39" spans="1:17" ht="16.899999999999999">
      <c r="A39" s="2">
        <v>37</v>
      </c>
      <c r="E39" s="150"/>
      <c r="H39" s="150"/>
      <c r="I39" s="150"/>
      <c r="K39" s="150"/>
      <c r="L39" s="150"/>
      <c r="M39" s="150"/>
      <c r="N39" s="150"/>
      <c r="O39" s="150"/>
    </row>
    <row r="40" spans="1:17" ht="16.899999999999999">
      <c r="A40" s="2">
        <v>38</v>
      </c>
    </row>
    <row r="41" spans="1:17" ht="16.899999999999999">
      <c r="A41" s="2">
        <v>39</v>
      </c>
    </row>
    <row r="42" spans="1:17" ht="16.899999999999999">
      <c r="A42" s="2">
        <v>40</v>
      </c>
    </row>
    <row r="43" spans="1:17" ht="16.899999999999999">
      <c r="A43" s="2">
        <v>41</v>
      </c>
    </row>
    <row r="44" spans="1:17" ht="16.899999999999999">
      <c r="A44" s="2">
        <v>42</v>
      </c>
    </row>
    <row r="45" spans="1:17" ht="16.899999999999999">
      <c r="A45" s="2">
        <v>43</v>
      </c>
    </row>
    <row r="46" spans="1:17" ht="16.899999999999999">
      <c r="A46" s="2">
        <v>44</v>
      </c>
    </row>
    <row r="47" spans="1:17" ht="16.899999999999999">
      <c r="A47" s="2">
        <v>45</v>
      </c>
    </row>
    <row r="48" spans="1:17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phoneticPr fontId="16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1514475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A53EC-8061-4C5C-ADE3-2163AC242321}">
  <sheetPr codeName="Sheet7"/>
  <dimension ref="A1:AL63"/>
  <sheetViews>
    <sheetView tabSelected="1" workbookViewId="0"/>
  </sheetViews>
  <sheetFormatPr defaultRowHeight="12.75"/>
  <cols>
    <col min="1" max="1" width="14" style="55" customWidth="1"/>
    <col min="2" max="2" width="19.59765625" style="55" customWidth="1"/>
    <col min="3" max="3" width="19.53125" style="55" bestFit="1" customWidth="1"/>
    <col min="4" max="4" width="38.19921875" style="55" bestFit="1" customWidth="1"/>
    <col min="5" max="6" width="9.06640625" style="55"/>
    <col min="7" max="9" width="7.1328125" style="55" customWidth="1"/>
    <col min="10" max="20" width="6.3984375" style="55" customWidth="1"/>
    <col min="21" max="27" width="9.06640625" style="55"/>
    <col min="28" max="29" width="9.06640625" style="55" customWidth="1"/>
    <col min="30" max="16384" width="9.06640625" style="55"/>
  </cols>
  <sheetData>
    <row r="1" spans="1:38" ht="23.25">
      <c r="A1" s="129" t="s">
        <v>184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7" customHeight="1">
      <c r="A2" s="131">
        <v>0</v>
      </c>
      <c r="B2" s="572" t="s">
        <v>923</v>
      </c>
      <c r="C2" s="573"/>
      <c r="D2" s="573"/>
      <c r="E2" s="48"/>
      <c r="F2" s="49"/>
      <c r="G2" s="576" t="s">
        <v>936</v>
      </c>
      <c r="H2" s="577"/>
      <c r="I2" s="577"/>
      <c r="J2" s="577"/>
      <c r="K2" s="577"/>
      <c r="L2" s="577"/>
      <c r="M2" s="577"/>
      <c r="N2" s="577"/>
      <c r="O2" s="577"/>
      <c r="P2" s="577"/>
      <c r="Q2" s="577"/>
      <c r="R2" s="577"/>
      <c r="S2" s="577"/>
      <c r="T2" s="578"/>
    </row>
    <row r="3" spans="1:38" ht="18" thickBot="1">
      <c r="A3" s="132">
        <v>1</v>
      </c>
      <c r="B3" s="382" t="s">
        <v>920</v>
      </c>
      <c r="C3" s="382" t="s">
        <v>924</v>
      </c>
      <c r="D3" s="382" t="s">
        <v>925</v>
      </c>
      <c r="E3" s="20"/>
      <c r="F3" s="19"/>
      <c r="G3" s="579"/>
      <c r="H3" s="580"/>
      <c r="I3" s="580"/>
      <c r="J3" s="580"/>
      <c r="K3" s="580"/>
      <c r="L3" s="580"/>
      <c r="M3" s="580"/>
      <c r="N3" s="580"/>
      <c r="O3" s="580"/>
      <c r="P3" s="580"/>
      <c r="Q3" s="580"/>
      <c r="R3" s="580"/>
      <c r="S3" s="580"/>
      <c r="T3" s="580"/>
    </row>
    <row r="4" spans="1:38" ht="19.5" customHeight="1" thickTop="1">
      <c r="A4" s="132">
        <v>2</v>
      </c>
      <c r="B4" s="574"/>
      <c r="C4" s="316" t="s">
        <v>930</v>
      </c>
      <c r="D4" s="402" t="s">
        <v>926</v>
      </c>
      <c r="E4" s="43"/>
      <c r="F4" s="24"/>
      <c r="G4" s="551" t="s">
        <v>937</v>
      </c>
      <c r="H4" s="552"/>
      <c r="I4" s="552"/>
      <c r="J4" s="553"/>
      <c r="K4" s="564" t="s">
        <v>938</v>
      </c>
      <c r="L4" s="560"/>
      <c r="M4" s="560"/>
      <c r="N4" s="560"/>
      <c r="O4" s="560"/>
      <c r="P4" s="560" t="s">
        <v>939</v>
      </c>
      <c r="Q4" s="560"/>
      <c r="R4" s="560"/>
      <c r="S4" s="560"/>
      <c r="T4" s="561"/>
    </row>
    <row r="5" spans="1:38" ht="19.149999999999999" customHeight="1">
      <c r="A5" s="132">
        <v>3</v>
      </c>
      <c r="B5" s="574"/>
      <c r="C5" s="313" t="s">
        <v>931</v>
      </c>
      <c r="D5" s="8" t="s">
        <v>927</v>
      </c>
      <c r="E5" s="44"/>
      <c r="F5" s="45"/>
      <c r="G5" s="551" t="s">
        <v>940</v>
      </c>
      <c r="H5" s="552"/>
      <c r="I5" s="552"/>
      <c r="J5" s="553"/>
      <c r="K5" s="556" t="s">
        <v>941</v>
      </c>
      <c r="L5" s="557"/>
      <c r="M5" s="557"/>
      <c r="N5" s="557"/>
      <c r="O5" s="557"/>
      <c r="P5" s="557"/>
      <c r="Q5" s="557"/>
      <c r="R5" s="557"/>
      <c r="S5" s="557"/>
      <c r="T5" s="558"/>
    </row>
    <row r="6" spans="1:38" ht="19.149999999999999" customHeight="1">
      <c r="A6" s="132">
        <v>4</v>
      </c>
      <c r="B6" s="574"/>
      <c r="C6" s="313" t="s">
        <v>932</v>
      </c>
      <c r="D6" s="8" t="s">
        <v>928</v>
      </c>
      <c r="E6" s="44"/>
      <c r="F6" s="19"/>
      <c r="G6" s="551" t="s">
        <v>942</v>
      </c>
      <c r="H6" s="552"/>
      <c r="I6" s="552"/>
      <c r="J6" s="553"/>
      <c r="K6" s="565" t="s">
        <v>943</v>
      </c>
      <c r="L6" s="566"/>
      <c r="M6" s="566"/>
      <c r="N6" s="566"/>
      <c r="O6" s="566"/>
      <c r="P6" s="566"/>
      <c r="Q6" s="566"/>
      <c r="R6" s="566"/>
      <c r="S6" s="566"/>
      <c r="T6" s="567"/>
    </row>
    <row r="7" spans="1:38" ht="19.149999999999999" customHeight="1">
      <c r="A7" s="132">
        <v>5</v>
      </c>
      <c r="B7" s="574"/>
      <c r="C7" s="313" t="s">
        <v>933</v>
      </c>
      <c r="D7" s="8" t="s">
        <v>935</v>
      </c>
      <c r="E7" s="20"/>
      <c r="F7" s="19"/>
      <c r="G7" s="551" t="s">
        <v>944</v>
      </c>
      <c r="H7" s="552"/>
      <c r="I7" s="552"/>
      <c r="J7" s="553"/>
      <c r="K7" s="565" t="s">
        <v>945</v>
      </c>
      <c r="L7" s="566"/>
      <c r="M7" s="566"/>
      <c r="N7" s="566"/>
      <c r="O7" s="566"/>
      <c r="P7" s="566"/>
      <c r="Q7" s="566"/>
      <c r="R7" s="566"/>
      <c r="S7" s="566"/>
      <c r="T7" s="567"/>
    </row>
    <row r="8" spans="1:38" ht="19.5" customHeight="1" thickBot="1">
      <c r="A8" s="398">
        <v>6</v>
      </c>
      <c r="B8" s="575"/>
      <c r="C8" s="322" t="s">
        <v>934</v>
      </c>
      <c r="D8" s="401" t="s">
        <v>929</v>
      </c>
      <c r="E8" s="43"/>
      <c r="F8" s="24"/>
      <c r="G8" s="568" t="s">
        <v>946</v>
      </c>
      <c r="H8" s="569"/>
      <c r="I8" s="551" t="s">
        <v>948</v>
      </c>
      <c r="J8" s="553"/>
      <c r="K8" s="565" t="s">
        <v>945</v>
      </c>
      <c r="L8" s="566"/>
      <c r="M8" s="566"/>
      <c r="N8" s="566"/>
      <c r="O8" s="566"/>
      <c r="P8" s="566"/>
      <c r="Q8" s="566"/>
      <c r="R8" s="566"/>
      <c r="S8" s="566"/>
      <c r="T8" s="567"/>
    </row>
    <row r="9" spans="1:38" ht="19.149999999999999" customHeight="1">
      <c r="A9" s="132">
        <v>7</v>
      </c>
      <c r="B9" s="399"/>
      <c r="C9" s="400"/>
      <c r="D9" s="400"/>
      <c r="E9" s="17"/>
      <c r="F9" s="19"/>
      <c r="G9" s="570" t="s">
        <v>947</v>
      </c>
      <c r="H9" s="571"/>
      <c r="I9" s="551" t="s">
        <v>949</v>
      </c>
      <c r="J9" s="553"/>
      <c r="K9" s="565"/>
      <c r="L9" s="566"/>
      <c r="M9" s="566"/>
      <c r="N9" s="566"/>
      <c r="O9" s="566"/>
      <c r="P9" s="566"/>
      <c r="Q9" s="566"/>
      <c r="R9" s="566"/>
      <c r="S9" s="566"/>
      <c r="T9" s="567"/>
    </row>
    <row r="10" spans="1:38" ht="19.149999999999999" customHeight="1">
      <c r="A10" s="398">
        <v>8</v>
      </c>
      <c r="B10" s="58"/>
      <c r="C10" s="57"/>
      <c r="D10" s="47"/>
      <c r="E10" s="47"/>
      <c r="F10" s="46"/>
      <c r="G10" s="551" t="s">
        <v>950</v>
      </c>
      <c r="H10" s="552"/>
      <c r="I10" s="552"/>
      <c r="J10" s="553"/>
      <c r="K10" s="556" t="s">
        <v>950</v>
      </c>
      <c r="L10" s="557"/>
      <c r="M10" s="557"/>
      <c r="N10" s="557"/>
      <c r="O10" s="557"/>
      <c r="P10" s="557"/>
      <c r="Q10" s="557"/>
      <c r="R10" s="557"/>
      <c r="S10" s="557"/>
      <c r="T10" s="558"/>
    </row>
    <row r="11" spans="1:38" ht="15">
      <c r="A11" s="132">
        <v>9</v>
      </c>
      <c r="G11" s="559"/>
      <c r="H11" s="559"/>
      <c r="I11" s="559"/>
      <c r="J11" s="559"/>
      <c r="K11" s="559"/>
      <c r="L11" s="559"/>
      <c r="M11" s="559"/>
      <c r="N11" s="559"/>
      <c r="O11" s="559"/>
      <c r="P11" s="559"/>
      <c r="Q11" s="559"/>
      <c r="R11" s="559"/>
      <c r="S11" s="559"/>
      <c r="T11" s="559"/>
    </row>
    <row r="12" spans="1:38" ht="30.75" customHeight="1">
      <c r="A12" s="132">
        <v>10</v>
      </c>
      <c r="G12" s="551" t="s">
        <v>951</v>
      </c>
      <c r="H12" s="552"/>
      <c r="I12" s="552"/>
      <c r="J12" s="553"/>
      <c r="K12" s="565" t="s">
        <v>952</v>
      </c>
      <c r="L12" s="566"/>
      <c r="M12" s="566"/>
      <c r="N12" s="567"/>
      <c r="O12" s="551" t="s">
        <v>953</v>
      </c>
      <c r="P12" s="552"/>
      <c r="Q12" s="552"/>
      <c r="R12" s="553"/>
      <c r="S12" s="565" t="s">
        <v>954</v>
      </c>
      <c r="T12" s="567"/>
    </row>
    <row r="13" spans="1:38" ht="27" customHeight="1">
      <c r="A13" s="132">
        <v>11</v>
      </c>
      <c r="G13" s="551" t="s">
        <v>354</v>
      </c>
      <c r="H13" s="552"/>
      <c r="I13" s="552"/>
      <c r="J13" s="553"/>
      <c r="K13" s="554" t="s">
        <v>955</v>
      </c>
      <c r="L13" s="563"/>
      <c r="M13" s="563"/>
      <c r="N13" s="555"/>
      <c r="O13" s="551" t="s">
        <v>20</v>
      </c>
      <c r="P13" s="552"/>
      <c r="Q13" s="552"/>
      <c r="R13" s="553"/>
      <c r="S13" s="554" t="s">
        <v>32</v>
      </c>
      <c r="T13" s="555"/>
    </row>
    <row r="14" spans="1:38" ht="13.5">
      <c r="A14" s="132">
        <v>12</v>
      </c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</row>
    <row r="15" spans="1:38" ht="38.25" customHeight="1">
      <c r="A15" s="132">
        <v>13</v>
      </c>
      <c r="G15" s="551" t="s">
        <v>956</v>
      </c>
      <c r="H15" s="552"/>
      <c r="I15" s="552"/>
      <c r="J15" s="553"/>
      <c r="K15" s="564" t="s">
        <v>957</v>
      </c>
      <c r="L15" s="560"/>
      <c r="M15" s="562" t="s">
        <v>958</v>
      </c>
      <c r="N15" s="562"/>
      <c r="O15" s="562"/>
      <c r="P15" s="562"/>
      <c r="Q15" s="560" t="s">
        <v>959</v>
      </c>
      <c r="R15" s="560"/>
      <c r="S15" s="560"/>
      <c r="T15" s="561"/>
    </row>
    <row r="16" spans="1:38" ht="19.149999999999999" customHeight="1">
      <c r="A16" s="132">
        <v>14</v>
      </c>
      <c r="G16" s="551" t="s">
        <v>921</v>
      </c>
      <c r="H16" s="552"/>
      <c r="I16" s="552"/>
      <c r="J16" s="553"/>
      <c r="K16" s="554" t="s">
        <v>960</v>
      </c>
      <c r="L16" s="563"/>
      <c r="M16" s="563"/>
      <c r="N16" s="563"/>
      <c r="O16" s="563"/>
      <c r="P16" s="563"/>
      <c r="Q16" s="563"/>
      <c r="R16" s="563"/>
      <c r="S16" s="563"/>
      <c r="T16" s="555"/>
    </row>
    <row r="17" spans="1:20" ht="19.149999999999999" customHeight="1">
      <c r="A17" s="132">
        <v>15</v>
      </c>
      <c r="G17" s="551" t="s">
        <v>922</v>
      </c>
      <c r="H17" s="552"/>
      <c r="I17" s="552"/>
      <c r="J17" s="553"/>
      <c r="K17" s="556" t="s">
        <v>922</v>
      </c>
      <c r="L17" s="557"/>
      <c r="M17" s="557"/>
      <c r="N17" s="557"/>
      <c r="O17" s="557"/>
      <c r="P17" s="557"/>
      <c r="Q17" s="557"/>
      <c r="R17" s="557"/>
      <c r="S17" s="557"/>
      <c r="T17" s="558"/>
    </row>
    <row r="18" spans="1:20" ht="19.149999999999999" customHeight="1">
      <c r="A18" s="132">
        <v>16</v>
      </c>
      <c r="G18" s="551" t="s">
        <v>961</v>
      </c>
      <c r="H18" s="552"/>
      <c r="I18" s="552"/>
      <c r="J18" s="553"/>
      <c r="K18" s="556" t="s">
        <v>961</v>
      </c>
      <c r="L18" s="557"/>
      <c r="M18" s="557"/>
      <c r="N18" s="557"/>
      <c r="O18" s="557"/>
      <c r="P18" s="557"/>
      <c r="Q18" s="557"/>
      <c r="R18" s="557"/>
      <c r="S18" s="557"/>
      <c r="T18" s="558"/>
    </row>
    <row r="19" spans="1:20" ht="15">
      <c r="A19" s="132">
        <v>17</v>
      </c>
      <c r="G19" s="559"/>
      <c r="H19" s="559"/>
      <c r="I19" s="559"/>
      <c r="J19" s="559"/>
      <c r="K19" s="559"/>
      <c r="L19" s="559"/>
      <c r="M19" s="559"/>
      <c r="N19" s="559"/>
      <c r="O19" s="559"/>
      <c r="P19" s="559"/>
      <c r="Q19" s="559"/>
      <c r="R19" s="559"/>
      <c r="S19" s="559"/>
      <c r="T19" s="559"/>
    </row>
    <row r="20" spans="1:20" ht="16.899999999999999" customHeight="1">
      <c r="A20" s="132">
        <v>18</v>
      </c>
      <c r="G20" s="403" t="s">
        <v>962</v>
      </c>
      <c r="H20" s="414" t="s">
        <v>963</v>
      </c>
      <c r="I20" s="416"/>
      <c r="J20" s="414" t="s">
        <v>452</v>
      </c>
      <c r="K20" s="416"/>
      <c r="L20" s="414" t="s">
        <v>453</v>
      </c>
      <c r="M20" s="416"/>
      <c r="N20" s="414" t="s">
        <v>454</v>
      </c>
      <c r="O20" s="415"/>
      <c r="P20" s="415"/>
      <c r="Q20" s="416"/>
      <c r="R20" s="414" t="s">
        <v>455</v>
      </c>
      <c r="S20" s="416"/>
      <c r="T20" s="421" t="s">
        <v>456</v>
      </c>
    </row>
    <row r="21" spans="1:20" ht="16.899999999999999" customHeight="1">
      <c r="A21" s="132">
        <v>19</v>
      </c>
      <c r="G21" s="404" t="s">
        <v>964</v>
      </c>
      <c r="H21" s="417" t="s">
        <v>966</v>
      </c>
      <c r="I21" s="418"/>
      <c r="J21" s="408"/>
      <c r="K21" s="410"/>
      <c r="L21" s="408"/>
      <c r="M21" s="410"/>
      <c r="N21" s="408"/>
      <c r="O21" s="409"/>
      <c r="P21" s="409"/>
      <c r="Q21" s="410"/>
      <c r="R21" s="408"/>
      <c r="S21" s="410"/>
      <c r="T21" s="419"/>
    </row>
    <row r="22" spans="1:20" ht="16.899999999999999" customHeight="1">
      <c r="A22" s="132">
        <v>20</v>
      </c>
      <c r="G22" s="405" t="s">
        <v>965</v>
      </c>
      <c r="H22" s="417" t="s">
        <v>967</v>
      </c>
      <c r="I22" s="418"/>
      <c r="J22" s="408"/>
      <c r="K22" s="410"/>
      <c r="L22" s="408"/>
      <c r="M22" s="410"/>
      <c r="N22" s="408"/>
      <c r="O22" s="409"/>
      <c r="P22" s="409"/>
      <c r="Q22" s="410"/>
      <c r="R22" s="408"/>
      <c r="S22" s="410"/>
      <c r="T22" s="419"/>
    </row>
    <row r="23" spans="1:20" ht="16.899999999999999" customHeight="1">
      <c r="A23" s="132">
        <v>21</v>
      </c>
      <c r="G23" s="406"/>
      <c r="H23" s="417" t="s">
        <v>947</v>
      </c>
      <c r="I23" s="418"/>
      <c r="J23" s="411"/>
      <c r="K23" s="413"/>
      <c r="L23" s="411"/>
      <c r="M23" s="413"/>
      <c r="N23" s="411"/>
      <c r="O23" s="412"/>
      <c r="P23" s="412"/>
      <c r="Q23" s="413"/>
      <c r="R23" s="411"/>
      <c r="S23" s="413"/>
      <c r="T23" s="420"/>
    </row>
    <row r="24" spans="1:20" ht="16.899999999999999" customHeight="1">
      <c r="A24" s="132">
        <v>22</v>
      </c>
      <c r="G24" s="407"/>
      <c r="H24" s="417" t="s">
        <v>968</v>
      </c>
      <c r="I24" s="418"/>
      <c r="J24" s="408"/>
      <c r="K24" s="410"/>
      <c r="L24" s="408"/>
      <c r="M24" s="410"/>
      <c r="N24" s="408"/>
      <c r="O24" s="409"/>
      <c r="P24" s="409"/>
      <c r="Q24" s="410"/>
      <c r="R24" s="408"/>
      <c r="S24" s="410"/>
      <c r="T24" s="419"/>
    </row>
    <row r="25" spans="1:20" ht="16.899999999999999" customHeight="1">
      <c r="A25" s="132">
        <v>23</v>
      </c>
      <c r="G25" s="404" t="s">
        <v>969</v>
      </c>
      <c r="H25" s="417" t="s">
        <v>966</v>
      </c>
      <c r="I25" s="418"/>
      <c r="J25" s="408"/>
      <c r="K25" s="410"/>
      <c r="L25" s="408"/>
      <c r="M25" s="410"/>
      <c r="N25" s="408"/>
      <c r="O25" s="409"/>
      <c r="P25" s="409"/>
      <c r="Q25" s="410"/>
      <c r="R25" s="408"/>
      <c r="S25" s="410"/>
      <c r="T25" s="419"/>
    </row>
    <row r="26" spans="1:20" ht="16.899999999999999" customHeight="1">
      <c r="A26" s="132">
        <v>24</v>
      </c>
      <c r="G26" s="405" t="s">
        <v>965</v>
      </c>
      <c r="H26" s="417" t="s">
        <v>967</v>
      </c>
      <c r="I26" s="418"/>
      <c r="J26" s="408"/>
      <c r="K26" s="410"/>
      <c r="L26" s="408"/>
      <c r="M26" s="410"/>
      <c r="N26" s="408"/>
      <c r="O26" s="409"/>
      <c r="P26" s="409"/>
      <c r="Q26" s="410"/>
      <c r="R26" s="408"/>
      <c r="S26" s="410"/>
      <c r="T26" s="419"/>
    </row>
    <row r="27" spans="1:20" ht="16.899999999999999" customHeight="1">
      <c r="A27" s="132">
        <v>25</v>
      </c>
      <c r="G27" s="406"/>
      <c r="H27" s="417" t="s">
        <v>947</v>
      </c>
      <c r="I27" s="418"/>
      <c r="J27" s="411"/>
      <c r="K27" s="413"/>
      <c r="L27" s="411"/>
      <c r="M27" s="413"/>
      <c r="N27" s="411"/>
      <c r="O27" s="412"/>
      <c r="P27" s="412"/>
      <c r="Q27" s="413"/>
      <c r="R27" s="411"/>
      <c r="S27" s="413"/>
      <c r="T27" s="420"/>
    </row>
    <row r="28" spans="1:20" ht="16.899999999999999" customHeight="1">
      <c r="A28" s="132">
        <v>26</v>
      </c>
      <c r="G28" s="407"/>
      <c r="H28" s="417" t="s">
        <v>968</v>
      </c>
      <c r="I28" s="418"/>
      <c r="J28" s="408"/>
      <c r="K28" s="410"/>
      <c r="L28" s="408"/>
      <c r="M28" s="410"/>
      <c r="N28" s="408"/>
      <c r="O28" s="409"/>
      <c r="P28" s="409"/>
      <c r="Q28" s="410"/>
      <c r="R28" s="408"/>
      <c r="S28" s="410"/>
      <c r="T28" s="419"/>
    </row>
    <row r="29" spans="1:20" ht="16.899999999999999" customHeight="1">
      <c r="A29" s="132">
        <v>27</v>
      </c>
      <c r="G29" s="404" t="s">
        <v>970</v>
      </c>
      <c r="H29" s="417" t="s">
        <v>966</v>
      </c>
      <c r="I29" s="418"/>
      <c r="J29" s="408"/>
      <c r="K29" s="410"/>
      <c r="L29" s="408"/>
      <c r="M29" s="410"/>
      <c r="N29" s="408"/>
      <c r="O29" s="409"/>
      <c r="P29" s="409"/>
      <c r="Q29" s="410"/>
      <c r="R29" s="408"/>
      <c r="S29" s="410"/>
      <c r="T29" s="419"/>
    </row>
    <row r="30" spans="1:20" ht="16.899999999999999" customHeight="1">
      <c r="A30" s="132">
        <v>28</v>
      </c>
      <c r="G30" s="405" t="s">
        <v>965</v>
      </c>
      <c r="H30" s="417" t="s">
        <v>967</v>
      </c>
      <c r="I30" s="418"/>
      <c r="J30" s="408"/>
      <c r="K30" s="410"/>
      <c r="L30" s="408"/>
      <c r="M30" s="410"/>
      <c r="N30" s="408"/>
      <c r="O30" s="409"/>
      <c r="P30" s="409"/>
      <c r="Q30" s="410"/>
      <c r="R30" s="408"/>
      <c r="S30" s="410"/>
      <c r="T30" s="419"/>
    </row>
    <row r="31" spans="1:20" ht="16.899999999999999" customHeight="1">
      <c r="A31" s="132">
        <v>29</v>
      </c>
      <c r="G31" s="406"/>
      <c r="H31" s="417" t="s">
        <v>947</v>
      </c>
      <c r="I31" s="418"/>
      <c r="J31" s="408"/>
      <c r="K31" s="410"/>
      <c r="L31" s="408"/>
      <c r="M31" s="410"/>
      <c r="N31" s="408"/>
      <c r="O31" s="409"/>
      <c r="P31" s="409"/>
      <c r="Q31" s="410"/>
      <c r="R31" s="408"/>
      <c r="S31" s="410"/>
      <c r="T31" s="419"/>
    </row>
    <row r="32" spans="1:20" ht="16.899999999999999" customHeight="1">
      <c r="A32" s="132">
        <v>30</v>
      </c>
      <c r="G32" s="407"/>
      <c r="H32" s="417" t="s">
        <v>968</v>
      </c>
      <c r="I32" s="418"/>
      <c r="J32" s="408"/>
      <c r="K32" s="410"/>
      <c r="L32" s="408"/>
      <c r="M32" s="410"/>
      <c r="N32" s="408"/>
      <c r="O32" s="409"/>
      <c r="P32" s="409"/>
      <c r="Q32" s="410"/>
      <c r="R32" s="408"/>
      <c r="S32" s="410"/>
      <c r="T32" s="419"/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42">
    <mergeCell ref="B2:D2"/>
    <mergeCell ref="B4:B8"/>
    <mergeCell ref="K5:T5"/>
    <mergeCell ref="K6:T6"/>
    <mergeCell ref="K7:T7"/>
    <mergeCell ref="G2:T2"/>
    <mergeCell ref="G3:T3"/>
    <mergeCell ref="G4:J4"/>
    <mergeCell ref="K4:O4"/>
    <mergeCell ref="P4:T4"/>
    <mergeCell ref="G5:J5"/>
    <mergeCell ref="G6:J6"/>
    <mergeCell ref="G7:J7"/>
    <mergeCell ref="K10:T10"/>
    <mergeCell ref="G11:T11"/>
    <mergeCell ref="K8:T8"/>
    <mergeCell ref="K9:T9"/>
    <mergeCell ref="G12:J12"/>
    <mergeCell ref="K12:N12"/>
    <mergeCell ref="G8:H8"/>
    <mergeCell ref="G9:H9"/>
    <mergeCell ref="I8:J8"/>
    <mergeCell ref="I9:J9"/>
    <mergeCell ref="G10:J10"/>
    <mergeCell ref="O12:R12"/>
    <mergeCell ref="S12:T12"/>
    <mergeCell ref="O13:R13"/>
    <mergeCell ref="S13:T13"/>
    <mergeCell ref="K17:T17"/>
    <mergeCell ref="K18:T18"/>
    <mergeCell ref="G19:T19"/>
    <mergeCell ref="Q15:T15"/>
    <mergeCell ref="M15:P15"/>
    <mergeCell ref="K16:T16"/>
    <mergeCell ref="G17:J17"/>
    <mergeCell ref="G18:J18"/>
    <mergeCell ref="G15:J15"/>
    <mergeCell ref="K15:L15"/>
    <mergeCell ref="G16:J16"/>
    <mergeCell ref="G14:T14"/>
    <mergeCell ref="G13:J13"/>
    <mergeCell ref="K13:N13"/>
  </mergeCells>
  <phoneticPr fontId="1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5AC67-4FF1-4CD8-BED6-2E666ECBE6AC}">
  <sheetPr codeName="Sheet2"/>
  <dimension ref="A1:I56"/>
  <sheetViews>
    <sheetView topLeftCell="A6" workbookViewId="0">
      <selection activeCell="C12" sqref="C12:D12"/>
    </sheetView>
  </sheetViews>
  <sheetFormatPr defaultColWidth="9.1328125" defaultRowHeight="12.75"/>
  <cols>
    <col min="1" max="1" width="14" style="299" customWidth="1"/>
    <col min="2" max="2" width="26.59765625" style="299" customWidth="1"/>
    <col min="3" max="3" width="30.86328125" style="299" bestFit="1" customWidth="1"/>
    <col min="4" max="4" width="44.86328125" style="299" bestFit="1" customWidth="1"/>
    <col min="5" max="5" width="28.3984375" style="299" bestFit="1" customWidth="1"/>
    <col min="6" max="6" width="29.3984375" style="351" bestFit="1" customWidth="1"/>
    <col min="7" max="16384" width="9.1328125" style="299"/>
  </cols>
  <sheetData>
    <row r="1" spans="1:9" ht="23.25">
      <c r="A1" s="129" t="s">
        <v>184</v>
      </c>
      <c r="B1" s="307">
        <v>1</v>
      </c>
      <c r="C1" s="307">
        <v>2</v>
      </c>
      <c r="D1" s="307">
        <v>3</v>
      </c>
      <c r="E1" s="307">
        <v>4</v>
      </c>
      <c r="F1" s="381">
        <v>5</v>
      </c>
      <c r="G1" s="307">
        <v>6</v>
      </c>
      <c r="H1" s="307">
        <v>7</v>
      </c>
      <c r="I1" s="307">
        <v>8</v>
      </c>
    </row>
    <row r="2" spans="1:9" ht="25.15">
      <c r="A2" s="131">
        <v>0</v>
      </c>
      <c r="B2" s="572" t="s">
        <v>749</v>
      </c>
      <c r="C2" s="573"/>
      <c r="D2" s="573"/>
      <c r="E2" s="573"/>
      <c r="F2" s="573"/>
    </row>
    <row r="3" spans="1:9" ht="18" thickBot="1">
      <c r="A3" s="132">
        <v>1</v>
      </c>
      <c r="B3" s="382" t="s">
        <v>900</v>
      </c>
      <c r="C3" s="382" t="s">
        <v>753</v>
      </c>
      <c r="D3" s="382" t="s">
        <v>754</v>
      </c>
      <c r="E3" s="382" t="s">
        <v>753</v>
      </c>
      <c r="F3" s="383" t="s">
        <v>754</v>
      </c>
    </row>
    <row r="4" spans="1:9" ht="17.25" customHeight="1" thickTop="1">
      <c r="A4" s="132">
        <v>2</v>
      </c>
      <c r="B4" s="589" t="s">
        <v>901</v>
      </c>
      <c r="C4" s="312" t="s">
        <v>654</v>
      </c>
      <c r="D4" s="377" t="s">
        <v>860</v>
      </c>
      <c r="E4" s="312" t="s">
        <v>207</v>
      </c>
      <c r="F4" s="154">
        <v>45455</v>
      </c>
    </row>
    <row r="5" spans="1:9" ht="16.5" customHeight="1">
      <c r="A5" s="132">
        <v>3</v>
      </c>
      <c r="B5" s="590"/>
      <c r="C5" s="313" t="s">
        <v>671</v>
      </c>
      <c r="D5" s="8" t="s">
        <v>3</v>
      </c>
      <c r="E5" s="316" t="s">
        <v>861</v>
      </c>
      <c r="F5" s="336" t="s">
        <v>862</v>
      </c>
    </row>
    <row r="6" spans="1:9" ht="16.5" customHeight="1">
      <c r="A6" s="132">
        <v>4</v>
      </c>
      <c r="B6" s="590"/>
      <c r="C6" s="313" t="s">
        <v>863</v>
      </c>
      <c r="D6" s="8" t="s">
        <v>342</v>
      </c>
      <c r="E6" s="316" t="s">
        <v>893</v>
      </c>
      <c r="F6" s="336" t="s">
        <v>894</v>
      </c>
    </row>
    <row r="7" spans="1:9" ht="16.5" customHeight="1">
      <c r="A7" s="132">
        <v>5</v>
      </c>
      <c r="B7" s="590"/>
      <c r="C7" s="313" t="s">
        <v>672</v>
      </c>
      <c r="D7" s="8" t="s">
        <v>7</v>
      </c>
      <c r="E7" s="316" t="s">
        <v>343</v>
      </c>
      <c r="F7" s="315">
        <v>222222222</v>
      </c>
    </row>
    <row r="8" spans="1:9" ht="16.5" customHeight="1">
      <c r="A8" s="132">
        <v>6</v>
      </c>
      <c r="B8" s="590"/>
      <c r="C8" s="313" t="s">
        <v>673</v>
      </c>
      <c r="D8" s="8" t="s">
        <v>9</v>
      </c>
      <c r="E8" s="316" t="s">
        <v>864</v>
      </c>
      <c r="F8" s="315" t="s">
        <v>865</v>
      </c>
    </row>
    <row r="9" spans="1:9" ht="15">
      <c r="A9" s="132">
        <v>7</v>
      </c>
      <c r="B9" s="590"/>
      <c r="C9" s="313" t="s">
        <v>866</v>
      </c>
      <c r="D9" s="8" t="s">
        <v>867</v>
      </c>
      <c r="E9" s="316" t="s">
        <v>868</v>
      </c>
      <c r="F9" s="315" t="s">
        <v>869</v>
      </c>
    </row>
    <row r="10" spans="1:9" ht="16.5" customHeight="1">
      <c r="A10" s="132">
        <v>8</v>
      </c>
      <c r="B10" s="590"/>
      <c r="C10" s="313" t="s">
        <v>870</v>
      </c>
      <c r="D10" s="8" t="s">
        <v>867</v>
      </c>
      <c r="E10" s="316" t="s">
        <v>871</v>
      </c>
      <c r="F10" s="315" t="s">
        <v>652</v>
      </c>
    </row>
    <row r="11" spans="1:9" ht="17.25" customHeight="1">
      <c r="A11" s="132">
        <v>9</v>
      </c>
      <c r="B11" s="590"/>
      <c r="C11" s="313" t="s">
        <v>674</v>
      </c>
      <c r="D11" s="8" t="s">
        <v>13</v>
      </c>
      <c r="E11" s="316" t="s">
        <v>872</v>
      </c>
      <c r="F11" s="315" t="s">
        <v>873</v>
      </c>
    </row>
    <row r="12" spans="1:9" ht="17.25" customHeight="1">
      <c r="A12" s="132">
        <v>10</v>
      </c>
      <c r="B12" s="590"/>
      <c r="C12" s="313" t="s">
        <v>874</v>
      </c>
      <c r="D12" s="8" t="s">
        <v>16</v>
      </c>
      <c r="E12" s="316" t="s">
        <v>344</v>
      </c>
      <c r="F12" s="315"/>
    </row>
    <row r="13" spans="1:9" ht="18" customHeight="1" thickBot="1">
      <c r="A13" s="132">
        <v>11</v>
      </c>
      <c r="B13" s="591"/>
      <c r="C13" s="317" t="s">
        <v>675</v>
      </c>
      <c r="D13" s="186" t="s">
        <v>16</v>
      </c>
      <c r="E13" s="323"/>
      <c r="F13" s="306"/>
    </row>
    <row r="14" spans="1:9" ht="16.5" customHeight="1">
      <c r="A14" s="132">
        <v>12</v>
      </c>
      <c r="B14" s="384"/>
      <c r="C14" s="320"/>
      <c r="D14" s="320"/>
      <c r="E14" s="374"/>
      <c r="F14" s="375"/>
    </row>
    <row r="15" spans="1:9" ht="16.5" customHeight="1">
      <c r="A15" s="132">
        <v>13</v>
      </c>
      <c r="B15" s="586" t="s">
        <v>902</v>
      </c>
      <c r="C15" s="313" t="s">
        <v>676</v>
      </c>
      <c r="D15" s="8" t="s">
        <v>875</v>
      </c>
      <c r="E15" s="326"/>
      <c r="F15" s="376"/>
    </row>
    <row r="16" spans="1:9" ht="16.5" customHeight="1">
      <c r="A16" s="132">
        <v>14</v>
      </c>
      <c r="B16" s="587"/>
      <c r="C16" s="313" t="s">
        <v>876</v>
      </c>
      <c r="D16" s="8" t="s">
        <v>22</v>
      </c>
      <c r="E16" s="314"/>
      <c r="F16" s="315"/>
    </row>
    <row r="17" spans="1:6" ht="16.5" customHeight="1">
      <c r="A17" s="132">
        <v>15</v>
      </c>
      <c r="B17" s="587"/>
      <c r="C17" s="313" t="s">
        <v>877</v>
      </c>
      <c r="D17" s="9" t="s">
        <v>878</v>
      </c>
      <c r="E17" s="316" t="s">
        <v>345</v>
      </c>
      <c r="F17" s="315" t="s">
        <v>23</v>
      </c>
    </row>
    <row r="18" spans="1:6" ht="16.5" customHeight="1">
      <c r="A18" s="132">
        <v>16</v>
      </c>
      <c r="B18" s="587"/>
      <c r="C18" s="313" t="s">
        <v>677</v>
      </c>
      <c r="D18" s="9" t="s">
        <v>26</v>
      </c>
      <c r="E18" s="314"/>
      <c r="F18" s="315"/>
    </row>
    <row r="19" spans="1:6" ht="17.25" customHeight="1">
      <c r="A19" s="132">
        <v>17</v>
      </c>
      <c r="B19" s="587"/>
      <c r="C19" s="313" t="s">
        <v>879</v>
      </c>
      <c r="D19" s="9" t="s">
        <v>28</v>
      </c>
      <c r="E19" s="314"/>
      <c r="F19" s="315"/>
    </row>
    <row r="20" spans="1:6" ht="17.25" customHeight="1">
      <c r="A20" s="132">
        <v>18</v>
      </c>
      <c r="B20" s="587"/>
      <c r="C20" s="313" t="s">
        <v>678</v>
      </c>
      <c r="D20" s="9" t="s">
        <v>30</v>
      </c>
      <c r="E20" s="314"/>
      <c r="F20" s="315"/>
    </row>
    <row r="21" spans="1:6" ht="16.899999999999999" customHeight="1">
      <c r="A21" s="132">
        <v>19</v>
      </c>
      <c r="B21" s="587"/>
      <c r="C21" s="321" t="s">
        <v>679</v>
      </c>
      <c r="D21" s="294" t="s">
        <v>32</v>
      </c>
      <c r="E21" s="314"/>
      <c r="F21" s="315"/>
    </row>
    <row r="22" spans="1:6" ht="17.25" customHeight="1" thickBot="1">
      <c r="A22" s="132">
        <v>20</v>
      </c>
      <c r="B22" s="588"/>
      <c r="C22" s="322" t="s">
        <v>680</v>
      </c>
      <c r="D22" s="155"/>
      <c r="E22" s="323"/>
      <c r="F22" s="306"/>
    </row>
    <row r="23" spans="1:6" ht="15.4" thickBot="1">
      <c r="A23" s="132">
        <v>21</v>
      </c>
      <c r="C23" s="320"/>
      <c r="D23" s="320"/>
      <c r="E23" s="318"/>
      <c r="F23" s="319"/>
    </row>
    <row r="24" spans="1:6" ht="16.899999999999999" customHeight="1">
      <c r="A24" s="132">
        <v>22</v>
      </c>
      <c r="B24" s="586" t="s">
        <v>903</v>
      </c>
      <c r="C24" s="313" t="s">
        <v>880</v>
      </c>
      <c r="D24" s="9" t="s">
        <v>881</v>
      </c>
      <c r="E24" s="313" t="s">
        <v>882</v>
      </c>
      <c r="F24" s="295" t="s">
        <v>883</v>
      </c>
    </row>
    <row r="25" spans="1:6" ht="16.899999999999999" customHeight="1">
      <c r="A25" s="132">
        <v>23</v>
      </c>
      <c r="B25" s="587"/>
      <c r="C25" s="313" t="s">
        <v>884</v>
      </c>
      <c r="D25" s="9" t="s">
        <v>35</v>
      </c>
      <c r="E25" s="313" t="s">
        <v>884</v>
      </c>
      <c r="F25" s="295" t="s">
        <v>885</v>
      </c>
    </row>
    <row r="26" spans="1:6" ht="16.899999999999999" customHeight="1">
      <c r="A26" s="132">
        <v>24</v>
      </c>
      <c r="B26" s="587"/>
      <c r="C26" s="313" t="s">
        <v>681</v>
      </c>
      <c r="D26" s="9" t="s">
        <v>26</v>
      </c>
      <c r="E26" s="313" t="s">
        <v>681</v>
      </c>
      <c r="F26" s="392" t="s">
        <v>913</v>
      </c>
    </row>
    <row r="27" spans="1:6" ht="16.5" customHeight="1">
      <c r="A27" s="132">
        <v>25</v>
      </c>
      <c r="B27" s="587"/>
      <c r="C27" s="313" t="s">
        <v>682</v>
      </c>
      <c r="D27" s="9" t="s">
        <v>30</v>
      </c>
      <c r="E27" s="313" t="s">
        <v>682</v>
      </c>
      <c r="F27" s="295" t="s">
        <v>653</v>
      </c>
    </row>
    <row r="28" spans="1:6" ht="16.5" customHeight="1">
      <c r="A28" s="132">
        <v>26</v>
      </c>
      <c r="B28" s="587"/>
      <c r="C28" s="313" t="s">
        <v>683</v>
      </c>
      <c r="D28" s="324" t="s">
        <v>651</v>
      </c>
      <c r="E28" s="313" t="s">
        <v>683</v>
      </c>
      <c r="F28" s="325" t="s">
        <v>650</v>
      </c>
    </row>
    <row r="29" spans="1:6" ht="16.5" customHeight="1" thickBot="1">
      <c r="A29" s="132">
        <v>27</v>
      </c>
      <c r="B29" s="588"/>
      <c r="C29" s="317" t="s">
        <v>684</v>
      </c>
      <c r="D29" s="302"/>
      <c r="E29" s="317" t="s">
        <v>684</v>
      </c>
      <c r="F29" s="303"/>
    </row>
    <row r="30" spans="1:6" ht="15">
      <c r="A30" s="132">
        <v>28</v>
      </c>
      <c r="C30" s="320"/>
      <c r="D30" s="320"/>
    </row>
    <row r="31" spans="1:6" ht="15">
      <c r="A31" s="132">
        <v>29</v>
      </c>
      <c r="B31" s="586" t="s">
        <v>904</v>
      </c>
      <c r="C31" s="313" t="s">
        <v>685</v>
      </c>
      <c r="D31" s="9" t="s">
        <v>39</v>
      </c>
      <c r="E31" s="313"/>
      <c r="F31" s="387"/>
    </row>
    <row r="32" spans="1:6" ht="15">
      <c r="A32" s="132">
        <v>30</v>
      </c>
      <c r="B32" s="587"/>
      <c r="C32" s="313" t="s">
        <v>686</v>
      </c>
      <c r="D32" s="9" t="s">
        <v>41</v>
      </c>
      <c r="E32" s="313"/>
      <c r="F32" s="327"/>
    </row>
    <row r="33" spans="1:6" ht="30">
      <c r="A33" s="132">
        <v>31</v>
      </c>
      <c r="B33" s="587"/>
      <c r="C33" s="313" t="s">
        <v>687</v>
      </c>
      <c r="D33" s="385" t="s">
        <v>42</v>
      </c>
      <c r="E33" s="313"/>
      <c r="F33" s="386"/>
    </row>
    <row r="34" spans="1:6" ht="15">
      <c r="A34" s="132">
        <v>32</v>
      </c>
      <c r="B34" s="587"/>
      <c r="C34" s="313"/>
      <c r="D34" s="9"/>
      <c r="E34" s="313"/>
      <c r="F34" s="327"/>
    </row>
    <row r="35" spans="1:6" ht="15">
      <c r="A35" s="132">
        <v>33</v>
      </c>
      <c r="B35" s="587"/>
      <c r="C35" s="313"/>
      <c r="D35" s="9"/>
      <c r="E35" s="313"/>
      <c r="F35" s="327"/>
    </row>
    <row r="36" spans="1:6" ht="15">
      <c r="A36" s="132">
        <v>34</v>
      </c>
      <c r="B36" s="587"/>
      <c r="C36" s="581" t="s">
        <v>688</v>
      </c>
      <c r="D36" s="583" t="s">
        <v>104</v>
      </c>
      <c r="E36" s="313" t="s">
        <v>689</v>
      </c>
      <c r="F36" s="295" t="s">
        <v>253</v>
      </c>
    </row>
    <row r="37" spans="1:6" ht="15">
      <c r="A37" s="132">
        <v>35</v>
      </c>
      <c r="B37" s="587"/>
      <c r="C37" s="581"/>
      <c r="D37" s="584"/>
      <c r="E37" s="313" t="s">
        <v>690</v>
      </c>
      <c r="F37" s="295" t="s">
        <v>254</v>
      </c>
    </row>
    <row r="38" spans="1:6" ht="15">
      <c r="A38" s="132">
        <v>36</v>
      </c>
      <c r="B38" s="587"/>
      <c r="C38" s="582"/>
      <c r="D38" s="584"/>
      <c r="E38" s="313" t="s">
        <v>886</v>
      </c>
      <c r="F38" s="296" t="str">
        <f>LEFT(F36, FIND("~", F36) - 2)</f>
        <v>2024.11.18</v>
      </c>
    </row>
    <row r="39" spans="1:6" ht="15">
      <c r="A39" s="132">
        <v>37</v>
      </c>
      <c r="B39" s="587"/>
      <c r="C39" s="581"/>
      <c r="D39" s="585"/>
      <c r="E39" s="313" t="s">
        <v>887</v>
      </c>
      <c r="F39" s="295" t="str">
        <f>LEFT(F37, FIND("~", F37) - 2)</f>
        <v>2024.12.16</v>
      </c>
    </row>
    <row r="40" spans="1:6" ht="16.899999999999999">
      <c r="A40" s="132">
        <v>38</v>
      </c>
      <c r="B40" s="587"/>
      <c r="C40" s="378" t="s">
        <v>905</v>
      </c>
      <c r="D40" s="379" t="s">
        <v>896</v>
      </c>
    </row>
    <row r="41" spans="1:6" ht="19.5" customHeight="1">
      <c r="A41" s="132">
        <v>39</v>
      </c>
      <c r="B41" s="587"/>
      <c r="C41" s="378" t="s">
        <v>906</v>
      </c>
      <c r="D41" s="379" t="s">
        <v>897</v>
      </c>
      <c r="E41" s="320"/>
      <c r="F41" s="388"/>
    </row>
    <row r="42" spans="1:6" ht="16.899999999999999">
      <c r="A42" s="132">
        <v>40</v>
      </c>
      <c r="B42" s="587"/>
      <c r="C42" s="378" t="s">
        <v>907</v>
      </c>
      <c r="D42" s="380" t="s">
        <v>49</v>
      </c>
      <c r="E42" s="320"/>
      <c r="F42" s="388"/>
    </row>
    <row r="43" spans="1:6" ht="16.899999999999999">
      <c r="A43" s="132">
        <v>41</v>
      </c>
      <c r="B43" s="587"/>
      <c r="C43" s="378" t="s">
        <v>908</v>
      </c>
      <c r="D43" s="379" t="s">
        <v>51</v>
      </c>
    </row>
    <row r="44" spans="1:6" ht="16.899999999999999">
      <c r="A44" s="132">
        <v>42</v>
      </c>
      <c r="B44" s="587"/>
      <c r="C44" s="378" t="s">
        <v>909</v>
      </c>
      <c r="D44" s="379" t="s">
        <v>898</v>
      </c>
    </row>
    <row r="45" spans="1:6" ht="16.899999999999999">
      <c r="A45" s="132">
        <v>43</v>
      </c>
      <c r="B45" s="587"/>
      <c r="C45" s="378" t="s">
        <v>910</v>
      </c>
      <c r="D45" s="379" t="s">
        <v>899</v>
      </c>
    </row>
    <row r="46" spans="1:6" ht="16.899999999999999">
      <c r="A46" s="132">
        <v>44</v>
      </c>
      <c r="B46" s="587"/>
      <c r="C46" s="378" t="s">
        <v>911</v>
      </c>
      <c r="D46" s="380" t="s">
        <v>57</v>
      </c>
    </row>
    <row r="47" spans="1:6" ht="16.899999999999999">
      <c r="A47" s="132">
        <v>45</v>
      </c>
      <c r="B47" s="587"/>
      <c r="C47" s="378" t="s">
        <v>912</v>
      </c>
      <c r="D47" s="379" t="s">
        <v>59</v>
      </c>
    </row>
    <row r="48" spans="1:6" ht="19.5">
      <c r="A48" s="132">
        <v>46</v>
      </c>
      <c r="B48" s="587"/>
      <c r="C48" s="391"/>
      <c r="D48" s="379"/>
      <c r="E48" s="391"/>
      <c r="F48" s="379"/>
    </row>
    <row r="49" spans="1:6" ht="19.5">
      <c r="A49" s="132">
        <v>47</v>
      </c>
      <c r="B49" s="587"/>
      <c r="C49" s="378"/>
      <c r="D49" s="379"/>
      <c r="E49" s="391"/>
      <c r="F49" s="379"/>
    </row>
    <row r="50" spans="1:6" ht="15.4" thickBot="1">
      <c r="A50" s="132">
        <v>48</v>
      </c>
      <c r="B50" s="588"/>
      <c r="C50" s="389"/>
      <c r="D50" s="390"/>
      <c r="E50" s="389"/>
      <c r="F50" s="390"/>
    </row>
    <row r="51" spans="1:6" ht="13.5">
      <c r="A51" s="132">
        <v>49</v>
      </c>
      <c r="B51" s="384"/>
    </row>
    <row r="52" spans="1:6" ht="13.5">
      <c r="A52" s="132">
        <v>50</v>
      </c>
      <c r="B52"/>
      <c r="C52"/>
      <c r="D52"/>
      <c r="E52"/>
    </row>
    <row r="53" spans="1:6" ht="13.5">
      <c r="A53" s="132">
        <v>51</v>
      </c>
      <c r="B53"/>
      <c r="C53"/>
      <c r="D53"/>
      <c r="E53"/>
    </row>
    <row r="54" spans="1:6" ht="13.5">
      <c r="A54" s="132">
        <v>52</v>
      </c>
      <c r="B54"/>
      <c r="C54"/>
      <c r="D54"/>
      <c r="E54"/>
    </row>
    <row r="55" spans="1:6" ht="13.5">
      <c r="A55" s="132">
        <v>53</v>
      </c>
      <c r="B55"/>
      <c r="C55"/>
      <c r="D55"/>
      <c r="E55"/>
    </row>
    <row r="56" spans="1:6" ht="13.5">
      <c r="A56" s="132">
        <v>54</v>
      </c>
    </row>
  </sheetData>
  <mergeCells count="7">
    <mergeCell ref="C36:C39"/>
    <mergeCell ref="D36:D39"/>
    <mergeCell ref="B31:B50"/>
    <mergeCell ref="B2:F2"/>
    <mergeCell ref="B15:B22"/>
    <mergeCell ref="B4:B13"/>
    <mergeCell ref="B24:B29"/>
  </mergeCells>
  <phoneticPr fontId="16" type="noConversion"/>
  <dataValidations disablePrompts="1" count="3">
    <dataValidation type="list" allowBlank="1" showErrorMessage="1" sqref="D16" xr:uid="{B1C39882-0A20-49F2-82BF-F7CFE28AFBA5}">
      <formula1>"없음,있음"</formula1>
    </dataValidation>
    <dataValidation type="list" allowBlank="1" showErrorMessage="1" sqref="F12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11" xr:uid="{F4EAA91F-006E-4209-A2CB-FE5E03CF6568}">
      <formula1>"중소기업,중견기업,대기업,기타(비영리 법인 등)"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3" name="Drop Down 7">
              <controlPr defaultSize="0" autoLine="0" autoPict="0" macro="[0]!목차드롭다운">
                <anchor moveWithCells="1">
                  <from>
                    <xdr:col>6</xdr:col>
                    <xdr:colOff>600075</xdr:colOff>
                    <xdr:row>1</xdr:row>
                    <xdr:rowOff>171450</xdr:rowOff>
                  </from>
                  <to>
                    <xdr:col>12</xdr:col>
                    <xdr:colOff>419100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83"/>
  <sheetViews>
    <sheetView workbookViewId="0"/>
  </sheetViews>
  <sheetFormatPr defaultColWidth="9" defaultRowHeight="16.5" customHeight="1"/>
  <cols>
    <col min="1" max="1" width="14" style="299" customWidth="1"/>
    <col min="2" max="2" width="38.1328125" style="299" bestFit="1" customWidth="1"/>
    <col min="3" max="3" width="32.59765625" style="299" bestFit="1" customWidth="1"/>
    <col min="4" max="4" width="49" style="299" bestFit="1" customWidth="1"/>
    <col min="5" max="5" width="18.1328125" style="299" bestFit="1" customWidth="1"/>
    <col min="6" max="6" width="4" style="299" customWidth="1"/>
    <col min="7" max="7" width="2.73046875" style="299" customWidth="1"/>
    <col min="8" max="12" width="5.1328125" style="299" customWidth="1"/>
    <col min="13" max="16" width="4.73046875" style="299" customWidth="1"/>
    <col min="17" max="25" width="2.86328125" style="299" customWidth="1"/>
    <col min="26" max="30" width="3.3984375" style="299" bestFit="1" customWidth="1"/>
    <col min="31" max="31" width="16.3984375" style="299" bestFit="1" customWidth="1"/>
    <col min="32" max="16384" width="9" style="299"/>
  </cols>
  <sheetData>
    <row r="1" spans="1:38" ht="16.5" customHeight="1">
      <c r="A1" s="129" t="s">
        <v>184</v>
      </c>
      <c r="B1" s="307">
        <v>1</v>
      </c>
      <c r="C1" s="307">
        <v>2</v>
      </c>
      <c r="D1" s="307">
        <v>3</v>
      </c>
      <c r="E1" s="307">
        <v>4</v>
      </c>
      <c r="F1" s="307">
        <v>5</v>
      </c>
      <c r="G1" s="307">
        <v>6</v>
      </c>
      <c r="H1" s="307">
        <v>7</v>
      </c>
      <c r="I1" s="307">
        <v>8</v>
      </c>
      <c r="J1" s="307">
        <v>9</v>
      </c>
      <c r="K1" s="307">
        <v>10</v>
      </c>
      <c r="L1" s="307">
        <v>11</v>
      </c>
      <c r="M1" s="307">
        <v>12</v>
      </c>
      <c r="N1" s="307">
        <v>13</v>
      </c>
      <c r="O1" s="307">
        <v>14</v>
      </c>
      <c r="P1" s="307">
        <v>15</v>
      </c>
      <c r="Q1" s="307">
        <v>16</v>
      </c>
      <c r="R1" s="307">
        <v>17</v>
      </c>
      <c r="S1" s="307">
        <v>18</v>
      </c>
      <c r="T1" s="307">
        <v>19</v>
      </c>
      <c r="U1" s="307">
        <v>20</v>
      </c>
      <c r="V1" s="307">
        <v>21</v>
      </c>
      <c r="W1" s="307">
        <v>22</v>
      </c>
      <c r="X1" s="307">
        <v>23</v>
      </c>
      <c r="Y1" s="307">
        <v>24</v>
      </c>
      <c r="Z1" s="307">
        <v>25</v>
      </c>
      <c r="AA1" s="307">
        <v>26</v>
      </c>
      <c r="AB1" s="307">
        <v>27</v>
      </c>
      <c r="AC1" s="307">
        <v>28</v>
      </c>
      <c r="AD1" s="307">
        <v>29</v>
      </c>
      <c r="AE1" s="307">
        <v>30</v>
      </c>
      <c r="AF1" s="307">
        <v>31</v>
      </c>
      <c r="AG1" s="307">
        <v>32</v>
      </c>
      <c r="AH1" s="307">
        <v>33</v>
      </c>
      <c r="AI1" s="307">
        <v>34</v>
      </c>
      <c r="AJ1" s="307">
        <v>35</v>
      </c>
      <c r="AK1" s="307">
        <v>36</v>
      </c>
      <c r="AL1" s="307">
        <v>37</v>
      </c>
    </row>
    <row r="2" spans="1:38" ht="25.5" customHeight="1">
      <c r="A2" s="131">
        <v>0</v>
      </c>
      <c r="B2" s="685" t="s">
        <v>802</v>
      </c>
      <c r="C2" s="686"/>
      <c r="D2" s="686"/>
      <c r="E2" s="686"/>
      <c r="H2" s="655" t="s">
        <v>803</v>
      </c>
      <c r="I2" s="655"/>
      <c r="J2" s="655"/>
      <c r="K2" s="655"/>
      <c r="L2" s="655"/>
      <c r="M2" s="655"/>
      <c r="N2" s="655"/>
      <c r="O2" s="655"/>
      <c r="P2" s="655"/>
      <c r="Q2" s="655"/>
      <c r="R2" s="655"/>
      <c r="S2" s="655"/>
      <c r="T2" s="655"/>
      <c r="U2" s="655"/>
      <c r="V2" s="655"/>
      <c r="W2" s="655"/>
      <c r="X2" s="655"/>
      <c r="Y2" s="655"/>
      <c r="Z2" s="655"/>
      <c r="AA2" s="655"/>
      <c r="AB2" s="655"/>
      <c r="AC2" s="655"/>
      <c r="AD2" s="655"/>
      <c r="AE2" s="655"/>
    </row>
    <row r="3" spans="1:38" ht="16.5" customHeight="1" thickBot="1">
      <c r="A3" s="132">
        <v>1</v>
      </c>
      <c r="B3" s="368" t="s">
        <v>804</v>
      </c>
      <c r="C3" s="368" t="s">
        <v>805</v>
      </c>
      <c r="D3" s="709" t="s">
        <v>806</v>
      </c>
      <c r="E3" s="710"/>
      <c r="H3" s="656" t="s">
        <v>807</v>
      </c>
      <c r="I3" s="656"/>
      <c r="J3" s="656"/>
      <c r="K3" s="656"/>
      <c r="L3" s="656"/>
      <c r="M3" s="656"/>
      <c r="N3" s="656"/>
      <c r="O3" s="656"/>
      <c r="P3" s="656"/>
      <c r="Q3" s="656"/>
      <c r="R3" s="656"/>
      <c r="S3" s="656"/>
      <c r="T3" s="657"/>
      <c r="U3" s="658" t="s">
        <v>808</v>
      </c>
      <c r="V3" s="659"/>
      <c r="W3" s="659"/>
      <c r="X3" s="659"/>
      <c r="Y3" s="659"/>
      <c r="Z3" s="659"/>
      <c r="AA3" s="659"/>
      <c r="AB3" s="660"/>
      <c r="AC3" s="660"/>
      <c r="AD3" s="660"/>
      <c r="AE3" s="660"/>
    </row>
    <row r="4" spans="1:38" ht="16.5" customHeight="1" thickTop="1">
      <c r="A4" s="132">
        <v>2</v>
      </c>
      <c r="B4" s="652" t="s">
        <v>809</v>
      </c>
      <c r="C4" s="328" t="s">
        <v>654</v>
      </c>
      <c r="D4" s="305" t="str">
        <f>'참여기업 정보'!D4</f>
        <v>㈜노마드</v>
      </c>
      <c r="E4" s="300"/>
      <c r="H4" s="661"/>
      <c r="I4" s="661"/>
      <c r="J4" s="661"/>
      <c r="K4" s="661"/>
      <c r="L4" s="661"/>
      <c r="M4" s="661"/>
      <c r="N4" s="661"/>
      <c r="O4" s="661"/>
      <c r="P4" s="661"/>
      <c r="Q4" s="661"/>
      <c r="R4" s="661"/>
      <c r="S4" s="661"/>
      <c r="T4" s="661"/>
      <c r="U4" s="661"/>
      <c r="V4" s="661"/>
      <c r="W4" s="661"/>
      <c r="X4" s="661"/>
      <c r="Y4" s="661"/>
      <c r="Z4" s="661"/>
      <c r="AA4" s="661"/>
      <c r="AB4" s="661"/>
      <c r="AC4" s="661"/>
      <c r="AD4" s="661"/>
      <c r="AE4" s="661"/>
    </row>
    <row r="5" spans="1:38" ht="16.5" customHeight="1">
      <c r="A5" s="132">
        <v>3</v>
      </c>
      <c r="B5" s="653"/>
      <c r="C5" s="329" t="s">
        <v>655</v>
      </c>
      <c r="D5" s="305" t="str">
        <f>'참여기업 정보'!D5</f>
        <v>홍길동</v>
      </c>
      <c r="E5" s="300"/>
      <c r="H5" s="662" t="s">
        <v>810</v>
      </c>
      <c r="I5" s="662"/>
      <c r="J5" s="662"/>
      <c r="K5" s="662"/>
      <c r="L5" s="663"/>
      <c r="M5" s="664" t="str">
        <f>D4</f>
        <v>㈜노마드</v>
      </c>
      <c r="N5" s="665"/>
      <c r="O5" s="665"/>
      <c r="P5" s="665"/>
      <c r="Q5" s="665"/>
      <c r="R5" s="665"/>
      <c r="S5" s="665"/>
      <c r="T5" s="666"/>
      <c r="U5" s="667" t="s">
        <v>811</v>
      </c>
      <c r="V5" s="662"/>
      <c r="W5" s="662"/>
      <c r="X5" s="662"/>
      <c r="Y5" s="662"/>
      <c r="Z5" s="662"/>
      <c r="AA5" s="663"/>
      <c r="AB5" s="664" t="str">
        <f>D5</f>
        <v>홍길동</v>
      </c>
      <c r="AC5" s="665"/>
      <c r="AD5" s="665"/>
      <c r="AE5" s="665"/>
    </row>
    <row r="6" spans="1:38" ht="30">
      <c r="A6" s="132">
        <v>4</v>
      </c>
      <c r="B6" s="653"/>
      <c r="C6" s="330" t="s">
        <v>656</v>
      </c>
      <c r="D6" s="305" t="str">
        <f>'참여기업 정보'!D6 &amp; "(" &amp; '참여기업 정보'!F7 &amp; ")"</f>
        <v>111-11-11111(222222222)</v>
      </c>
      <c r="E6" s="300"/>
      <c r="H6" s="668" t="s">
        <v>812</v>
      </c>
      <c r="I6" s="668"/>
      <c r="J6" s="668"/>
      <c r="K6" s="668"/>
      <c r="L6" s="669"/>
      <c r="M6" s="670" t="str">
        <f>D6</f>
        <v>111-11-11111(222222222)</v>
      </c>
      <c r="N6" s="671"/>
      <c r="O6" s="671"/>
      <c r="P6" s="671"/>
      <c r="Q6" s="671"/>
      <c r="R6" s="671"/>
      <c r="S6" s="671"/>
      <c r="T6" s="672"/>
      <c r="U6" s="676" t="s">
        <v>813</v>
      </c>
      <c r="V6" s="668"/>
      <c r="W6" s="668"/>
      <c r="X6" s="668"/>
      <c r="Y6" s="668"/>
      <c r="Z6" s="668"/>
      <c r="AA6" s="669"/>
      <c r="AB6" s="670" t="str">
        <f>D7</f>
        <v>222-22-22222-2</v>
      </c>
      <c r="AC6" s="671"/>
      <c r="AD6" s="671"/>
      <c r="AE6" s="671"/>
    </row>
    <row r="7" spans="1:38" ht="16.5" customHeight="1">
      <c r="A7" s="132">
        <v>5</v>
      </c>
      <c r="B7" s="653"/>
      <c r="C7" s="329" t="s">
        <v>657</v>
      </c>
      <c r="D7" s="305" t="str">
        <f>'참여기업 정보'!D7</f>
        <v>222-22-22222-2</v>
      </c>
      <c r="E7" s="300"/>
      <c r="H7" s="677" t="s">
        <v>814</v>
      </c>
      <c r="I7" s="677"/>
      <c r="J7" s="677"/>
      <c r="K7" s="677"/>
      <c r="L7" s="678"/>
      <c r="M7" s="673"/>
      <c r="N7" s="674"/>
      <c r="O7" s="674"/>
      <c r="P7" s="674"/>
      <c r="Q7" s="674"/>
      <c r="R7" s="674"/>
      <c r="S7" s="674"/>
      <c r="T7" s="675"/>
      <c r="U7" s="679" t="s">
        <v>815</v>
      </c>
      <c r="V7" s="677"/>
      <c r="W7" s="677"/>
      <c r="X7" s="677"/>
      <c r="Y7" s="677"/>
      <c r="Z7" s="677"/>
      <c r="AA7" s="678"/>
      <c r="AB7" s="673"/>
      <c r="AC7" s="674"/>
      <c r="AD7" s="674"/>
      <c r="AE7" s="674"/>
    </row>
    <row r="8" spans="1:38" ht="16.5" customHeight="1">
      <c r="A8" s="132">
        <v>6</v>
      </c>
      <c r="B8" s="653"/>
      <c r="C8" s="329" t="s">
        <v>658</v>
      </c>
      <c r="D8" s="305" t="str">
        <f>'참여기업 정보'!D9</f>
        <v>부산광역시 연제구</v>
      </c>
      <c r="E8" s="300"/>
      <c r="H8" s="680" t="s">
        <v>816</v>
      </c>
      <c r="I8" s="680"/>
      <c r="J8" s="680"/>
      <c r="K8" s="680"/>
      <c r="L8" s="681"/>
      <c r="M8" s="640" t="str">
        <f>D8</f>
        <v>부산광역시 연제구</v>
      </c>
      <c r="N8" s="637"/>
      <c r="O8" s="637"/>
      <c r="P8" s="637"/>
      <c r="Q8" s="637"/>
      <c r="R8" s="637"/>
      <c r="S8" s="637"/>
      <c r="T8" s="637"/>
      <c r="U8" s="637"/>
      <c r="V8" s="637"/>
      <c r="W8" s="637"/>
      <c r="X8" s="637"/>
      <c r="Y8" s="637"/>
      <c r="Z8" s="637"/>
      <c r="AA8" s="637"/>
      <c r="AB8" s="637"/>
      <c r="AC8" s="637"/>
      <c r="AD8" s="637"/>
      <c r="AE8" s="637"/>
      <c r="AF8" s="298" t="s">
        <v>817</v>
      </c>
    </row>
    <row r="9" spans="1:38" ht="16.5" customHeight="1">
      <c r="A9" s="132">
        <v>7</v>
      </c>
      <c r="B9" s="653"/>
      <c r="C9" s="329" t="s">
        <v>659</v>
      </c>
      <c r="D9" s="305" t="str">
        <f>'참여기업 정보'!D24</f>
        <v>세종대왕</v>
      </c>
      <c r="E9" s="300"/>
      <c r="H9" s="668" t="s">
        <v>818</v>
      </c>
      <c r="I9" s="668"/>
      <c r="J9" s="668"/>
      <c r="K9" s="668"/>
      <c r="L9" s="669"/>
      <c r="M9" s="684" t="s">
        <v>819</v>
      </c>
      <c r="N9" s="681"/>
      <c r="O9" s="640" t="str">
        <f>D9</f>
        <v>세종대왕</v>
      </c>
      <c r="P9" s="637"/>
      <c r="Q9" s="637"/>
      <c r="R9" s="637"/>
      <c r="S9" s="637"/>
      <c r="T9" s="637"/>
      <c r="U9" s="637"/>
      <c r="V9" s="637"/>
      <c r="W9" s="638"/>
      <c r="X9" s="684" t="s">
        <v>820</v>
      </c>
      <c r="Y9" s="680"/>
      <c r="Z9" s="680"/>
      <c r="AA9" s="680"/>
      <c r="AB9" s="681"/>
      <c r="AC9" s="640" t="str">
        <f>D10</f>
        <v>010-0000-0000</v>
      </c>
      <c r="AD9" s="637"/>
      <c r="AE9" s="637"/>
    </row>
    <row r="10" spans="1:38" ht="16.5" customHeight="1">
      <c r="A10" s="132">
        <v>8</v>
      </c>
      <c r="B10" s="653"/>
      <c r="C10" s="329" t="s">
        <v>660</v>
      </c>
      <c r="D10" s="305" t="str">
        <f>'참여기업 정보'!D27</f>
        <v>010-0000-0000</v>
      </c>
      <c r="E10" s="300"/>
      <c r="F10" s="298"/>
      <c r="H10" s="682"/>
      <c r="I10" s="682"/>
      <c r="J10" s="682"/>
      <c r="K10" s="682"/>
      <c r="L10" s="683"/>
      <c r="M10" s="693" t="s">
        <v>821</v>
      </c>
      <c r="N10" s="694"/>
      <c r="O10" s="695" t="str">
        <f>D11</f>
        <v>example1@nate.com</v>
      </c>
      <c r="P10" s="696"/>
      <c r="Q10" s="696"/>
      <c r="R10" s="696"/>
      <c r="S10" s="696"/>
      <c r="T10" s="696"/>
      <c r="U10" s="696"/>
      <c r="V10" s="696"/>
      <c r="W10" s="697"/>
      <c r="X10" s="693" t="s">
        <v>822</v>
      </c>
      <c r="Y10" s="698"/>
      <c r="Z10" s="698"/>
      <c r="AA10" s="698"/>
      <c r="AB10" s="694"/>
      <c r="AC10" s="699">
        <f>D12</f>
        <v>0</v>
      </c>
      <c r="AD10" s="700"/>
      <c r="AE10" s="700"/>
    </row>
    <row r="11" spans="1:38" ht="16.5" customHeight="1">
      <c r="A11" s="132">
        <v>9</v>
      </c>
      <c r="B11" s="653"/>
      <c r="C11" s="329" t="s">
        <v>661</v>
      </c>
      <c r="D11" s="305" t="str">
        <f>'참여기업 정보'!D28</f>
        <v>example1@nate.com</v>
      </c>
      <c r="E11" s="300"/>
      <c r="H11" s="701"/>
      <c r="I11" s="701"/>
      <c r="J11" s="701"/>
      <c r="K11" s="701"/>
      <c r="L11" s="701"/>
      <c r="M11" s="701"/>
      <c r="N11" s="701"/>
      <c r="O11" s="701"/>
      <c r="P11" s="701"/>
      <c r="Q11" s="701"/>
      <c r="R11" s="701"/>
      <c r="S11" s="701"/>
      <c r="T11" s="701"/>
      <c r="U11" s="701"/>
      <c r="V11" s="701"/>
      <c r="W11" s="701"/>
      <c r="X11" s="701"/>
      <c r="Y11" s="701"/>
      <c r="Z11" s="701"/>
      <c r="AA11" s="701"/>
      <c r="AB11" s="701"/>
      <c r="AC11" s="701"/>
      <c r="AD11" s="701"/>
      <c r="AE11" s="701"/>
    </row>
    <row r="12" spans="1:38" ht="16.5" customHeight="1">
      <c r="A12" s="132">
        <v>10</v>
      </c>
      <c r="B12" s="653"/>
      <c r="C12" s="329" t="s">
        <v>662</v>
      </c>
      <c r="D12" s="305">
        <f>'참여기업 정보'!D29</f>
        <v>0</v>
      </c>
      <c r="E12" s="300"/>
      <c r="H12" s="702" t="s">
        <v>823</v>
      </c>
      <c r="I12" s="702"/>
      <c r="J12" s="702"/>
      <c r="K12" s="702"/>
      <c r="L12" s="703"/>
      <c r="M12" s="704"/>
      <c r="N12" s="705"/>
      <c r="O12" s="705"/>
      <c r="P12" s="705"/>
      <c r="Q12" s="705"/>
      <c r="R12" s="705"/>
      <c r="S12" s="705"/>
      <c r="T12" s="705"/>
      <c r="U12" s="705"/>
      <c r="V12" s="705"/>
      <c r="W12" s="705"/>
      <c r="X12" s="705"/>
      <c r="Y12" s="705"/>
      <c r="Z12" s="705"/>
      <c r="AA12" s="705"/>
      <c r="AB12" s="705"/>
      <c r="AC12" s="705"/>
      <c r="AD12" s="705"/>
      <c r="AE12" s="705"/>
    </row>
    <row r="13" spans="1:38" ht="16.5" customHeight="1">
      <c r="A13" s="132">
        <v>11</v>
      </c>
      <c r="B13" s="653"/>
      <c r="C13" s="329" t="s">
        <v>663</v>
      </c>
      <c r="D13" s="295">
        <f>'참여기업 정보'!F4</f>
        <v>45455</v>
      </c>
      <c r="E13" s="304"/>
      <c r="H13" s="706" t="s">
        <v>824</v>
      </c>
      <c r="I13" s="706"/>
      <c r="J13" s="706"/>
      <c r="K13" s="706"/>
      <c r="L13" s="707"/>
      <c r="M13" s="708" t="s">
        <v>825</v>
      </c>
      <c r="N13" s="706"/>
      <c r="O13" s="706"/>
      <c r="P13" s="707"/>
      <c r="Q13" s="708" t="s">
        <v>826</v>
      </c>
      <c r="R13" s="706"/>
      <c r="S13" s="706"/>
      <c r="T13" s="706"/>
      <c r="U13" s="706"/>
      <c r="V13" s="706"/>
      <c r="W13" s="706"/>
      <c r="X13" s="706"/>
      <c r="Y13" s="706"/>
      <c r="Z13" s="706"/>
      <c r="AA13" s="706"/>
      <c r="AB13" s="706"/>
      <c r="AC13" s="706"/>
      <c r="AD13" s="707"/>
      <c r="AE13" s="369" t="s">
        <v>827</v>
      </c>
    </row>
    <row r="14" spans="1:38" ht="16.5" customHeight="1">
      <c r="A14" s="132">
        <v>12</v>
      </c>
      <c r="B14" s="653"/>
      <c r="C14" s="331" t="s">
        <v>664</v>
      </c>
      <c r="D14" s="305" t="str">
        <f>'참여기업 정보'!F9</f>
        <v>00은행</v>
      </c>
      <c r="E14" s="300"/>
      <c r="H14" s="650" t="s">
        <v>828</v>
      </c>
      <c r="I14" s="650"/>
      <c r="J14" s="650"/>
      <c r="K14" s="650"/>
      <c r="L14" s="651"/>
      <c r="M14" s="649" t="s">
        <v>829</v>
      </c>
      <c r="N14" s="650"/>
      <c r="O14" s="650"/>
      <c r="P14" s="651"/>
      <c r="Q14" s="649" t="s">
        <v>830</v>
      </c>
      <c r="R14" s="650"/>
      <c r="S14" s="650"/>
      <c r="T14" s="650"/>
      <c r="U14" s="650"/>
      <c r="V14" s="650"/>
      <c r="W14" s="650"/>
      <c r="X14" s="650"/>
      <c r="Y14" s="650"/>
      <c r="Z14" s="650"/>
      <c r="AA14" s="650"/>
      <c r="AB14" s="650"/>
      <c r="AC14" s="650"/>
      <c r="AD14" s="651"/>
      <c r="AE14" s="370" t="s">
        <v>831</v>
      </c>
    </row>
    <row r="15" spans="1:38" ht="16.5" customHeight="1">
      <c r="A15" s="132">
        <v>13</v>
      </c>
      <c r="B15" s="653"/>
      <c r="C15" s="329" t="s">
        <v>665</v>
      </c>
      <c r="D15" s="305" t="str">
        <f>'참여기업 정보'!F10</f>
        <v>00-000-0000</v>
      </c>
      <c r="E15" s="300"/>
      <c r="H15" s="637" t="str">
        <f>B21</f>
        <v>이민수(900699-1254973)</v>
      </c>
      <c r="I15" s="637"/>
      <c r="J15" s="637"/>
      <c r="K15" s="637"/>
      <c r="L15" s="638"/>
      <c r="M15" s="639" t="str">
        <f>C21</f>
        <v>2024년 11월 18일</v>
      </c>
      <c r="N15" s="637"/>
      <c r="O15" s="637"/>
      <c r="P15" s="638"/>
      <c r="Q15" s="640" t="str">
        <f>D21</f>
        <v>2024년 11월 18일 ~ 2024년 12월 13일</v>
      </c>
      <c r="R15" s="637"/>
      <c r="S15" s="637"/>
      <c r="T15" s="637"/>
      <c r="U15" s="637"/>
      <c r="V15" s="637"/>
      <c r="W15" s="637"/>
      <c r="X15" s="637"/>
      <c r="Y15" s="637"/>
      <c r="Z15" s="637"/>
      <c r="AA15" s="637"/>
      <c r="AB15" s="637"/>
      <c r="AC15" s="637"/>
      <c r="AD15" s="638"/>
      <c r="AE15" s="350" t="str">
        <f>E21</f>
        <v>기입</v>
      </c>
      <c r="AH15" s="299" t="s">
        <v>649</v>
      </c>
    </row>
    <row r="16" spans="1:38" ht="16.5" customHeight="1" thickBot="1">
      <c r="A16" s="132">
        <v>14</v>
      </c>
      <c r="B16" s="654"/>
      <c r="C16" s="332" t="s">
        <v>666</v>
      </c>
      <c r="D16" s="306" t="str">
        <f>'참여기업 정보'!F11</f>
        <v>홍홍</v>
      </c>
      <c r="E16" s="301"/>
      <c r="H16" s="637" t="str">
        <f t="shared" ref="H16:H24" si="0">B22</f>
        <v>정지우(950499-2978157)</v>
      </c>
      <c r="I16" s="637"/>
      <c r="J16" s="637"/>
      <c r="K16" s="637"/>
      <c r="L16" s="638"/>
      <c r="M16" s="639" t="str">
        <f t="shared" ref="M16:M24" si="1">C22</f>
        <v>2024년 11월 18일</v>
      </c>
      <c r="N16" s="637"/>
      <c r="O16" s="637"/>
      <c r="P16" s="638"/>
      <c r="Q16" s="640" t="str">
        <f t="shared" ref="Q16:Q24" si="2">D22</f>
        <v>2024년 11월 18일 ~ 2024년 12월 13일</v>
      </c>
      <c r="R16" s="637"/>
      <c r="S16" s="637"/>
      <c r="T16" s="637"/>
      <c r="U16" s="637"/>
      <c r="V16" s="637"/>
      <c r="W16" s="637"/>
      <c r="X16" s="637"/>
      <c r="Y16" s="637"/>
      <c r="Z16" s="637"/>
      <c r="AA16" s="637"/>
      <c r="AB16" s="637"/>
      <c r="AC16" s="637"/>
      <c r="AD16" s="638"/>
      <c r="AE16" s="350" t="str">
        <f t="shared" ref="AE16:AE24" si="3">E22</f>
        <v>기입</v>
      </c>
    </row>
    <row r="17" spans="1:31" ht="16.5" customHeight="1">
      <c r="A17" s="132">
        <v>15</v>
      </c>
      <c r="H17" s="637" t="str">
        <f t="shared" si="0"/>
        <v>박지우(960399-2963832)</v>
      </c>
      <c r="I17" s="637"/>
      <c r="J17" s="637"/>
      <c r="K17" s="637"/>
      <c r="L17" s="638"/>
      <c r="M17" s="639" t="str">
        <f t="shared" si="1"/>
        <v>2024년 11월 18일</v>
      </c>
      <c r="N17" s="637"/>
      <c r="O17" s="637"/>
      <c r="P17" s="638"/>
      <c r="Q17" s="640" t="str">
        <f t="shared" si="2"/>
        <v>2024년 11월 18일 ~ 2024년 12월 13일</v>
      </c>
      <c r="R17" s="637"/>
      <c r="S17" s="637"/>
      <c r="T17" s="637"/>
      <c r="U17" s="637"/>
      <c r="V17" s="637"/>
      <c r="W17" s="637"/>
      <c r="X17" s="637"/>
      <c r="Y17" s="637"/>
      <c r="Z17" s="637"/>
      <c r="AA17" s="637"/>
      <c r="AB17" s="637"/>
      <c r="AC17" s="637"/>
      <c r="AD17" s="638"/>
      <c r="AE17" s="350" t="str">
        <f t="shared" si="3"/>
        <v>기입</v>
      </c>
    </row>
    <row r="18" spans="1:31" ht="16.5" customHeight="1">
      <c r="A18" s="132">
        <v>16</v>
      </c>
      <c r="B18" s="689" t="s">
        <v>750</v>
      </c>
      <c r="C18" s="690"/>
      <c r="D18" s="690"/>
      <c r="E18" s="690"/>
      <c r="H18" s="637" t="str">
        <f t="shared" si="0"/>
        <v>김예은(930699-1258129)</v>
      </c>
      <c r="I18" s="637"/>
      <c r="J18" s="637"/>
      <c r="K18" s="637"/>
      <c r="L18" s="638"/>
      <c r="M18" s="639" t="str">
        <f t="shared" si="1"/>
        <v>2024년 11월 18일</v>
      </c>
      <c r="N18" s="637"/>
      <c r="O18" s="637"/>
      <c r="P18" s="638"/>
      <c r="Q18" s="640" t="str">
        <f t="shared" si="2"/>
        <v>2024년 11월 18일 ~ 2024년 12월 13일</v>
      </c>
      <c r="R18" s="637"/>
      <c r="S18" s="637"/>
      <c r="T18" s="637"/>
      <c r="U18" s="637"/>
      <c r="V18" s="637"/>
      <c r="W18" s="637"/>
      <c r="X18" s="637"/>
      <c r="Y18" s="637"/>
      <c r="Z18" s="637"/>
      <c r="AA18" s="637"/>
      <c r="AB18" s="637"/>
      <c r="AC18" s="637"/>
      <c r="AD18" s="638"/>
      <c r="AE18" s="350" t="str">
        <f t="shared" si="3"/>
        <v>기입</v>
      </c>
    </row>
    <row r="19" spans="1:31" ht="16.5" customHeight="1" thickBot="1">
      <c r="A19" s="132">
        <v>17</v>
      </c>
      <c r="B19" s="691"/>
      <c r="C19" s="692"/>
      <c r="D19" s="692"/>
      <c r="E19" s="692"/>
      <c r="H19" s="637" t="str">
        <f t="shared" si="0"/>
        <v>이민수(020699-3626178)</v>
      </c>
      <c r="I19" s="637"/>
      <c r="J19" s="637"/>
      <c r="K19" s="637"/>
      <c r="L19" s="638"/>
      <c r="M19" s="639" t="str">
        <f t="shared" si="1"/>
        <v>2024년 11월 18일</v>
      </c>
      <c r="N19" s="637"/>
      <c r="O19" s="637"/>
      <c r="P19" s="638"/>
      <c r="Q19" s="640" t="str">
        <f t="shared" si="2"/>
        <v>2024년 11월 18일 ~ 2024년 12월 13일</v>
      </c>
      <c r="R19" s="637"/>
      <c r="S19" s="637"/>
      <c r="T19" s="637"/>
      <c r="U19" s="637"/>
      <c r="V19" s="637"/>
      <c r="W19" s="637"/>
      <c r="X19" s="637"/>
      <c r="Y19" s="637"/>
      <c r="Z19" s="637"/>
      <c r="AA19" s="637"/>
      <c r="AB19" s="637"/>
      <c r="AC19" s="637"/>
      <c r="AD19" s="638"/>
      <c r="AE19" s="350" t="str">
        <f t="shared" si="3"/>
        <v>기입</v>
      </c>
    </row>
    <row r="20" spans="1:31" ht="16.5" customHeight="1" thickTop="1">
      <c r="A20" s="132">
        <v>18</v>
      </c>
      <c r="B20" s="308" t="s">
        <v>667</v>
      </c>
      <c r="C20" s="308" t="s">
        <v>668</v>
      </c>
      <c r="D20" s="308" t="s">
        <v>669</v>
      </c>
      <c r="E20" s="309" t="s">
        <v>670</v>
      </c>
      <c r="H20" s="637" t="str">
        <f t="shared" si="0"/>
        <v>박현우(930899-1736570)</v>
      </c>
      <c r="I20" s="637"/>
      <c r="J20" s="637"/>
      <c r="K20" s="637"/>
      <c r="L20" s="638"/>
      <c r="M20" s="639" t="str">
        <f t="shared" si="1"/>
        <v>2024년 11월 18일</v>
      </c>
      <c r="N20" s="637"/>
      <c r="O20" s="637"/>
      <c r="P20" s="638"/>
      <c r="Q20" s="640" t="str">
        <f t="shared" si="2"/>
        <v>2024년 11월 18일 ~ 2024년 12월 13일</v>
      </c>
      <c r="R20" s="637"/>
      <c r="S20" s="637"/>
      <c r="T20" s="637"/>
      <c r="U20" s="637"/>
      <c r="V20" s="637"/>
      <c r="W20" s="637"/>
      <c r="X20" s="637"/>
      <c r="Y20" s="637"/>
      <c r="Z20" s="637"/>
      <c r="AA20" s="637"/>
      <c r="AB20" s="637"/>
      <c r="AC20" s="637"/>
      <c r="AD20" s="638"/>
      <c r="AE20" s="350" t="str">
        <f t="shared" si="3"/>
        <v>기입</v>
      </c>
    </row>
    <row r="21" spans="1:31" ht="16.5" customHeight="1">
      <c r="A21" s="132">
        <v>19</v>
      </c>
      <c r="B21" s="342" t="str">
        <f>참여자명단!F3 &amp; "(" &amp;참여자명단!G3 &amp; ")"</f>
        <v>이민수(900699-1254973)</v>
      </c>
      <c r="C21" s="345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1" s="342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1" s="371" t="s">
        <v>832</v>
      </c>
      <c r="H21" s="637" t="str">
        <f t="shared" si="0"/>
        <v>이현우(001199-3301932)</v>
      </c>
      <c r="I21" s="637"/>
      <c r="J21" s="637"/>
      <c r="K21" s="637"/>
      <c r="L21" s="638"/>
      <c r="M21" s="639" t="str">
        <f t="shared" si="1"/>
        <v>2024년 11월 18일</v>
      </c>
      <c r="N21" s="637"/>
      <c r="O21" s="637"/>
      <c r="P21" s="638"/>
      <c r="Q21" s="640" t="str">
        <f t="shared" si="2"/>
        <v>2024년 11월 18일 ~ 2024년 12월 13일</v>
      </c>
      <c r="R21" s="637"/>
      <c r="S21" s="637"/>
      <c r="T21" s="637"/>
      <c r="U21" s="637"/>
      <c r="V21" s="637"/>
      <c r="W21" s="637"/>
      <c r="X21" s="637"/>
      <c r="Y21" s="637"/>
      <c r="Z21" s="637"/>
      <c r="AA21" s="637"/>
      <c r="AB21" s="637"/>
      <c r="AC21" s="637"/>
      <c r="AD21" s="638"/>
      <c r="AE21" s="350" t="str">
        <f t="shared" si="3"/>
        <v>기입</v>
      </c>
    </row>
    <row r="22" spans="1:31" ht="16.5" customHeight="1">
      <c r="A22" s="132">
        <v>20</v>
      </c>
      <c r="B22" s="342" t="str">
        <f>참여자명단!F4 &amp; "(" &amp;참여자명단!G4 &amp; ")"</f>
        <v>정지우(950499-2978157)</v>
      </c>
      <c r="C22" s="345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2" s="342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2" s="371" t="s">
        <v>832</v>
      </c>
      <c r="H22" s="637" t="str">
        <f t="shared" si="0"/>
        <v>김지우(920699-1184953)</v>
      </c>
      <c r="I22" s="637"/>
      <c r="J22" s="637"/>
      <c r="K22" s="637"/>
      <c r="L22" s="638"/>
      <c r="M22" s="639" t="str">
        <f t="shared" si="1"/>
        <v>2024년 11월 18일</v>
      </c>
      <c r="N22" s="637"/>
      <c r="O22" s="637"/>
      <c r="P22" s="638"/>
      <c r="Q22" s="640" t="str">
        <f t="shared" si="2"/>
        <v>2024년 11월 18일 ~ 2024년 12월 13일</v>
      </c>
      <c r="R22" s="637"/>
      <c r="S22" s="637"/>
      <c r="T22" s="637"/>
      <c r="U22" s="637"/>
      <c r="V22" s="637"/>
      <c r="W22" s="637"/>
      <c r="X22" s="637"/>
      <c r="Y22" s="637"/>
      <c r="Z22" s="637"/>
      <c r="AA22" s="637"/>
      <c r="AB22" s="637"/>
      <c r="AC22" s="637"/>
      <c r="AD22" s="638"/>
      <c r="AE22" s="350" t="str">
        <f t="shared" si="3"/>
        <v>기입</v>
      </c>
    </row>
    <row r="23" spans="1:31" ht="16.5" customHeight="1">
      <c r="A23" s="132">
        <v>21</v>
      </c>
      <c r="B23" s="342" t="str">
        <f>참여자명단!F5 &amp; "(" &amp;참여자명단!G5 &amp; ")"</f>
        <v>박지우(960399-2963832)</v>
      </c>
      <c r="C23" s="345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3" s="342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3" s="371" t="s">
        <v>832</v>
      </c>
      <c r="H23" s="637" t="str">
        <f t="shared" si="0"/>
        <v>박현우(900699-2193659)</v>
      </c>
      <c r="I23" s="637"/>
      <c r="J23" s="637"/>
      <c r="K23" s="637"/>
      <c r="L23" s="638"/>
      <c r="M23" s="639" t="str">
        <f t="shared" si="1"/>
        <v>2024년 11월 18일</v>
      </c>
      <c r="N23" s="637"/>
      <c r="O23" s="637"/>
      <c r="P23" s="638"/>
      <c r="Q23" s="640" t="str">
        <f t="shared" si="2"/>
        <v>2024년 11월 18일 ~ 2024년 12월 13일</v>
      </c>
      <c r="R23" s="637"/>
      <c r="S23" s="637"/>
      <c r="T23" s="637"/>
      <c r="U23" s="637"/>
      <c r="V23" s="637"/>
      <c r="W23" s="637"/>
      <c r="X23" s="637"/>
      <c r="Y23" s="637"/>
      <c r="Z23" s="637"/>
      <c r="AA23" s="637"/>
      <c r="AB23" s="637"/>
      <c r="AC23" s="637"/>
      <c r="AD23" s="638"/>
      <c r="AE23" s="350" t="str">
        <f t="shared" si="3"/>
        <v>기입</v>
      </c>
    </row>
    <row r="24" spans="1:31" ht="16.5" customHeight="1">
      <c r="A24" s="132">
        <v>22</v>
      </c>
      <c r="B24" s="342" t="str">
        <f>참여자명단!F6 &amp; "(" &amp;참여자명단!G6 &amp; ")"</f>
        <v>김예은(930699-1258129)</v>
      </c>
      <c r="C24" s="345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4" s="342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4" s="371" t="s">
        <v>832</v>
      </c>
      <c r="H24" s="637" t="str">
        <f t="shared" si="0"/>
        <v>김현우(900799-1246303)</v>
      </c>
      <c r="I24" s="637"/>
      <c r="J24" s="637"/>
      <c r="K24" s="637"/>
      <c r="L24" s="638"/>
      <c r="M24" s="639" t="str">
        <f t="shared" si="1"/>
        <v>2024년 11월 18일</v>
      </c>
      <c r="N24" s="637"/>
      <c r="O24" s="637"/>
      <c r="P24" s="638"/>
      <c r="Q24" s="640" t="str">
        <f t="shared" si="2"/>
        <v>2024년 11월 18일 ~ 2024년 12월 13일</v>
      </c>
      <c r="R24" s="637"/>
      <c r="S24" s="637"/>
      <c r="T24" s="637"/>
      <c r="U24" s="637"/>
      <c r="V24" s="637"/>
      <c r="W24" s="637"/>
      <c r="X24" s="637"/>
      <c r="Y24" s="637"/>
      <c r="Z24" s="637"/>
      <c r="AA24" s="637"/>
      <c r="AB24" s="637"/>
      <c r="AC24" s="637"/>
      <c r="AD24" s="638"/>
      <c r="AE24" s="350" t="str">
        <f t="shared" si="3"/>
        <v>기입</v>
      </c>
    </row>
    <row r="25" spans="1:31" ht="16.5" customHeight="1">
      <c r="A25" s="132">
        <v>23</v>
      </c>
      <c r="B25" s="342" t="str">
        <f>참여자명단!F7 &amp; "(" &amp;참여자명단!G7 &amp; ")"</f>
        <v>이민수(020699-3626178)</v>
      </c>
      <c r="C25" s="345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5" s="342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5" s="371" t="s">
        <v>832</v>
      </c>
      <c r="H25" s="641" t="s">
        <v>833</v>
      </c>
      <c r="I25" s="641"/>
      <c r="J25" s="641"/>
      <c r="K25" s="641"/>
      <c r="L25" s="641"/>
      <c r="M25" s="641"/>
      <c r="N25" s="641"/>
      <c r="O25" s="641"/>
      <c r="P25" s="641" t="s">
        <v>834</v>
      </c>
      <c r="Q25" s="641"/>
      <c r="R25" s="641"/>
      <c r="S25" s="641"/>
      <c r="T25" s="641"/>
      <c r="U25" s="641"/>
      <c r="V25" s="641"/>
      <c r="W25" s="641" t="s">
        <v>835</v>
      </c>
      <c r="X25" s="641"/>
      <c r="Y25" s="641"/>
      <c r="Z25" s="641"/>
      <c r="AA25" s="641" t="s">
        <v>836</v>
      </c>
      <c r="AB25" s="641"/>
      <c r="AC25" s="641"/>
      <c r="AD25" s="641"/>
      <c r="AE25" s="641"/>
    </row>
    <row r="26" spans="1:31" ht="16.5" customHeight="1">
      <c r="A26" s="132">
        <v>24</v>
      </c>
      <c r="B26" s="342" t="str">
        <f>참여자명단!F8 &amp; "(" &amp;참여자명단!G8 &amp; ")"</f>
        <v>박현우(930899-1736570)</v>
      </c>
      <c r="C26" s="345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6" s="342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6" s="371" t="s">
        <v>832</v>
      </c>
      <c r="H26" s="642"/>
      <c r="I26" s="642"/>
      <c r="J26" s="642"/>
      <c r="K26" s="642"/>
      <c r="L26" s="642"/>
      <c r="M26" s="642"/>
      <c r="N26" s="642"/>
      <c r="O26" s="642"/>
      <c r="P26" s="642"/>
      <c r="Q26" s="642"/>
      <c r="R26" s="642"/>
      <c r="S26" s="642"/>
      <c r="T26" s="642"/>
      <c r="U26" s="642"/>
      <c r="V26" s="642"/>
      <c r="W26" s="642"/>
      <c r="X26" s="642"/>
      <c r="Y26" s="642"/>
      <c r="Z26" s="642"/>
      <c r="AA26" s="642"/>
      <c r="AB26" s="642"/>
      <c r="AC26" s="642"/>
      <c r="AD26" s="642"/>
      <c r="AE26" s="642"/>
    </row>
    <row r="27" spans="1:31" ht="16.5" customHeight="1">
      <c r="A27" s="132">
        <v>25</v>
      </c>
      <c r="B27" s="342" t="str">
        <f>참여자명단!F9 &amp; "(" &amp;참여자명단!G9 &amp; ")"</f>
        <v>이현우(001199-3301932)</v>
      </c>
      <c r="C27" s="345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7" s="342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7" s="371" t="s">
        <v>832</v>
      </c>
      <c r="H27" s="643" t="s">
        <v>837</v>
      </c>
      <c r="I27" s="643"/>
      <c r="J27" s="643"/>
      <c r="K27" s="643"/>
      <c r="L27" s="644"/>
      <c r="M27" s="645" t="str">
        <f>"(" &amp; D56 &amp; ")" &amp; "은행"</f>
        <v>(00은행)은행</v>
      </c>
      <c r="N27" s="646"/>
      <c r="O27" s="646"/>
      <c r="P27" s="646"/>
      <c r="Q27" s="646"/>
      <c r="R27" s="646"/>
      <c r="S27" s="647" t="str">
        <f>D15</f>
        <v>00-000-0000</v>
      </c>
      <c r="T27" s="647"/>
      <c r="U27" s="647"/>
      <c r="V27" s="647"/>
      <c r="W27" s="647"/>
      <c r="X27" s="647"/>
      <c r="Y27" s="647"/>
      <c r="Z27" s="647"/>
      <c r="AA27" s="647"/>
      <c r="AB27" s="647"/>
      <c r="AC27" s="648" t="str">
        <f xml:space="preserve"> "(예금주 :" &amp; D58 &amp; ")"</f>
        <v>(예금주 :홍홍)</v>
      </c>
      <c r="AD27" s="648"/>
      <c r="AE27" s="648"/>
    </row>
    <row r="28" spans="1:31" ht="16.5" customHeight="1">
      <c r="A28" s="132">
        <v>26</v>
      </c>
      <c r="B28" s="342" t="str">
        <f>참여자명단!F10 &amp; "(" &amp;참여자명단!G10 &amp; ")"</f>
        <v>김지우(920699-1184953)</v>
      </c>
      <c r="C28" s="345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8" s="342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8" s="371" t="s">
        <v>832</v>
      </c>
      <c r="H28" s="628"/>
      <c r="I28" s="628"/>
      <c r="J28" s="628"/>
      <c r="K28" s="628"/>
      <c r="L28" s="628"/>
      <c r="M28" s="628"/>
      <c r="N28" s="628"/>
      <c r="O28" s="628"/>
      <c r="P28" s="628"/>
      <c r="Q28" s="628"/>
      <c r="R28" s="628"/>
      <c r="S28" s="628"/>
      <c r="T28" s="628"/>
      <c r="U28" s="628"/>
      <c r="V28" s="628"/>
      <c r="W28" s="628"/>
      <c r="X28" s="628"/>
      <c r="Y28" s="628"/>
      <c r="Z28" s="628"/>
      <c r="AA28" s="628"/>
      <c r="AB28" s="628"/>
      <c r="AC28" s="628"/>
      <c r="AD28" s="628"/>
      <c r="AE28" s="628"/>
    </row>
    <row r="29" spans="1:31" ht="16.5" customHeight="1">
      <c r="A29" s="132">
        <v>27</v>
      </c>
      <c r="B29" s="342" t="str">
        <f>참여자명단!F11 &amp; "(" &amp;참여자명단!G11 &amp; ")"</f>
        <v>박현우(900699-2193659)</v>
      </c>
      <c r="C29" s="345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29" s="342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29" s="371" t="s">
        <v>832</v>
      </c>
      <c r="H29" s="629" t="s">
        <v>838</v>
      </c>
      <c r="I29" s="629"/>
      <c r="J29" s="629"/>
      <c r="K29" s="629"/>
      <c r="L29" s="629"/>
      <c r="M29" s="629"/>
      <c r="N29" s="629"/>
      <c r="O29" s="629"/>
      <c r="P29" s="629"/>
      <c r="Q29" s="629"/>
      <c r="R29" s="629"/>
      <c r="S29" s="629"/>
      <c r="T29" s="629"/>
      <c r="U29" s="629"/>
      <c r="V29" s="629"/>
      <c r="W29" s="629"/>
      <c r="X29" s="629"/>
      <c r="Y29" s="629"/>
      <c r="Z29" s="629"/>
      <c r="AA29" s="629"/>
      <c r="AB29" s="629"/>
      <c r="AC29" s="629"/>
      <c r="AD29" s="629"/>
      <c r="AE29" s="629"/>
    </row>
    <row r="30" spans="1:31" ht="16.5" customHeight="1" thickBot="1">
      <c r="A30" s="132">
        <v>28</v>
      </c>
      <c r="B30" s="343" t="str">
        <f>참여자명단!F12 &amp; "(" &amp;참여자명단!G12 &amp; ")"</f>
        <v>김현우(900799-1246303)</v>
      </c>
      <c r="C30" s="346" t="str">
        <f>TEXT(LEFT('참여기업 정보'!$F$38, 4), "0000") &amp; "년 " &amp; TEXT(MID('참여기업 정보'!$F$38, 6, 2), "0") &amp; "월 " &amp; TEXT(RIGHT('참여기업 정보'!$F$38, 2), "0") &amp; "일"</f>
        <v>2024년 11월 18일</v>
      </c>
      <c r="D30" s="343" t="str">
        <f>TEXT(LEFT('참여기업 정보'!$F$36, 4), "0000") &amp; "년 " &amp; TEXT(MID('참여기업 정보'!$F$36, 6, 2), "0") &amp; "월 " &amp; TEXT(MID('참여기업 정보'!$F$36, 9, 2), "0") &amp; "일" &amp; " ~ "
&amp;TEXT(MID('참여기업 정보'!$F$36, 14, 4), "0000") &amp; "년 " &amp; TEXT(MID('참여기업 정보'!$F$36, 19, 2), "0") &amp; "월 " &amp; TEXT(MID('참여기업 정보'!$F$36, 22, 2), "0") &amp; "일"</f>
        <v>2024년 11월 18일 ~ 2024년 12월 13일</v>
      </c>
      <c r="E30" s="372" t="s">
        <v>832</v>
      </c>
      <c r="H30" s="630" t="s">
        <v>839</v>
      </c>
      <c r="I30" s="630"/>
      <c r="J30" s="630"/>
      <c r="K30" s="630"/>
      <c r="L30" s="630"/>
      <c r="M30" s="630"/>
      <c r="N30" s="630"/>
      <c r="O30" s="630"/>
      <c r="P30" s="630"/>
      <c r="Q30" s="630"/>
      <c r="R30" s="630"/>
      <c r="S30" s="630"/>
      <c r="T30" s="630"/>
      <c r="U30" s="630"/>
      <c r="V30" s="630"/>
      <c r="W30" s="630"/>
      <c r="X30" s="630"/>
      <c r="Y30" s="630"/>
      <c r="Z30" s="630"/>
      <c r="AA30" s="630"/>
      <c r="AB30" s="630"/>
      <c r="AC30" s="630"/>
      <c r="AD30" s="630"/>
      <c r="AE30" s="630"/>
    </row>
    <row r="31" spans="1:31" ht="16.5" customHeight="1">
      <c r="A31" s="132">
        <v>29</v>
      </c>
      <c r="B31" s="55"/>
      <c r="C31" s="55"/>
      <c r="D31" s="55"/>
      <c r="E31" s="55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2" t="s">
        <v>840</v>
      </c>
      <c r="U31" s="632"/>
      <c r="V31" s="632"/>
      <c r="W31" s="632"/>
      <c r="X31" s="632"/>
      <c r="Y31" s="632"/>
      <c r="Z31" s="633" t="str">
        <f>D5</f>
        <v>홍길동</v>
      </c>
      <c r="AA31" s="633"/>
      <c r="AB31" s="633"/>
      <c r="AC31" s="633"/>
      <c r="AD31" s="633"/>
      <c r="AE31" s="373" t="s">
        <v>841</v>
      </c>
    </row>
    <row r="32" spans="1:31" ht="16.5" customHeight="1" thickBot="1">
      <c r="A32" s="132">
        <v>30</v>
      </c>
      <c r="B32" s="55"/>
      <c r="C32" s="55"/>
      <c r="D32" s="55"/>
      <c r="E32" s="55"/>
      <c r="H32" s="634" t="s">
        <v>842</v>
      </c>
      <c r="I32" s="634"/>
      <c r="J32" s="634"/>
      <c r="K32" s="634"/>
      <c r="L32" s="634"/>
      <c r="M32" s="634"/>
      <c r="N32" s="634"/>
      <c r="O32" s="634"/>
      <c r="P32" s="634"/>
      <c r="Q32" s="634"/>
      <c r="R32" s="634"/>
      <c r="S32" s="634"/>
      <c r="T32" s="634"/>
      <c r="U32" s="634"/>
      <c r="V32" s="634"/>
      <c r="W32" s="634"/>
      <c r="X32" s="634"/>
      <c r="Y32" s="634"/>
      <c r="Z32" s="634"/>
      <c r="AA32" s="635" t="s">
        <v>843</v>
      </c>
      <c r="AB32" s="635"/>
      <c r="AC32" s="635"/>
      <c r="AD32" s="635"/>
      <c r="AE32" s="635"/>
    </row>
    <row r="33" spans="1:31" ht="16.5" customHeight="1" thickTop="1">
      <c r="A33" s="132">
        <v>31</v>
      </c>
      <c r="B33" s="55"/>
      <c r="C33" s="55"/>
      <c r="D33" s="55"/>
      <c r="E33" s="55"/>
      <c r="H33" s="636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</row>
    <row r="34" spans="1:31" ht="16.5" customHeight="1">
      <c r="A34" s="132">
        <v>32</v>
      </c>
      <c r="B34" s="55"/>
      <c r="C34" s="55"/>
      <c r="D34" s="55"/>
      <c r="E34" s="55"/>
      <c r="H34" s="610" t="s">
        <v>844</v>
      </c>
      <c r="I34" s="610"/>
      <c r="J34" s="611"/>
      <c r="K34" s="614" t="s">
        <v>845</v>
      </c>
      <c r="L34" s="615"/>
      <c r="M34" s="615"/>
      <c r="N34" s="615"/>
      <c r="O34" s="615"/>
      <c r="P34" s="615"/>
      <c r="Q34" s="615"/>
      <c r="R34" s="615"/>
      <c r="S34" s="615"/>
      <c r="T34" s="615"/>
      <c r="U34" s="615"/>
      <c r="V34" s="615"/>
      <c r="W34" s="615"/>
      <c r="X34" s="615"/>
      <c r="Y34" s="615"/>
      <c r="Z34" s="615"/>
      <c r="AA34" s="615"/>
      <c r="AB34" s="615"/>
      <c r="AC34" s="615"/>
      <c r="AD34" s="615"/>
      <c r="AE34" s="615"/>
    </row>
    <row r="35" spans="1:31" ht="16.5" customHeight="1" thickBot="1">
      <c r="A35" s="132">
        <v>33</v>
      </c>
      <c r="B35" s="55"/>
      <c r="C35" s="55"/>
      <c r="D35" s="55"/>
      <c r="E35" s="55"/>
      <c r="H35" s="612"/>
      <c r="I35" s="612"/>
      <c r="J35" s="613"/>
      <c r="K35" s="616" t="s">
        <v>846</v>
      </c>
      <c r="L35" s="617"/>
      <c r="M35" s="617"/>
      <c r="N35" s="617"/>
      <c r="O35" s="617"/>
      <c r="P35" s="617"/>
      <c r="Q35" s="617"/>
      <c r="R35" s="617"/>
      <c r="S35" s="617"/>
      <c r="T35" s="617"/>
      <c r="U35" s="617"/>
      <c r="V35" s="617"/>
      <c r="W35" s="617"/>
      <c r="X35" s="617"/>
      <c r="Y35" s="617"/>
      <c r="Z35" s="617"/>
      <c r="AA35" s="617"/>
      <c r="AB35" s="617"/>
      <c r="AC35" s="617"/>
      <c r="AD35" s="617"/>
      <c r="AE35" s="617"/>
    </row>
    <row r="36" spans="1:31" ht="16.5" customHeight="1" thickBot="1">
      <c r="A36" s="132">
        <v>34</v>
      </c>
      <c r="H36" s="618" t="s">
        <v>847</v>
      </c>
      <c r="I36" s="618"/>
      <c r="J36" s="618"/>
      <c r="K36" s="618"/>
      <c r="L36" s="618"/>
      <c r="M36" s="618"/>
      <c r="N36" s="618"/>
      <c r="O36" s="618"/>
      <c r="P36" s="618"/>
      <c r="Q36" s="618"/>
      <c r="R36" s="618"/>
      <c r="S36" s="618"/>
      <c r="T36" s="618"/>
      <c r="U36" s="618"/>
      <c r="V36" s="618"/>
      <c r="W36" s="618"/>
      <c r="X36" s="618"/>
      <c r="Y36" s="618"/>
      <c r="Z36" s="618"/>
      <c r="AA36" s="618"/>
      <c r="AB36" s="618"/>
      <c r="AC36" s="618"/>
      <c r="AD36" s="618"/>
      <c r="AE36" s="618"/>
    </row>
    <row r="37" spans="1:31" ht="16.5" customHeight="1">
      <c r="A37" s="132">
        <v>35</v>
      </c>
      <c r="H37" s="619" t="s">
        <v>848</v>
      </c>
      <c r="I37" s="621" t="s">
        <v>849</v>
      </c>
      <c r="J37" s="622"/>
      <c r="K37" s="622"/>
      <c r="L37" s="622"/>
      <c r="M37" s="622"/>
      <c r="N37" s="622"/>
      <c r="O37" s="622"/>
      <c r="P37" s="622"/>
      <c r="Q37" s="623"/>
      <c r="R37" s="621" t="s">
        <v>807</v>
      </c>
      <c r="S37" s="622"/>
      <c r="T37" s="622"/>
      <c r="U37" s="622"/>
      <c r="V37" s="622"/>
      <c r="W37" s="622"/>
      <c r="X37" s="623"/>
      <c r="Y37" s="621" t="s">
        <v>850</v>
      </c>
      <c r="Z37" s="622"/>
      <c r="AA37" s="622"/>
      <c r="AB37" s="622"/>
      <c r="AC37" s="622"/>
      <c r="AD37" s="622"/>
      <c r="AE37" s="622"/>
    </row>
    <row r="38" spans="1:31" ht="16.5" customHeight="1">
      <c r="A38" s="132">
        <v>36</v>
      </c>
      <c r="H38" s="620"/>
      <c r="I38" s="606"/>
      <c r="J38" s="607"/>
      <c r="K38" s="607"/>
      <c r="L38" s="607"/>
      <c r="M38" s="607"/>
      <c r="N38" s="607"/>
      <c r="O38" s="607"/>
      <c r="P38" s="607"/>
      <c r="Q38" s="624"/>
      <c r="R38" s="625"/>
      <c r="S38" s="626"/>
      <c r="T38" s="626"/>
      <c r="U38" s="626"/>
      <c r="V38" s="626"/>
      <c r="W38" s="626"/>
      <c r="X38" s="627"/>
      <c r="Y38" s="606"/>
      <c r="Z38" s="607"/>
      <c r="AA38" s="607"/>
      <c r="AB38" s="607"/>
      <c r="AC38" s="607"/>
      <c r="AD38" s="607"/>
      <c r="AE38" s="607"/>
    </row>
    <row r="39" spans="1:31" ht="16.5" customHeight="1">
      <c r="A39" s="132">
        <v>37</v>
      </c>
      <c r="F39" s="297"/>
      <c r="H39" s="592" t="s">
        <v>851</v>
      </c>
      <c r="I39" s="594" t="s">
        <v>852</v>
      </c>
      <c r="J39" s="595"/>
      <c r="K39" s="596"/>
      <c r="L39" s="594"/>
      <c r="M39" s="596"/>
      <c r="N39" s="594" t="s">
        <v>853</v>
      </c>
      <c r="O39" s="595"/>
      <c r="P39" s="595"/>
      <c r="Q39" s="596"/>
      <c r="R39" s="594"/>
      <c r="S39" s="595"/>
      <c r="T39" s="595"/>
      <c r="U39" s="596"/>
      <c r="V39" s="594" t="s">
        <v>854</v>
      </c>
      <c r="W39" s="595"/>
      <c r="X39" s="596"/>
      <c r="Y39" s="600"/>
      <c r="Z39" s="601"/>
      <c r="AA39" s="601"/>
      <c r="AB39" s="601"/>
      <c r="AC39" s="602"/>
      <c r="AD39" s="606" t="s">
        <v>855</v>
      </c>
      <c r="AE39" s="607"/>
    </row>
    <row r="40" spans="1:31" ht="16.5" customHeight="1" thickBot="1">
      <c r="A40" s="132">
        <v>38</v>
      </c>
      <c r="F40" s="297"/>
      <c r="H40" s="593"/>
      <c r="I40" s="597"/>
      <c r="J40" s="598"/>
      <c r="K40" s="599"/>
      <c r="L40" s="597"/>
      <c r="M40" s="599"/>
      <c r="N40" s="597"/>
      <c r="O40" s="598"/>
      <c r="P40" s="598"/>
      <c r="Q40" s="599"/>
      <c r="R40" s="597"/>
      <c r="S40" s="598"/>
      <c r="T40" s="598"/>
      <c r="U40" s="599"/>
      <c r="V40" s="597"/>
      <c r="W40" s="598"/>
      <c r="X40" s="599"/>
      <c r="Y40" s="603"/>
      <c r="Z40" s="604"/>
      <c r="AA40" s="604"/>
      <c r="AB40" s="604"/>
      <c r="AC40" s="605"/>
      <c r="AD40" s="608" t="s">
        <v>389</v>
      </c>
      <c r="AE40" s="609"/>
    </row>
    <row r="41" spans="1:31" ht="16.5" customHeight="1">
      <c r="A41" s="132">
        <v>39</v>
      </c>
      <c r="F41" s="297"/>
    </row>
    <row r="42" spans="1:31" ht="16.5" customHeight="1">
      <c r="A42" s="132">
        <v>40</v>
      </c>
      <c r="F42" s="297"/>
    </row>
    <row r="43" spans="1:31" ht="16.5" customHeight="1">
      <c r="A43" s="132">
        <v>41</v>
      </c>
    </row>
    <row r="44" spans="1:31" ht="25.15">
      <c r="A44" s="132">
        <v>42</v>
      </c>
      <c r="B44" s="685" t="s">
        <v>856</v>
      </c>
      <c r="C44" s="686"/>
      <c r="D44" s="686"/>
      <c r="E44" s="686"/>
      <c r="H44" s="655" t="s">
        <v>857</v>
      </c>
      <c r="I44" s="655"/>
      <c r="J44" s="655"/>
      <c r="K44" s="655"/>
      <c r="L44" s="655"/>
      <c r="M44" s="655"/>
      <c r="N44" s="655"/>
      <c r="O44" s="655"/>
      <c r="P44" s="655"/>
      <c r="Q44" s="655"/>
      <c r="R44" s="655"/>
      <c r="S44" s="655"/>
      <c r="T44" s="655"/>
      <c r="U44" s="655"/>
      <c r="V44" s="655"/>
      <c r="W44" s="655"/>
      <c r="X44" s="655"/>
      <c r="Y44" s="655"/>
      <c r="Z44" s="655"/>
      <c r="AA44" s="655"/>
      <c r="AB44" s="655"/>
      <c r="AC44" s="655"/>
      <c r="AD44" s="655"/>
      <c r="AE44" s="655"/>
    </row>
    <row r="45" spans="1:31" ht="16.5" customHeight="1" thickBot="1">
      <c r="A45" s="132">
        <v>43</v>
      </c>
      <c r="B45" s="368" t="s">
        <v>804</v>
      </c>
      <c r="C45" s="368" t="s">
        <v>805</v>
      </c>
      <c r="D45" s="687" t="s">
        <v>806</v>
      </c>
      <c r="E45" s="688"/>
      <c r="H45" s="656" t="s">
        <v>807</v>
      </c>
      <c r="I45" s="656"/>
      <c r="J45" s="656"/>
      <c r="K45" s="656"/>
      <c r="L45" s="656"/>
      <c r="M45" s="656"/>
      <c r="N45" s="656"/>
      <c r="O45" s="656"/>
      <c r="P45" s="656"/>
      <c r="Q45" s="656"/>
      <c r="R45" s="656"/>
      <c r="S45" s="656"/>
      <c r="T45" s="657"/>
      <c r="U45" s="658" t="s">
        <v>808</v>
      </c>
      <c r="V45" s="659"/>
      <c r="W45" s="659"/>
      <c r="X45" s="659"/>
      <c r="Y45" s="659"/>
      <c r="Z45" s="659"/>
      <c r="AA45" s="659"/>
      <c r="AB45" s="660"/>
      <c r="AC45" s="660"/>
      <c r="AD45" s="660"/>
      <c r="AE45" s="660"/>
    </row>
    <row r="46" spans="1:31" ht="16.5" customHeight="1" thickTop="1">
      <c r="A46" s="132">
        <v>44</v>
      </c>
      <c r="B46" s="652" t="s">
        <v>809</v>
      </c>
      <c r="C46" s="333" t="s">
        <v>654</v>
      </c>
      <c r="D46" s="305" t="str">
        <f>'참여기업 정보'!D4</f>
        <v>㈜노마드</v>
      </c>
      <c r="E46" s="300"/>
      <c r="H46" s="661"/>
      <c r="I46" s="661"/>
      <c r="J46" s="661"/>
      <c r="K46" s="661"/>
      <c r="L46" s="661"/>
      <c r="M46" s="661"/>
      <c r="N46" s="661"/>
      <c r="O46" s="661"/>
      <c r="P46" s="661"/>
      <c r="Q46" s="661"/>
      <c r="R46" s="661"/>
      <c r="S46" s="661"/>
      <c r="T46" s="661"/>
      <c r="U46" s="661"/>
      <c r="V46" s="661"/>
      <c r="W46" s="661"/>
      <c r="X46" s="661"/>
      <c r="Y46" s="661"/>
      <c r="Z46" s="661"/>
      <c r="AA46" s="661"/>
      <c r="AB46" s="661"/>
      <c r="AC46" s="661"/>
      <c r="AD46" s="661"/>
      <c r="AE46" s="661"/>
    </row>
    <row r="47" spans="1:31" ht="16.5" customHeight="1">
      <c r="A47" s="132">
        <v>45</v>
      </c>
      <c r="B47" s="653"/>
      <c r="C47" s="334" t="s">
        <v>655</v>
      </c>
      <c r="D47" s="305" t="str">
        <f>'참여기업 정보'!D5</f>
        <v>홍길동</v>
      </c>
      <c r="E47" s="300"/>
      <c r="H47" s="662" t="s">
        <v>810</v>
      </c>
      <c r="I47" s="662"/>
      <c r="J47" s="662"/>
      <c r="K47" s="662"/>
      <c r="L47" s="663"/>
      <c r="M47" s="664" t="str">
        <f>D46</f>
        <v>㈜노마드</v>
      </c>
      <c r="N47" s="665"/>
      <c r="O47" s="665"/>
      <c r="P47" s="665"/>
      <c r="Q47" s="665"/>
      <c r="R47" s="665"/>
      <c r="S47" s="665"/>
      <c r="T47" s="666"/>
      <c r="U47" s="667" t="s">
        <v>811</v>
      </c>
      <c r="V47" s="662"/>
      <c r="W47" s="662"/>
      <c r="X47" s="662"/>
      <c r="Y47" s="662"/>
      <c r="Z47" s="662"/>
      <c r="AA47" s="663"/>
      <c r="AB47" s="664" t="str">
        <f>D47</f>
        <v>홍길동</v>
      </c>
      <c r="AC47" s="665"/>
      <c r="AD47" s="665"/>
      <c r="AE47" s="665"/>
    </row>
    <row r="48" spans="1:31" ht="30">
      <c r="A48" s="132">
        <v>46</v>
      </c>
      <c r="B48" s="653"/>
      <c r="C48" s="335" t="s">
        <v>656</v>
      </c>
      <c r="D48" s="305" t="str">
        <f>'참여기업 정보'!D6 &amp; "(" &amp; '참여기업 정보'!F7 &amp; ")"</f>
        <v>111-11-11111(222222222)</v>
      </c>
      <c r="E48" s="300"/>
      <c r="H48" s="668" t="s">
        <v>812</v>
      </c>
      <c r="I48" s="668"/>
      <c r="J48" s="668"/>
      <c r="K48" s="668"/>
      <c r="L48" s="669"/>
      <c r="M48" s="670" t="str">
        <f>D48</f>
        <v>111-11-11111(222222222)</v>
      </c>
      <c r="N48" s="671"/>
      <c r="O48" s="671"/>
      <c r="P48" s="671"/>
      <c r="Q48" s="671"/>
      <c r="R48" s="671"/>
      <c r="S48" s="671"/>
      <c r="T48" s="672"/>
      <c r="U48" s="676" t="s">
        <v>813</v>
      </c>
      <c r="V48" s="668"/>
      <c r="W48" s="668"/>
      <c r="X48" s="668"/>
      <c r="Y48" s="668"/>
      <c r="Z48" s="668"/>
      <c r="AA48" s="669"/>
      <c r="AB48" s="670" t="str">
        <f>D49</f>
        <v>222-22-22222-2</v>
      </c>
      <c r="AC48" s="671"/>
      <c r="AD48" s="671"/>
      <c r="AE48" s="671"/>
    </row>
    <row r="49" spans="1:31" ht="16.5" customHeight="1">
      <c r="A49" s="132">
        <v>47</v>
      </c>
      <c r="B49" s="653"/>
      <c r="C49" s="334" t="s">
        <v>657</v>
      </c>
      <c r="D49" s="305" t="str">
        <f>'참여기업 정보'!D7</f>
        <v>222-22-22222-2</v>
      </c>
      <c r="E49" s="300"/>
      <c r="H49" s="677" t="s">
        <v>814</v>
      </c>
      <c r="I49" s="677"/>
      <c r="J49" s="677"/>
      <c r="K49" s="677"/>
      <c r="L49" s="678"/>
      <c r="M49" s="673"/>
      <c r="N49" s="674"/>
      <c r="O49" s="674"/>
      <c r="P49" s="674"/>
      <c r="Q49" s="674"/>
      <c r="R49" s="674"/>
      <c r="S49" s="674"/>
      <c r="T49" s="675"/>
      <c r="U49" s="679" t="s">
        <v>815</v>
      </c>
      <c r="V49" s="677"/>
      <c r="W49" s="677"/>
      <c r="X49" s="677"/>
      <c r="Y49" s="677"/>
      <c r="Z49" s="677"/>
      <c r="AA49" s="678"/>
      <c r="AB49" s="673"/>
      <c r="AC49" s="674"/>
      <c r="AD49" s="674"/>
      <c r="AE49" s="674"/>
    </row>
    <row r="50" spans="1:31" ht="16.5" customHeight="1">
      <c r="A50" s="132">
        <v>48</v>
      </c>
      <c r="B50" s="653"/>
      <c r="C50" s="334" t="s">
        <v>658</v>
      </c>
      <c r="D50" s="305" t="str">
        <f>'참여기업 정보'!D9</f>
        <v>부산광역시 연제구</v>
      </c>
      <c r="E50" s="300"/>
      <c r="H50" s="680" t="s">
        <v>816</v>
      </c>
      <c r="I50" s="680"/>
      <c r="J50" s="680"/>
      <c r="K50" s="680"/>
      <c r="L50" s="681"/>
      <c r="M50" s="640" t="str">
        <f>D50</f>
        <v>부산광역시 연제구</v>
      </c>
      <c r="N50" s="637"/>
      <c r="O50" s="637"/>
      <c r="P50" s="637"/>
      <c r="Q50" s="637"/>
      <c r="R50" s="637"/>
      <c r="S50" s="637"/>
      <c r="T50" s="637"/>
      <c r="U50" s="637"/>
      <c r="V50" s="637"/>
      <c r="W50" s="637"/>
      <c r="X50" s="637"/>
      <c r="Y50" s="637"/>
      <c r="Z50" s="637"/>
      <c r="AA50" s="637"/>
      <c r="AB50" s="637"/>
      <c r="AC50" s="637"/>
      <c r="AD50" s="637"/>
      <c r="AE50" s="637"/>
    </row>
    <row r="51" spans="1:31" ht="16.5" customHeight="1">
      <c r="A51" s="132">
        <v>49</v>
      </c>
      <c r="B51" s="653"/>
      <c r="C51" s="334" t="s">
        <v>659</v>
      </c>
      <c r="D51" s="305" t="str">
        <f>'참여기업 정보'!F24</f>
        <v>광개토대왕</v>
      </c>
      <c r="E51" s="300"/>
      <c r="H51" s="668" t="s">
        <v>818</v>
      </c>
      <c r="I51" s="668"/>
      <c r="J51" s="668"/>
      <c r="K51" s="668"/>
      <c r="L51" s="669"/>
      <c r="M51" s="684" t="s">
        <v>819</v>
      </c>
      <c r="N51" s="681"/>
      <c r="O51" s="640" t="str">
        <f>D51</f>
        <v>광개토대왕</v>
      </c>
      <c r="P51" s="637"/>
      <c r="Q51" s="637"/>
      <c r="R51" s="637"/>
      <c r="S51" s="637"/>
      <c r="T51" s="637"/>
      <c r="U51" s="637"/>
      <c r="V51" s="637"/>
      <c r="W51" s="638"/>
      <c r="X51" s="684" t="s">
        <v>820</v>
      </c>
      <c r="Y51" s="680"/>
      <c r="Z51" s="680"/>
      <c r="AA51" s="680"/>
      <c r="AB51" s="681"/>
      <c r="AC51" s="640" t="str">
        <f>D52</f>
        <v>010-0000-0001</v>
      </c>
      <c r="AD51" s="637"/>
      <c r="AE51" s="637"/>
    </row>
    <row r="52" spans="1:31" ht="16.5" customHeight="1">
      <c r="A52" s="132">
        <v>50</v>
      </c>
      <c r="B52" s="653"/>
      <c r="C52" s="334" t="s">
        <v>660</v>
      </c>
      <c r="D52" s="305" t="str">
        <f>'참여기업 정보'!F27</f>
        <v>010-0000-0001</v>
      </c>
      <c r="E52" s="300"/>
      <c r="H52" s="682"/>
      <c r="I52" s="682"/>
      <c r="J52" s="682"/>
      <c r="K52" s="682"/>
      <c r="L52" s="683"/>
      <c r="M52" s="693" t="s">
        <v>821</v>
      </c>
      <c r="N52" s="694"/>
      <c r="O52" s="695" t="str">
        <f>D53</f>
        <v>example2@nate.com</v>
      </c>
      <c r="P52" s="696"/>
      <c r="Q52" s="696"/>
      <c r="R52" s="696"/>
      <c r="S52" s="696"/>
      <c r="T52" s="696"/>
      <c r="U52" s="696"/>
      <c r="V52" s="696"/>
      <c r="W52" s="697"/>
      <c r="X52" s="693" t="s">
        <v>822</v>
      </c>
      <c r="Y52" s="698"/>
      <c r="Z52" s="698"/>
      <c r="AA52" s="698"/>
      <c r="AB52" s="694"/>
      <c r="AC52" s="699">
        <f>D54</f>
        <v>0</v>
      </c>
      <c r="AD52" s="700"/>
      <c r="AE52" s="700"/>
    </row>
    <row r="53" spans="1:31" ht="16.5" customHeight="1">
      <c r="A53" s="132">
        <v>51</v>
      </c>
      <c r="B53" s="653"/>
      <c r="C53" s="334" t="s">
        <v>661</v>
      </c>
      <c r="D53" s="305" t="str">
        <f>'참여기업 정보'!F28</f>
        <v>example2@nate.com</v>
      </c>
      <c r="E53" s="300"/>
      <c r="H53" s="701"/>
      <c r="I53" s="701"/>
      <c r="J53" s="701"/>
      <c r="K53" s="701"/>
      <c r="L53" s="701"/>
      <c r="M53" s="701"/>
      <c r="N53" s="701"/>
      <c r="O53" s="701"/>
      <c r="P53" s="701"/>
      <c r="Q53" s="701"/>
      <c r="R53" s="701"/>
      <c r="S53" s="701"/>
      <c r="T53" s="701"/>
      <c r="U53" s="701"/>
      <c r="V53" s="701"/>
      <c r="W53" s="701"/>
      <c r="X53" s="701"/>
      <c r="Y53" s="701"/>
      <c r="Z53" s="701"/>
      <c r="AA53" s="701"/>
      <c r="AB53" s="701"/>
      <c r="AC53" s="701"/>
      <c r="AD53" s="701"/>
      <c r="AE53" s="701"/>
    </row>
    <row r="54" spans="1:31" ht="16.5" customHeight="1">
      <c r="A54" s="132">
        <v>52</v>
      </c>
      <c r="B54" s="653"/>
      <c r="C54" s="334" t="s">
        <v>662</v>
      </c>
      <c r="D54" s="305">
        <f>'참여기업 정보'!F29</f>
        <v>0</v>
      </c>
      <c r="E54" s="300"/>
      <c r="H54" s="702" t="s">
        <v>823</v>
      </c>
      <c r="I54" s="702"/>
      <c r="J54" s="702"/>
      <c r="K54" s="702"/>
      <c r="L54" s="703"/>
      <c r="M54" s="704"/>
      <c r="N54" s="705"/>
      <c r="O54" s="705"/>
      <c r="P54" s="705"/>
      <c r="Q54" s="705"/>
      <c r="R54" s="705"/>
      <c r="S54" s="705"/>
      <c r="T54" s="705"/>
      <c r="U54" s="705"/>
      <c r="V54" s="705"/>
      <c r="W54" s="705"/>
      <c r="X54" s="705"/>
      <c r="Y54" s="705"/>
      <c r="Z54" s="705"/>
      <c r="AA54" s="705"/>
      <c r="AB54" s="705"/>
      <c r="AC54" s="705"/>
      <c r="AD54" s="705"/>
      <c r="AE54" s="705"/>
    </row>
    <row r="55" spans="1:31" ht="16.5" customHeight="1">
      <c r="A55" s="132">
        <v>53</v>
      </c>
      <c r="B55" s="653"/>
      <c r="C55" s="334" t="s">
        <v>663</v>
      </c>
      <c r="D55" s="336">
        <f>'참여기업 정보'!F4</f>
        <v>45455</v>
      </c>
      <c r="E55" s="300"/>
      <c r="H55" s="706" t="s">
        <v>824</v>
      </c>
      <c r="I55" s="706"/>
      <c r="J55" s="706"/>
      <c r="K55" s="706"/>
      <c r="L55" s="707"/>
      <c r="M55" s="708" t="s">
        <v>825</v>
      </c>
      <c r="N55" s="706"/>
      <c r="O55" s="706"/>
      <c r="P55" s="707"/>
      <c r="Q55" s="708" t="s">
        <v>826</v>
      </c>
      <c r="R55" s="706"/>
      <c r="S55" s="706"/>
      <c r="T55" s="706"/>
      <c r="U55" s="706"/>
      <c r="V55" s="706"/>
      <c r="W55" s="706"/>
      <c r="X55" s="706"/>
      <c r="Y55" s="706"/>
      <c r="Z55" s="706"/>
      <c r="AA55" s="706"/>
      <c r="AB55" s="706"/>
      <c r="AC55" s="706"/>
      <c r="AD55" s="707"/>
      <c r="AE55" s="369" t="s">
        <v>827</v>
      </c>
    </row>
    <row r="56" spans="1:31" ht="16.5" customHeight="1">
      <c r="A56" s="132">
        <v>54</v>
      </c>
      <c r="B56" s="653"/>
      <c r="C56" s="337" t="s">
        <v>664</v>
      </c>
      <c r="D56" s="315" t="str">
        <f>'참여기업 정보'!F9</f>
        <v>00은행</v>
      </c>
      <c r="E56" s="304"/>
      <c r="H56" s="650" t="s">
        <v>828</v>
      </c>
      <c r="I56" s="650"/>
      <c r="J56" s="650"/>
      <c r="K56" s="650"/>
      <c r="L56" s="651"/>
      <c r="M56" s="649" t="s">
        <v>829</v>
      </c>
      <c r="N56" s="650"/>
      <c r="O56" s="650"/>
      <c r="P56" s="651"/>
      <c r="Q56" s="649" t="s">
        <v>830</v>
      </c>
      <c r="R56" s="650"/>
      <c r="S56" s="650"/>
      <c r="T56" s="650"/>
      <c r="U56" s="650"/>
      <c r="V56" s="650"/>
      <c r="W56" s="650"/>
      <c r="X56" s="650"/>
      <c r="Y56" s="650"/>
      <c r="Z56" s="650"/>
      <c r="AA56" s="650"/>
      <c r="AB56" s="650"/>
      <c r="AC56" s="650"/>
      <c r="AD56" s="651"/>
      <c r="AE56" s="370" t="s">
        <v>831</v>
      </c>
    </row>
    <row r="57" spans="1:31" ht="16.5" customHeight="1">
      <c r="A57" s="132">
        <v>55</v>
      </c>
      <c r="B57" s="653"/>
      <c r="C57" s="334" t="s">
        <v>665</v>
      </c>
      <c r="D57" s="315" t="str">
        <f>'참여기업 정보'!F10</f>
        <v>00-000-0000</v>
      </c>
      <c r="E57" s="304"/>
      <c r="H57" s="637" t="str">
        <f t="shared" ref="H57:H66" si="4">B63</f>
        <v>정지우(910699-1891360)</v>
      </c>
      <c r="I57" s="637"/>
      <c r="J57" s="637"/>
      <c r="K57" s="637"/>
      <c r="L57" s="638"/>
      <c r="M57" s="639" t="str">
        <f>C63</f>
        <v>2024년 12월 16일</v>
      </c>
      <c r="N57" s="637"/>
      <c r="O57" s="637"/>
      <c r="P57" s="638"/>
      <c r="Q57" s="640" t="str">
        <f>D63</f>
        <v>2024년 12월 16일 ~ 2024년 1월 7일</v>
      </c>
      <c r="R57" s="637"/>
      <c r="S57" s="637"/>
      <c r="T57" s="637"/>
      <c r="U57" s="637"/>
      <c r="V57" s="637"/>
      <c r="W57" s="637"/>
      <c r="X57" s="637"/>
      <c r="Y57" s="637"/>
      <c r="Z57" s="637"/>
      <c r="AA57" s="637"/>
      <c r="AB57" s="637"/>
      <c r="AC57" s="637"/>
      <c r="AD57" s="638"/>
      <c r="AE57" s="350"/>
    </row>
    <row r="58" spans="1:31" ht="16.5" customHeight="1" thickBot="1">
      <c r="A58" s="132">
        <v>56</v>
      </c>
      <c r="B58" s="654"/>
      <c r="C58" s="338" t="s">
        <v>666</v>
      </c>
      <c r="D58" s="306" t="str">
        <f>'참여기업 정보'!F11</f>
        <v>홍홍</v>
      </c>
      <c r="E58" s="301"/>
      <c r="H58" s="637" t="str">
        <f t="shared" si="4"/>
        <v>박예은(000899-4865061)</v>
      </c>
      <c r="I58" s="637"/>
      <c r="J58" s="637"/>
      <c r="K58" s="637"/>
      <c r="L58" s="638"/>
      <c r="M58" s="639" t="str">
        <f t="shared" ref="M58:M66" si="5">C64</f>
        <v>2024년 12월 16일</v>
      </c>
      <c r="N58" s="637"/>
      <c r="O58" s="637"/>
      <c r="P58" s="638"/>
      <c r="Q58" s="640" t="str">
        <f t="shared" ref="Q58:Q66" si="6">D64</f>
        <v>2024년 12월 16일 ~ 2024년 1월 7일</v>
      </c>
      <c r="R58" s="637"/>
      <c r="S58" s="637"/>
      <c r="T58" s="637"/>
      <c r="U58" s="637"/>
      <c r="V58" s="637"/>
      <c r="W58" s="637"/>
      <c r="X58" s="637"/>
      <c r="Y58" s="637"/>
      <c r="Z58" s="637"/>
      <c r="AA58" s="637"/>
      <c r="AB58" s="637"/>
      <c r="AC58" s="637"/>
      <c r="AD58" s="638"/>
      <c r="AE58" s="350"/>
    </row>
    <row r="59" spans="1:31" ht="16.5" customHeight="1">
      <c r="A59" s="132">
        <v>57</v>
      </c>
      <c r="H59" s="637" t="str">
        <f t="shared" si="4"/>
        <v>최현우(921299-2639872)</v>
      </c>
      <c r="I59" s="637"/>
      <c r="J59" s="637"/>
      <c r="K59" s="637"/>
      <c r="L59" s="638"/>
      <c r="M59" s="639" t="str">
        <f t="shared" si="5"/>
        <v>2024년 12월 16일</v>
      </c>
      <c r="N59" s="637"/>
      <c r="O59" s="637"/>
      <c r="P59" s="638"/>
      <c r="Q59" s="640" t="str">
        <f t="shared" si="6"/>
        <v>2024년 12월 16일 ~ 2024년 1월 7일</v>
      </c>
      <c r="R59" s="637"/>
      <c r="S59" s="637"/>
      <c r="T59" s="637"/>
      <c r="U59" s="637"/>
      <c r="V59" s="637"/>
      <c r="W59" s="637"/>
      <c r="X59" s="637"/>
      <c r="Y59" s="637"/>
      <c r="Z59" s="637"/>
      <c r="AA59" s="637"/>
      <c r="AB59" s="637"/>
      <c r="AC59" s="637"/>
      <c r="AD59" s="638"/>
      <c r="AE59" s="350"/>
    </row>
    <row r="60" spans="1:31" ht="16.5" customHeight="1">
      <c r="A60" s="132">
        <v>58</v>
      </c>
      <c r="B60" s="689" t="s">
        <v>750</v>
      </c>
      <c r="C60" s="690"/>
      <c r="D60" s="690"/>
      <c r="E60" s="690"/>
      <c r="H60" s="637" t="str">
        <f t="shared" si="4"/>
        <v>이현우(901199-1109002)</v>
      </c>
      <c r="I60" s="637"/>
      <c r="J60" s="637"/>
      <c r="K60" s="637"/>
      <c r="L60" s="638"/>
      <c r="M60" s="639" t="str">
        <f t="shared" si="5"/>
        <v>2024년 12월 16일</v>
      </c>
      <c r="N60" s="637"/>
      <c r="O60" s="637"/>
      <c r="P60" s="638"/>
      <c r="Q60" s="640" t="str">
        <f t="shared" si="6"/>
        <v>2024년 12월 16일 ~ 2024년 1월 7일</v>
      </c>
      <c r="R60" s="637"/>
      <c r="S60" s="637"/>
      <c r="T60" s="637"/>
      <c r="U60" s="637"/>
      <c r="V60" s="637"/>
      <c r="W60" s="637"/>
      <c r="X60" s="637"/>
      <c r="Y60" s="637"/>
      <c r="Z60" s="637"/>
      <c r="AA60" s="637"/>
      <c r="AB60" s="637"/>
      <c r="AC60" s="637"/>
      <c r="AD60" s="638"/>
      <c r="AE60" s="350"/>
    </row>
    <row r="61" spans="1:31" ht="16.5" customHeight="1" thickBot="1">
      <c r="A61" s="132">
        <v>59</v>
      </c>
      <c r="B61" s="691"/>
      <c r="C61" s="692"/>
      <c r="D61" s="692"/>
      <c r="E61" s="692"/>
      <c r="H61" s="637" t="str">
        <f t="shared" si="4"/>
        <v>최예은(941099-1190164)</v>
      </c>
      <c r="I61" s="637"/>
      <c r="J61" s="637"/>
      <c r="K61" s="637"/>
      <c r="L61" s="638"/>
      <c r="M61" s="639" t="str">
        <f t="shared" si="5"/>
        <v>2024년 12월 16일</v>
      </c>
      <c r="N61" s="637"/>
      <c r="O61" s="637"/>
      <c r="P61" s="638"/>
      <c r="Q61" s="640" t="str">
        <f t="shared" si="6"/>
        <v>2024년 12월 16일 ~ 2024년 1월 7일</v>
      </c>
      <c r="R61" s="637"/>
      <c r="S61" s="637"/>
      <c r="T61" s="637"/>
      <c r="U61" s="637"/>
      <c r="V61" s="637"/>
      <c r="W61" s="637"/>
      <c r="X61" s="637"/>
      <c r="Y61" s="637"/>
      <c r="Z61" s="637"/>
      <c r="AA61" s="637"/>
      <c r="AB61" s="637"/>
      <c r="AC61" s="637"/>
      <c r="AD61" s="638"/>
      <c r="AE61" s="350"/>
    </row>
    <row r="62" spans="1:31" ht="16.5" customHeight="1" thickTop="1">
      <c r="A62" s="132">
        <v>60</v>
      </c>
      <c r="B62" s="308" t="s">
        <v>667</v>
      </c>
      <c r="C62" s="308" t="s">
        <v>668</v>
      </c>
      <c r="D62" s="308" t="s">
        <v>669</v>
      </c>
      <c r="E62" s="309" t="s">
        <v>670</v>
      </c>
      <c r="H62" s="637" t="str">
        <f t="shared" si="4"/>
        <v>()</v>
      </c>
      <c r="I62" s="637"/>
      <c r="J62" s="637"/>
      <c r="K62" s="637"/>
      <c r="L62" s="638"/>
      <c r="M62" s="639" t="str">
        <f t="shared" si="5"/>
        <v>2024년 12월 16일</v>
      </c>
      <c r="N62" s="637"/>
      <c r="O62" s="637"/>
      <c r="P62" s="638"/>
      <c r="Q62" s="640" t="str">
        <f t="shared" si="6"/>
        <v>2024년 12월 16일 ~ 2024년 1월 7일</v>
      </c>
      <c r="R62" s="637"/>
      <c r="S62" s="637"/>
      <c r="T62" s="637"/>
      <c r="U62" s="637"/>
      <c r="V62" s="637"/>
      <c r="W62" s="637"/>
      <c r="X62" s="637"/>
      <c r="Y62" s="637"/>
      <c r="Z62" s="637"/>
      <c r="AA62" s="637"/>
      <c r="AB62" s="637"/>
      <c r="AC62" s="637"/>
      <c r="AD62" s="638"/>
      <c r="AE62" s="350"/>
    </row>
    <row r="63" spans="1:31" ht="16.5" customHeight="1">
      <c r="A63" s="132">
        <v>61</v>
      </c>
      <c r="B63" s="341" t="str">
        <f>참여자명단!F13 &amp;"(" &amp; 참여자명단!G13 &amp; ")"</f>
        <v>정지우(910699-1891360)</v>
      </c>
      <c r="C63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3" s="342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3" s="311"/>
      <c r="H63" s="637" t="str">
        <f t="shared" si="4"/>
        <v>()</v>
      </c>
      <c r="I63" s="637"/>
      <c r="J63" s="637"/>
      <c r="K63" s="637"/>
      <c r="L63" s="638"/>
      <c r="M63" s="639" t="str">
        <f t="shared" si="5"/>
        <v>2024년 12월 16일</v>
      </c>
      <c r="N63" s="637"/>
      <c r="O63" s="637"/>
      <c r="P63" s="638"/>
      <c r="Q63" s="640" t="str">
        <f t="shared" si="6"/>
        <v>2024년 12월 16일 ~ 2024년 1월 7일</v>
      </c>
      <c r="R63" s="637"/>
      <c r="S63" s="637"/>
      <c r="T63" s="637"/>
      <c r="U63" s="637"/>
      <c r="V63" s="637"/>
      <c r="W63" s="637"/>
      <c r="X63" s="637"/>
      <c r="Y63" s="637"/>
      <c r="Z63" s="637"/>
      <c r="AA63" s="637"/>
      <c r="AB63" s="637"/>
      <c r="AC63" s="637"/>
      <c r="AD63" s="638"/>
      <c r="AE63" s="350"/>
    </row>
    <row r="64" spans="1:31" ht="16.5" customHeight="1">
      <c r="A64" s="132">
        <v>62</v>
      </c>
      <c r="B64" s="341" t="str">
        <f>참여자명단!F14 &amp;"(" &amp; 참여자명단!G14 &amp; ")"</f>
        <v>박예은(000899-4865061)</v>
      </c>
      <c r="C64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4" s="342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4" s="311"/>
      <c r="H64" s="637" t="str">
        <f t="shared" si="4"/>
        <v>()</v>
      </c>
      <c r="I64" s="637"/>
      <c r="J64" s="637"/>
      <c r="K64" s="637"/>
      <c r="L64" s="638"/>
      <c r="M64" s="639" t="str">
        <f t="shared" si="5"/>
        <v>2024년 12월 16일</v>
      </c>
      <c r="N64" s="637"/>
      <c r="O64" s="637"/>
      <c r="P64" s="638"/>
      <c r="Q64" s="640" t="str">
        <f t="shared" si="6"/>
        <v>2024년 12월 16일 ~ 2024년 1월 7일</v>
      </c>
      <c r="R64" s="637"/>
      <c r="S64" s="637"/>
      <c r="T64" s="637"/>
      <c r="U64" s="637"/>
      <c r="V64" s="637"/>
      <c r="W64" s="637"/>
      <c r="X64" s="637"/>
      <c r="Y64" s="637"/>
      <c r="Z64" s="637"/>
      <c r="AA64" s="637"/>
      <c r="AB64" s="637"/>
      <c r="AC64" s="637"/>
      <c r="AD64" s="638"/>
      <c r="AE64" s="350"/>
    </row>
    <row r="65" spans="1:31" ht="16.5" customHeight="1">
      <c r="A65" s="132">
        <v>63</v>
      </c>
      <c r="B65" s="341" t="str">
        <f>참여자명단!F15 &amp;"(" &amp; 참여자명단!G15 &amp; ")"</f>
        <v>최현우(921299-2639872)</v>
      </c>
      <c r="C65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5" s="342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5" s="311"/>
      <c r="H65" s="637" t="str">
        <f t="shared" si="4"/>
        <v>()</v>
      </c>
      <c r="I65" s="637"/>
      <c r="J65" s="637"/>
      <c r="K65" s="637"/>
      <c r="L65" s="638"/>
      <c r="M65" s="639" t="str">
        <f t="shared" si="5"/>
        <v>2024년 12월 16일</v>
      </c>
      <c r="N65" s="637"/>
      <c r="O65" s="637"/>
      <c r="P65" s="638"/>
      <c r="Q65" s="640" t="str">
        <f t="shared" si="6"/>
        <v>2024년 12월 16일 ~ 2024년 1월 7일</v>
      </c>
      <c r="R65" s="637"/>
      <c r="S65" s="637"/>
      <c r="T65" s="637"/>
      <c r="U65" s="637"/>
      <c r="V65" s="637"/>
      <c r="W65" s="637"/>
      <c r="X65" s="637"/>
      <c r="Y65" s="637"/>
      <c r="Z65" s="637"/>
      <c r="AA65" s="637"/>
      <c r="AB65" s="637"/>
      <c r="AC65" s="637"/>
      <c r="AD65" s="638"/>
      <c r="AE65" s="350"/>
    </row>
    <row r="66" spans="1:31" ht="16.5" customHeight="1">
      <c r="A66" s="132">
        <v>64</v>
      </c>
      <c r="B66" s="341" t="str">
        <f>참여자명단!F16 &amp;"(" &amp; 참여자명단!G16 &amp; ")"</f>
        <v>이현우(901199-1109002)</v>
      </c>
      <c r="C66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6" s="342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6" s="311"/>
      <c r="H66" s="637" t="str">
        <f t="shared" si="4"/>
        <v>()</v>
      </c>
      <c r="I66" s="637"/>
      <c r="J66" s="637"/>
      <c r="K66" s="637"/>
      <c r="L66" s="638"/>
      <c r="M66" s="639" t="str">
        <f t="shared" si="5"/>
        <v>2024년 12월 16일</v>
      </c>
      <c r="N66" s="637"/>
      <c r="O66" s="637"/>
      <c r="P66" s="638"/>
      <c r="Q66" s="640" t="str">
        <f t="shared" si="6"/>
        <v>2024년 12월 16일 ~ 2024년 1월 7일</v>
      </c>
      <c r="R66" s="637"/>
      <c r="S66" s="637"/>
      <c r="T66" s="637"/>
      <c r="U66" s="637"/>
      <c r="V66" s="637"/>
      <c r="W66" s="637"/>
      <c r="X66" s="637"/>
      <c r="Y66" s="637"/>
      <c r="Z66" s="637"/>
      <c r="AA66" s="637"/>
      <c r="AB66" s="637"/>
      <c r="AC66" s="637"/>
      <c r="AD66" s="638"/>
      <c r="AE66" s="350"/>
    </row>
    <row r="67" spans="1:31" ht="16.5" customHeight="1">
      <c r="A67" s="132">
        <v>65</v>
      </c>
      <c r="B67" s="341" t="str">
        <f>참여자명단!F17 &amp;"(" &amp; 참여자명단!G17 &amp; ")"</f>
        <v>최예은(941099-1190164)</v>
      </c>
      <c r="C67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7" s="342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7" s="311"/>
      <c r="H67" s="641" t="s">
        <v>833</v>
      </c>
      <c r="I67" s="641"/>
      <c r="J67" s="641"/>
      <c r="K67" s="641"/>
      <c r="L67" s="641"/>
      <c r="M67" s="641"/>
      <c r="N67" s="641"/>
      <c r="O67" s="641"/>
      <c r="P67" s="641" t="s">
        <v>858</v>
      </c>
      <c r="Q67" s="641"/>
      <c r="R67" s="641"/>
      <c r="S67" s="641"/>
      <c r="T67" s="641"/>
      <c r="U67" s="641"/>
      <c r="V67" s="641"/>
      <c r="W67" s="641" t="s">
        <v>835</v>
      </c>
      <c r="X67" s="641"/>
      <c r="Y67" s="641"/>
      <c r="Z67" s="641"/>
      <c r="AA67" s="641" t="s">
        <v>859</v>
      </c>
      <c r="AB67" s="641"/>
      <c r="AC67" s="641"/>
      <c r="AD67" s="641"/>
      <c r="AE67" s="641"/>
    </row>
    <row r="68" spans="1:31" ht="16.5" customHeight="1">
      <c r="A68" s="132">
        <v>66</v>
      </c>
      <c r="B68" s="341" t="str">
        <f>참여자명단!F18 &amp;"(" &amp; 참여자명단!G18 &amp; ")"</f>
        <v>()</v>
      </c>
      <c r="C68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8" s="342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8" s="311"/>
      <c r="H68" s="642"/>
      <c r="I68" s="642"/>
      <c r="J68" s="642"/>
      <c r="K68" s="642"/>
      <c r="L68" s="642"/>
      <c r="M68" s="642"/>
      <c r="N68" s="642"/>
      <c r="O68" s="642"/>
      <c r="P68" s="642"/>
      <c r="Q68" s="642"/>
      <c r="R68" s="642"/>
      <c r="S68" s="642"/>
      <c r="T68" s="642"/>
      <c r="U68" s="642"/>
      <c r="V68" s="642"/>
      <c r="W68" s="642"/>
      <c r="X68" s="642"/>
      <c r="Y68" s="642"/>
      <c r="Z68" s="642"/>
      <c r="AA68" s="642"/>
      <c r="AB68" s="642"/>
      <c r="AC68" s="642"/>
      <c r="AD68" s="642"/>
      <c r="AE68" s="642"/>
    </row>
    <row r="69" spans="1:31" ht="16.5" customHeight="1">
      <c r="A69" s="132">
        <v>67</v>
      </c>
      <c r="B69" s="341" t="str">
        <f>참여자명단!F19 &amp;"(" &amp; 참여자명단!G19 &amp; ")"</f>
        <v>()</v>
      </c>
      <c r="C69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69" s="342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69" s="311"/>
      <c r="H69" s="643" t="s">
        <v>837</v>
      </c>
      <c r="I69" s="643"/>
      <c r="J69" s="643"/>
      <c r="K69" s="643"/>
      <c r="L69" s="644"/>
      <c r="M69" s="645" t="str">
        <f>"(" &amp; D56 &amp; ")" &amp; "은행"</f>
        <v>(00은행)은행</v>
      </c>
      <c r="N69" s="646"/>
      <c r="O69" s="646"/>
      <c r="P69" s="646"/>
      <c r="Q69" s="646"/>
      <c r="R69" s="646"/>
      <c r="S69" s="647" t="str">
        <f>D57</f>
        <v>00-000-0000</v>
      </c>
      <c r="T69" s="647"/>
      <c r="U69" s="647"/>
      <c r="V69" s="647"/>
      <c r="W69" s="647"/>
      <c r="X69" s="647"/>
      <c r="Y69" s="647"/>
      <c r="Z69" s="647"/>
      <c r="AA69" s="647"/>
      <c r="AB69" s="647"/>
      <c r="AC69" s="648" t="str">
        <f xml:space="preserve"> "(예금주 :" &amp; D58 &amp; ")"</f>
        <v>(예금주 :홍홍)</v>
      </c>
      <c r="AD69" s="648"/>
      <c r="AE69" s="648"/>
    </row>
    <row r="70" spans="1:31" ht="16.5" customHeight="1">
      <c r="A70" s="132">
        <v>68</v>
      </c>
      <c r="B70" s="341" t="str">
        <f>참여자명단!F20 &amp;"(" &amp; 참여자명단!G20 &amp; ")"</f>
        <v>()</v>
      </c>
      <c r="C70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0" s="342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0" s="311"/>
      <c r="H70" s="628"/>
      <c r="I70" s="628"/>
      <c r="J70" s="628"/>
      <c r="K70" s="628"/>
      <c r="L70" s="628"/>
      <c r="M70" s="628"/>
      <c r="N70" s="628"/>
      <c r="O70" s="628"/>
      <c r="P70" s="628"/>
      <c r="Q70" s="628"/>
      <c r="R70" s="628"/>
      <c r="S70" s="628"/>
      <c r="T70" s="628"/>
      <c r="U70" s="628"/>
      <c r="V70" s="628"/>
      <c r="W70" s="628"/>
      <c r="X70" s="628"/>
      <c r="Y70" s="628"/>
      <c r="Z70" s="628"/>
      <c r="AA70" s="628"/>
      <c r="AB70" s="628"/>
      <c r="AC70" s="628"/>
      <c r="AD70" s="628"/>
      <c r="AE70" s="628"/>
    </row>
    <row r="71" spans="1:31" ht="16.5" customHeight="1">
      <c r="A71" s="132">
        <v>69</v>
      </c>
      <c r="B71" s="341" t="str">
        <f>참여자명단!F21 &amp;"(" &amp; 참여자명단!G21 &amp; ")"</f>
        <v>()</v>
      </c>
      <c r="C71" s="310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1" s="342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1" s="311"/>
      <c r="H71" s="629" t="s">
        <v>838</v>
      </c>
      <c r="I71" s="629"/>
      <c r="J71" s="629"/>
      <c r="K71" s="629"/>
      <c r="L71" s="629"/>
      <c r="M71" s="629"/>
      <c r="N71" s="629"/>
      <c r="O71" s="629"/>
      <c r="P71" s="629"/>
      <c r="Q71" s="629"/>
      <c r="R71" s="629"/>
      <c r="S71" s="629"/>
      <c r="T71" s="629"/>
      <c r="U71" s="629"/>
      <c r="V71" s="629"/>
      <c r="W71" s="629"/>
      <c r="X71" s="629"/>
      <c r="Y71" s="629"/>
      <c r="Z71" s="629"/>
      <c r="AA71" s="629"/>
      <c r="AB71" s="629"/>
      <c r="AC71" s="629"/>
      <c r="AD71" s="629"/>
      <c r="AE71" s="629"/>
    </row>
    <row r="72" spans="1:31" ht="15.4" thickBot="1">
      <c r="A72" s="132">
        <v>70</v>
      </c>
      <c r="B72" s="344" t="str">
        <f>참여자명단!F22 &amp;"(" &amp; 참여자명단!G22 &amp; ")"</f>
        <v>()</v>
      </c>
      <c r="C72" s="339" t="str">
        <f>TEXT(LEFT('참여기업 정보'!$F$39, 4), "0000") &amp; "년 " &amp; TEXT(MID('참여기업 정보'!$F$39, 6, 2), "0") &amp; "월 " &amp; TEXT(RIGHT('참여기업 정보'!$F$39, 2), "0") &amp; "일"</f>
        <v>2024년 12월 16일</v>
      </c>
      <c r="D72" s="343" t="str">
        <f>TEXT(LEFT('참여기업 정보'!$F$37, 4), "0000") &amp; "년 " &amp; TEXT(MID('참여기업 정보'!$F$37, 6, 2), "0") &amp; "월 " &amp; TEXT(MID('참여기업 정보'!$F$37, 9, 2), "0") &amp; "일" &amp; " ~ "
&amp;TEXT(MID('참여기업 정보'!$F$37, 14, 4), "0000") &amp; "년 " &amp; TEXT(MID('참여기업 정보'!$F$37, 19, 2), "0") &amp; "월 " &amp; TEXT(MID('참여기업 정보'!$F$37, 22, 2), "0") &amp; "일"</f>
        <v>2024년 12월 16일 ~ 2024년 1월 7일</v>
      </c>
      <c r="E72" s="340"/>
      <c r="H72" s="630" t="s">
        <v>839</v>
      </c>
      <c r="I72" s="630"/>
      <c r="J72" s="630"/>
      <c r="K72" s="630"/>
      <c r="L72" s="630"/>
      <c r="M72" s="630"/>
      <c r="N72" s="630"/>
      <c r="O72" s="630"/>
      <c r="P72" s="630"/>
      <c r="Q72" s="630"/>
      <c r="R72" s="630"/>
      <c r="S72" s="630"/>
      <c r="T72" s="630"/>
      <c r="U72" s="630"/>
      <c r="V72" s="630"/>
      <c r="W72" s="630"/>
      <c r="X72" s="630"/>
      <c r="Y72" s="630"/>
      <c r="Z72" s="630"/>
      <c r="AA72" s="630"/>
      <c r="AB72" s="630"/>
      <c r="AC72" s="630"/>
      <c r="AD72" s="630"/>
      <c r="AE72" s="630"/>
    </row>
    <row r="73" spans="1:31" ht="15">
      <c r="A73" s="132">
        <v>71</v>
      </c>
      <c r="B73" s="55"/>
      <c r="C73" s="55"/>
      <c r="D73" s="55"/>
      <c r="E73" s="55"/>
      <c r="H73" s="631"/>
      <c r="I73" s="631"/>
      <c r="J73" s="631"/>
      <c r="K73" s="631"/>
      <c r="L73" s="631"/>
      <c r="M73" s="631"/>
      <c r="N73" s="631"/>
      <c r="O73" s="631"/>
      <c r="P73" s="631"/>
      <c r="Q73" s="631"/>
      <c r="R73" s="631"/>
      <c r="S73" s="631"/>
      <c r="T73" s="632" t="s">
        <v>840</v>
      </c>
      <c r="U73" s="632"/>
      <c r="V73" s="632"/>
      <c r="W73" s="632"/>
      <c r="X73" s="632"/>
      <c r="Y73" s="632"/>
      <c r="Z73" s="633" t="str">
        <f>D48</f>
        <v>111-11-11111(222222222)</v>
      </c>
      <c r="AA73" s="633"/>
      <c r="AB73" s="633"/>
      <c r="AC73" s="633"/>
      <c r="AD73" s="633"/>
      <c r="AE73" s="373" t="s">
        <v>841</v>
      </c>
    </row>
    <row r="74" spans="1:31" ht="16.5" customHeight="1" thickBot="1">
      <c r="A74" s="132">
        <v>72</v>
      </c>
      <c r="B74" s="55"/>
      <c r="C74" s="55"/>
      <c r="D74" s="55"/>
      <c r="E74" s="55"/>
      <c r="H74" s="634" t="s">
        <v>842</v>
      </c>
      <c r="I74" s="634"/>
      <c r="J74" s="634"/>
      <c r="K74" s="634"/>
      <c r="L74" s="634"/>
      <c r="M74" s="634"/>
      <c r="N74" s="634"/>
      <c r="O74" s="634"/>
      <c r="P74" s="634"/>
      <c r="Q74" s="634"/>
      <c r="R74" s="634"/>
      <c r="S74" s="634"/>
      <c r="T74" s="634"/>
      <c r="U74" s="634"/>
      <c r="V74" s="634"/>
      <c r="W74" s="634"/>
      <c r="X74" s="634"/>
      <c r="Y74" s="634"/>
      <c r="Z74" s="634"/>
      <c r="AA74" s="635" t="s">
        <v>843</v>
      </c>
      <c r="AB74" s="635"/>
      <c r="AC74" s="635"/>
      <c r="AD74" s="635"/>
      <c r="AE74" s="635"/>
    </row>
    <row r="75" spans="1:31" ht="16.5" customHeight="1" thickTop="1">
      <c r="A75" s="132">
        <v>73</v>
      </c>
      <c r="B75" s="55"/>
      <c r="C75" s="55"/>
      <c r="D75" s="55"/>
      <c r="E75" s="55"/>
      <c r="H75" s="636"/>
      <c r="I75" s="636"/>
      <c r="J75" s="636"/>
      <c r="K75" s="636"/>
      <c r="L75" s="636"/>
      <c r="M75" s="636"/>
      <c r="N75" s="636"/>
      <c r="O75" s="636"/>
      <c r="P75" s="636"/>
      <c r="Q75" s="636"/>
      <c r="R75" s="636"/>
      <c r="S75" s="636"/>
      <c r="T75" s="636"/>
      <c r="U75" s="636"/>
      <c r="V75" s="636"/>
      <c r="W75" s="636"/>
      <c r="X75" s="636"/>
      <c r="Y75" s="636"/>
      <c r="Z75" s="636"/>
      <c r="AA75" s="636"/>
      <c r="AB75" s="636"/>
      <c r="AC75" s="636"/>
      <c r="AD75" s="636"/>
      <c r="AE75" s="636"/>
    </row>
    <row r="76" spans="1:31" ht="16.5" customHeight="1">
      <c r="A76" s="132">
        <v>74</v>
      </c>
      <c r="B76" s="55"/>
      <c r="C76" s="55"/>
      <c r="D76" s="55"/>
      <c r="E76" s="55"/>
      <c r="H76" s="610" t="s">
        <v>844</v>
      </c>
      <c r="I76" s="610"/>
      <c r="J76" s="611"/>
      <c r="K76" s="614" t="s">
        <v>845</v>
      </c>
      <c r="L76" s="615"/>
      <c r="M76" s="615"/>
      <c r="N76" s="615"/>
      <c r="O76" s="615"/>
      <c r="P76" s="615"/>
      <c r="Q76" s="615"/>
      <c r="R76" s="615"/>
      <c r="S76" s="615"/>
      <c r="T76" s="615"/>
      <c r="U76" s="615"/>
      <c r="V76" s="615"/>
      <c r="W76" s="615"/>
      <c r="X76" s="615"/>
      <c r="Y76" s="615"/>
      <c r="Z76" s="615"/>
      <c r="AA76" s="615"/>
      <c r="AB76" s="615"/>
      <c r="AC76" s="615"/>
      <c r="AD76" s="615"/>
      <c r="AE76" s="615"/>
    </row>
    <row r="77" spans="1:31" ht="16.5" customHeight="1" thickBot="1">
      <c r="A77" s="132">
        <v>75</v>
      </c>
      <c r="B77" s="55"/>
      <c r="C77" s="55"/>
      <c r="D77" s="55"/>
      <c r="E77" s="55"/>
      <c r="H77" s="612"/>
      <c r="I77" s="612"/>
      <c r="J77" s="613"/>
      <c r="K77" s="616" t="s">
        <v>846</v>
      </c>
      <c r="L77" s="617"/>
      <c r="M77" s="617"/>
      <c r="N77" s="617"/>
      <c r="O77" s="617"/>
      <c r="P77" s="617"/>
      <c r="Q77" s="617"/>
      <c r="R77" s="617"/>
      <c r="S77" s="617"/>
      <c r="T77" s="617"/>
      <c r="U77" s="617"/>
      <c r="V77" s="617"/>
      <c r="W77" s="617"/>
      <c r="X77" s="617"/>
      <c r="Y77" s="617"/>
      <c r="Z77" s="617"/>
      <c r="AA77" s="617"/>
      <c r="AB77" s="617"/>
      <c r="AC77" s="617"/>
      <c r="AD77" s="617"/>
      <c r="AE77" s="617"/>
    </row>
    <row r="78" spans="1:31" ht="16.5" customHeight="1" thickBot="1">
      <c r="A78" s="132">
        <v>76</v>
      </c>
      <c r="H78" s="618" t="s">
        <v>847</v>
      </c>
      <c r="I78" s="618"/>
      <c r="J78" s="618"/>
      <c r="K78" s="618"/>
      <c r="L78" s="618"/>
      <c r="M78" s="618"/>
      <c r="N78" s="618"/>
      <c r="O78" s="618"/>
      <c r="P78" s="618"/>
      <c r="Q78" s="618"/>
      <c r="R78" s="618"/>
      <c r="S78" s="618"/>
      <c r="T78" s="618"/>
      <c r="U78" s="618"/>
      <c r="V78" s="618"/>
      <c r="W78" s="618"/>
      <c r="X78" s="618"/>
      <c r="Y78" s="618"/>
      <c r="Z78" s="618"/>
      <c r="AA78" s="618"/>
      <c r="AB78" s="618"/>
      <c r="AC78" s="618"/>
      <c r="AD78" s="618"/>
      <c r="AE78" s="618"/>
    </row>
    <row r="79" spans="1:31" ht="16.5" customHeight="1">
      <c r="A79" s="132">
        <v>77</v>
      </c>
      <c r="H79" s="619" t="s">
        <v>848</v>
      </c>
      <c r="I79" s="621" t="s">
        <v>849</v>
      </c>
      <c r="J79" s="622"/>
      <c r="K79" s="622"/>
      <c r="L79" s="622"/>
      <c r="M79" s="622"/>
      <c r="N79" s="622"/>
      <c r="O79" s="622"/>
      <c r="P79" s="622"/>
      <c r="Q79" s="623"/>
      <c r="R79" s="621" t="s">
        <v>807</v>
      </c>
      <c r="S79" s="622"/>
      <c r="T79" s="622"/>
      <c r="U79" s="622"/>
      <c r="V79" s="622"/>
      <c r="W79" s="622"/>
      <c r="X79" s="623"/>
      <c r="Y79" s="621" t="s">
        <v>850</v>
      </c>
      <c r="Z79" s="622"/>
      <c r="AA79" s="622"/>
      <c r="AB79" s="622"/>
      <c r="AC79" s="622"/>
      <c r="AD79" s="622"/>
      <c r="AE79" s="622"/>
    </row>
    <row r="80" spans="1:31" ht="16.5" customHeight="1">
      <c r="A80" s="132">
        <v>78</v>
      </c>
      <c r="H80" s="620"/>
      <c r="I80" s="606"/>
      <c r="J80" s="607"/>
      <c r="K80" s="607"/>
      <c r="L80" s="607"/>
      <c r="M80" s="607"/>
      <c r="N80" s="607"/>
      <c r="O80" s="607"/>
      <c r="P80" s="607"/>
      <c r="Q80" s="624"/>
      <c r="R80" s="625"/>
      <c r="S80" s="626"/>
      <c r="T80" s="626"/>
      <c r="U80" s="626"/>
      <c r="V80" s="626"/>
      <c r="W80" s="626"/>
      <c r="X80" s="627"/>
      <c r="Y80" s="606"/>
      <c r="Z80" s="607"/>
      <c r="AA80" s="607"/>
      <c r="AB80" s="607"/>
      <c r="AC80" s="607"/>
      <c r="AD80" s="607"/>
      <c r="AE80" s="607"/>
    </row>
    <row r="81" spans="1:31" ht="16.5" customHeight="1">
      <c r="A81" s="132">
        <v>79</v>
      </c>
      <c r="H81" s="592" t="s">
        <v>851</v>
      </c>
      <c r="I81" s="594" t="s">
        <v>852</v>
      </c>
      <c r="J81" s="595"/>
      <c r="K81" s="596"/>
      <c r="L81" s="594"/>
      <c r="M81" s="596"/>
      <c r="N81" s="594" t="s">
        <v>853</v>
      </c>
      <c r="O81" s="595"/>
      <c r="P81" s="595"/>
      <c r="Q81" s="596"/>
      <c r="R81" s="594"/>
      <c r="S81" s="595"/>
      <c r="T81" s="595"/>
      <c r="U81" s="596"/>
      <c r="V81" s="594" t="s">
        <v>854</v>
      </c>
      <c r="W81" s="595"/>
      <c r="X81" s="596"/>
      <c r="Y81" s="600"/>
      <c r="Z81" s="601"/>
      <c r="AA81" s="601"/>
      <c r="AB81" s="601"/>
      <c r="AC81" s="602"/>
      <c r="AD81" s="606" t="s">
        <v>855</v>
      </c>
      <c r="AE81" s="607"/>
    </row>
    <row r="82" spans="1:31" ht="16.5" customHeight="1" thickBot="1">
      <c r="A82" s="132">
        <v>80</v>
      </c>
      <c r="H82" s="593"/>
      <c r="I82" s="597"/>
      <c r="J82" s="598"/>
      <c r="K82" s="599"/>
      <c r="L82" s="597"/>
      <c r="M82" s="599"/>
      <c r="N82" s="597"/>
      <c r="O82" s="598"/>
      <c r="P82" s="598"/>
      <c r="Q82" s="599"/>
      <c r="R82" s="597"/>
      <c r="S82" s="598"/>
      <c r="T82" s="598"/>
      <c r="U82" s="599"/>
      <c r="V82" s="597"/>
      <c r="W82" s="598"/>
      <c r="X82" s="599"/>
      <c r="Y82" s="603"/>
      <c r="Z82" s="604"/>
      <c r="AA82" s="604"/>
      <c r="AB82" s="604"/>
      <c r="AC82" s="605"/>
      <c r="AD82" s="608" t="s">
        <v>389</v>
      </c>
      <c r="AE82" s="609"/>
    </row>
    <row r="83" spans="1:31" ht="16.5" customHeight="1">
      <c r="A83" s="132">
        <v>81</v>
      </c>
    </row>
  </sheetData>
  <sheetProtection algorithmName="SHA-512" hashValue="qHoEC+VBAJHtum6iYEi8P1q2hjSR8itYMqkR3QOZIbeHQZP0uGleEKxSGmMUVykCB6kDf/5Nf2yMRHh+/Z+ifQ==" saltValue="IRea8NO3Oe3G7moqPnf/vA==" spinCount="100000" sheet="1" objects="1" scenarios="1"/>
  <mergeCells count="214">
    <mergeCell ref="H14:L14"/>
    <mergeCell ref="M13:P13"/>
    <mergeCell ref="M14:P14"/>
    <mergeCell ref="Q13:AD13"/>
    <mergeCell ref="Q14:AD14"/>
    <mergeCell ref="AB3:AE3"/>
    <mergeCell ref="M10:N10"/>
    <mergeCell ref="O10:W10"/>
    <mergeCell ref="X10:AB10"/>
    <mergeCell ref="AC10:AE10"/>
    <mergeCell ref="H11:AE11"/>
    <mergeCell ref="H12:L12"/>
    <mergeCell ref="M12:AE12"/>
    <mergeCell ref="H13:L13"/>
    <mergeCell ref="B18:E19"/>
    <mergeCell ref="B2:E2"/>
    <mergeCell ref="D3:E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U3:AA3"/>
    <mergeCell ref="H8:L8"/>
    <mergeCell ref="M8:AE8"/>
    <mergeCell ref="H9:L10"/>
    <mergeCell ref="M9:N9"/>
    <mergeCell ref="O9:W9"/>
    <mergeCell ref="X9:AB9"/>
    <mergeCell ref="AC9:AE9"/>
    <mergeCell ref="H3:T3"/>
    <mergeCell ref="H15:L15"/>
    <mergeCell ref="M15:P15"/>
    <mergeCell ref="Q15:AD15"/>
    <mergeCell ref="H16:L16"/>
    <mergeCell ref="M16:P16"/>
    <mergeCell ref="Q16:AD16"/>
    <mergeCell ref="H20:L20"/>
    <mergeCell ref="M20:P20"/>
    <mergeCell ref="Q20:AD20"/>
    <mergeCell ref="H17:L17"/>
    <mergeCell ref="H18:L18"/>
    <mergeCell ref="H19:L19"/>
    <mergeCell ref="M17:P17"/>
    <mergeCell ref="M18:P18"/>
    <mergeCell ref="M19:P19"/>
    <mergeCell ref="Q17:AD17"/>
    <mergeCell ref="Q18:AD18"/>
    <mergeCell ref="Q19:AD19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24:L24"/>
    <mergeCell ref="M24:P24"/>
    <mergeCell ref="Q24:AD24"/>
    <mergeCell ref="H25:O25"/>
    <mergeCell ref="P25:V25"/>
    <mergeCell ref="W25:Z25"/>
    <mergeCell ref="AA25:AE25"/>
    <mergeCell ref="H26:AE26"/>
    <mergeCell ref="H27:L27"/>
    <mergeCell ref="M27:R27"/>
    <mergeCell ref="S27:AB27"/>
    <mergeCell ref="AC27:AE27"/>
    <mergeCell ref="H28:AE28"/>
    <mergeCell ref="H29:AE29"/>
    <mergeCell ref="H30:AE30"/>
    <mergeCell ref="H31:S31"/>
    <mergeCell ref="T31:Y31"/>
    <mergeCell ref="Z31:AD31"/>
    <mergeCell ref="H32:Z32"/>
    <mergeCell ref="AA32:AE32"/>
    <mergeCell ref="H33:AE33"/>
    <mergeCell ref="H34:J35"/>
    <mergeCell ref="K34:AE34"/>
    <mergeCell ref="K35:AE35"/>
    <mergeCell ref="H36:AE36"/>
    <mergeCell ref="H37:H38"/>
    <mergeCell ref="I37:Q37"/>
    <mergeCell ref="R37:X37"/>
    <mergeCell ref="Y37:AE37"/>
    <mergeCell ref="I38:Q38"/>
    <mergeCell ref="R38:X38"/>
    <mergeCell ref="Y38:AE38"/>
    <mergeCell ref="B44:E44"/>
    <mergeCell ref="D45:E45"/>
    <mergeCell ref="B60:E61"/>
    <mergeCell ref="V39:X40"/>
    <mergeCell ref="Y39:AC40"/>
    <mergeCell ref="AD39:AE39"/>
    <mergeCell ref="AD40:AE40"/>
    <mergeCell ref="H39:H40"/>
    <mergeCell ref="I39:K40"/>
    <mergeCell ref="L39:M40"/>
    <mergeCell ref="N39:Q40"/>
    <mergeCell ref="R39:U40"/>
    <mergeCell ref="M52:N52"/>
    <mergeCell ref="O52:W52"/>
    <mergeCell ref="X52:AB52"/>
    <mergeCell ref="AC52:AE52"/>
    <mergeCell ref="H53:AE53"/>
    <mergeCell ref="H54:L54"/>
    <mergeCell ref="M54:AE54"/>
    <mergeCell ref="H55:L55"/>
    <mergeCell ref="M55:P55"/>
    <mergeCell ref="Q55:AD55"/>
    <mergeCell ref="H56:L56"/>
    <mergeCell ref="M56:P56"/>
    <mergeCell ref="B4:B16"/>
    <mergeCell ref="B46:B58"/>
    <mergeCell ref="H44:AE44"/>
    <mergeCell ref="H45:T45"/>
    <mergeCell ref="U45:AA45"/>
    <mergeCell ref="AB45:AE45"/>
    <mergeCell ref="H46:AE46"/>
    <mergeCell ref="H47:L47"/>
    <mergeCell ref="M47:T47"/>
    <mergeCell ref="U47:AA47"/>
    <mergeCell ref="AB47:AE47"/>
    <mergeCell ref="H48:L48"/>
    <mergeCell ref="M48:T49"/>
    <mergeCell ref="U48:AA48"/>
    <mergeCell ref="AB48:AE49"/>
    <mergeCell ref="H49:L49"/>
    <mergeCell ref="U49:AA49"/>
    <mergeCell ref="H50:L50"/>
    <mergeCell ref="M50:AE50"/>
    <mergeCell ref="H51:L52"/>
    <mergeCell ref="M51:N51"/>
    <mergeCell ref="O51:W51"/>
    <mergeCell ref="X51:AB51"/>
    <mergeCell ref="AC51:AE51"/>
    <mergeCell ref="Q56:AD56"/>
    <mergeCell ref="H57:L57"/>
    <mergeCell ref="M57:P57"/>
    <mergeCell ref="Q57:AD57"/>
    <mergeCell ref="H58:L58"/>
    <mergeCell ref="M58:P58"/>
    <mergeCell ref="Q58:AD58"/>
    <mergeCell ref="H59:L59"/>
    <mergeCell ref="M59:P59"/>
    <mergeCell ref="Q59:AD59"/>
    <mergeCell ref="H60:L60"/>
    <mergeCell ref="M60:P60"/>
    <mergeCell ref="Q60:AD60"/>
    <mergeCell ref="H61:L61"/>
    <mergeCell ref="M61:P61"/>
    <mergeCell ref="Q61:AD61"/>
    <mergeCell ref="H62:L62"/>
    <mergeCell ref="M62:P62"/>
    <mergeCell ref="Q62:AD62"/>
    <mergeCell ref="H63:L63"/>
    <mergeCell ref="M63:P63"/>
    <mergeCell ref="Q63:AD63"/>
    <mergeCell ref="H64:L64"/>
    <mergeCell ref="M64:P64"/>
    <mergeCell ref="Q64:AD64"/>
    <mergeCell ref="H65:L65"/>
    <mergeCell ref="M65:P65"/>
    <mergeCell ref="Q65:AD65"/>
    <mergeCell ref="H66:L66"/>
    <mergeCell ref="M66:P66"/>
    <mergeCell ref="Q66:AD66"/>
    <mergeCell ref="H67:O67"/>
    <mergeCell ref="P67:V67"/>
    <mergeCell ref="W67:Z67"/>
    <mergeCell ref="AA67:AE67"/>
    <mergeCell ref="H68:AE68"/>
    <mergeCell ref="H69:L69"/>
    <mergeCell ref="M69:R69"/>
    <mergeCell ref="S69:AB69"/>
    <mergeCell ref="AC69:AE69"/>
    <mergeCell ref="H70:AE70"/>
    <mergeCell ref="H71:AE71"/>
    <mergeCell ref="H72:AE72"/>
    <mergeCell ref="H73:S73"/>
    <mergeCell ref="T73:Y73"/>
    <mergeCell ref="Z73:AD73"/>
    <mergeCell ref="H74:Z74"/>
    <mergeCell ref="AA74:AE74"/>
    <mergeCell ref="H75:AE75"/>
    <mergeCell ref="H76:J77"/>
    <mergeCell ref="K76:AE76"/>
    <mergeCell ref="K77:AE77"/>
    <mergeCell ref="H78:AE78"/>
    <mergeCell ref="H79:H80"/>
    <mergeCell ref="I79:Q79"/>
    <mergeCell ref="R79:X79"/>
    <mergeCell ref="Y79:AE79"/>
    <mergeCell ref="I80:Q80"/>
    <mergeCell ref="R80:X80"/>
    <mergeCell ref="Y80:AE80"/>
    <mergeCell ref="H81:H82"/>
    <mergeCell ref="I81:K82"/>
    <mergeCell ref="L81:M82"/>
    <mergeCell ref="N81:Q82"/>
    <mergeCell ref="R81:U82"/>
    <mergeCell ref="V81:X82"/>
    <mergeCell ref="Y81:AC82"/>
    <mergeCell ref="AD81:AE81"/>
    <mergeCell ref="AD82:AE8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/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 ht="13.15">
      <c r="A1" s="1" t="s">
        <v>397</v>
      </c>
      <c r="B1" s="4">
        <v>1</v>
      </c>
      <c r="C1" s="4">
        <v>2</v>
      </c>
      <c r="D1" s="33">
        <v>3</v>
      </c>
      <c r="E1" s="4">
        <v>4</v>
      </c>
      <c r="F1" s="33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5">
      <c r="A2" s="3">
        <v>0</v>
      </c>
      <c r="B2" s="793" t="s">
        <v>121</v>
      </c>
      <c r="C2" s="794"/>
      <c r="D2" s="37"/>
      <c r="E2" s="34"/>
      <c r="F2" s="38"/>
      <c r="G2" s="35"/>
    </row>
    <row r="3" spans="1:38" ht="22.5" customHeight="1">
      <c r="A3" s="3">
        <v>1</v>
      </c>
      <c r="B3" s="791" t="s">
        <v>93</v>
      </c>
      <c r="C3" s="792"/>
      <c r="D3" s="36"/>
      <c r="E3" s="795" t="s">
        <v>407</v>
      </c>
      <c r="F3" s="796"/>
      <c r="G3" s="796"/>
      <c r="H3" s="796"/>
      <c r="I3" s="796"/>
      <c r="J3" s="796"/>
      <c r="K3" s="796"/>
      <c r="L3" s="796"/>
      <c r="M3" s="796"/>
      <c r="N3" s="796"/>
      <c r="O3" s="797"/>
    </row>
    <row r="4" spans="1:38" ht="17.25" thickBot="1">
      <c r="A4" s="3">
        <v>2</v>
      </c>
      <c r="B4" s="39" t="s">
        <v>80</v>
      </c>
      <c r="C4" s="23" t="s">
        <v>106</v>
      </c>
      <c r="D4" s="26"/>
      <c r="E4" s="798" t="s">
        <v>408</v>
      </c>
      <c r="F4" s="799"/>
      <c r="G4" s="799"/>
      <c r="H4" s="799"/>
      <c r="I4" s="799"/>
      <c r="J4" s="799"/>
      <c r="K4" s="799"/>
      <c r="L4" s="799"/>
      <c r="M4" s="799"/>
      <c r="N4" s="799"/>
      <c r="O4" s="799"/>
    </row>
    <row r="5" spans="1:38" ht="17.25" thickTop="1">
      <c r="A5" s="3">
        <v>3</v>
      </c>
      <c r="B5" s="7" t="s">
        <v>81</v>
      </c>
      <c r="C5" s="16" t="s">
        <v>100</v>
      </c>
      <c r="D5" s="26"/>
      <c r="E5" s="165" t="s">
        <v>409</v>
      </c>
      <c r="F5" s="780" t="s">
        <v>409</v>
      </c>
      <c r="G5" s="781"/>
      <c r="H5" s="781"/>
      <c r="I5" s="782"/>
      <c r="J5" s="778" t="s">
        <v>349</v>
      </c>
      <c r="K5" s="800"/>
      <c r="L5" s="779"/>
      <c r="M5" s="801" t="s">
        <v>349</v>
      </c>
      <c r="N5" s="802"/>
      <c r="O5" s="803"/>
    </row>
    <row r="6" spans="1:38" ht="16.899999999999999">
      <c r="A6" s="3">
        <v>4</v>
      </c>
      <c r="B6" s="7" t="s">
        <v>82</v>
      </c>
      <c r="C6" s="10" t="s">
        <v>107</v>
      </c>
      <c r="D6" s="27"/>
      <c r="E6" s="166" t="s">
        <v>2</v>
      </c>
      <c r="F6" s="748" t="s">
        <v>2</v>
      </c>
      <c r="G6" s="749"/>
      <c r="H6" s="749"/>
      <c r="I6" s="804"/>
      <c r="J6" s="805" t="s">
        <v>410</v>
      </c>
      <c r="K6" s="806"/>
      <c r="L6" s="807"/>
      <c r="M6" s="808" t="s">
        <v>410</v>
      </c>
      <c r="N6" s="809"/>
      <c r="O6" s="810"/>
    </row>
    <row r="7" spans="1:38" ht="16.899999999999999">
      <c r="A7" s="3">
        <v>5</v>
      </c>
      <c r="B7" s="7" t="s">
        <v>83</v>
      </c>
      <c r="C7" s="16" t="s">
        <v>108</v>
      </c>
      <c r="D7" s="26"/>
      <c r="E7" s="755" t="s">
        <v>411</v>
      </c>
      <c r="F7" s="168" t="s">
        <v>412</v>
      </c>
      <c r="G7" s="811" t="s">
        <v>413</v>
      </c>
      <c r="H7" s="811"/>
      <c r="I7" s="811"/>
      <c r="J7" s="811"/>
      <c r="K7" s="811"/>
      <c r="L7" s="811"/>
      <c r="M7" s="811"/>
      <c r="N7" s="811"/>
      <c r="O7" s="812"/>
    </row>
    <row r="8" spans="1:38" ht="16.899999999999999">
      <c r="A8" s="3">
        <v>6</v>
      </c>
      <c r="B8" s="7" t="s">
        <v>84</v>
      </c>
      <c r="C8" s="16" t="s">
        <v>109</v>
      </c>
      <c r="D8" s="26"/>
      <c r="E8" s="757"/>
      <c r="F8" s="169" t="s">
        <v>414</v>
      </c>
      <c r="G8" s="813" t="s">
        <v>415</v>
      </c>
      <c r="H8" s="813"/>
      <c r="I8" s="813"/>
      <c r="J8" s="813"/>
      <c r="K8" s="813"/>
      <c r="L8" s="813"/>
      <c r="M8" s="813"/>
      <c r="N8" s="813"/>
      <c r="O8" s="814"/>
    </row>
    <row r="9" spans="1:38" ht="16.899999999999999">
      <c r="A9" s="3">
        <v>7</v>
      </c>
      <c r="B9" s="7" t="s">
        <v>85</v>
      </c>
      <c r="C9" s="16" t="s">
        <v>109</v>
      </c>
      <c r="D9" s="26"/>
      <c r="E9" s="166" t="s">
        <v>416</v>
      </c>
      <c r="F9" s="748" t="s">
        <v>416</v>
      </c>
      <c r="G9" s="749"/>
      <c r="H9" s="749"/>
      <c r="I9" s="749"/>
      <c r="J9" s="749"/>
      <c r="K9" s="749"/>
      <c r="L9" s="749"/>
      <c r="M9" s="749"/>
      <c r="N9" s="749"/>
      <c r="O9" s="750"/>
    </row>
    <row r="10" spans="1:38" ht="16.899999999999999">
      <c r="A10" s="3">
        <v>8</v>
      </c>
      <c r="B10" s="7" t="s">
        <v>86</v>
      </c>
      <c r="C10" s="50" t="s">
        <v>101</v>
      </c>
      <c r="D10" s="26"/>
      <c r="E10" s="167" t="s">
        <v>417</v>
      </c>
      <c r="F10" s="815" t="s">
        <v>419</v>
      </c>
      <c r="G10" s="816"/>
      <c r="H10" s="816"/>
      <c r="I10" s="816"/>
      <c r="J10" s="816"/>
      <c r="K10" s="816"/>
      <c r="L10" s="816"/>
      <c r="M10" s="816"/>
      <c r="N10" s="816"/>
      <c r="O10" s="817"/>
    </row>
    <row r="11" spans="1:38" ht="19.149999999999999" thickBot="1">
      <c r="A11" s="3">
        <v>9</v>
      </c>
      <c r="B11" s="7" t="s">
        <v>87</v>
      </c>
      <c r="C11" s="16" t="s">
        <v>110</v>
      </c>
      <c r="D11" s="28"/>
      <c r="E11" s="170" t="s">
        <v>418</v>
      </c>
      <c r="F11" s="818"/>
      <c r="G11" s="819"/>
      <c r="H11" s="819"/>
      <c r="I11" s="819"/>
      <c r="J11" s="819"/>
      <c r="K11" s="819"/>
      <c r="L11" s="819"/>
      <c r="M11" s="819"/>
      <c r="N11" s="819"/>
      <c r="O11" s="820"/>
    </row>
    <row r="12" spans="1:38" ht="19.5" thickTop="1" thickBot="1">
      <c r="A12" s="3">
        <v>10</v>
      </c>
      <c r="B12" s="25"/>
      <c r="C12" s="59"/>
      <c r="D12" s="60"/>
      <c r="E12" s="774"/>
      <c r="F12" s="775"/>
      <c r="G12" s="775"/>
      <c r="H12" s="775"/>
      <c r="I12" s="775"/>
      <c r="J12" s="775"/>
      <c r="K12" s="775"/>
      <c r="L12" s="775"/>
      <c r="M12" s="775"/>
      <c r="N12" s="775"/>
      <c r="O12" s="775"/>
    </row>
    <row r="13" spans="1:38" ht="26.65" thickTop="1">
      <c r="A13" s="3">
        <v>11</v>
      </c>
      <c r="B13" s="7" t="s">
        <v>88</v>
      </c>
      <c r="C13" s="40" t="s">
        <v>111</v>
      </c>
      <c r="D13" s="29"/>
      <c r="E13" s="776" t="s">
        <v>353</v>
      </c>
      <c r="F13" s="778" t="s">
        <v>420</v>
      </c>
      <c r="G13" s="779"/>
      <c r="H13" s="780" t="s">
        <v>421</v>
      </c>
      <c r="I13" s="781"/>
      <c r="J13" s="782"/>
      <c r="K13" s="171" t="s">
        <v>164</v>
      </c>
      <c r="L13" s="780" t="s">
        <v>422</v>
      </c>
      <c r="M13" s="782"/>
      <c r="N13" s="171" t="s">
        <v>423</v>
      </c>
      <c r="O13" s="172" t="s">
        <v>424</v>
      </c>
    </row>
    <row r="14" spans="1:38" ht="17.25" thickBot="1">
      <c r="A14" s="3">
        <v>12</v>
      </c>
      <c r="B14" s="7" t="s">
        <v>89</v>
      </c>
      <c r="C14" s="41" t="s">
        <v>112</v>
      </c>
      <c r="D14" s="31"/>
      <c r="E14" s="777"/>
      <c r="F14" s="783" t="s">
        <v>354</v>
      </c>
      <c r="G14" s="784"/>
      <c r="H14" s="785" t="s">
        <v>425</v>
      </c>
      <c r="I14" s="786"/>
      <c r="J14" s="787"/>
      <c r="K14" s="173" t="s">
        <v>20</v>
      </c>
      <c r="L14" s="788" t="s">
        <v>426</v>
      </c>
      <c r="M14" s="789"/>
      <c r="N14" s="789"/>
      <c r="O14" s="790"/>
    </row>
    <row r="15" spans="1:38" ht="17.649999999999999" thickTop="1" thickBot="1">
      <c r="A15" s="3">
        <v>13</v>
      </c>
      <c r="B15" s="7" t="s">
        <v>90</v>
      </c>
      <c r="C15" s="42" t="s">
        <v>113</v>
      </c>
      <c r="D15" s="30"/>
      <c r="E15" s="751" t="s">
        <v>427</v>
      </c>
      <c r="F15" s="751"/>
      <c r="G15" s="751"/>
      <c r="H15" s="751"/>
      <c r="I15" s="751"/>
      <c r="J15" s="751"/>
      <c r="K15" s="751"/>
      <c r="L15" s="751"/>
      <c r="M15" s="751"/>
      <c r="N15" s="751"/>
      <c r="O15" s="751"/>
    </row>
    <row r="16" spans="1:38" ht="17.25" thickTop="1">
      <c r="A16" s="3">
        <v>14</v>
      </c>
      <c r="B16" s="7" t="s">
        <v>91</v>
      </c>
      <c r="C16" s="41" t="s">
        <v>102</v>
      </c>
      <c r="D16" s="30"/>
      <c r="E16" s="165" t="s">
        <v>428</v>
      </c>
      <c r="F16" s="752" t="s">
        <v>429</v>
      </c>
      <c r="G16" s="753"/>
      <c r="H16" s="753"/>
      <c r="I16" s="753"/>
      <c r="J16" s="753"/>
      <c r="K16" s="753"/>
      <c r="L16" s="753"/>
      <c r="M16" s="753"/>
      <c r="N16" s="753"/>
      <c r="O16" s="754"/>
    </row>
    <row r="17" spans="1:15" ht="16.899999999999999">
      <c r="A17" s="3">
        <v>15</v>
      </c>
      <c r="B17" s="7" t="s">
        <v>92</v>
      </c>
      <c r="C17" s="51" t="s">
        <v>103</v>
      </c>
      <c r="D17" s="30"/>
      <c r="E17" s="755" t="s">
        <v>430</v>
      </c>
      <c r="F17" s="717" t="s">
        <v>431</v>
      </c>
      <c r="G17" s="718"/>
      <c r="H17" s="758"/>
      <c r="I17" s="759" t="s">
        <v>432</v>
      </c>
      <c r="J17" s="760"/>
      <c r="K17" s="760"/>
      <c r="L17" s="760"/>
      <c r="M17" s="760"/>
      <c r="N17" s="760"/>
      <c r="O17" s="761"/>
    </row>
    <row r="18" spans="1:15" ht="18.75">
      <c r="A18" s="3">
        <v>16</v>
      </c>
      <c r="B18" s="791" t="s">
        <v>114</v>
      </c>
      <c r="C18" s="792"/>
      <c r="D18" s="32"/>
      <c r="E18" s="756"/>
      <c r="F18" s="717" t="s">
        <v>433</v>
      </c>
      <c r="G18" s="718"/>
      <c r="H18" s="758"/>
      <c r="I18" s="759" t="s">
        <v>434</v>
      </c>
      <c r="J18" s="760"/>
      <c r="K18" s="760"/>
      <c r="L18" s="760"/>
      <c r="M18" s="760"/>
      <c r="N18" s="760"/>
      <c r="O18" s="761"/>
    </row>
    <row r="19" spans="1:15" ht="19.149999999999999">
      <c r="A19" s="3">
        <v>17</v>
      </c>
      <c r="B19" s="163" t="s">
        <v>398</v>
      </c>
      <c r="D19" s="30"/>
      <c r="E19" s="756"/>
      <c r="F19" s="762" t="s">
        <v>435</v>
      </c>
      <c r="G19" s="763"/>
      <c r="H19" s="764"/>
      <c r="I19" s="768" t="s">
        <v>436</v>
      </c>
      <c r="J19" s="769"/>
      <c r="K19" s="769"/>
      <c r="L19" s="769"/>
      <c r="M19" s="769"/>
      <c r="N19" s="769"/>
      <c r="O19" s="770"/>
    </row>
    <row r="20" spans="1:15" ht="16.899999999999999">
      <c r="A20" s="3">
        <v>18</v>
      </c>
      <c r="B20" s="7" t="s">
        <v>94</v>
      </c>
      <c r="C20" s="41" t="s">
        <v>105</v>
      </c>
      <c r="D20" s="30"/>
      <c r="E20" s="756"/>
      <c r="F20" s="765"/>
      <c r="G20" s="766"/>
      <c r="H20" s="767"/>
      <c r="I20" s="771" t="s">
        <v>437</v>
      </c>
      <c r="J20" s="772"/>
      <c r="K20" s="772"/>
      <c r="L20" s="772"/>
      <c r="M20" s="772"/>
      <c r="N20" s="772"/>
      <c r="O20" s="773"/>
    </row>
    <row r="21" spans="1:15" ht="16.899999999999999">
      <c r="A21" s="3">
        <v>19</v>
      </c>
      <c r="B21" s="7" t="s">
        <v>95</v>
      </c>
      <c r="C21" s="41" t="s">
        <v>115</v>
      </c>
      <c r="D21" s="30"/>
      <c r="E21" s="757"/>
      <c r="F21" s="717" t="s">
        <v>438</v>
      </c>
      <c r="G21" s="718"/>
      <c r="H21" s="758"/>
      <c r="I21" s="759" t="s">
        <v>439</v>
      </c>
      <c r="J21" s="760"/>
      <c r="K21" s="760"/>
      <c r="L21" s="760"/>
      <c r="M21" s="760"/>
      <c r="N21" s="760"/>
      <c r="O21" s="761"/>
    </row>
    <row r="22" spans="1:15" ht="17.25" thickBot="1">
      <c r="A22" s="3">
        <v>20</v>
      </c>
      <c r="B22" s="7" t="s">
        <v>96</v>
      </c>
      <c r="C22" s="42" t="s">
        <v>116</v>
      </c>
      <c r="D22" s="30"/>
      <c r="E22" s="174" t="s">
        <v>440</v>
      </c>
      <c r="F22" s="738"/>
      <c r="G22" s="739"/>
      <c r="H22" s="739"/>
      <c r="I22" s="739"/>
      <c r="J22" s="739"/>
      <c r="K22" s="739"/>
      <c r="L22" s="739"/>
      <c r="M22" s="739"/>
      <c r="N22" s="739"/>
      <c r="O22" s="740"/>
    </row>
    <row r="23" spans="1:15" ht="17.25" thickTop="1">
      <c r="A23" s="3">
        <v>21</v>
      </c>
      <c r="B23" s="7" t="s">
        <v>97</v>
      </c>
      <c r="C23" s="41" t="s">
        <v>117</v>
      </c>
      <c r="D23" s="30"/>
      <c r="E23" s="30"/>
      <c r="F23" s="30"/>
    </row>
    <row r="24" spans="1:15" ht="19.899999999999999" thickBot="1">
      <c r="A24" s="3">
        <v>22</v>
      </c>
      <c r="B24" s="7" t="s">
        <v>399</v>
      </c>
      <c r="C24" s="52" t="s">
        <v>45</v>
      </c>
      <c r="D24" s="30"/>
      <c r="E24" s="741" t="s">
        <v>441</v>
      </c>
      <c r="F24" s="741"/>
      <c r="G24" s="741"/>
      <c r="H24" s="741"/>
      <c r="I24" s="741"/>
      <c r="J24" s="741"/>
      <c r="K24" s="741"/>
      <c r="L24" s="741"/>
      <c r="M24" s="741"/>
      <c r="N24" s="741"/>
    </row>
    <row r="25" spans="1:15" ht="19.899999999999999" thickTop="1">
      <c r="A25" s="3">
        <v>23</v>
      </c>
      <c r="B25" s="7" t="s">
        <v>401</v>
      </c>
      <c r="C25" s="53" t="s">
        <v>47</v>
      </c>
      <c r="D25" s="30"/>
      <c r="E25" s="165" t="s">
        <v>442</v>
      </c>
      <c r="F25" s="742" t="s">
        <v>443</v>
      </c>
      <c r="G25" s="743"/>
      <c r="H25" s="743"/>
      <c r="I25" s="743"/>
      <c r="J25" s="743"/>
      <c r="K25" s="743"/>
      <c r="L25" s="743"/>
      <c r="M25" s="743"/>
      <c r="N25" s="744"/>
    </row>
    <row r="26" spans="1:15" ht="19.5">
      <c r="A26" s="3">
        <v>24</v>
      </c>
      <c r="B26" s="7" t="s">
        <v>400</v>
      </c>
      <c r="C26" s="54" t="s">
        <v>49</v>
      </c>
      <c r="D26" s="30"/>
      <c r="E26" s="166" t="s">
        <v>444</v>
      </c>
      <c r="F26" s="745" t="s">
        <v>445</v>
      </c>
      <c r="G26" s="746"/>
      <c r="H26" s="746"/>
      <c r="I26" s="746"/>
      <c r="J26" s="746"/>
      <c r="K26" s="746"/>
      <c r="L26" s="746"/>
      <c r="M26" s="746"/>
      <c r="N26" s="747"/>
    </row>
    <row r="27" spans="1:15" ht="19.5">
      <c r="A27" s="3">
        <v>25</v>
      </c>
      <c r="B27" s="7" t="s">
        <v>402</v>
      </c>
      <c r="C27" s="53" t="s">
        <v>51</v>
      </c>
      <c r="D27" s="30"/>
      <c r="E27" s="166" t="s">
        <v>446</v>
      </c>
      <c r="F27" s="748" t="s">
        <v>446</v>
      </c>
      <c r="G27" s="749"/>
      <c r="H27" s="749"/>
      <c r="I27" s="749"/>
      <c r="J27" s="749"/>
      <c r="K27" s="749"/>
      <c r="L27" s="749"/>
      <c r="M27" s="749"/>
      <c r="N27" s="750"/>
    </row>
    <row r="28" spans="1:15" ht="19.5">
      <c r="A28" s="3">
        <v>26</v>
      </c>
      <c r="B28" s="164" t="s">
        <v>405</v>
      </c>
      <c r="C28" s="52" t="s">
        <v>53</v>
      </c>
      <c r="D28" s="30"/>
      <c r="E28" s="167" t="s">
        <v>447</v>
      </c>
      <c r="F28" s="723" t="s">
        <v>449</v>
      </c>
      <c r="G28" s="724"/>
      <c r="H28" s="724"/>
      <c r="I28" s="724"/>
      <c r="J28" s="724"/>
      <c r="K28" s="724"/>
      <c r="L28" s="724"/>
      <c r="M28" s="724"/>
      <c r="N28" s="725"/>
    </row>
    <row r="29" spans="1:15" ht="19.5">
      <c r="A29" s="3">
        <v>27</v>
      </c>
      <c r="B29" s="7" t="s">
        <v>403</v>
      </c>
      <c r="C29" s="53" t="s">
        <v>55</v>
      </c>
      <c r="D29" s="30"/>
      <c r="E29" s="175" t="s">
        <v>448</v>
      </c>
      <c r="F29" s="178" t="s">
        <v>450</v>
      </c>
      <c r="G29" s="178" t="s">
        <v>451</v>
      </c>
      <c r="H29" s="178" t="s">
        <v>452</v>
      </c>
      <c r="I29" s="178" t="s">
        <v>453</v>
      </c>
      <c r="J29" s="178" t="s">
        <v>454</v>
      </c>
      <c r="K29" s="178" t="s">
        <v>455</v>
      </c>
      <c r="L29" s="178" t="s">
        <v>456</v>
      </c>
      <c r="M29" s="178" t="s">
        <v>457</v>
      </c>
      <c r="N29" s="181" t="s">
        <v>458</v>
      </c>
    </row>
    <row r="30" spans="1:15" ht="19.5">
      <c r="A30" s="3">
        <v>28</v>
      </c>
      <c r="B30" s="7" t="s">
        <v>406</v>
      </c>
      <c r="C30" s="54" t="s">
        <v>57</v>
      </c>
      <c r="D30" s="30"/>
      <c r="E30" s="176"/>
      <c r="F30" s="179" t="s">
        <v>459</v>
      </c>
      <c r="G30" s="180" t="s">
        <v>460</v>
      </c>
      <c r="H30" s="180" t="s">
        <v>461</v>
      </c>
      <c r="I30" s="180" t="s">
        <v>461</v>
      </c>
      <c r="J30" s="180" t="s">
        <v>461</v>
      </c>
      <c r="K30" s="180" t="s">
        <v>461</v>
      </c>
      <c r="L30" s="180" t="s">
        <v>461</v>
      </c>
      <c r="M30" s="180" t="s">
        <v>460</v>
      </c>
      <c r="N30" s="182" t="s">
        <v>462</v>
      </c>
    </row>
    <row r="31" spans="1:15" ht="19.5">
      <c r="A31" s="3">
        <v>29</v>
      </c>
      <c r="B31" s="7" t="s">
        <v>404</v>
      </c>
      <c r="C31" s="53" t="s">
        <v>59</v>
      </c>
      <c r="E31" s="176"/>
      <c r="F31" s="179" t="s">
        <v>463</v>
      </c>
      <c r="G31" s="180">
        <v>0</v>
      </c>
      <c r="H31" s="180">
        <v>5</v>
      </c>
      <c r="I31" s="180">
        <v>5</v>
      </c>
      <c r="J31" s="180">
        <v>5</v>
      </c>
      <c r="K31" s="180">
        <v>5</v>
      </c>
      <c r="L31" s="180">
        <v>5</v>
      </c>
      <c r="M31" s="180">
        <v>0</v>
      </c>
      <c r="N31" s="182" t="s">
        <v>464</v>
      </c>
    </row>
    <row r="32" spans="1:15" ht="16.899999999999999">
      <c r="A32" s="3">
        <v>30</v>
      </c>
      <c r="B32" s="7" t="s">
        <v>98</v>
      </c>
      <c r="C32" s="41" t="s">
        <v>118</v>
      </c>
      <c r="E32" s="176"/>
      <c r="F32" s="726" t="s">
        <v>465</v>
      </c>
      <c r="G32" s="727"/>
      <c r="H32" s="727"/>
      <c r="I32" s="727"/>
      <c r="J32" s="727"/>
      <c r="K32" s="727"/>
      <c r="L32" s="727"/>
      <c r="M32" s="727"/>
      <c r="N32" s="728"/>
    </row>
    <row r="33" spans="1:14" ht="19.5">
      <c r="A33" s="3">
        <v>31</v>
      </c>
      <c r="B33" s="134" t="s">
        <v>500</v>
      </c>
      <c r="C33" s="41" t="s">
        <v>119</v>
      </c>
      <c r="E33" s="177"/>
      <c r="F33" s="729" t="s">
        <v>466</v>
      </c>
      <c r="G33" s="730"/>
      <c r="H33" s="730"/>
      <c r="I33" s="730"/>
      <c r="J33" s="730"/>
      <c r="K33" s="730"/>
      <c r="L33" s="730"/>
      <c r="M33" s="730"/>
      <c r="N33" s="731"/>
    </row>
    <row r="34" spans="1:14" ht="16.899999999999999">
      <c r="A34" s="3">
        <v>32</v>
      </c>
      <c r="B34" s="7" t="s">
        <v>99</v>
      </c>
      <c r="C34" s="41" t="s">
        <v>120</v>
      </c>
      <c r="E34" s="167" t="s">
        <v>467</v>
      </c>
      <c r="F34" s="732" t="s">
        <v>469</v>
      </c>
      <c r="G34" s="733"/>
      <c r="H34" s="733"/>
      <c r="I34" s="733"/>
      <c r="J34" s="733"/>
      <c r="K34" s="733"/>
      <c r="L34" s="733"/>
      <c r="M34" s="733"/>
      <c r="N34" s="734"/>
    </row>
    <row r="35" spans="1:14" ht="16.899999999999999">
      <c r="A35" s="3">
        <v>33</v>
      </c>
      <c r="E35" s="170" t="s">
        <v>468</v>
      </c>
      <c r="F35" s="735"/>
      <c r="G35" s="736"/>
      <c r="H35" s="736"/>
      <c r="I35" s="736"/>
      <c r="J35" s="736"/>
      <c r="K35" s="736"/>
      <c r="L35" s="736"/>
      <c r="M35" s="736"/>
      <c r="N35" s="737"/>
    </row>
    <row r="36" spans="1:14" ht="16.899999999999999">
      <c r="A36" s="3">
        <v>34</v>
      </c>
      <c r="E36" s="167" t="s">
        <v>470</v>
      </c>
      <c r="F36" s="714" t="s">
        <v>471</v>
      </c>
      <c r="G36" s="715"/>
      <c r="H36" s="715"/>
      <c r="I36" s="716"/>
      <c r="J36" s="720" t="s">
        <v>472</v>
      </c>
      <c r="K36" s="721"/>
      <c r="L36" s="721"/>
      <c r="M36" s="721"/>
      <c r="N36" s="722"/>
    </row>
    <row r="37" spans="1:14" ht="16.899999999999999">
      <c r="A37" s="3">
        <v>35</v>
      </c>
      <c r="E37" s="175" t="s">
        <v>501</v>
      </c>
      <c r="F37" s="714" t="s">
        <v>473</v>
      </c>
      <c r="G37" s="715"/>
      <c r="H37" s="715"/>
      <c r="I37" s="716"/>
      <c r="J37" s="720" t="s">
        <v>474</v>
      </c>
      <c r="K37" s="721"/>
      <c r="L37" s="721"/>
      <c r="M37" s="721"/>
      <c r="N37" s="722"/>
    </row>
    <row r="38" spans="1:14" ht="16.899999999999999">
      <c r="A38" s="3">
        <v>36</v>
      </c>
      <c r="E38" s="176"/>
      <c r="F38" s="714" t="s">
        <v>475</v>
      </c>
      <c r="G38" s="715"/>
      <c r="H38" s="715"/>
      <c r="I38" s="716"/>
      <c r="J38" s="720" t="s">
        <v>476</v>
      </c>
      <c r="K38" s="721"/>
      <c r="L38" s="721"/>
      <c r="M38" s="721"/>
      <c r="N38" s="722"/>
    </row>
    <row r="39" spans="1:14" ht="16.899999999999999">
      <c r="A39" s="3">
        <v>37</v>
      </c>
      <c r="E39" s="176"/>
      <c r="F39" s="714" t="s">
        <v>477</v>
      </c>
      <c r="G39" s="715"/>
      <c r="H39" s="715"/>
      <c r="I39" s="716"/>
      <c r="J39" s="720" t="s">
        <v>478</v>
      </c>
      <c r="K39" s="721"/>
      <c r="L39" s="721"/>
      <c r="M39" s="721"/>
      <c r="N39" s="722"/>
    </row>
    <row r="40" spans="1:14" ht="16.899999999999999">
      <c r="A40" s="3">
        <v>38</v>
      </c>
      <c r="E40" s="176"/>
      <c r="F40" s="714" t="s">
        <v>479</v>
      </c>
      <c r="G40" s="715"/>
      <c r="H40" s="715"/>
      <c r="I40" s="716"/>
      <c r="J40" s="720" t="s">
        <v>480</v>
      </c>
      <c r="K40" s="721"/>
      <c r="L40" s="721"/>
      <c r="M40" s="721"/>
      <c r="N40" s="722"/>
    </row>
    <row r="41" spans="1:14" ht="16.899999999999999">
      <c r="A41" s="3">
        <v>39</v>
      </c>
      <c r="E41" s="176"/>
      <c r="F41" s="714" t="s">
        <v>481</v>
      </c>
      <c r="G41" s="715"/>
      <c r="H41" s="715"/>
      <c r="I41" s="716"/>
      <c r="J41" s="720" t="s">
        <v>482</v>
      </c>
      <c r="K41" s="721"/>
      <c r="L41" s="721"/>
      <c r="M41" s="721"/>
      <c r="N41" s="722"/>
    </row>
    <row r="42" spans="1:14" ht="16.899999999999999">
      <c r="A42" s="3">
        <v>40</v>
      </c>
      <c r="E42" s="176"/>
      <c r="F42" s="714" t="s">
        <v>483</v>
      </c>
      <c r="G42" s="715"/>
      <c r="H42" s="715"/>
      <c r="I42" s="716"/>
      <c r="J42" s="720" t="s">
        <v>484</v>
      </c>
      <c r="K42" s="721"/>
      <c r="L42" s="721"/>
      <c r="M42" s="721"/>
      <c r="N42" s="722"/>
    </row>
    <row r="43" spans="1:14" ht="16.899999999999999">
      <c r="A43" s="3">
        <v>41</v>
      </c>
      <c r="E43" s="176"/>
      <c r="F43" s="714" t="s">
        <v>485</v>
      </c>
      <c r="G43" s="715"/>
      <c r="H43" s="715"/>
      <c r="I43" s="716"/>
      <c r="J43" s="720" t="s">
        <v>486</v>
      </c>
      <c r="K43" s="721"/>
      <c r="L43" s="721"/>
      <c r="M43" s="721"/>
      <c r="N43" s="722"/>
    </row>
    <row r="44" spans="1:14" ht="16.899999999999999">
      <c r="A44" s="3">
        <v>42</v>
      </c>
      <c r="E44" s="176"/>
      <c r="F44" s="714" t="s">
        <v>487</v>
      </c>
      <c r="G44" s="715"/>
      <c r="H44" s="715"/>
      <c r="I44" s="716"/>
      <c r="J44" s="717" t="s">
        <v>488</v>
      </c>
      <c r="K44" s="718"/>
      <c r="L44" s="718"/>
      <c r="M44" s="718"/>
      <c r="N44" s="719"/>
    </row>
    <row r="45" spans="1:14" ht="16.899999999999999">
      <c r="A45" s="3">
        <v>43</v>
      </c>
      <c r="E45" s="176"/>
      <c r="F45" s="714" t="s">
        <v>489</v>
      </c>
      <c r="G45" s="715"/>
      <c r="H45" s="715"/>
      <c r="I45" s="716"/>
      <c r="J45" s="717" t="s">
        <v>488</v>
      </c>
      <c r="K45" s="718"/>
      <c r="L45" s="718"/>
      <c r="M45" s="718"/>
      <c r="N45" s="719"/>
    </row>
    <row r="46" spans="1:14" ht="16.899999999999999">
      <c r="A46" s="3">
        <v>44</v>
      </c>
      <c r="E46" s="176"/>
      <c r="F46" s="714" t="s">
        <v>490</v>
      </c>
      <c r="G46" s="715"/>
      <c r="H46" s="715"/>
      <c r="I46" s="716"/>
      <c r="J46" s="717" t="s">
        <v>488</v>
      </c>
      <c r="K46" s="718"/>
      <c r="L46" s="718"/>
      <c r="M46" s="718"/>
      <c r="N46" s="719"/>
    </row>
    <row r="47" spans="1:14" ht="16.899999999999999">
      <c r="A47" s="3">
        <v>45</v>
      </c>
      <c r="E47" s="176"/>
      <c r="F47" s="714" t="s">
        <v>491</v>
      </c>
      <c r="G47" s="715"/>
      <c r="H47" s="715"/>
      <c r="I47" s="716"/>
      <c r="J47" s="717" t="s">
        <v>488</v>
      </c>
      <c r="K47" s="718"/>
      <c r="L47" s="718"/>
      <c r="M47" s="718"/>
      <c r="N47" s="719"/>
    </row>
    <row r="48" spans="1:14" ht="16.899999999999999">
      <c r="A48" s="3">
        <v>46</v>
      </c>
      <c r="E48" s="176"/>
      <c r="F48" s="714" t="s">
        <v>492</v>
      </c>
      <c r="G48" s="715"/>
      <c r="H48" s="715"/>
      <c r="I48" s="716"/>
      <c r="J48" s="717" t="s">
        <v>488</v>
      </c>
      <c r="K48" s="718"/>
      <c r="L48" s="718"/>
      <c r="M48" s="718"/>
      <c r="N48" s="719"/>
    </row>
    <row r="49" spans="1:14" ht="16.899999999999999">
      <c r="A49" s="3">
        <v>47</v>
      </c>
      <c r="E49" s="176"/>
      <c r="F49" s="714" t="s">
        <v>493</v>
      </c>
      <c r="G49" s="715"/>
      <c r="H49" s="715"/>
      <c r="I49" s="716"/>
      <c r="J49" s="717" t="s">
        <v>488</v>
      </c>
      <c r="K49" s="718"/>
      <c r="L49" s="718"/>
      <c r="M49" s="718"/>
      <c r="N49" s="719"/>
    </row>
    <row r="50" spans="1:14" ht="16.899999999999999">
      <c r="A50" s="3">
        <v>48</v>
      </c>
      <c r="E50" s="177"/>
      <c r="F50" s="714" t="s">
        <v>494</v>
      </c>
      <c r="G50" s="715"/>
      <c r="H50" s="715"/>
      <c r="I50" s="716"/>
      <c r="J50" s="717" t="s">
        <v>488</v>
      </c>
      <c r="K50" s="718"/>
      <c r="L50" s="718"/>
      <c r="M50" s="718"/>
      <c r="N50" s="719"/>
    </row>
    <row r="51" spans="1:14" ht="26.65" thickBot="1">
      <c r="A51" s="3">
        <v>49</v>
      </c>
      <c r="E51" s="174" t="s">
        <v>495</v>
      </c>
      <c r="F51" s="711" t="s">
        <v>420</v>
      </c>
      <c r="G51" s="712"/>
      <c r="H51" s="712"/>
      <c r="I51" s="713"/>
      <c r="J51" s="183" t="s">
        <v>496</v>
      </c>
      <c r="K51" s="184" t="s">
        <v>499</v>
      </c>
      <c r="L51" s="183" t="s">
        <v>497</v>
      </c>
      <c r="M51" s="184" t="s">
        <v>423</v>
      </c>
      <c r="N51" s="185" t="s">
        <v>498</v>
      </c>
    </row>
    <row r="52" spans="1:14" ht="27" thickTop="1" thickBot="1">
      <c r="A52" s="3">
        <v>50</v>
      </c>
      <c r="E52" s="174" t="s">
        <v>495</v>
      </c>
      <c r="F52" s="711" t="s">
        <v>420</v>
      </c>
      <c r="G52" s="712"/>
      <c r="H52" s="712"/>
      <c r="I52" s="713"/>
      <c r="J52" s="183" t="s">
        <v>496</v>
      </c>
      <c r="K52" s="184" t="s">
        <v>190</v>
      </c>
      <c r="L52" s="183" t="s">
        <v>497</v>
      </c>
      <c r="M52" s="184" t="s">
        <v>423</v>
      </c>
      <c r="N52" s="185" t="s">
        <v>498</v>
      </c>
    </row>
    <row r="53" spans="1:14" ht="17.25" thickTop="1">
      <c r="A53" s="3">
        <v>51</v>
      </c>
    </row>
    <row r="54" spans="1:14" ht="16.899999999999999">
      <c r="A54" s="3">
        <v>52</v>
      </c>
    </row>
    <row r="55" spans="1:14" ht="16.899999999999999">
      <c r="A55" s="3">
        <v>53</v>
      </c>
    </row>
    <row r="56" spans="1:14" ht="16.899999999999999">
      <c r="A56" s="3">
        <v>54</v>
      </c>
    </row>
    <row r="57" spans="1:14" ht="16.899999999999999">
      <c r="A57" s="3">
        <v>55</v>
      </c>
    </row>
    <row r="58" spans="1:14" ht="16.899999999999999">
      <c r="A58" s="3">
        <v>56</v>
      </c>
    </row>
    <row r="59" spans="1:14" ht="16.899999999999999">
      <c r="A59" s="3">
        <v>57</v>
      </c>
    </row>
    <row r="60" spans="1:14" ht="16.899999999999999">
      <c r="A60" s="3">
        <v>58</v>
      </c>
    </row>
    <row r="61" spans="1:14" ht="16.899999999999999">
      <c r="A61" s="3">
        <v>59</v>
      </c>
    </row>
    <row r="62" spans="1:14" ht="16.899999999999999">
      <c r="A62" s="3">
        <v>60</v>
      </c>
    </row>
    <row r="63" spans="1:14" ht="16.899999999999999">
      <c r="A63" s="3">
        <v>61</v>
      </c>
    </row>
    <row r="64" spans="1:14" ht="16.899999999999999">
      <c r="A64" s="3">
        <v>62</v>
      </c>
    </row>
    <row r="65" spans="1:1" ht="16.899999999999999">
      <c r="A65" s="3">
        <v>63</v>
      </c>
    </row>
  </sheetData>
  <mergeCells count="77"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  <mergeCell ref="E12:O12"/>
    <mergeCell ref="E13:E14"/>
    <mergeCell ref="F13:G13"/>
    <mergeCell ref="H13:J13"/>
    <mergeCell ref="L13:M13"/>
    <mergeCell ref="F14:G14"/>
    <mergeCell ref="H14:J14"/>
    <mergeCell ref="L14:O14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F22:O22"/>
    <mergeCell ref="E24:N24"/>
    <mergeCell ref="F25:N25"/>
    <mergeCell ref="F26:N26"/>
    <mergeCell ref="F27:N27"/>
    <mergeCell ref="F28:N28"/>
    <mergeCell ref="F32:N32"/>
    <mergeCell ref="F33:N33"/>
    <mergeCell ref="F34:N35"/>
    <mergeCell ref="F36:I36"/>
    <mergeCell ref="J36:N36"/>
    <mergeCell ref="F37:I37"/>
    <mergeCell ref="J37:N37"/>
    <mergeCell ref="F38:I38"/>
    <mergeCell ref="J38:N38"/>
    <mergeCell ref="F39:I39"/>
    <mergeCell ref="J39:N39"/>
    <mergeCell ref="F40:I40"/>
    <mergeCell ref="J40:N40"/>
    <mergeCell ref="F41:I41"/>
    <mergeCell ref="J41:N41"/>
    <mergeCell ref="F42:I42"/>
    <mergeCell ref="J42:N42"/>
    <mergeCell ref="F43:I43"/>
    <mergeCell ref="J43:N43"/>
    <mergeCell ref="F44:I44"/>
    <mergeCell ref="J44:N44"/>
    <mergeCell ref="F45:I45"/>
    <mergeCell ref="J45:N45"/>
    <mergeCell ref="F46:I46"/>
    <mergeCell ref="J46:N46"/>
    <mergeCell ref="F47:I47"/>
    <mergeCell ref="J47:N47"/>
    <mergeCell ref="F48:I48"/>
    <mergeCell ref="J48:N48"/>
    <mergeCell ref="F52:I52"/>
    <mergeCell ref="F49:I49"/>
    <mergeCell ref="J49:N49"/>
    <mergeCell ref="F50:I50"/>
    <mergeCell ref="J50:N50"/>
    <mergeCell ref="F51:I51"/>
  </mergeCells>
  <phoneticPr fontId="16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C09E-D7CD-4495-8969-1F44285A17C6}">
  <sheetPr codeName="Sheet4"/>
  <dimension ref="A1:I32"/>
  <sheetViews>
    <sheetView workbookViewId="0"/>
  </sheetViews>
  <sheetFormatPr defaultRowHeight="12.75"/>
  <cols>
    <col min="1" max="1" width="14" customWidth="1"/>
    <col min="2" max="2" width="23.73046875" customWidth="1"/>
    <col min="3" max="3" width="28.3984375" bestFit="1" customWidth="1"/>
    <col min="4" max="4" width="30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18.75">
      <c r="A2" s="3">
        <v>0</v>
      </c>
      <c r="B2" s="826" t="s">
        <v>60</v>
      </c>
      <c r="C2" s="822"/>
      <c r="D2" s="822"/>
      <c r="E2" s="822"/>
      <c r="F2" s="822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>
        <f>'참여기업 정보'!D29</f>
        <v>0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6.899999999999999">
      <c r="A10" s="2">
        <v>8</v>
      </c>
      <c r="B10" s="6"/>
      <c r="C10" s="6"/>
      <c r="D10" s="6"/>
      <c r="E10" s="6"/>
      <c r="F10" s="6"/>
    </row>
    <row r="11" spans="1:9" ht="16.899999999999999">
      <c r="A11" s="2">
        <v>9</v>
      </c>
      <c r="B11" s="11" t="s">
        <v>62</v>
      </c>
      <c r="C11" s="6"/>
      <c r="D11" s="6"/>
      <c r="E11" s="6"/>
      <c r="F11" s="6"/>
    </row>
    <row r="12" spans="1:9" ht="16.899999999999999">
      <c r="A12" s="2">
        <v>10</v>
      </c>
      <c r="B12" s="11" t="s">
        <v>63</v>
      </c>
      <c r="C12" s="6"/>
      <c r="D12" s="6"/>
      <c r="E12" s="6"/>
      <c r="F12" s="6"/>
    </row>
    <row r="13" spans="1:9" ht="18.75">
      <c r="A13" s="2">
        <v>11</v>
      </c>
      <c r="B13" s="826" t="s">
        <v>64</v>
      </c>
      <c r="C13" s="822"/>
      <c r="D13" s="822"/>
      <c r="E13" s="822"/>
      <c r="F13" s="822"/>
    </row>
    <row r="14" spans="1:9" ht="19.5">
      <c r="A14" s="2">
        <v>12</v>
      </c>
      <c r="B14" s="821" t="s">
        <v>44</v>
      </c>
      <c r="C14" s="12" t="s">
        <v>65</v>
      </c>
      <c r="D14" s="827">
        <v>45618</v>
      </c>
      <c r="E14" s="828"/>
      <c r="F14" s="828"/>
    </row>
    <row r="15" spans="1:9" ht="63.75" customHeight="1">
      <c r="A15" s="2">
        <v>13</v>
      </c>
      <c r="B15" s="822"/>
      <c r="C15" s="12" t="s">
        <v>66</v>
      </c>
      <c r="D15" s="825" t="s">
        <v>79</v>
      </c>
      <c r="E15" s="822"/>
      <c r="F15" s="822"/>
    </row>
    <row r="16" spans="1:9" ht="19.5">
      <c r="A16" s="2">
        <v>14</v>
      </c>
      <c r="B16" s="821" t="s">
        <v>46</v>
      </c>
      <c r="C16" s="12" t="s">
        <v>65</v>
      </c>
      <c r="D16" s="823">
        <v>45625</v>
      </c>
      <c r="E16" s="822"/>
      <c r="F16" s="822"/>
    </row>
    <row r="17" spans="1:6" ht="77.25" customHeight="1">
      <c r="A17" s="2">
        <v>15</v>
      </c>
      <c r="B17" s="822"/>
      <c r="C17" s="12" t="s">
        <v>66</v>
      </c>
      <c r="D17" s="825" t="s">
        <v>79</v>
      </c>
      <c r="E17" s="822"/>
      <c r="F17" s="822"/>
    </row>
    <row r="18" spans="1:6" ht="19.5">
      <c r="A18" s="2">
        <v>16</v>
      </c>
      <c r="B18" s="821" t="s">
        <v>48</v>
      </c>
      <c r="C18" s="12" t="s">
        <v>65</v>
      </c>
      <c r="D18" s="823">
        <v>45632</v>
      </c>
      <c r="E18" s="822"/>
      <c r="F18" s="822"/>
    </row>
    <row r="19" spans="1:6" ht="16.899999999999999">
      <c r="A19" s="2">
        <v>17</v>
      </c>
      <c r="B19" s="822"/>
      <c r="C19" s="12" t="s">
        <v>66</v>
      </c>
      <c r="D19" s="824" t="s">
        <v>67</v>
      </c>
      <c r="E19" s="822"/>
      <c r="F19" s="822"/>
    </row>
    <row r="20" spans="1:6" ht="19.5">
      <c r="A20" s="2">
        <v>18</v>
      </c>
      <c r="B20" s="821" t="s">
        <v>50</v>
      </c>
      <c r="C20" s="12" t="s">
        <v>65</v>
      </c>
      <c r="D20" s="823">
        <v>45639</v>
      </c>
      <c r="E20" s="822"/>
      <c r="F20" s="822"/>
    </row>
    <row r="21" spans="1:6" ht="16.899999999999999">
      <c r="A21" s="2">
        <v>19</v>
      </c>
      <c r="B21" s="822"/>
      <c r="C21" s="12" t="s">
        <v>66</v>
      </c>
      <c r="D21" s="824" t="s">
        <v>67</v>
      </c>
      <c r="E21" s="822"/>
      <c r="F21" s="822"/>
    </row>
    <row r="22" spans="1:6" ht="19.5">
      <c r="A22" s="2">
        <v>20</v>
      </c>
      <c r="B22" s="821" t="s">
        <v>52</v>
      </c>
      <c r="C22" s="12" t="s">
        <v>65</v>
      </c>
      <c r="D22" s="823">
        <v>45646</v>
      </c>
      <c r="E22" s="822"/>
      <c r="F22" s="822"/>
    </row>
    <row r="23" spans="1:6" ht="16.899999999999999">
      <c r="A23" s="2">
        <v>21</v>
      </c>
      <c r="B23" s="822"/>
      <c r="C23" s="12" t="s">
        <v>66</v>
      </c>
      <c r="D23" s="824" t="s">
        <v>67</v>
      </c>
      <c r="E23" s="822"/>
      <c r="F23" s="822"/>
    </row>
    <row r="24" spans="1:6" ht="19.5">
      <c r="A24" s="2">
        <v>22</v>
      </c>
      <c r="B24" s="821" t="s">
        <v>54</v>
      </c>
      <c r="C24" s="12" t="s">
        <v>65</v>
      </c>
      <c r="D24" s="823">
        <v>45653</v>
      </c>
      <c r="E24" s="822"/>
      <c r="F24" s="822"/>
    </row>
    <row r="25" spans="1:6" ht="16.899999999999999">
      <c r="A25" s="2">
        <v>23</v>
      </c>
      <c r="B25" s="822"/>
      <c r="C25" s="12" t="s">
        <v>66</v>
      </c>
      <c r="D25" s="824" t="s">
        <v>67</v>
      </c>
      <c r="E25" s="822"/>
      <c r="F25" s="822"/>
    </row>
    <row r="26" spans="1:6" ht="19.5">
      <c r="A26" s="2">
        <v>24</v>
      </c>
      <c r="B26" s="821" t="s">
        <v>56</v>
      </c>
      <c r="C26" s="12" t="s">
        <v>65</v>
      </c>
      <c r="D26" s="823">
        <v>45660</v>
      </c>
      <c r="E26" s="822"/>
      <c r="F26" s="822"/>
    </row>
    <row r="27" spans="1:6" ht="16.899999999999999">
      <c r="A27" s="2">
        <v>25</v>
      </c>
      <c r="B27" s="822"/>
      <c r="C27" s="12" t="s">
        <v>66</v>
      </c>
      <c r="D27" s="824" t="s">
        <v>67</v>
      </c>
      <c r="E27" s="822"/>
      <c r="F27" s="822"/>
    </row>
    <row r="28" spans="1:6" ht="19.5">
      <c r="A28" s="2">
        <v>26</v>
      </c>
      <c r="B28" s="821" t="s">
        <v>58</v>
      </c>
      <c r="C28" s="12" t="s">
        <v>65</v>
      </c>
      <c r="D28" s="823">
        <v>45667</v>
      </c>
      <c r="E28" s="822"/>
      <c r="F28" s="822"/>
    </row>
    <row r="29" spans="1:6" ht="16.899999999999999">
      <c r="A29" s="2">
        <v>27</v>
      </c>
      <c r="B29" s="822"/>
      <c r="C29" s="12" t="s">
        <v>66</v>
      </c>
      <c r="D29" s="824" t="s">
        <v>67</v>
      </c>
      <c r="E29" s="822"/>
      <c r="F29" s="822"/>
    </row>
    <row r="30" spans="1:6" ht="16.899999999999999">
      <c r="A30" s="2">
        <v>28</v>
      </c>
    </row>
    <row r="31" spans="1:6" ht="16.899999999999999">
      <c r="A31" s="2">
        <v>29</v>
      </c>
    </row>
    <row r="32" spans="1:6" ht="16.899999999999999">
      <c r="A32" s="2">
        <v>30</v>
      </c>
    </row>
  </sheetData>
  <mergeCells count="26">
    <mergeCell ref="B16:B17"/>
    <mergeCell ref="D16:F16"/>
    <mergeCell ref="D17:F17"/>
    <mergeCell ref="B2:F2"/>
    <mergeCell ref="B13:F13"/>
    <mergeCell ref="B14:B15"/>
    <mergeCell ref="D14:F14"/>
    <mergeCell ref="D15:F15"/>
    <mergeCell ref="B18:B19"/>
    <mergeCell ref="D18:F18"/>
    <mergeCell ref="D19:F19"/>
    <mergeCell ref="B20:B21"/>
    <mergeCell ref="D20:F20"/>
    <mergeCell ref="D21:F21"/>
    <mergeCell ref="B22:B23"/>
    <mergeCell ref="D22:F22"/>
    <mergeCell ref="D23:F23"/>
    <mergeCell ref="B24:B25"/>
    <mergeCell ref="D24:F24"/>
    <mergeCell ref="D25:F25"/>
    <mergeCell ref="B26:B27"/>
    <mergeCell ref="D26:F26"/>
    <mergeCell ref="D27:F27"/>
    <mergeCell ref="B28:B29"/>
    <mergeCell ref="D28:F28"/>
    <mergeCell ref="D29:F2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Drop Down 4">
              <controlPr defaultSize="0" autoLine="0" autoPict="0" macro="[0]!목차드롭다운">
                <anchor moveWithCells="1">
                  <from>
                    <xdr:col>7</xdr:col>
                    <xdr:colOff>19050</xdr:colOff>
                    <xdr:row>2</xdr:row>
                    <xdr:rowOff>19050</xdr:rowOff>
                  </from>
                  <to>
                    <xdr:col>10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0FD9B-F33B-4E0D-9386-F92AC96A2A6D}">
  <sheetPr codeName="Sheet5"/>
  <dimension ref="A1:I39"/>
  <sheetViews>
    <sheetView workbookViewId="0"/>
  </sheetViews>
  <sheetFormatPr defaultRowHeight="12.75"/>
  <cols>
    <col min="1" max="1" width="14" customWidth="1"/>
    <col min="2" max="2" width="11.265625" bestFit="1" customWidth="1"/>
    <col min="3" max="3" width="30.59765625" bestFit="1" customWidth="1"/>
    <col min="4" max="4" width="34.265625" customWidth="1"/>
  </cols>
  <sheetData>
    <row r="1" spans="1:9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</row>
    <row r="2" spans="1:9" ht="25.5" customHeight="1">
      <c r="A2" s="3">
        <v>0</v>
      </c>
      <c r="B2" s="826" t="s">
        <v>60</v>
      </c>
      <c r="C2" s="822"/>
      <c r="D2" s="822"/>
      <c r="E2" s="822"/>
      <c r="F2" s="822"/>
    </row>
    <row r="3" spans="1:9" ht="16.899999999999999">
      <c r="A3" s="2">
        <v>1</v>
      </c>
      <c r="B3" s="7" t="s">
        <v>43</v>
      </c>
      <c r="C3" s="8" t="str">
        <f>'참여기업 정보'!D4</f>
        <v>㈜노마드</v>
      </c>
      <c r="D3" s="5"/>
      <c r="E3" s="5"/>
      <c r="F3" s="5"/>
    </row>
    <row r="4" spans="1:9" ht="16.899999999999999">
      <c r="A4" s="2">
        <v>2</v>
      </c>
      <c r="B4" s="7" t="s">
        <v>33</v>
      </c>
      <c r="C4" s="10" t="str">
        <f>'참여기업 정보'!D24</f>
        <v>세종대왕</v>
      </c>
      <c r="D4" s="5"/>
      <c r="E4" s="5"/>
      <c r="F4" s="5"/>
    </row>
    <row r="5" spans="1:9" ht="16.899999999999999">
      <c r="A5" s="2">
        <v>3</v>
      </c>
      <c r="B5" s="7" t="s">
        <v>34</v>
      </c>
      <c r="C5" s="10" t="str">
        <f>'참여기업 정보'!D25</f>
        <v>연구 1팀</v>
      </c>
      <c r="D5" s="5"/>
      <c r="E5" s="5"/>
      <c r="F5" s="5"/>
    </row>
    <row r="6" spans="1:9" ht="16.899999999999999">
      <c r="A6" s="2">
        <v>4</v>
      </c>
      <c r="B6" s="7" t="s">
        <v>36</v>
      </c>
      <c r="C6" s="10" t="str">
        <f>'참여기업 정보'!D26</f>
        <v>프로</v>
      </c>
      <c r="D6" s="5"/>
      <c r="E6" s="5"/>
      <c r="F6" s="5"/>
    </row>
    <row r="7" spans="1:9" ht="16.899999999999999">
      <c r="A7" s="2">
        <v>5</v>
      </c>
      <c r="B7" s="7" t="s">
        <v>37</v>
      </c>
      <c r="C7" s="10" t="str">
        <f>'참여기업 정보'!D27</f>
        <v>010-0000-0000</v>
      </c>
      <c r="D7" s="5"/>
      <c r="E7" s="5"/>
      <c r="F7" s="5"/>
    </row>
    <row r="8" spans="1:9" ht="16.899999999999999">
      <c r="A8" s="2">
        <v>6</v>
      </c>
      <c r="B8" s="7" t="s">
        <v>38</v>
      </c>
      <c r="C8" s="10">
        <f>'참여기업 정보'!D29</f>
        <v>0</v>
      </c>
      <c r="D8" s="5"/>
      <c r="E8" s="5"/>
      <c r="F8" s="5"/>
    </row>
    <row r="9" spans="1:9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9" ht="18.75">
      <c r="A10" s="2">
        <v>8</v>
      </c>
      <c r="B10" s="13"/>
      <c r="C10" s="14"/>
      <c r="D10" s="14"/>
      <c r="E10" s="14"/>
      <c r="F10" s="14"/>
    </row>
    <row r="11" spans="1:9" ht="18.75">
      <c r="A11" s="2">
        <v>9</v>
      </c>
      <c r="B11" s="831" t="s">
        <v>68</v>
      </c>
      <c r="C11" s="832"/>
      <c r="D11" s="832"/>
      <c r="E11" s="832"/>
      <c r="F11" s="832"/>
    </row>
    <row r="12" spans="1:9" ht="18.75">
      <c r="A12" s="2">
        <v>10</v>
      </c>
      <c r="B12" s="826" t="s">
        <v>69</v>
      </c>
      <c r="C12" s="822"/>
      <c r="D12" s="822"/>
      <c r="E12" s="822"/>
      <c r="F12" s="822"/>
    </row>
    <row r="13" spans="1:9" ht="16.899999999999999">
      <c r="A13" s="2">
        <v>11</v>
      </c>
      <c r="B13" s="821" t="s">
        <v>44</v>
      </c>
      <c r="C13" s="12" t="s">
        <v>70</v>
      </c>
      <c r="D13" s="829" t="e">
        <f>#REF!</f>
        <v>#REF!</v>
      </c>
      <c r="E13" s="822"/>
      <c r="F13" s="822"/>
    </row>
    <row r="14" spans="1:9" ht="16.899999999999999">
      <c r="A14" s="2">
        <v>12</v>
      </c>
      <c r="B14" s="822"/>
      <c r="C14" s="12" t="s">
        <v>71</v>
      </c>
      <c r="D14" s="830"/>
      <c r="E14" s="822"/>
      <c r="F14" s="822"/>
    </row>
    <row r="15" spans="1:9" ht="16.899999999999999">
      <c r="A15" s="2">
        <v>13</v>
      </c>
      <c r="B15" s="822"/>
      <c r="C15" s="12" t="s">
        <v>72</v>
      </c>
      <c r="D15" s="830"/>
      <c r="E15" s="822"/>
      <c r="F15" s="822"/>
    </row>
    <row r="16" spans="1:9" ht="16.899999999999999">
      <c r="A16" s="2">
        <v>14</v>
      </c>
      <c r="B16" s="821" t="s">
        <v>46</v>
      </c>
      <c r="C16" s="12" t="s">
        <v>70</v>
      </c>
      <c r="D16" s="829" t="e">
        <f>#REF!</f>
        <v>#REF!</v>
      </c>
      <c r="E16" s="822"/>
      <c r="F16" s="822"/>
    </row>
    <row r="17" spans="1:6" ht="16.899999999999999">
      <c r="A17" s="2">
        <v>15</v>
      </c>
      <c r="B17" s="822"/>
      <c r="C17" s="12" t="s">
        <v>71</v>
      </c>
      <c r="D17" s="830"/>
      <c r="E17" s="830"/>
      <c r="F17" s="830"/>
    </row>
    <row r="18" spans="1:6" ht="16.899999999999999">
      <c r="A18" s="2">
        <v>16</v>
      </c>
      <c r="B18" s="822"/>
      <c r="C18" s="12" t="s">
        <v>72</v>
      </c>
      <c r="D18" s="830"/>
      <c r="E18" s="830"/>
      <c r="F18" s="830"/>
    </row>
    <row r="19" spans="1:6" ht="16.899999999999999">
      <c r="A19" s="2">
        <v>17</v>
      </c>
      <c r="B19" s="821" t="s">
        <v>48</v>
      </c>
      <c r="C19" s="12" t="s">
        <v>70</v>
      </c>
      <c r="D19" s="829" t="e">
        <f>#REF!</f>
        <v>#REF!</v>
      </c>
      <c r="E19" s="829"/>
      <c r="F19" s="829"/>
    </row>
    <row r="20" spans="1:6" ht="16.899999999999999">
      <c r="A20" s="2">
        <v>18</v>
      </c>
      <c r="B20" s="822"/>
      <c r="C20" s="12" t="s">
        <v>71</v>
      </c>
      <c r="D20" s="830"/>
      <c r="E20" s="830"/>
      <c r="F20" s="830"/>
    </row>
    <row r="21" spans="1:6" ht="16.899999999999999">
      <c r="A21" s="2">
        <v>19</v>
      </c>
      <c r="B21" s="822"/>
      <c r="C21" s="12" t="s">
        <v>72</v>
      </c>
      <c r="D21" s="830"/>
      <c r="E21" s="830"/>
      <c r="F21" s="830"/>
    </row>
    <row r="22" spans="1:6" ht="16.899999999999999">
      <c r="A22" s="2">
        <v>20</v>
      </c>
      <c r="B22" s="821" t="s">
        <v>50</v>
      </c>
      <c r="C22" s="12" t="s">
        <v>70</v>
      </c>
      <c r="D22" s="829" t="e">
        <f>#REF!</f>
        <v>#REF!</v>
      </c>
      <c r="E22" s="829"/>
      <c r="F22" s="829"/>
    </row>
    <row r="23" spans="1:6" ht="16.899999999999999">
      <c r="A23" s="2">
        <v>21</v>
      </c>
      <c r="B23" s="822"/>
      <c r="C23" s="12" t="s">
        <v>71</v>
      </c>
      <c r="D23" s="829"/>
      <c r="E23" s="829"/>
      <c r="F23" s="829"/>
    </row>
    <row r="24" spans="1:6" ht="16.899999999999999">
      <c r="A24" s="2">
        <v>22</v>
      </c>
      <c r="B24" s="822"/>
      <c r="C24" s="12" t="s">
        <v>72</v>
      </c>
      <c r="D24" s="829"/>
      <c r="E24" s="829"/>
      <c r="F24" s="829"/>
    </row>
    <row r="25" spans="1:6" ht="16.899999999999999">
      <c r="A25" s="2">
        <v>23</v>
      </c>
      <c r="B25" s="821" t="s">
        <v>52</v>
      </c>
      <c r="C25" s="12" t="s">
        <v>70</v>
      </c>
      <c r="D25" s="829" t="e">
        <f>#REF!</f>
        <v>#REF!</v>
      </c>
      <c r="E25" s="829"/>
      <c r="F25" s="829"/>
    </row>
    <row r="26" spans="1:6" ht="16.899999999999999">
      <c r="A26" s="2">
        <v>24</v>
      </c>
      <c r="B26" s="822"/>
      <c r="C26" s="12" t="s">
        <v>71</v>
      </c>
      <c r="D26" s="829"/>
      <c r="E26" s="822"/>
      <c r="F26" s="822"/>
    </row>
    <row r="27" spans="1:6" ht="16.899999999999999">
      <c r="A27" s="2">
        <v>25</v>
      </c>
      <c r="B27" s="822"/>
      <c r="C27" s="12" t="s">
        <v>72</v>
      </c>
      <c r="D27" s="829"/>
      <c r="E27" s="822"/>
      <c r="F27" s="822"/>
    </row>
    <row r="28" spans="1:6" ht="16.899999999999999">
      <c r="A28" s="2">
        <v>26</v>
      </c>
      <c r="B28" s="821" t="s">
        <v>54</v>
      </c>
      <c r="C28" s="12" t="s">
        <v>70</v>
      </c>
      <c r="D28" s="829" t="e">
        <f>#REF!</f>
        <v>#REF!</v>
      </c>
      <c r="E28" s="822"/>
      <c r="F28" s="822"/>
    </row>
    <row r="29" spans="1:6" ht="16.899999999999999">
      <c r="A29" s="2">
        <v>27</v>
      </c>
      <c r="B29" s="822"/>
      <c r="C29" s="12" t="s">
        <v>71</v>
      </c>
      <c r="D29" s="830"/>
      <c r="E29" s="822"/>
      <c r="F29" s="822"/>
    </row>
    <row r="30" spans="1:6" ht="16.899999999999999">
      <c r="A30" s="2">
        <v>28</v>
      </c>
      <c r="B30" s="822"/>
      <c r="C30" s="12" t="s">
        <v>72</v>
      </c>
      <c r="D30" s="830"/>
      <c r="E30" s="822"/>
      <c r="F30" s="822"/>
    </row>
    <row r="31" spans="1:6" ht="16.899999999999999">
      <c r="A31" s="2">
        <v>29</v>
      </c>
      <c r="B31" s="821" t="s">
        <v>56</v>
      </c>
      <c r="C31" s="12" t="s">
        <v>70</v>
      </c>
      <c r="D31" s="829" t="e">
        <f>#REF!</f>
        <v>#REF!</v>
      </c>
      <c r="E31" s="822"/>
      <c r="F31" s="822"/>
    </row>
    <row r="32" spans="1:6" ht="16.899999999999999">
      <c r="A32" s="2">
        <v>30</v>
      </c>
      <c r="B32" s="822"/>
      <c r="C32" s="12" t="s">
        <v>71</v>
      </c>
      <c r="D32" s="830"/>
      <c r="E32" s="822"/>
      <c r="F32" s="822"/>
    </row>
    <row r="33" spans="1:6" ht="16.899999999999999">
      <c r="A33" s="2">
        <v>31</v>
      </c>
      <c r="B33" s="822"/>
      <c r="C33" s="12" t="s">
        <v>72</v>
      </c>
      <c r="D33" s="830"/>
      <c r="E33" s="822"/>
      <c r="F33" s="822"/>
    </row>
    <row r="34" spans="1:6" ht="16.899999999999999">
      <c r="A34" s="2">
        <v>32</v>
      </c>
      <c r="B34" s="821" t="s">
        <v>58</v>
      </c>
      <c r="C34" s="12" t="s">
        <v>70</v>
      </c>
      <c r="D34" s="829" t="e">
        <f>#REF!</f>
        <v>#REF!</v>
      </c>
      <c r="E34" s="822"/>
      <c r="F34" s="822"/>
    </row>
    <row r="35" spans="1:6" ht="16.899999999999999">
      <c r="A35" s="2">
        <v>33</v>
      </c>
      <c r="B35" s="822"/>
      <c r="C35" s="12" t="s">
        <v>71</v>
      </c>
      <c r="D35" s="830"/>
      <c r="E35" s="822"/>
      <c r="F35" s="822"/>
    </row>
    <row r="36" spans="1:6" ht="16.899999999999999">
      <c r="A36" s="2">
        <v>34</v>
      </c>
      <c r="B36" s="822"/>
      <c r="C36" s="12" t="s">
        <v>72</v>
      </c>
      <c r="D36" s="830"/>
      <c r="E36" s="822"/>
      <c r="F36" s="822"/>
    </row>
    <row r="37" spans="1:6" ht="16.899999999999999">
      <c r="A37" s="2">
        <v>35</v>
      </c>
    </row>
    <row r="38" spans="1:6" ht="16.899999999999999">
      <c r="A38" s="2">
        <v>36</v>
      </c>
    </row>
    <row r="39" spans="1:6" ht="16.899999999999999">
      <c r="A39" s="2">
        <v>37</v>
      </c>
    </row>
  </sheetData>
  <mergeCells count="35">
    <mergeCell ref="B2:F2"/>
    <mergeCell ref="B11:F11"/>
    <mergeCell ref="B12:F12"/>
    <mergeCell ref="B13:B15"/>
    <mergeCell ref="D13:F13"/>
    <mergeCell ref="D14:F14"/>
    <mergeCell ref="D15:F15"/>
    <mergeCell ref="B16:B18"/>
    <mergeCell ref="D16:F16"/>
    <mergeCell ref="D17:F17"/>
    <mergeCell ref="D18:F18"/>
    <mergeCell ref="B19:B21"/>
    <mergeCell ref="D19:F19"/>
    <mergeCell ref="D20:F20"/>
    <mergeCell ref="D21:F21"/>
    <mergeCell ref="B22:B24"/>
    <mergeCell ref="D22:F22"/>
    <mergeCell ref="D23:F23"/>
    <mergeCell ref="D24:F24"/>
    <mergeCell ref="B25:B27"/>
    <mergeCell ref="D25:F25"/>
    <mergeCell ref="D26:F26"/>
    <mergeCell ref="D27:F27"/>
    <mergeCell ref="B34:B36"/>
    <mergeCell ref="D34:F34"/>
    <mergeCell ref="D35:F35"/>
    <mergeCell ref="D36:F36"/>
    <mergeCell ref="B28:B30"/>
    <mergeCell ref="D28:F28"/>
    <mergeCell ref="D29:F29"/>
    <mergeCell ref="D30:F30"/>
    <mergeCell ref="B31:B33"/>
    <mergeCell ref="D31:F31"/>
    <mergeCell ref="D32:F32"/>
    <mergeCell ref="D33:F33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Drop Down 3">
              <controlPr defaultSize="0" autoLine="0" autoPict="0" macro="[0]!목차드롭다운">
                <anchor moveWithCells="1">
                  <from>
                    <xdr:col>6</xdr:col>
                    <xdr:colOff>647700</xdr:colOff>
                    <xdr:row>1</xdr:row>
                    <xdr:rowOff>228600</xdr:rowOff>
                  </from>
                  <to>
                    <xdr:col>10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B3702-22B0-4290-B8B8-6D911E04A015}">
  <sheetPr codeName="Sheet6"/>
  <dimension ref="A1:G24"/>
  <sheetViews>
    <sheetView workbookViewId="0"/>
  </sheetViews>
  <sheetFormatPr defaultRowHeight="12.75"/>
  <cols>
    <col min="1" max="1" width="14" customWidth="1"/>
    <col min="2" max="2" width="21.265625" bestFit="1" customWidth="1"/>
  </cols>
  <sheetData>
    <row r="1" spans="1:7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</row>
    <row r="2" spans="1:7" ht="18.75">
      <c r="A2" s="3">
        <v>0</v>
      </c>
      <c r="B2" s="826" t="s">
        <v>60</v>
      </c>
      <c r="C2" s="822"/>
      <c r="D2" s="822"/>
      <c r="E2" s="822"/>
      <c r="F2" s="822"/>
    </row>
    <row r="3" spans="1:7" ht="16.899999999999999">
      <c r="A3" s="2">
        <v>1</v>
      </c>
      <c r="B3" s="7" t="s">
        <v>43</v>
      </c>
      <c r="C3" s="10" t="str">
        <f>'참여기업 정보'!D4</f>
        <v>㈜노마드</v>
      </c>
      <c r="D3" s="5"/>
      <c r="E3" s="5"/>
      <c r="F3" s="5"/>
    </row>
    <row r="4" spans="1:7" ht="16.899999999999999">
      <c r="A4" s="2">
        <v>2</v>
      </c>
      <c r="B4" s="7" t="s">
        <v>24</v>
      </c>
      <c r="C4" s="10" t="str">
        <f>'참여기업 정보'!D17</f>
        <v>이순신</v>
      </c>
      <c r="D4" s="5"/>
      <c r="E4" s="5"/>
      <c r="F4" s="5"/>
    </row>
    <row r="5" spans="1:7" ht="16.899999999999999">
      <c r="A5" s="2">
        <v>3</v>
      </c>
      <c r="B5" s="7" t="s">
        <v>25</v>
      </c>
      <c r="C5" s="10" t="str">
        <f>'참여기업 정보'!D18</f>
        <v>프로</v>
      </c>
      <c r="D5" s="5"/>
      <c r="E5" s="5"/>
      <c r="F5" s="5"/>
    </row>
    <row r="6" spans="1:7" ht="16.899999999999999">
      <c r="A6" s="2">
        <v>4</v>
      </c>
      <c r="B6" s="7" t="s">
        <v>27</v>
      </c>
      <c r="C6" s="10" t="str">
        <f>'참여기업 정보'!D19</f>
        <v>마케팅팀</v>
      </c>
      <c r="D6" s="5"/>
      <c r="E6" s="5"/>
      <c r="F6" s="5"/>
    </row>
    <row r="7" spans="1:7" ht="16.899999999999999">
      <c r="A7" s="2">
        <v>5</v>
      </c>
      <c r="B7" s="7" t="s">
        <v>29</v>
      </c>
      <c r="C7" s="10" t="str">
        <f>'참여기업 정보'!D20</f>
        <v>010-0000-0000</v>
      </c>
      <c r="D7" s="5"/>
      <c r="E7" s="5"/>
      <c r="F7" s="5"/>
    </row>
    <row r="8" spans="1:7" ht="16.899999999999999">
      <c r="A8" s="2">
        <v>6</v>
      </c>
      <c r="B8" s="7" t="s">
        <v>31</v>
      </c>
      <c r="C8" s="10" t="str">
        <f>'참여기업 정보'!D21</f>
        <v>work@kseta.or.kr</v>
      </c>
      <c r="D8" s="5"/>
      <c r="E8" s="5"/>
      <c r="F8" s="5"/>
    </row>
    <row r="9" spans="1:7" ht="16.899999999999999">
      <c r="A9" s="2">
        <v>7</v>
      </c>
      <c r="B9" s="7" t="s">
        <v>61</v>
      </c>
      <c r="C9" s="10" t="str">
        <f>'참여기업 정보'!D36</f>
        <v>2024.11.18 ~ 2025.01.10</v>
      </c>
      <c r="D9" s="5"/>
      <c r="E9" s="5"/>
      <c r="F9" s="5"/>
    </row>
    <row r="10" spans="1:7" ht="18.75">
      <c r="A10" s="2">
        <v>8</v>
      </c>
      <c r="B10" s="7" t="s">
        <v>40</v>
      </c>
      <c r="C10" s="10" t="str">
        <f>'참여기업 정보'!D32</f>
        <v>개발팀</v>
      </c>
      <c r="D10" s="14"/>
      <c r="E10" s="14"/>
      <c r="F10" s="14"/>
    </row>
    <row r="11" spans="1:7" ht="18.75">
      <c r="A11" s="2">
        <v>9</v>
      </c>
      <c r="B11" s="15"/>
      <c r="C11" s="14"/>
      <c r="D11" s="14"/>
      <c r="E11" s="14"/>
      <c r="F11" s="14"/>
    </row>
    <row r="12" spans="1:7" ht="18.75">
      <c r="A12" s="2">
        <v>10</v>
      </c>
      <c r="B12" s="831" t="s">
        <v>73</v>
      </c>
      <c r="C12" s="832"/>
      <c r="D12" s="832"/>
      <c r="E12" s="832"/>
      <c r="F12" s="832"/>
    </row>
    <row r="13" spans="1:7" ht="18.75">
      <c r="A13" s="2">
        <v>11</v>
      </c>
      <c r="B13" s="826" t="s">
        <v>74</v>
      </c>
      <c r="C13" s="822"/>
      <c r="D13" s="822"/>
      <c r="E13" s="822"/>
      <c r="F13" s="822"/>
    </row>
    <row r="14" spans="1:7" ht="16.899999999999999">
      <c r="A14" s="2">
        <v>12</v>
      </c>
      <c r="B14" s="821" t="s">
        <v>75</v>
      </c>
      <c r="C14" s="824"/>
      <c r="D14" s="832"/>
      <c r="E14" s="832"/>
      <c r="F14" s="822"/>
    </row>
    <row r="15" spans="1:7" ht="16.899999999999999">
      <c r="A15" s="2">
        <v>13</v>
      </c>
      <c r="B15" s="822"/>
      <c r="C15" s="832"/>
      <c r="D15" s="832"/>
      <c r="E15" s="832"/>
      <c r="F15" s="822"/>
    </row>
    <row r="16" spans="1:7" ht="16.899999999999999">
      <c r="A16" s="2">
        <v>14</v>
      </c>
      <c r="B16" s="822"/>
      <c r="C16" s="822"/>
      <c r="D16" s="822"/>
      <c r="E16" s="822"/>
      <c r="F16" s="822"/>
    </row>
    <row r="17" spans="1:6" ht="16.899999999999999">
      <c r="A17" s="2">
        <v>15</v>
      </c>
      <c r="B17" s="821" t="s">
        <v>76</v>
      </c>
      <c r="C17" s="824"/>
      <c r="D17" s="832"/>
      <c r="E17" s="832"/>
      <c r="F17" s="822"/>
    </row>
    <row r="18" spans="1:6" ht="16.899999999999999">
      <c r="A18" s="2">
        <v>16</v>
      </c>
      <c r="B18" s="822"/>
      <c r="C18" s="832"/>
      <c r="D18" s="832"/>
      <c r="E18" s="832"/>
      <c r="F18" s="822"/>
    </row>
    <row r="19" spans="1:6" ht="16.899999999999999">
      <c r="A19" s="2">
        <v>17</v>
      </c>
      <c r="B19" s="822"/>
      <c r="C19" s="822"/>
      <c r="D19" s="822"/>
      <c r="E19" s="822"/>
      <c r="F19" s="822"/>
    </row>
    <row r="20" spans="1:6" ht="16.899999999999999">
      <c r="A20" s="2">
        <v>18</v>
      </c>
      <c r="B20" s="821" t="s">
        <v>77</v>
      </c>
      <c r="C20" s="824"/>
      <c r="D20" s="832"/>
      <c r="E20" s="832"/>
      <c r="F20" s="822"/>
    </row>
    <row r="21" spans="1:6" ht="16.899999999999999">
      <c r="A21" s="2">
        <v>19</v>
      </c>
      <c r="B21" s="822"/>
      <c r="C21" s="832"/>
      <c r="D21" s="832"/>
      <c r="E21" s="832"/>
      <c r="F21" s="822"/>
    </row>
    <row r="22" spans="1:6" ht="16.899999999999999">
      <c r="A22" s="2">
        <v>20</v>
      </c>
      <c r="B22" s="822"/>
      <c r="C22" s="822"/>
      <c r="D22" s="822"/>
      <c r="E22" s="822"/>
      <c r="F22" s="822"/>
    </row>
    <row r="23" spans="1:6" ht="16.899999999999999">
      <c r="A23" s="2">
        <v>21</v>
      </c>
    </row>
    <row r="24" spans="1:6" ht="16.899999999999999">
      <c r="A24" s="2"/>
    </row>
  </sheetData>
  <mergeCells count="9">
    <mergeCell ref="B20:B22"/>
    <mergeCell ref="C20:F22"/>
    <mergeCell ref="B2:F2"/>
    <mergeCell ref="B12:F12"/>
    <mergeCell ref="B13:F13"/>
    <mergeCell ref="B14:B16"/>
    <mergeCell ref="C14:F16"/>
    <mergeCell ref="B17:B19"/>
    <mergeCell ref="C17:F19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Drop Down 2">
              <controlPr defaultSize="0" autoLine="0" autoPict="0" macro="[0]!목차드롭다운">
                <anchor moveWithCells="1">
                  <from>
                    <xdr:col>6</xdr:col>
                    <xdr:colOff>628650</xdr:colOff>
                    <xdr:row>2</xdr:row>
                    <xdr:rowOff>0</xdr:rowOff>
                  </from>
                  <to>
                    <xdr:col>10</xdr:col>
                    <xdr:colOff>400050</xdr:colOff>
                    <xdr:row>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F028EB-0185-4886-8CC3-76B2BF693276}">
  <sheetPr codeName="Sheet9"/>
  <dimension ref="A1:AL66"/>
  <sheetViews>
    <sheetView workbookViewId="0"/>
  </sheetViews>
  <sheetFormatPr defaultRowHeight="12.75"/>
  <cols>
    <col min="1" max="1" width="14" customWidth="1"/>
    <col min="2" max="2" width="29" customWidth="1"/>
    <col min="3" max="3" width="26.73046875" customWidth="1"/>
    <col min="4" max="4" width="19.265625" bestFit="1" customWidth="1"/>
    <col min="5" max="5" width="8.2656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2.5">
      <c r="A2" s="3">
        <v>0</v>
      </c>
      <c r="B2" s="833" t="s">
        <v>0</v>
      </c>
      <c r="C2" s="834"/>
      <c r="D2" s="834"/>
      <c r="E2" s="99"/>
    </row>
    <row r="3" spans="1:38" ht="17.649999999999999">
      <c r="A3" s="2">
        <v>1</v>
      </c>
      <c r="B3" s="100" t="s">
        <v>1</v>
      </c>
      <c r="C3" s="101" t="s">
        <v>123</v>
      </c>
      <c r="D3" s="102"/>
      <c r="E3" s="22"/>
    </row>
    <row r="4" spans="1:38" ht="17.649999999999999">
      <c r="A4" s="2">
        <v>2</v>
      </c>
      <c r="B4" s="100" t="s">
        <v>2</v>
      </c>
      <c r="C4" s="101" t="s">
        <v>3</v>
      </c>
      <c r="D4" s="102"/>
      <c r="E4" s="22"/>
    </row>
    <row r="5" spans="1:38" ht="17.649999999999999">
      <c r="A5" s="2">
        <v>3</v>
      </c>
      <c r="B5" s="100" t="s">
        <v>4</v>
      </c>
      <c r="C5" s="101" t="s">
        <v>5</v>
      </c>
      <c r="D5" s="102"/>
      <c r="E5" s="22"/>
    </row>
    <row r="6" spans="1:38" ht="17.649999999999999">
      <c r="A6" s="2">
        <v>4</v>
      </c>
      <c r="B6" s="100" t="s">
        <v>6</v>
      </c>
      <c r="C6" s="101" t="s">
        <v>7</v>
      </c>
      <c r="D6" s="102"/>
      <c r="E6" s="22"/>
    </row>
    <row r="7" spans="1:38" ht="17.649999999999999">
      <c r="A7" s="2">
        <v>5</v>
      </c>
      <c r="B7" s="100" t="s">
        <v>8</v>
      </c>
      <c r="C7" s="101" t="s">
        <v>9</v>
      </c>
      <c r="D7" s="102"/>
      <c r="E7" s="22"/>
    </row>
    <row r="8" spans="1:38" ht="17.649999999999999">
      <c r="A8" s="2">
        <v>6</v>
      </c>
      <c r="B8" s="100" t="s">
        <v>10</v>
      </c>
      <c r="C8" s="101" t="s">
        <v>11</v>
      </c>
      <c r="D8" s="102"/>
      <c r="E8" s="22"/>
    </row>
    <row r="9" spans="1:38" ht="17.649999999999999">
      <c r="A9" s="2">
        <v>7</v>
      </c>
      <c r="B9" s="100" t="s">
        <v>124</v>
      </c>
      <c r="C9" s="101" t="s">
        <v>125</v>
      </c>
      <c r="D9" s="102"/>
      <c r="E9" s="22"/>
    </row>
    <row r="10" spans="1:38" ht="17.649999999999999">
      <c r="A10" s="2">
        <v>8</v>
      </c>
      <c r="B10" s="100" t="s">
        <v>126</v>
      </c>
      <c r="C10" s="101" t="s">
        <v>127</v>
      </c>
      <c r="D10" s="102"/>
      <c r="E10" s="22"/>
    </row>
    <row r="11" spans="1:38" ht="17.649999999999999">
      <c r="A11" s="2">
        <v>9</v>
      </c>
      <c r="B11" s="100" t="s">
        <v>12</v>
      </c>
      <c r="C11" s="101" t="s">
        <v>13</v>
      </c>
      <c r="D11" s="103" t="s">
        <v>14</v>
      </c>
      <c r="E11" s="22"/>
    </row>
    <row r="12" spans="1:38" ht="17.649999999999999">
      <c r="A12" s="2">
        <v>10</v>
      </c>
      <c r="B12" s="100" t="s">
        <v>15</v>
      </c>
      <c r="C12" s="101" t="s">
        <v>16</v>
      </c>
      <c r="D12" s="102"/>
      <c r="E12" s="22"/>
    </row>
    <row r="13" spans="1:38" ht="17.649999999999999">
      <c r="A13" s="2">
        <v>11</v>
      </c>
      <c r="B13" s="104"/>
      <c r="C13" s="105"/>
      <c r="D13" s="106"/>
      <c r="E13" s="19"/>
    </row>
    <row r="14" spans="1:38" ht="17.649999999999999">
      <c r="A14" s="2">
        <v>12</v>
      </c>
      <c r="B14" s="100" t="s">
        <v>17</v>
      </c>
      <c r="C14" s="101" t="s">
        <v>18</v>
      </c>
      <c r="D14" s="102"/>
      <c r="E14" s="22"/>
    </row>
    <row r="15" spans="1:38" ht="17.649999999999999">
      <c r="A15" s="2">
        <v>13</v>
      </c>
      <c r="B15" s="100" t="s">
        <v>19</v>
      </c>
      <c r="C15" s="101" t="s">
        <v>3</v>
      </c>
      <c r="D15" s="102"/>
      <c r="E15" s="22"/>
    </row>
    <row r="16" spans="1:38" ht="17.649999999999999">
      <c r="A16" s="2">
        <v>14</v>
      </c>
      <c r="B16" s="100" t="s">
        <v>128</v>
      </c>
      <c r="C16" s="101" t="s">
        <v>122</v>
      </c>
      <c r="D16" s="102"/>
      <c r="E16" s="97"/>
    </row>
    <row r="17" spans="1:6" ht="17.649999999999999">
      <c r="A17" s="2">
        <v>15</v>
      </c>
      <c r="B17" s="100" t="s">
        <v>20</v>
      </c>
      <c r="C17" s="101" t="s">
        <v>21</v>
      </c>
      <c r="D17" s="102"/>
      <c r="E17" s="97"/>
    </row>
    <row r="18" spans="1:6" ht="17.649999999999999">
      <c r="A18" s="2">
        <v>16</v>
      </c>
      <c r="B18" s="107"/>
      <c r="C18" s="108"/>
      <c r="D18" s="109"/>
      <c r="E18" s="19"/>
    </row>
    <row r="19" spans="1:6" ht="17.649999999999999">
      <c r="A19" s="2">
        <v>17</v>
      </c>
      <c r="B19" s="100" t="s">
        <v>129</v>
      </c>
      <c r="C19" s="110">
        <v>45455</v>
      </c>
      <c r="D19" s="102"/>
      <c r="E19" s="97"/>
    </row>
    <row r="20" spans="1:6" ht="17.649999999999999">
      <c r="A20" s="2">
        <v>18</v>
      </c>
      <c r="B20" s="96"/>
      <c r="C20" s="94"/>
      <c r="D20" s="95"/>
      <c r="E20" s="24"/>
    </row>
    <row r="21" spans="1:6" ht="17.649999999999999">
      <c r="A21" s="2">
        <v>19</v>
      </c>
      <c r="B21" s="68" t="s">
        <v>506</v>
      </c>
      <c r="C21" s="71">
        <f>'참여기업 정보'!D34</f>
        <v>0</v>
      </c>
      <c r="D21" s="69"/>
      <c r="E21" s="67"/>
      <c r="F21" s="18"/>
    </row>
    <row r="22" spans="1:6" ht="17.649999999999999">
      <c r="A22" s="2">
        <v>20</v>
      </c>
      <c r="B22" s="93" t="s">
        <v>507</v>
      </c>
      <c r="C22" s="71"/>
      <c r="D22" s="69"/>
      <c r="E22" s="69"/>
    </row>
    <row r="23" spans="1:6" ht="17.649999999999999">
      <c r="A23" s="2">
        <v>21</v>
      </c>
      <c r="B23" s="61"/>
      <c r="C23" s="72"/>
      <c r="D23" s="62"/>
      <c r="E23" s="62"/>
    </row>
    <row r="24" spans="1:6" ht="17.649999999999999">
      <c r="A24" s="56">
        <v>22</v>
      </c>
      <c r="B24" s="98"/>
      <c r="C24" s="71"/>
      <c r="D24" s="69"/>
      <c r="E24" s="69"/>
    </row>
    <row r="25" spans="1:6" ht="17.649999999999999">
      <c r="A25" s="2">
        <v>23</v>
      </c>
      <c r="B25" s="61"/>
      <c r="C25" s="73"/>
      <c r="D25" s="62"/>
      <c r="E25" s="62"/>
    </row>
    <row r="26" spans="1:6" ht="17.649999999999999">
      <c r="A26" s="56">
        <v>24</v>
      </c>
      <c r="B26" s="98"/>
      <c r="C26" s="71"/>
      <c r="D26" s="69"/>
      <c r="E26" s="69"/>
      <c r="F26" s="92"/>
    </row>
    <row r="27" spans="1:6" ht="17.649999999999999">
      <c r="A27" s="2">
        <v>25</v>
      </c>
      <c r="B27" s="87"/>
      <c r="C27" s="91"/>
      <c r="D27" s="63"/>
      <c r="E27" s="63"/>
    </row>
    <row r="28" spans="1:6" ht="17.649999999999999">
      <c r="A28" s="2">
        <v>26</v>
      </c>
      <c r="B28" s="83"/>
      <c r="C28" s="84"/>
      <c r="D28" s="69"/>
      <c r="E28" s="69"/>
    </row>
    <row r="29" spans="1:6" ht="17.649999999999999">
      <c r="A29" s="56">
        <v>27</v>
      </c>
      <c r="B29" s="98"/>
      <c r="C29" s="84"/>
      <c r="D29" s="69"/>
      <c r="E29" s="69"/>
    </row>
    <row r="30" spans="1:6" ht="17.649999999999999">
      <c r="A30" s="2">
        <v>28</v>
      </c>
      <c r="B30" s="83"/>
      <c r="C30" s="84"/>
      <c r="D30" s="69"/>
      <c r="E30" s="85"/>
    </row>
    <row r="31" spans="1:6" ht="17.649999999999999">
      <c r="A31" s="2">
        <v>29</v>
      </c>
      <c r="B31" s="61"/>
      <c r="C31" s="73"/>
      <c r="D31" s="62"/>
      <c r="E31" s="65"/>
    </row>
    <row r="32" spans="1:6" ht="17.649999999999999">
      <c r="A32" s="2">
        <v>30</v>
      </c>
      <c r="B32" s="83"/>
      <c r="C32" s="71"/>
      <c r="D32" s="69"/>
      <c r="E32" s="64"/>
    </row>
    <row r="33" spans="1:5" ht="17.649999999999999">
      <c r="A33" s="2">
        <v>31</v>
      </c>
      <c r="B33" s="61"/>
      <c r="C33" s="73"/>
      <c r="D33" s="62"/>
      <c r="E33" s="64"/>
    </row>
    <row r="34" spans="1:5" ht="17.649999999999999">
      <c r="A34" s="2">
        <v>32</v>
      </c>
      <c r="B34" s="83"/>
      <c r="C34" s="71"/>
      <c r="D34" s="69"/>
      <c r="E34" s="85"/>
    </row>
    <row r="35" spans="1:5" ht="17.649999999999999">
      <c r="A35" s="2">
        <v>33</v>
      </c>
      <c r="B35" s="61"/>
      <c r="C35" s="74"/>
      <c r="D35" s="62"/>
      <c r="E35" s="65"/>
    </row>
    <row r="36" spans="1:5" ht="17.649999999999999">
      <c r="A36" s="2">
        <v>34</v>
      </c>
      <c r="B36" s="83"/>
      <c r="C36" s="71"/>
      <c r="D36" s="69"/>
      <c r="E36" s="85"/>
    </row>
    <row r="37" spans="1:5" ht="17.649999999999999">
      <c r="A37" s="88">
        <v>35</v>
      </c>
      <c r="B37" s="61"/>
      <c r="C37" s="73"/>
      <c r="D37" s="62"/>
      <c r="E37" s="65"/>
    </row>
    <row r="38" spans="1:5" ht="17.649999999999999">
      <c r="A38" s="89">
        <v>36</v>
      </c>
      <c r="B38" s="68"/>
      <c r="C38" s="77"/>
      <c r="D38" s="78"/>
      <c r="E38" s="86"/>
    </row>
    <row r="39" spans="1:5" ht="17.649999999999999">
      <c r="A39" s="90">
        <v>37</v>
      </c>
      <c r="B39" s="83"/>
      <c r="C39" s="81"/>
      <c r="D39" s="82"/>
      <c r="E39" s="75"/>
    </row>
    <row r="40" spans="1:5" ht="17.649999999999999">
      <c r="A40" s="90">
        <v>38</v>
      </c>
      <c r="B40" s="87"/>
      <c r="C40" s="79"/>
      <c r="D40" s="66"/>
      <c r="E40" s="80"/>
    </row>
    <row r="41" spans="1:5" ht="16.899999999999999">
      <c r="A41" s="2">
        <v>39</v>
      </c>
      <c r="C41" s="21"/>
      <c r="D41" s="70"/>
      <c r="E41" s="76"/>
    </row>
    <row r="42" spans="1:5" ht="16.899999999999999">
      <c r="A42" s="2">
        <v>40</v>
      </c>
    </row>
    <row r="43" spans="1:5" ht="16.899999999999999">
      <c r="A43" s="2">
        <v>41</v>
      </c>
    </row>
    <row r="44" spans="1:5" ht="16.899999999999999">
      <c r="A44" s="2">
        <v>42</v>
      </c>
    </row>
    <row r="45" spans="1:5" ht="16.899999999999999">
      <c r="A45" s="2">
        <v>43</v>
      </c>
    </row>
    <row r="46" spans="1:5" ht="16.899999999999999">
      <c r="A46" s="2">
        <v>44</v>
      </c>
    </row>
    <row r="47" spans="1:5" ht="16.899999999999999">
      <c r="A47" s="2">
        <v>45</v>
      </c>
    </row>
    <row r="48" spans="1:5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  <row r="65" spans="1:1" ht="16.899999999999999">
      <c r="A65" s="2">
        <v>63</v>
      </c>
    </row>
    <row r="66" spans="1:1" ht="16.899999999999999">
      <c r="A66" s="2">
        <v>64</v>
      </c>
    </row>
  </sheetData>
  <mergeCells count="1">
    <mergeCell ref="B2:D2"/>
  </mergeCells>
  <phoneticPr fontId="16" type="noConversion"/>
  <dataValidations count="4">
    <dataValidation type="list" allowBlank="1" showErrorMessage="1" sqref="C11" xr:uid="{A57C1AA3-B8E9-4D99-8D38-BB1E00261636}">
      <formula1>"중소기업,중견기업,대기업,기타(비영리 법인 등)"</formula1>
    </dataValidation>
    <dataValidation type="list" allowBlank="1" showErrorMessage="1" sqref="E11" xr:uid="{6DB5E054-236E-44D5-BE49-32F7467E752D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C18" xr:uid="{2313105E-37AC-4FB0-AA42-0FB38AB9965E}">
      <formula1>"프로젝트형,인턴형"</formula1>
    </dataValidation>
    <dataValidation type="list" allowBlank="1" showErrorMessage="1" sqref="C22" xr:uid="{70420A93-D8C1-461F-95CC-EC343C1551F7}">
      <formula1>"없음,있음"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Drop Down 1">
              <controlPr defaultSize="0" autoLine="0" autoPict="0" macro="[0]!목차드롭다운">
                <anchor moveWithCells="1">
                  <from>
                    <xdr:col>5</xdr:col>
                    <xdr:colOff>38100</xdr:colOff>
                    <xdr:row>1</xdr:row>
                    <xdr:rowOff>285750</xdr:rowOff>
                  </from>
                  <to>
                    <xdr:col>8</xdr:col>
                    <xdr:colOff>457200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F7C0F-FAF9-4510-B64A-D3811B6E573C}">
  <sheetPr codeName="Sheet10"/>
  <dimension ref="A1:AL64"/>
  <sheetViews>
    <sheetView workbookViewId="0"/>
  </sheetViews>
  <sheetFormatPr defaultRowHeight="12.75"/>
  <cols>
    <col min="1" max="1" width="14" customWidth="1"/>
    <col min="2" max="2" width="31.86328125" customWidth="1"/>
    <col min="3" max="3" width="49.73046875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5.15">
      <c r="A2" s="3">
        <v>0</v>
      </c>
      <c r="B2" s="835" t="s">
        <v>130</v>
      </c>
      <c r="C2" s="836"/>
    </row>
    <row r="3" spans="1:38" ht="19.5">
      <c r="A3" s="2">
        <v>1</v>
      </c>
      <c r="B3" s="7" t="s">
        <v>133</v>
      </c>
      <c r="C3" s="139" t="s">
        <v>252</v>
      </c>
    </row>
    <row r="4" spans="1:38" ht="16.899999999999999">
      <c r="A4" s="2">
        <v>2</v>
      </c>
      <c r="B4" s="7" t="s">
        <v>81</v>
      </c>
      <c r="C4" s="10" t="s">
        <v>131</v>
      </c>
    </row>
    <row r="5" spans="1:38" ht="16.899999999999999">
      <c r="A5" s="2">
        <v>3</v>
      </c>
      <c r="B5" s="7" t="s">
        <v>82</v>
      </c>
      <c r="C5" s="10" t="s">
        <v>107</v>
      </c>
    </row>
    <row r="6" spans="1:38" ht="16.899999999999999">
      <c r="A6" s="2">
        <v>4</v>
      </c>
      <c r="B6" s="7" t="s">
        <v>134</v>
      </c>
      <c r="C6" s="10" t="s">
        <v>135</v>
      </c>
    </row>
    <row r="7" spans="1:38" ht="16.899999999999999">
      <c r="A7" s="2">
        <v>5</v>
      </c>
      <c r="B7" s="7" t="s">
        <v>136</v>
      </c>
      <c r="C7" s="10" t="s">
        <v>137</v>
      </c>
    </row>
    <row r="8" spans="1:38" ht="16.899999999999999">
      <c r="A8" s="2">
        <v>6</v>
      </c>
      <c r="B8" s="7" t="s">
        <v>90</v>
      </c>
      <c r="C8" s="10" t="s">
        <v>138</v>
      </c>
    </row>
    <row r="9" spans="1:38" ht="16.899999999999999">
      <c r="A9" s="2">
        <v>7</v>
      </c>
      <c r="B9" s="7" t="s">
        <v>89</v>
      </c>
      <c r="C9" s="10" t="s">
        <v>139</v>
      </c>
    </row>
    <row r="10" spans="1:38" ht="16.899999999999999">
      <c r="A10" s="2">
        <v>8</v>
      </c>
      <c r="B10" s="7" t="s">
        <v>140</v>
      </c>
      <c r="C10" s="10" t="s">
        <v>132</v>
      </c>
    </row>
    <row r="11" spans="1:38" ht="16.899999999999999">
      <c r="A11" s="2">
        <v>9</v>
      </c>
      <c r="B11" s="25"/>
      <c r="C11" s="59"/>
      <c r="D11" s="18"/>
    </row>
    <row r="12" spans="1:38" ht="16.899999999999999">
      <c r="A12" s="2">
        <v>10</v>
      </c>
      <c r="B12" s="7" t="s">
        <v>141</v>
      </c>
      <c r="C12" s="10" t="s">
        <v>142</v>
      </c>
    </row>
    <row r="13" spans="1:38" ht="16.899999999999999">
      <c r="A13" s="2">
        <v>11</v>
      </c>
    </row>
    <row r="14" spans="1:38" ht="16.899999999999999">
      <c r="A14" s="2">
        <v>12</v>
      </c>
    </row>
    <row r="15" spans="1:38" ht="16.899999999999999">
      <c r="A15" s="2">
        <v>13</v>
      </c>
    </row>
    <row r="16" spans="1:38" ht="16.899999999999999">
      <c r="A16" s="2">
        <v>14</v>
      </c>
    </row>
    <row r="17" spans="1:1" ht="16.899999999999999">
      <c r="A17" s="2">
        <v>15</v>
      </c>
    </row>
    <row r="18" spans="1:1" ht="16.899999999999999">
      <c r="A18" s="2">
        <v>16</v>
      </c>
    </row>
    <row r="19" spans="1:1" ht="16.899999999999999">
      <c r="A19" s="2">
        <v>17</v>
      </c>
    </row>
    <row r="20" spans="1:1" ht="16.899999999999999">
      <c r="A20" s="2">
        <v>18</v>
      </c>
    </row>
    <row r="21" spans="1:1" ht="16.899999999999999">
      <c r="A21" s="2">
        <v>19</v>
      </c>
    </row>
    <row r="22" spans="1:1" ht="16.899999999999999">
      <c r="A22" s="2">
        <v>20</v>
      </c>
    </row>
    <row r="23" spans="1:1" ht="16.899999999999999">
      <c r="A23" s="2">
        <v>21</v>
      </c>
    </row>
    <row r="24" spans="1:1" ht="16.899999999999999">
      <c r="A24" s="2">
        <v>22</v>
      </c>
    </row>
    <row r="25" spans="1:1" ht="16.899999999999999">
      <c r="A25" s="2">
        <v>23</v>
      </c>
    </row>
    <row r="26" spans="1:1" ht="16.899999999999999">
      <c r="A26" s="2">
        <v>24</v>
      </c>
    </row>
    <row r="27" spans="1:1" ht="16.899999999999999">
      <c r="A27" s="2">
        <v>25</v>
      </c>
    </row>
    <row r="28" spans="1:1" ht="16.899999999999999">
      <c r="A28" s="2">
        <v>26</v>
      </c>
    </row>
    <row r="29" spans="1:1" ht="16.899999999999999">
      <c r="A29" s="2">
        <v>27</v>
      </c>
    </row>
    <row r="30" spans="1:1" ht="16.899999999999999">
      <c r="A30" s="2">
        <v>28</v>
      </c>
    </row>
    <row r="31" spans="1:1" ht="16.899999999999999">
      <c r="A31" s="2">
        <v>29</v>
      </c>
    </row>
    <row r="32" spans="1:1" ht="16.899999999999999">
      <c r="A32" s="2">
        <v>30</v>
      </c>
    </row>
    <row r="33" spans="1:1" ht="16.899999999999999">
      <c r="A33" s="2">
        <v>31</v>
      </c>
    </row>
    <row r="34" spans="1:1" ht="16.899999999999999">
      <c r="A34" s="2">
        <v>32</v>
      </c>
    </row>
    <row r="35" spans="1:1" ht="16.899999999999999">
      <c r="A35" s="2">
        <v>33</v>
      </c>
    </row>
    <row r="36" spans="1:1" ht="16.899999999999999">
      <c r="A36" s="2">
        <v>34</v>
      </c>
    </row>
    <row r="37" spans="1:1" ht="16.899999999999999">
      <c r="A37" s="2">
        <v>35</v>
      </c>
    </row>
    <row r="38" spans="1:1" ht="16.899999999999999">
      <c r="A38" s="2">
        <v>36</v>
      </c>
    </row>
    <row r="39" spans="1:1" ht="16.899999999999999">
      <c r="A39" s="2">
        <v>37</v>
      </c>
    </row>
    <row r="40" spans="1:1" ht="16.899999999999999">
      <c r="A40" s="2">
        <v>38</v>
      </c>
    </row>
    <row r="41" spans="1:1" ht="16.899999999999999">
      <c r="A41" s="2">
        <v>39</v>
      </c>
    </row>
    <row r="42" spans="1:1" ht="16.899999999999999">
      <c r="A42" s="2">
        <v>40</v>
      </c>
    </row>
    <row r="43" spans="1:1" ht="16.899999999999999">
      <c r="A43" s="2">
        <v>41</v>
      </c>
    </row>
    <row r="44" spans="1:1" ht="16.899999999999999">
      <c r="A44" s="2">
        <v>42</v>
      </c>
    </row>
    <row r="45" spans="1:1" ht="16.899999999999999">
      <c r="A45" s="2">
        <v>43</v>
      </c>
    </row>
    <row r="46" spans="1:1" ht="16.899999999999999">
      <c r="A46" s="2">
        <v>44</v>
      </c>
    </row>
    <row r="47" spans="1:1" ht="16.899999999999999">
      <c r="A47" s="2">
        <v>45</v>
      </c>
    </row>
    <row r="48" spans="1: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  <row r="64" spans="1:1" ht="16.899999999999999">
      <c r="A64" s="2">
        <v>62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7</xdr:col>
                    <xdr:colOff>419100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workbookViewId="0"/>
  </sheetViews>
  <sheetFormatPr defaultRowHeight="12.75"/>
  <cols>
    <col min="1" max="1" width="14" customWidth="1"/>
    <col min="2" max="2" width="25.59765625" bestFit="1" customWidth="1"/>
    <col min="3" max="3" width="44.1328125" customWidth="1"/>
    <col min="4" max="4" width="6.265625" bestFit="1" customWidth="1"/>
    <col min="5" max="5" width="13.3984375" bestFit="1" customWidth="1"/>
    <col min="6" max="6" width="21.86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46.5" customHeight="1">
      <c r="A2" s="3">
        <v>0</v>
      </c>
      <c r="B2" s="837" t="s">
        <v>255</v>
      </c>
      <c r="C2" s="838"/>
      <c r="E2" s="839" t="s">
        <v>183</v>
      </c>
      <c r="F2" s="836"/>
    </row>
    <row r="3" spans="1:38" ht="19.5">
      <c r="A3" s="2">
        <v>1</v>
      </c>
      <c r="B3" s="142" t="s">
        <v>222</v>
      </c>
      <c r="C3" s="10" t="s">
        <v>151</v>
      </c>
    </row>
    <row r="4" spans="1:38" ht="19.5">
      <c r="A4" s="2">
        <v>2</v>
      </c>
      <c r="B4" s="134" t="s">
        <v>223</v>
      </c>
      <c r="C4" s="10" t="s">
        <v>153</v>
      </c>
    </row>
    <row r="5" spans="1:38" ht="19.5">
      <c r="A5" s="2">
        <v>3</v>
      </c>
      <c r="B5" s="134" t="s">
        <v>224</v>
      </c>
      <c r="C5" s="10" t="s">
        <v>154</v>
      </c>
    </row>
    <row r="6" spans="1:38" ht="19.5">
      <c r="A6" s="2">
        <v>4</v>
      </c>
      <c r="B6" s="134" t="s">
        <v>220</v>
      </c>
      <c r="C6" s="10" t="s">
        <v>155</v>
      </c>
    </row>
    <row r="7" spans="1:38" ht="19.5">
      <c r="A7" s="2">
        <v>5</v>
      </c>
      <c r="B7" s="134" t="s">
        <v>225</v>
      </c>
      <c r="C7" s="10" t="s">
        <v>156</v>
      </c>
    </row>
    <row r="8" spans="1:38" ht="19.5">
      <c r="A8" s="2">
        <v>6</v>
      </c>
      <c r="B8" s="134" t="s">
        <v>223</v>
      </c>
      <c r="C8" s="10" t="s">
        <v>152</v>
      </c>
    </row>
    <row r="9" spans="1:38" ht="19.5">
      <c r="A9" s="2">
        <v>7</v>
      </c>
      <c r="B9" s="134" t="s">
        <v>226</v>
      </c>
      <c r="C9" s="10" t="s">
        <v>157</v>
      </c>
    </row>
    <row r="10" spans="1:38" ht="19.5">
      <c r="A10" s="2">
        <v>8</v>
      </c>
      <c r="B10" s="134" t="s">
        <v>228</v>
      </c>
      <c r="C10" s="10" t="s">
        <v>146</v>
      </c>
      <c r="E10" s="128"/>
    </row>
    <row r="11" spans="1:38" ht="19.5">
      <c r="A11" s="2">
        <v>9</v>
      </c>
      <c r="B11" s="142" t="s">
        <v>227</v>
      </c>
      <c r="C11" s="10" t="s">
        <v>109</v>
      </c>
    </row>
    <row r="12" spans="1:38" ht="19.5">
      <c r="A12" s="2">
        <v>10</v>
      </c>
      <c r="B12" s="134" t="s">
        <v>220</v>
      </c>
      <c r="C12" s="10" t="s">
        <v>221</v>
      </c>
    </row>
    <row r="13" spans="1:38" ht="19.5">
      <c r="A13" s="2">
        <v>11</v>
      </c>
      <c r="B13" s="134" t="s">
        <v>207</v>
      </c>
      <c r="C13" s="111">
        <v>45518</v>
      </c>
    </row>
    <row r="14" spans="1:38" ht="16.899999999999999">
      <c r="A14" s="2">
        <v>12</v>
      </c>
      <c r="D14" s="18"/>
    </row>
    <row r="15" spans="1:38" ht="16.899999999999999">
      <c r="A15" s="2">
        <v>13</v>
      </c>
      <c r="B15" s="7" t="s">
        <v>147</v>
      </c>
      <c r="C15" s="7" t="s">
        <v>148</v>
      </c>
      <c r="D15" s="7" t="s">
        <v>149</v>
      </c>
      <c r="E15" s="7" t="s">
        <v>150</v>
      </c>
      <c r="F15" s="7" t="s">
        <v>231</v>
      </c>
    </row>
    <row r="16" spans="1:38" ht="16.899999999999999">
      <c r="A16" s="2">
        <v>14</v>
      </c>
      <c r="B16" s="55" t="s">
        <v>232</v>
      </c>
      <c r="C16" s="55">
        <v>501111</v>
      </c>
      <c r="D16" s="55" t="s">
        <v>229</v>
      </c>
      <c r="E16" s="55" t="s">
        <v>102</v>
      </c>
      <c r="F16" s="55" t="s">
        <v>233</v>
      </c>
    </row>
    <row r="17" spans="1:7" ht="16.899999999999999">
      <c r="A17" s="2">
        <v>15</v>
      </c>
      <c r="B17" s="55" t="s">
        <v>234</v>
      </c>
      <c r="C17" s="55">
        <v>111111</v>
      </c>
      <c r="D17" s="55" t="s">
        <v>235</v>
      </c>
      <c r="E17" s="55" t="s">
        <v>230</v>
      </c>
      <c r="F17" s="55" t="s">
        <v>236</v>
      </c>
    </row>
    <row r="18" spans="1:7" ht="16.899999999999999">
      <c r="A18" s="2">
        <v>16</v>
      </c>
    </row>
    <row r="19" spans="1:7" ht="16.899999999999999">
      <c r="A19" s="2">
        <v>17</v>
      </c>
    </row>
    <row r="20" spans="1:7" ht="16.899999999999999">
      <c r="A20" s="2">
        <v>18</v>
      </c>
    </row>
    <row r="21" spans="1:7" ht="16.899999999999999">
      <c r="A21" s="2">
        <v>19</v>
      </c>
    </row>
    <row r="22" spans="1:7" ht="16.899999999999999">
      <c r="A22" s="2">
        <v>20</v>
      </c>
    </row>
    <row r="23" spans="1:7" ht="16.899999999999999">
      <c r="A23" s="2">
        <v>21</v>
      </c>
      <c r="G23" s="55"/>
    </row>
    <row r="24" spans="1:7" ht="16.899999999999999">
      <c r="A24" s="2">
        <v>22</v>
      </c>
    </row>
    <row r="25" spans="1:7" ht="16.899999999999999">
      <c r="A25" s="2">
        <v>23</v>
      </c>
      <c r="B25" s="55"/>
    </row>
    <row r="26" spans="1:7" ht="16.899999999999999">
      <c r="A26" s="2">
        <v>24</v>
      </c>
      <c r="B26" s="55"/>
    </row>
    <row r="27" spans="1:7" ht="16.899999999999999">
      <c r="A27" s="2">
        <v>25</v>
      </c>
      <c r="B27" s="55"/>
    </row>
    <row r="28" spans="1:7" ht="16.899999999999999">
      <c r="A28" s="2">
        <v>26</v>
      </c>
      <c r="B28" s="55"/>
    </row>
    <row r="29" spans="1:7" ht="16.899999999999999">
      <c r="A29" s="2">
        <v>27</v>
      </c>
      <c r="B29" s="55"/>
    </row>
    <row r="30" spans="1:7" ht="16.899999999999999">
      <c r="A30" s="2">
        <v>28</v>
      </c>
      <c r="B30" s="55"/>
    </row>
    <row r="31" spans="1:7" ht="16.899999999999999">
      <c r="A31" s="2">
        <v>29</v>
      </c>
      <c r="B31" s="55"/>
    </row>
    <row r="32" spans="1:7" ht="16.899999999999999">
      <c r="A32" s="2">
        <v>30</v>
      </c>
      <c r="B32" s="55"/>
    </row>
    <row r="33" spans="1:2" ht="16.899999999999999">
      <c r="A33" s="2">
        <v>31</v>
      </c>
      <c r="B33" s="55"/>
    </row>
    <row r="34" spans="1:2" ht="16.899999999999999">
      <c r="A34" s="2">
        <v>32</v>
      </c>
      <c r="B34" s="55"/>
    </row>
    <row r="35" spans="1:2" ht="16.899999999999999">
      <c r="A35" s="2">
        <v>33</v>
      </c>
      <c r="B35" s="55"/>
    </row>
    <row r="36" spans="1:2" ht="16.899999999999999">
      <c r="A36" s="2">
        <v>34</v>
      </c>
      <c r="B36" s="55"/>
    </row>
    <row r="37" spans="1:2" ht="16.899999999999999">
      <c r="A37" s="2">
        <v>35</v>
      </c>
      <c r="B37" s="55"/>
    </row>
    <row r="38" spans="1:2" ht="16.899999999999999">
      <c r="A38" s="2">
        <v>36</v>
      </c>
      <c r="B38" s="55"/>
    </row>
    <row r="39" spans="1:2" ht="16.899999999999999">
      <c r="A39" s="2">
        <v>37</v>
      </c>
      <c r="B39" s="55"/>
    </row>
    <row r="40" spans="1:2" ht="16.899999999999999">
      <c r="A40" s="2">
        <v>38</v>
      </c>
      <c r="B40" s="55"/>
    </row>
    <row r="41" spans="1:2" ht="16.899999999999999">
      <c r="A41" s="2">
        <v>39</v>
      </c>
      <c r="B41" s="55"/>
    </row>
    <row r="42" spans="1:2" ht="16.899999999999999">
      <c r="A42" s="2">
        <v>40</v>
      </c>
      <c r="B42" s="55"/>
    </row>
    <row r="43" spans="1:2" ht="16.899999999999999">
      <c r="A43" s="2">
        <v>41</v>
      </c>
      <c r="B43" s="55"/>
    </row>
    <row r="44" spans="1:2" ht="16.899999999999999">
      <c r="A44" s="2">
        <v>42</v>
      </c>
      <c r="B44" s="55"/>
    </row>
    <row r="45" spans="1:2" ht="16.899999999999999">
      <c r="A45" s="2">
        <v>43</v>
      </c>
      <c r="B45" s="55"/>
    </row>
    <row r="46" spans="1:2" ht="16.899999999999999">
      <c r="A46" s="2">
        <v>44</v>
      </c>
      <c r="B46" s="55"/>
    </row>
    <row r="47" spans="1:2" ht="16.899999999999999">
      <c r="A47" s="2">
        <v>45</v>
      </c>
      <c r="B47" s="55"/>
    </row>
    <row r="48" spans="1:2" ht="16.899999999999999">
      <c r="A48" s="2">
        <v>46</v>
      </c>
      <c r="B48" s="55"/>
    </row>
    <row r="49" spans="1:2" ht="16.899999999999999">
      <c r="A49" s="2">
        <v>47</v>
      </c>
      <c r="B49" s="55"/>
    </row>
    <row r="50" spans="1:2" ht="16.899999999999999">
      <c r="A50" s="2">
        <v>48</v>
      </c>
      <c r="B50" s="55"/>
    </row>
    <row r="51" spans="1:2" ht="16.899999999999999">
      <c r="A51" s="2">
        <v>49</v>
      </c>
      <c r="B51" s="55"/>
    </row>
    <row r="52" spans="1:2" ht="16.899999999999999">
      <c r="A52" s="2">
        <v>50</v>
      </c>
      <c r="B52" s="55"/>
    </row>
    <row r="53" spans="1:2" ht="16.899999999999999">
      <c r="A53" s="2">
        <v>51</v>
      </c>
      <c r="B53" s="55"/>
    </row>
    <row r="54" spans="1:2" ht="16.899999999999999">
      <c r="A54" s="2">
        <v>52</v>
      </c>
      <c r="B54" s="55"/>
    </row>
    <row r="55" spans="1:2" ht="16.899999999999999">
      <c r="A55" s="2">
        <v>53</v>
      </c>
      <c r="B55" s="55"/>
    </row>
    <row r="56" spans="1:2" ht="16.899999999999999">
      <c r="A56" s="2">
        <v>54</v>
      </c>
      <c r="B56" s="55"/>
    </row>
    <row r="57" spans="1:2" ht="16.899999999999999">
      <c r="A57" s="2">
        <v>55</v>
      </c>
      <c r="B57" s="55"/>
    </row>
    <row r="58" spans="1:2" ht="16.899999999999999">
      <c r="A58" s="2">
        <v>56</v>
      </c>
      <c r="B58" s="55"/>
    </row>
    <row r="59" spans="1:2" ht="16.899999999999999">
      <c r="A59" s="2">
        <v>57</v>
      </c>
      <c r="B59" s="55"/>
    </row>
    <row r="60" spans="1:2" ht="16.899999999999999">
      <c r="A60" s="2">
        <v>58</v>
      </c>
      <c r="B60" s="55"/>
    </row>
    <row r="61" spans="1:2" ht="16.899999999999999">
      <c r="A61" s="2">
        <v>59</v>
      </c>
      <c r="B61" s="55"/>
    </row>
    <row r="62" spans="1:2" ht="16.899999999999999">
      <c r="A62" s="2">
        <v>60</v>
      </c>
      <c r="B62" s="55"/>
    </row>
    <row r="63" spans="1:2" ht="16.899999999999999">
      <c r="A63" s="2">
        <v>61</v>
      </c>
      <c r="B63" s="55"/>
    </row>
  </sheetData>
  <mergeCells count="2">
    <mergeCell ref="B2:C2"/>
    <mergeCell ref="E2:F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Drop Down 1">
              <controlPr defaultSize="0" autoLine="0" autoPict="0" macro="[0]!목차드롭다운">
                <anchor moveWithCells="1">
                  <from>
                    <xdr:col>7</xdr:col>
                    <xdr:colOff>647700</xdr:colOff>
                    <xdr:row>2</xdr:row>
                    <xdr:rowOff>0</xdr:rowOff>
                  </from>
                  <to>
                    <xdr:col>11</xdr:col>
                    <xdr:colOff>400050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8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4" width="13.1328125" style="55" customWidth="1"/>
    <col min="5" max="5" width="18" style="55" customWidth="1"/>
    <col min="6" max="6" width="13.1328125" style="55" customWidth="1"/>
    <col min="7" max="8" width="8.73046875" style="55"/>
    <col min="9" max="9" width="8.46484375" style="55" bestFit="1" customWidth="1"/>
    <col min="10" max="10" width="12.86328125" style="55" bestFit="1" customWidth="1"/>
    <col min="11" max="11" width="8.46484375" style="55" bestFit="1" customWidth="1"/>
    <col min="12" max="14" width="3.265625" style="55" bestFit="1" customWidth="1"/>
    <col min="15" max="16" width="6.33203125" style="55" customWidth="1"/>
    <col min="17" max="19" width="3.265625" style="55" bestFit="1" customWidth="1"/>
    <col min="20" max="20" width="12.46484375" style="55" bestFit="1" customWidth="1"/>
    <col min="21" max="16384" width="8.73046875" style="55"/>
  </cols>
  <sheetData>
    <row r="1" spans="1:38" ht="23.25">
      <c r="A1" s="129" t="s">
        <v>184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13" t="s">
        <v>892</v>
      </c>
      <c r="C2" s="573"/>
      <c r="D2" s="573"/>
      <c r="E2" s="573"/>
      <c r="F2" s="573"/>
      <c r="I2" s="872" t="s">
        <v>918</v>
      </c>
      <c r="J2" s="873"/>
      <c r="K2" s="873"/>
      <c r="L2" s="873"/>
      <c r="M2" s="873"/>
      <c r="N2" s="873"/>
      <c r="O2" s="873"/>
      <c r="P2" s="873"/>
      <c r="Q2" s="873"/>
      <c r="R2" s="873"/>
      <c r="S2" s="873"/>
      <c r="T2" s="873"/>
    </row>
    <row r="3" spans="1:38" ht="18" thickBot="1">
      <c r="A3" s="132">
        <v>1</v>
      </c>
      <c r="B3" s="354" t="s">
        <v>763</v>
      </c>
      <c r="C3" s="914" t="s">
        <v>764</v>
      </c>
      <c r="D3" s="914"/>
      <c r="E3" s="914" t="s">
        <v>765</v>
      </c>
      <c r="F3" s="915"/>
      <c r="I3" s="355" t="s">
        <v>766</v>
      </c>
      <c r="J3" s="356" t="s">
        <v>767</v>
      </c>
      <c r="K3" s="874" t="str">
        <f>E4</f>
        <v>㈜노마드</v>
      </c>
      <c r="L3" s="875"/>
      <c r="M3" s="875"/>
      <c r="N3" s="876"/>
      <c r="O3" s="877" t="s">
        <v>768</v>
      </c>
      <c r="P3" s="878"/>
      <c r="Q3" s="879" t="str">
        <f>E5</f>
        <v>홍길동</v>
      </c>
      <c r="R3" s="875"/>
      <c r="S3" s="875"/>
      <c r="T3" s="875"/>
    </row>
    <row r="4" spans="1:38" ht="17.649999999999999" customHeight="1" thickTop="1">
      <c r="A4" s="132">
        <v>2</v>
      </c>
      <c r="B4" s="589" t="s">
        <v>707</v>
      </c>
      <c r="C4" s="909" t="s">
        <v>699</v>
      </c>
      <c r="D4" s="909"/>
      <c r="E4" s="916" t="str">
        <f>'참여기업 정보'!D4</f>
        <v>㈜노마드</v>
      </c>
      <c r="F4" s="917"/>
      <c r="I4" s="357" t="s">
        <v>769</v>
      </c>
      <c r="J4" s="358" t="s">
        <v>770</v>
      </c>
      <c r="K4" s="880" t="str">
        <f>E6</f>
        <v>부산광역시 연제구</v>
      </c>
      <c r="L4" s="881"/>
      <c r="M4" s="881"/>
      <c r="N4" s="881"/>
      <c r="O4" s="881"/>
      <c r="P4" s="881"/>
      <c r="Q4" s="881"/>
      <c r="R4" s="881"/>
      <c r="S4" s="881"/>
      <c r="T4" s="881"/>
    </row>
    <row r="5" spans="1:38" ht="16.899999999999999" customHeight="1" thickBot="1">
      <c r="A5" s="132">
        <v>3</v>
      </c>
      <c r="B5" s="590"/>
      <c r="C5" s="906" t="s">
        <v>700</v>
      </c>
      <c r="D5" s="906"/>
      <c r="E5" s="907" t="str">
        <f>'참여기업 정보'!D5</f>
        <v>홍길동</v>
      </c>
      <c r="F5" s="908"/>
      <c r="I5" s="352"/>
      <c r="J5" s="359" t="s">
        <v>771</v>
      </c>
      <c r="K5" s="874" t="str">
        <f>E7</f>
        <v>00업 외</v>
      </c>
      <c r="L5" s="875"/>
      <c r="M5" s="875"/>
      <c r="N5" s="882"/>
      <c r="O5" s="883" t="s">
        <v>772</v>
      </c>
      <c r="P5" s="884"/>
      <c r="Q5" s="874" t="str">
        <f>E8</f>
        <v>00명</v>
      </c>
      <c r="R5" s="875"/>
      <c r="S5" s="875"/>
      <c r="T5" s="875"/>
    </row>
    <row r="6" spans="1:38" ht="16.899999999999999" customHeight="1">
      <c r="A6" s="132">
        <v>4</v>
      </c>
      <c r="B6" s="590"/>
      <c r="C6" s="906" t="s">
        <v>701</v>
      </c>
      <c r="D6" s="906"/>
      <c r="E6" s="907" t="str">
        <f>'참여기업 정보'!D9</f>
        <v>부산광역시 연제구</v>
      </c>
      <c r="F6" s="908"/>
      <c r="I6" s="360" t="s">
        <v>773</v>
      </c>
      <c r="J6" s="361" t="s">
        <v>774</v>
      </c>
      <c r="K6" s="874" t="str">
        <f>E10</f>
        <v>연구 1팀</v>
      </c>
      <c r="L6" s="875"/>
      <c r="M6" s="875"/>
      <c r="N6" s="882"/>
      <c r="O6" s="883" t="s">
        <v>775</v>
      </c>
      <c r="P6" s="884"/>
      <c r="Q6" s="874" t="str">
        <f>E9</f>
        <v>세종대왕</v>
      </c>
      <c r="R6" s="875"/>
      <c r="S6" s="875"/>
      <c r="T6" s="875"/>
    </row>
    <row r="7" spans="1:38" ht="16.899999999999999">
      <c r="A7" s="132">
        <v>5</v>
      </c>
      <c r="B7" s="590"/>
      <c r="C7" s="906" t="s">
        <v>702</v>
      </c>
      <c r="D7" s="906"/>
      <c r="E7" s="907" t="str">
        <f>'참여기업 정보'!F6</f>
        <v>00업 외</v>
      </c>
      <c r="F7" s="908"/>
      <c r="I7" s="357" t="s">
        <v>776</v>
      </c>
      <c r="J7" s="362" t="s">
        <v>777</v>
      </c>
      <c r="K7" s="885" t="str">
        <f>E11</f>
        <v>010-0000-0000()</v>
      </c>
      <c r="L7" s="886"/>
      <c r="M7" s="886"/>
      <c r="N7" s="887"/>
      <c r="O7" s="891" t="s">
        <v>778</v>
      </c>
      <c r="P7" s="892"/>
      <c r="Q7" s="895" t="str">
        <f>E12</f>
        <v>example1@nate.com</v>
      </c>
      <c r="R7" s="886"/>
      <c r="S7" s="886"/>
      <c r="T7" s="886"/>
    </row>
    <row r="8" spans="1:38" ht="16.899999999999999" customHeight="1" thickBot="1">
      <c r="A8" s="132">
        <v>6</v>
      </c>
      <c r="B8" s="590"/>
      <c r="C8" s="906" t="s">
        <v>703</v>
      </c>
      <c r="D8" s="906"/>
      <c r="E8" s="907" t="str">
        <f>'참여기업 정보'!F5</f>
        <v>00명</v>
      </c>
      <c r="F8" s="908"/>
      <c r="I8" s="352"/>
      <c r="J8" s="349" t="s">
        <v>779</v>
      </c>
      <c r="K8" s="888"/>
      <c r="L8" s="889"/>
      <c r="M8" s="889"/>
      <c r="N8" s="890"/>
      <c r="O8" s="893"/>
      <c r="P8" s="894"/>
      <c r="Q8" s="888"/>
      <c r="R8" s="889"/>
      <c r="S8" s="889"/>
      <c r="T8" s="889"/>
    </row>
    <row r="9" spans="1:38" ht="17.25" customHeight="1">
      <c r="A9" s="132">
        <v>7</v>
      </c>
      <c r="B9" s="590"/>
      <c r="C9" s="918" t="s">
        <v>895</v>
      </c>
      <c r="D9" s="906"/>
      <c r="E9" s="907" t="str">
        <f>'참여기업 정보'!D24</f>
        <v>세종대왕</v>
      </c>
      <c r="F9" s="908"/>
      <c r="I9" s="896" t="s">
        <v>915</v>
      </c>
      <c r="J9" s="896"/>
      <c r="K9" s="896"/>
      <c r="L9" s="896"/>
      <c r="M9" s="896"/>
      <c r="N9" s="896"/>
      <c r="O9" s="896"/>
      <c r="P9" s="896"/>
      <c r="Q9" s="896"/>
      <c r="R9" s="896"/>
      <c r="S9" s="896"/>
      <c r="T9" s="896"/>
    </row>
    <row r="10" spans="1:38" ht="17.25" customHeight="1" thickBot="1">
      <c r="A10" s="132">
        <v>8</v>
      </c>
      <c r="B10" s="590"/>
      <c r="C10" s="918" t="s">
        <v>550</v>
      </c>
      <c r="D10" s="906"/>
      <c r="E10" s="907" t="str">
        <f>'참여기업 정보'!D25</f>
        <v>연구 1팀</v>
      </c>
      <c r="F10" s="908"/>
      <c r="I10" s="897" t="s">
        <v>780</v>
      </c>
      <c r="J10" s="897"/>
      <c r="K10" s="897"/>
      <c r="L10" s="897"/>
      <c r="M10" s="897"/>
      <c r="N10" s="897"/>
      <c r="O10" s="897"/>
      <c r="P10" s="897"/>
      <c r="Q10" s="897"/>
      <c r="R10" s="897"/>
      <c r="S10" s="897"/>
      <c r="T10" s="897"/>
    </row>
    <row r="11" spans="1:38" ht="19.899999999999999" thickBot="1">
      <c r="A11" s="132">
        <v>9</v>
      </c>
      <c r="B11" s="590"/>
      <c r="C11" s="920" t="s">
        <v>916</v>
      </c>
      <c r="D11" s="906"/>
      <c r="E11" s="907" t="str">
        <f>'참여기업 정보'!D27 &amp; "(" &amp; '참여기업 정보'!D22&amp; ")"</f>
        <v>010-0000-0000()</v>
      </c>
      <c r="F11" s="908"/>
      <c r="I11" s="898" t="s">
        <v>781</v>
      </c>
      <c r="J11" s="363" t="s">
        <v>782</v>
      </c>
      <c r="K11" s="855">
        <f>E15</f>
        <v>0</v>
      </c>
      <c r="L11" s="856"/>
      <c r="M11" s="856"/>
      <c r="N11" s="901"/>
      <c r="O11" s="902" t="s">
        <v>783</v>
      </c>
      <c r="P11" s="903"/>
      <c r="Q11" s="855">
        <f>E16</f>
        <v>0</v>
      </c>
      <c r="R11" s="856"/>
      <c r="S11" s="856"/>
      <c r="T11" s="856"/>
    </row>
    <row r="12" spans="1:38" ht="17.25" thickBot="1">
      <c r="A12" s="132">
        <v>10</v>
      </c>
      <c r="B12" s="590"/>
      <c r="C12" s="906" t="s">
        <v>705</v>
      </c>
      <c r="D12" s="906"/>
      <c r="E12" s="907" t="str">
        <f>'참여기업 정보'!D28</f>
        <v>example1@nate.com</v>
      </c>
      <c r="F12" s="908"/>
      <c r="I12" s="899"/>
      <c r="J12" s="363" t="s">
        <v>784</v>
      </c>
      <c r="K12" s="855">
        <f>E17</f>
        <v>0</v>
      </c>
      <c r="L12" s="856"/>
      <c r="M12" s="856"/>
      <c r="N12" s="856"/>
      <c r="O12" s="856"/>
      <c r="P12" s="856"/>
      <c r="Q12" s="856"/>
      <c r="R12" s="856"/>
      <c r="S12" s="856"/>
      <c r="T12" s="856"/>
    </row>
    <row r="13" spans="1:38" ht="17.25" thickBot="1">
      <c r="A13" s="132">
        <v>11</v>
      </c>
      <c r="B13" s="591"/>
      <c r="C13" s="910" t="s">
        <v>706</v>
      </c>
      <c r="D13" s="910"/>
      <c r="E13" s="919"/>
      <c r="F13" s="912"/>
      <c r="I13" s="899"/>
      <c r="J13" s="363" t="s">
        <v>785</v>
      </c>
      <c r="K13" s="855">
        <f>E18</f>
        <v>0</v>
      </c>
      <c r="L13" s="856"/>
      <c r="M13" s="856"/>
      <c r="N13" s="856"/>
      <c r="O13" s="856"/>
      <c r="P13" s="856"/>
      <c r="Q13" s="856"/>
      <c r="R13" s="856"/>
      <c r="S13" s="856"/>
      <c r="T13" s="856"/>
    </row>
    <row r="14" spans="1:38" ht="13.9" customHeight="1" thickBot="1">
      <c r="A14" s="132">
        <v>12</v>
      </c>
      <c r="I14" s="899"/>
      <c r="J14" s="363" t="s">
        <v>786</v>
      </c>
      <c r="K14" s="904">
        <f>E19</f>
        <v>0</v>
      </c>
      <c r="L14" s="856"/>
      <c r="M14" s="856"/>
      <c r="N14" s="856"/>
      <c r="O14" s="856"/>
      <c r="P14" s="856"/>
      <c r="Q14" s="856"/>
      <c r="R14" s="856"/>
      <c r="S14" s="856"/>
      <c r="T14" s="856"/>
    </row>
    <row r="15" spans="1:38" ht="17.25" customHeight="1" thickBot="1">
      <c r="A15" s="132">
        <v>13</v>
      </c>
      <c r="B15" s="905" t="s">
        <v>708</v>
      </c>
      <c r="C15" s="906" t="s">
        <v>709</v>
      </c>
      <c r="D15" s="906"/>
      <c r="E15" s="907"/>
      <c r="F15" s="908"/>
      <c r="I15" s="900"/>
      <c r="J15" s="363" t="s">
        <v>787</v>
      </c>
      <c r="K15" s="855">
        <f>E20</f>
        <v>55555555</v>
      </c>
      <c r="L15" s="856"/>
      <c r="M15" s="856"/>
      <c r="N15" s="856"/>
      <c r="O15" s="856"/>
      <c r="P15" s="856"/>
      <c r="Q15" s="856"/>
      <c r="R15" s="856"/>
      <c r="S15" s="856"/>
      <c r="T15" s="856"/>
    </row>
    <row r="16" spans="1:38" ht="17.25" thickBot="1">
      <c r="A16" s="132">
        <v>14</v>
      </c>
      <c r="B16" s="590"/>
      <c r="C16" s="909" t="s">
        <v>710</v>
      </c>
      <c r="D16" s="909"/>
      <c r="E16" s="907"/>
      <c r="F16" s="908"/>
      <c r="I16" s="857"/>
      <c r="J16" s="857"/>
      <c r="K16" s="857"/>
      <c r="L16" s="857"/>
      <c r="M16" s="857"/>
      <c r="N16" s="857"/>
      <c r="O16" s="857"/>
      <c r="P16" s="857"/>
      <c r="Q16" s="857"/>
      <c r="R16" s="857"/>
      <c r="S16" s="857"/>
      <c r="T16" s="857"/>
    </row>
    <row r="17" spans="1:20" ht="16.899999999999999">
      <c r="A17" s="132">
        <v>15</v>
      </c>
      <c r="B17" s="590"/>
      <c r="C17" s="909" t="s">
        <v>711</v>
      </c>
      <c r="D17" s="909"/>
      <c r="E17" s="907"/>
      <c r="F17" s="908"/>
      <c r="I17" s="364" t="s">
        <v>788</v>
      </c>
      <c r="J17" s="858" t="s">
        <v>789</v>
      </c>
      <c r="K17" s="858" t="s">
        <v>790</v>
      </c>
      <c r="L17" s="860" t="s">
        <v>791</v>
      </c>
      <c r="M17" s="861"/>
      <c r="N17" s="860" t="s">
        <v>792</v>
      </c>
      <c r="O17" s="864"/>
      <c r="P17" s="864"/>
      <c r="Q17" s="861"/>
      <c r="R17" s="860" t="s">
        <v>793</v>
      </c>
      <c r="S17" s="864"/>
      <c r="T17" s="864"/>
    </row>
    <row r="18" spans="1:20" ht="16.899999999999999">
      <c r="A18" s="132">
        <v>16</v>
      </c>
      <c r="B18" s="590"/>
      <c r="C18" s="909" t="s">
        <v>712</v>
      </c>
      <c r="D18" s="909"/>
      <c r="E18" s="907"/>
      <c r="F18" s="908"/>
      <c r="I18" s="365" t="s">
        <v>794</v>
      </c>
      <c r="J18" s="859"/>
      <c r="K18" s="859"/>
      <c r="L18" s="862"/>
      <c r="M18" s="863"/>
      <c r="N18" s="866" t="s">
        <v>795</v>
      </c>
      <c r="O18" s="867"/>
      <c r="P18" s="867"/>
      <c r="Q18" s="868"/>
      <c r="R18" s="862"/>
      <c r="S18" s="865"/>
      <c r="T18" s="865"/>
    </row>
    <row r="19" spans="1:20" ht="16.899999999999999">
      <c r="A19" s="132">
        <v>17</v>
      </c>
      <c r="B19" s="590"/>
      <c r="C19" s="909" t="s">
        <v>713</v>
      </c>
      <c r="D19" s="909"/>
      <c r="E19" s="907"/>
      <c r="F19" s="908"/>
      <c r="I19" s="353"/>
      <c r="J19" s="396" t="str">
        <f>B24</f>
        <v>이민수</v>
      </c>
      <c r="K19" s="366" t="str">
        <f>C24</f>
        <v>900699</v>
      </c>
      <c r="L19" s="848" t="str">
        <f>D24</f>
        <v>남</v>
      </c>
      <c r="M19" s="849"/>
      <c r="N19" s="869" t="s">
        <v>917</v>
      </c>
      <c r="O19" s="850"/>
      <c r="P19" s="850"/>
      <c r="Q19" s="849"/>
      <c r="R19" s="851" t="str">
        <f>F24</f>
        <v>010-1234-5678</v>
      </c>
      <c r="S19" s="850"/>
      <c r="T19" s="850"/>
    </row>
    <row r="20" spans="1:20" ht="17.25" thickBot="1">
      <c r="A20" s="132">
        <v>18</v>
      </c>
      <c r="B20" s="591"/>
      <c r="C20" s="910" t="s">
        <v>714</v>
      </c>
      <c r="D20" s="910"/>
      <c r="E20" s="911">
        <v>55555555</v>
      </c>
      <c r="F20" s="912"/>
      <c r="I20" s="353"/>
      <c r="J20" s="396" t="str">
        <f t="shared" ref="J20:J28" si="0">B25</f>
        <v>정지우</v>
      </c>
      <c r="K20" s="366" t="str">
        <f t="shared" ref="K20:K28" si="1">C25</f>
        <v>950499</v>
      </c>
      <c r="L20" s="848" t="str">
        <f t="shared" ref="L20:L28" si="2">D25</f>
        <v>여</v>
      </c>
      <c r="M20" s="849"/>
      <c r="N20" s="848" t="s">
        <v>796</v>
      </c>
      <c r="O20" s="850"/>
      <c r="P20" s="850"/>
      <c r="Q20" s="849"/>
      <c r="R20" s="851" t="str">
        <f t="shared" ref="R20:R28" si="3">F25</f>
        <v>010-1234-5678</v>
      </c>
      <c r="S20" s="850"/>
      <c r="T20" s="850"/>
    </row>
    <row r="21" spans="1:20" ht="13.5">
      <c r="A21" s="132">
        <v>19</v>
      </c>
      <c r="I21" s="353"/>
      <c r="J21" s="396" t="str">
        <f t="shared" si="0"/>
        <v>박지우</v>
      </c>
      <c r="K21" s="366" t="str">
        <f t="shared" si="1"/>
        <v>960399</v>
      </c>
      <c r="L21" s="848" t="str">
        <f t="shared" si="2"/>
        <v>여</v>
      </c>
      <c r="M21" s="849"/>
      <c r="N21" s="848" t="s">
        <v>796</v>
      </c>
      <c r="O21" s="850"/>
      <c r="P21" s="850"/>
      <c r="Q21" s="849"/>
      <c r="R21" s="851" t="str">
        <f t="shared" si="3"/>
        <v>010-1234-5678</v>
      </c>
      <c r="S21" s="850"/>
      <c r="T21" s="850"/>
    </row>
    <row r="22" spans="1:20" ht="25.15" thickBot="1">
      <c r="A22" s="132">
        <v>20</v>
      </c>
      <c r="B22" s="870" t="s">
        <v>715</v>
      </c>
      <c r="C22" s="871"/>
      <c r="D22" s="871"/>
      <c r="E22" s="871"/>
      <c r="F22" s="871"/>
      <c r="I22" s="353"/>
      <c r="J22" s="396" t="str">
        <f t="shared" si="0"/>
        <v>김예은</v>
      </c>
      <c r="K22" s="366" t="str">
        <f t="shared" si="1"/>
        <v>930699</v>
      </c>
      <c r="L22" s="848" t="str">
        <f t="shared" si="2"/>
        <v>남</v>
      </c>
      <c r="M22" s="849"/>
      <c r="N22" s="848" t="s">
        <v>796</v>
      </c>
      <c r="O22" s="850"/>
      <c r="P22" s="850"/>
      <c r="Q22" s="849"/>
      <c r="R22" s="851" t="str">
        <f t="shared" si="3"/>
        <v>010-1234-5678</v>
      </c>
      <c r="S22" s="850"/>
      <c r="T22" s="850"/>
    </row>
    <row r="23" spans="1:20" ht="16.899999999999999" thickTop="1">
      <c r="A23" s="132">
        <v>21</v>
      </c>
      <c r="B23" s="347" t="s">
        <v>186</v>
      </c>
      <c r="C23" s="347" t="s">
        <v>148</v>
      </c>
      <c r="D23" s="347" t="s">
        <v>149</v>
      </c>
      <c r="E23" s="347" t="s">
        <v>187</v>
      </c>
      <c r="F23" s="348" t="s">
        <v>158</v>
      </c>
      <c r="I23" s="353"/>
      <c r="J23" s="396" t="str">
        <f t="shared" si="0"/>
        <v>이민수</v>
      </c>
      <c r="K23" s="366" t="str">
        <f t="shared" si="1"/>
        <v>020699</v>
      </c>
      <c r="L23" s="848" t="str">
        <f t="shared" si="2"/>
        <v>남</v>
      </c>
      <c r="M23" s="849"/>
      <c r="N23" s="848" t="s">
        <v>796</v>
      </c>
      <c r="O23" s="850"/>
      <c r="P23" s="850"/>
      <c r="Q23" s="849"/>
      <c r="R23" s="851" t="str">
        <f t="shared" si="3"/>
        <v>010-1234-5678</v>
      </c>
      <c r="S23" s="850"/>
      <c r="T23" s="850"/>
    </row>
    <row r="24" spans="1:20" ht="13.5">
      <c r="A24" s="132">
        <v>22</v>
      </c>
      <c r="B24" s="393" t="str">
        <f>참여자명단!F3</f>
        <v>이민수</v>
      </c>
      <c r="C24" s="55" t="str">
        <f>참여자명단!T3</f>
        <v>900699</v>
      </c>
      <c r="D24" s="55" t="str">
        <f>참여자명단!S3</f>
        <v>남</v>
      </c>
      <c r="F24" s="393" t="str">
        <f>참여자명단!H3</f>
        <v>010-1234-5678</v>
      </c>
      <c r="I24" s="353"/>
      <c r="J24" s="396" t="str">
        <f t="shared" si="0"/>
        <v>박현우</v>
      </c>
      <c r="K24" s="366" t="str">
        <f t="shared" si="1"/>
        <v>930899</v>
      </c>
      <c r="L24" s="848" t="str">
        <f t="shared" si="2"/>
        <v>남</v>
      </c>
      <c r="M24" s="849"/>
      <c r="N24" s="848" t="s">
        <v>796</v>
      </c>
      <c r="O24" s="850"/>
      <c r="P24" s="850"/>
      <c r="Q24" s="849"/>
      <c r="R24" s="851" t="str">
        <f t="shared" si="3"/>
        <v>010-1234-5678</v>
      </c>
      <c r="S24" s="850"/>
      <c r="T24" s="850"/>
    </row>
    <row r="25" spans="1:20" ht="13.5">
      <c r="A25" s="132">
        <v>23</v>
      </c>
      <c r="B25" s="393" t="str">
        <f>참여자명단!F4</f>
        <v>정지우</v>
      </c>
      <c r="C25" s="55" t="str">
        <f>참여자명단!T4</f>
        <v>950499</v>
      </c>
      <c r="D25" s="55" t="str">
        <f>참여자명단!S4</f>
        <v>여</v>
      </c>
      <c r="F25" s="393" t="str">
        <f>참여자명단!H4</f>
        <v>010-1234-5678</v>
      </c>
      <c r="I25" s="353"/>
      <c r="J25" s="396" t="str">
        <f t="shared" si="0"/>
        <v>이현우</v>
      </c>
      <c r="K25" s="366" t="str">
        <f t="shared" si="1"/>
        <v>001199</v>
      </c>
      <c r="L25" s="848" t="str">
        <f t="shared" si="2"/>
        <v>남</v>
      </c>
      <c r="M25" s="849"/>
      <c r="N25" s="848" t="s">
        <v>796</v>
      </c>
      <c r="O25" s="850"/>
      <c r="P25" s="850"/>
      <c r="Q25" s="849"/>
      <c r="R25" s="851" t="str">
        <f t="shared" si="3"/>
        <v>010-1234-5678</v>
      </c>
      <c r="S25" s="850"/>
      <c r="T25" s="850"/>
    </row>
    <row r="26" spans="1:20" ht="13.5">
      <c r="A26" s="132">
        <v>24</v>
      </c>
      <c r="B26" s="393" t="str">
        <f>참여자명단!F5</f>
        <v>박지우</v>
      </c>
      <c r="C26" s="55" t="str">
        <f>참여자명단!T5</f>
        <v>960399</v>
      </c>
      <c r="D26" s="55" t="str">
        <f>참여자명단!S5</f>
        <v>여</v>
      </c>
      <c r="F26" s="393" t="str">
        <f>참여자명단!H5</f>
        <v>010-1234-5678</v>
      </c>
      <c r="I26" s="353"/>
      <c r="J26" s="396" t="str">
        <f t="shared" si="0"/>
        <v>김지우</v>
      </c>
      <c r="K26" s="366" t="str">
        <f t="shared" si="1"/>
        <v>920699</v>
      </c>
      <c r="L26" s="848" t="str">
        <f t="shared" si="2"/>
        <v>남</v>
      </c>
      <c r="M26" s="849"/>
      <c r="N26" s="848" t="s">
        <v>796</v>
      </c>
      <c r="O26" s="850"/>
      <c r="P26" s="850"/>
      <c r="Q26" s="849"/>
      <c r="R26" s="851" t="str">
        <f t="shared" si="3"/>
        <v>010-1234-5678</v>
      </c>
      <c r="S26" s="850"/>
      <c r="T26" s="850"/>
    </row>
    <row r="27" spans="1:20" ht="13.5">
      <c r="A27" s="132">
        <v>25</v>
      </c>
      <c r="B27" s="393" t="str">
        <f>참여자명단!F6</f>
        <v>김예은</v>
      </c>
      <c r="C27" s="55" t="str">
        <f>참여자명단!T6</f>
        <v>930699</v>
      </c>
      <c r="D27" s="55" t="str">
        <f>참여자명단!S6</f>
        <v>남</v>
      </c>
      <c r="F27" s="393" t="str">
        <f>참여자명단!H6</f>
        <v>010-1234-5678</v>
      </c>
      <c r="I27" s="353"/>
      <c r="J27" s="396" t="str">
        <f t="shared" si="0"/>
        <v>박현우</v>
      </c>
      <c r="K27" s="366" t="str">
        <f t="shared" si="1"/>
        <v>900699</v>
      </c>
      <c r="L27" s="848" t="str">
        <f t="shared" si="2"/>
        <v>여</v>
      </c>
      <c r="M27" s="849"/>
      <c r="N27" s="848" t="s">
        <v>796</v>
      </c>
      <c r="O27" s="850"/>
      <c r="P27" s="850"/>
      <c r="Q27" s="849"/>
      <c r="R27" s="851" t="str">
        <f t="shared" si="3"/>
        <v>010-1234-5678</v>
      </c>
      <c r="S27" s="850"/>
      <c r="T27" s="850"/>
    </row>
    <row r="28" spans="1:20" ht="13.9" thickBot="1">
      <c r="A28" s="132">
        <v>26</v>
      </c>
      <c r="B28" s="393" t="str">
        <f>참여자명단!F7</f>
        <v>이민수</v>
      </c>
      <c r="C28" s="55" t="str">
        <f>참여자명단!T7</f>
        <v>020699</v>
      </c>
      <c r="D28" s="55" t="str">
        <f>참여자명단!S7</f>
        <v>남</v>
      </c>
      <c r="F28" s="393" t="str">
        <f>참여자명단!H7</f>
        <v>010-1234-5678</v>
      </c>
      <c r="I28" s="352"/>
      <c r="J28" s="396" t="str">
        <f t="shared" si="0"/>
        <v>김현우</v>
      </c>
      <c r="K28" s="366" t="str">
        <f t="shared" si="1"/>
        <v>900799</v>
      </c>
      <c r="L28" s="848" t="str">
        <f t="shared" si="2"/>
        <v>남</v>
      </c>
      <c r="M28" s="849"/>
      <c r="N28" s="852" t="s">
        <v>796</v>
      </c>
      <c r="O28" s="853"/>
      <c r="P28" s="853"/>
      <c r="Q28" s="854"/>
      <c r="R28" s="851" t="str">
        <f t="shared" si="3"/>
        <v>010-1234-5678</v>
      </c>
      <c r="S28" s="850"/>
      <c r="T28" s="850"/>
    </row>
    <row r="29" spans="1:20" ht="13.5">
      <c r="A29" s="132">
        <v>27</v>
      </c>
      <c r="B29" s="393" t="str">
        <f>참여자명단!F8</f>
        <v>박현우</v>
      </c>
      <c r="C29" s="55" t="str">
        <f>참여자명단!T8</f>
        <v>930899</v>
      </c>
      <c r="D29" s="55" t="str">
        <f>참여자명단!S8</f>
        <v>남</v>
      </c>
      <c r="F29" s="393" t="str">
        <f>참여자명단!H8</f>
        <v>010-1234-5678</v>
      </c>
      <c r="I29" s="840"/>
      <c r="J29" s="840"/>
      <c r="K29" s="840"/>
      <c r="L29" s="840"/>
      <c r="M29" s="840"/>
      <c r="N29" s="840"/>
      <c r="O29" s="840"/>
      <c r="P29" s="840"/>
      <c r="Q29" s="840"/>
      <c r="R29" s="840"/>
      <c r="S29" s="840"/>
      <c r="T29" s="840"/>
    </row>
    <row r="30" spans="1:20" ht="13.5">
      <c r="A30" s="132">
        <v>28</v>
      </c>
      <c r="B30" s="393" t="str">
        <f>참여자명단!F9</f>
        <v>이현우</v>
      </c>
      <c r="C30" s="55" t="str">
        <f>참여자명단!T9</f>
        <v>001199</v>
      </c>
      <c r="D30" s="55" t="str">
        <f>참여자명단!S9</f>
        <v>남</v>
      </c>
      <c r="F30" s="393" t="str">
        <f>참여자명단!H9</f>
        <v>010-1234-5678</v>
      </c>
      <c r="I30" s="841" t="s">
        <v>797</v>
      </c>
      <c r="J30" s="841"/>
      <c r="K30" s="841"/>
      <c r="L30" s="841"/>
      <c r="M30" s="841"/>
      <c r="N30" s="841"/>
      <c r="O30" s="841"/>
      <c r="P30" s="841"/>
      <c r="Q30" s="841"/>
      <c r="R30" s="841"/>
      <c r="S30" s="841"/>
      <c r="T30" s="841"/>
    </row>
    <row r="31" spans="1:20" ht="13.5">
      <c r="A31" s="132">
        <v>29</v>
      </c>
      <c r="B31" s="393" t="str">
        <f>참여자명단!F10</f>
        <v>김지우</v>
      </c>
      <c r="C31" s="55" t="str">
        <f>참여자명단!T10</f>
        <v>920699</v>
      </c>
      <c r="D31" s="55" t="str">
        <f>참여자명단!S10</f>
        <v>남</v>
      </c>
      <c r="F31" s="393" t="str">
        <f>참여자명단!H10</f>
        <v>010-1234-5678</v>
      </c>
      <c r="I31" s="842" t="s">
        <v>798</v>
      </c>
      <c r="J31" s="842"/>
      <c r="K31" s="842"/>
      <c r="L31" s="842"/>
      <c r="M31" s="842"/>
      <c r="N31" s="842"/>
      <c r="O31" s="842"/>
      <c r="P31" s="842"/>
      <c r="Q31" s="842"/>
      <c r="R31" s="842"/>
      <c r="S31" s="842"/>
      <c r="T31" s="842"/>
    </row>
    <row r="32" spans="1:20" ht="13.9" customHeight="1">
      <c r="A32" s="132">
        <v>30</v>
      </c>
      <c r="B32" s="393" t="str">
        <f>참여자명단!F11</f>
        <v>박현우</v>
      </c>
      <c r="C32" s="55" t="str">
        <f>참여자명단!T11</f>
        <v>900699</v>
      </c>
      <c r="D32" s="55" t="str">
        <f>참여자명단!S11</f>
        <v>여</v>
      </c>
      <c r="F32" s="393" t="str">
        <f>참여자명단!H11</f>
        <v>010-1234-5678</v>
      </c>
      <c r="I32" s="843"/>
      <c r="J32" s="843"/>
      <c r="K32" s="843"/>
      <c r="L32" s="843"/>
      <c r="M32" s="844" t="s">
        <v>799</v>
      </c>
      <c r="N32" s="844"/>
      <c r="O32" s="844"/>
      <c r="P32" s="845" t="str">
        <f>E5</f>
        <v>홍길동</v>
      </c>
      <c r="Q32" s="845"/>
      <c r="R32" s="845"/>
      <c r="S32" s="845"/>
      <c r="T32" s="367" t="s">
        <v>800</v>
      </c>
    </row>
    <row r="33" spans="1:20" ht="13.9" customHeight="1" thickBot="1">
      <c r="A33" s="132">
        <v>31</v>
      </c>
      <c r="B33" s="393" t="str">
        <f>참여자명단!F12</f>
        <v>김현우</v>
      </c>
      <c r="C33" s="55" t="str">
        <f>참여자명단!T12</f>
        <v>900799</v>
      </c>
      <c r="D33" s="55" t="str">
        <f>참여자명단!S12</f>
        <v>남</v>
      </c>
      <c r="F33" s="393" t="str">
        <f>참여자명단!H12</f>
        <v>010-1234-5678</v>
      </c>
      <c r="I33" s="846" t="s">
        <v>716</v>
      </c>
      <c r="J33" s="846"/>
      <c r="K33" s="846"/>
      <c r="L33" s="846"/>
      <c r="M33" s="846"/>
      <c r="N33" s="846"/>
      <c r="O33" s="846"/>
      <c r="P33" s="846"/>
      <c r="Q33" s="846"/>
      <c r="R33" s="846"/>
      <c r="S33" s="847" t="s">
        <v>801</v>
      </c>
      <c r="T33" s="847"/>
    </row>
    <row r="34" spans="1:20" ht="13.9" thickTop="1">
      <c r="A34" s="132">
        <v>32</v>
      </c>
      <c r="B34" s="393"/>
      <c r="I34" s="397"/>
      <c r="J34" s="397"/>
      <c r="K34" s="397"/>
      <c r="L34" s="397"/>
      <c r="M34" s="397"/>
      <c r="N34" s="397"/>
      <c r="O34" s="397"/>
      <c r="P34" s="397"/>
      <c r="Q34" s="397"/>
      <c r="R34" s="397"/>
      <c r="S34" s="397"/>
      <c r="T34" s="397"/>
    </row>
    <row r="35" spans="1:20" ht="13.5">
      <c r="A35" s="132">
        <v>33</v>
      </c>
      <c r="B35" s="393"/>
    </row>
    <row r="36" spans="1:20" ht="28.5">
      <c r="A36" s="132">
        <v>34</v>
      </c>
      <c r="B36" s="913" t="s">
        <v>914</v>
      </c>
      <c r="C36" s="573"/>
      <c r="D36" s="573"/>
      <c r="E36" s="573"/>
      <c r="F36" s="573"/>
      <c r="I36" s="872" t="s">
        <v>919</v>
      </c>
      <c r="J36" s="873"/>
      <c r="K36" s="873"/>
      <c r="L36" s="873"/>
      <c r="M36" s="873"/>
      <c r="N36" s="873"/>
      <c r="O36" s="873"/>
      <c r="P36" s="873"/>
      <c r="Q36" s="873"/>
      <c r="R36" s="873"/>
      <c r="S36" s="873"/>
      <c r="T36" s="873"/>
    </row>
    <row r="37" spans="1:20" ht="18" thickBot="1">
      <c r="A37" s="132">
        <v>35</v>
      </c>
      <c r="B37" s="354" t="s">
        <v>763</v>
      </c>
      <c r="C37" s="914" t="s">
        <v>764</v>
      </c>
      <c r="D37" s="914"/>
      <c r="E37" s="914" t="s">
        <v>765</v>
      </c>
      <c r="F37" s="915"/>
      <c r="I37" s="355" t="s">
        <v>766</v>
      </c>
      <c r="J37" s="356" t="s">
        <v>767</v>
      </c>
      <c r="K37" s="874" t="str">
        <f>E38</f>
        <v>㈜노마드</v>
      </c>
      <c r="L37" s="875"/>
      <c r="M37" s="875"/>
      <c r="N37" s="876"/>
      <c r="O37" s="877" t="s">
        <v>768</v>
      </c>
      <c r="P37" s="878"/>
      <c r="Q37" s="879" t="str">
        <f>E39</f>
        <v>홍길동</v>
      </c>
      <c r="R37" s="875"/>
      <c r="S37" s="875"/>
      <c r="T37" s="875"/>
    </row>
    <row r="38" spans="1:20" ht="17.25" thickTop="1">
      <c r="A38" s="132">
        <v>36</v>
      </c>
      <c r="B38" s="589" t="s">
        <v>707</v>
      </c>
      <c r="C38" s="909" t="s">
        <v>699</v>
      </c>
      <c r="D38" s="909"/>
      <c r="E38" s="916" t="str">
        <f>'참여기업 정보'!D4</f>
        <v>㈜노마드</v>
      </c>
      <c r="F38" s="917"/>
      <c r="I38" s="357" t="s">
        <v>769</v>
      </c>
      <c r="J38" s="358" t="s">
        <v>770</v>
      </c>
      <c r="K38" s="880" t="str">
        <f>E40</f>
        <v>부산광역시 연제구</v>
      </c>
      <c r="L38" s="881"/>
      <c r="M38" s="881"/>
      <c r="N38" s="881"/>
      <c r="O38" s="881"/>
      <c r="P38" s="881"/>
      <c r="Q38" s="881"/>
      <c r="R38" s="881"/>
      <c r="S38" s="881"/>
      <c r="T38" s="881"/>
    </row>
    <row r="39" spans="1:20" ht="17.25" thickBot="1">
      <c r="A39" s="132">
        <v>37</v>
      </c>
      <c r="B39" s="590"/>
      <c r="C39" s="906" t="s">
        <v>700</v>
      </c>
      <c r="D39" s="906"/>
      <c r="E39" s="907" t="str">
        <f>'참여기업 정보'!D5</f>
        <v>홍길동</v>
      </c>
      <c r="F39" s="908"/>
      <c r="I39" s="352"/>
      <c r="J39" s="359" t="s">
        <v>771</v>
      </c>
      <c r="K39" s="874" t="str">
        <f>E41</f>
        <v>00업 외</v>
      </c>
      <c r="L39" s="875"/>
      <c r="M39" s="875"/>
      <c r="N39" s="882"/>
      <c r="O39" s="883" t="s">
        <v>772</v>
      </c>
      <c r="P39" s="884"/>
      <c r="Q39" s="874" t="str">
        <f>E42</f>
        <v>00명</v>
      </c>
      <c r="R39" s="875"/>
      <c r="S39" s="875"/>
      <c r="T39" s="875"/>
    </row>
    <row r="40" spans="1:20" ht="16.899999999999999">
      <c r="A40" s="132">
        <v>38</v>
      </c>
      <c r="B40" s="590"/>
      <c r="C40" s="906" t="s">
        <v>701</v>
      </c>
      <c r="D40" s="906"/>
      <c r="E40" s="907" t="str">
        <f>'참여기업 정보'!D9</f>
        <v>부산광역시 연제구</v>
      </c>
      <c r="F40" s="908"/>
      <c r="I40" s="360" t="s">
        <v>773</v>
      </c>
      <c r="J40" s="361" t="s">
        <v>774</v>
      </c>
      <c r="K40" s="874" t="str">
        <f>E44</f>
        <v>연구 2팀</v>
      </c>
      <c r="L40" s="875"/>
      <c r="M40" s="875"/>
      <c r="N40" s="882"/>
      <c r="O40" s="883" t="s">
        <v>775</v>
      </c>
      <c r="P40" s="884"/>
      <c r="Q40" s="874" t="str">
        <f>E43</f>
        <v>광개토대왕</v>
      </c>
      <c r="R40" s="875"/>
      <c r="S40" s="875"/>
      <c r="T40" s="875"/>
    </row>
    <row r="41" spans="1:20" ht="16.899999999999999">
      <c r="A41" s="132">
        <v>39</v>
      </c>
      <c r="B41" s="590"/>
      <c r="C41" s="906" t="s">
        <v>702</v>
      </c>
      <c r="D41" s="906"/>
      <c r="E41" s="907" t="str">
        <f>'참여기업 정보'!F6</f>
        <v>00업 외</v>
      </c>
      <c r="F41" s="908"/>
      <c r="I41" s="357" t="s">
        <v>776</v>
      </c>
      <c r="J41" s="362" t="s">
        <v>777</v>
      </c>
      <c r="K41" s="885" t="str">
        <f>E45</f>
        <v>010-0000-0001</v>
      </c>
      <c r="L41" s="886"/>
      <c r="M41" s="886"/>
      <c r="N41" s="887"/>
      <c r="O41" s="891" t="s">
        <v>778</v>
      </c>
      <c r="P41" s="892"/>
      <c r="Q41" s="895" t="str">
        <f>E46</f>
        <v>example2@nate.com</v>
      </c>
      <c r="R41" s="886"/>
      <c r="S41" s="886"/>
      <c r="T41" s="886"/>
    </row>
    <row r="42" spans="1:20" ht="17.25" thickBot="1">
      <c r="A42" s="132">
        <v>40</v>
      </c>
      <c r="B42" s="590"/>
      <c r="C42" s="906" t="s">
        <v>703</v>
      </c>
      <c r="D42" s="906"/>
      <c r="E42" s="907" t="str">
        <f>'참여기업 정보'!F5</f>
        <v>00명</v>
      </c>
      <c r="F42" s="908"/>
      <c r="I42" s="352"/>
      <c r="J42" s="349" t="s">
        <v>779</v>
      </c>
      <c r="K42" s="888"/>
      <c r="L42" s="889"/>
      <c r="M42" s="889"/>
      <c r="N42" s="890"/>
      <c r="O42" s="893"/>
      <c r="P42" s="894"/>
      <c r="Q42" s="888"/>
      <c r="R42" s="889"/>
      <c r="S42" s="889"/>
      <c r="T42" s="889"/>
    </row>
    <row r="43" spans="1:20" ht="19.5">
      <c r="A43" s="132">
        <v>41</v>
      </c>
      <c r="B43" s="590"/>
      <c r="C43" s="918" t="s">
        <v>895</v>
      </c>
      <c r="D43" s="906"/>
      <c r="E43" s="907" t="str">
        <f>'참여기업 정보'!F24</f>
        <v>광개토대왕</v>
      </c>
      <c r="F43" s="908"/>
      <c r="I43" s="896" t="s">
        <v>915</v>
      </c>
      <c r="J43" s="896"/>
      <c r="K43" s="896"/>
      <c r="L43" s="896"/>
      <c r="M43" s="896"/>
      <c r="N43" s="896"/>
      <c r="O43" s="896"/>
      <c r="P43" s="896"/>
      <c r="Q43" s="896"/>
      <c r="R43" s="896"/>
      <c r="S43" s="896"/>
      <c r="T43" s="896"/>
    </row>
    <row r="44" spans="1:20" ht="19.899999999999999" thickBot="1">
      <c r="A44" s="132">
        <v>42</v>
      </c>
      <c r="B44" s="590"/>
      <c r="C44" s="918" t="s">
        <v>550</v>
      </c>
      <c r="D44" s="906"/>
      <c r="E44" s="907" t="str">
        <f>'참여기업 정보'!F25</f>
        <v>연구 2팀</v>
      </c>
      <c r="F44" s="908"/>
      <c r="I44" s="897" t="s">
        <v>780</v>
      </c>
      <c r="J44" s="897"/>
      <c r="K44" s="897"/>
      <c r="L44" s="897"/>
      <c r="M44" s="897"/>
      <c r="N44" s="897"/>
      <c r="O44" s="897"/>
      <c r="P44" s="897"/>
      <c r="Q44" s="897"/>
      <c r="R44" s="897"/>
      <c r="S44" s="897"/>
      <c r="T44" s="897"/>
    </row>
    <row r="45" spans="1:20" ht="17.25" thickBot="1">
      <c r="A45" s="132">
        <v>43</v>
      </c>
      <c r="B45" s="590"/>
      <c r="C45" s="906" t="s">
        <v>704</v>
      </c>
      <c r="D45" s="906"/>
      <c r="E45" s="907" t="str">
        <f>'참여기업 정보'!F27</f>
        <v>010-0000-0001</v>
      </c>
      <c r="F45" s="908"/>
      <c r="I45" s="898" t="s">
        <v>781</v>
      </c>
      <c r="J45" s="363" t="s">
        <v>782</v>
      </c>
      <c r="K45" s="855">
        <f>E49</f>
        <v>0</v>
      </c>
      <c r="L45" s="856"/>
      <c r="M45" s="856"/>
      <c r="N45" s="901"/>
      <c r="O45" s="902" t="s">
        <v>783</v>
      </c>
      <c r="P45" s="903"/>
      <c r="Q45" s="855">
        <f>E50</f>
        <v>0</v>
      </c>
      <c r="R45" s="856"/>
      <c r="S45" s="856"/>
      <c r="T45" s="856"/>
    </row>
    <row r="46" spans="1:20" ht="17.25" thickBot="1">
      <c r="A46" s="132">
        <v>44</v>
      </c>
      <c r="B46" s="590"/>
      <c r="C46" s="906" t="s">
        <v>705</v>
      </c>
      <c r="D46" s="906"/>
      <c r="E46" s="907" t="str">
        <f>'참여기업 정보'!F28</f>
        <v>example2@nate.com</v>
      </c>
      <c r="F46" s="908"/>
      <c r="I46" s="899"/>
      <c r="J46" s="363" t="s">
        <v>784</v>
      </c>
      <c r="K46" s="855">
        <f>E51</f>
        <v>0</v>
      </c>
      <c r="L46" s="856"/>
      <c r="M46" s="856"/>
      <c r="N46" s="856"/>
      <c r="O46" s="856"/>
      <c r="P46" s="856"/>
      <c r="Q46" s="856"/>
      <c r="R46" s="856"/>
      <c r="S46" s="856"/>
      <c r="T46" s="856"/>
    </row>
    <row r="47" spans="1:20" ht="17.25" thickBot="1">
      <c r="A47" s="132">
        <v>45</v>
      </c>
      <c r="B47" s="591"/>
      <c r="C47" s="910" t="s">
        <v>706</v>
      </c>
      <c r="D47" s="910"/>
      <c r="E47" s="919"/>
      <c r="F47" s="912"/>
      <c r="I47" s="899"/>
      <c r="J47" s="363" t="s">
        <v>785</v>
      </c>
      <c r="K47" s="855">
        <f>E52</f>
        <v>0</v>
      </c>
      <c r="L47" s="856"/>
      <c r="M47" s="856"/>
      <c r="N47" s="856"/>
      <c r="O47" s="856"/>
      <c r="P47" s="856"/>
      <c r="Q47" s="856"/>
      <c r="R47" s="856"/>
      <c r="S47" s="856"/>
      <c r="T47" s="856"/>
    </row>
    <row r="48" spans="1:20" ht="13.9" thickBot="1">
      <c r="A48" s="132">
        <v>46</v>
      </c>
      <c r="I48" s="899"/>
      <c r="J48" s="363" t="s">
        <v>786</v>
      </c>
      <c r="K48" s="904">
        <f>E53</f>
        <v>0</v>
      </c>
      <c r="L48" s="856"/>
      <c r="M48" s="856"/>
      <c r="N48" s="856"/>
      <c r="O48" s="856"/>
      <c r="P48" s="856"/>
      <c r="Q48" s="856"/>
      <c r="R48" s="856"/>
      <c r="S48" s="856"/>
      <c r="T48" s="856"/>
    </row>
    <row r="49" spans="1:20" ht="17.25" thickBot="1">
      <c r="A49" s="132">
        <v>47</v>
      </c>
      <c r="B49" s="905" t="s">
        <v>708</v>
      </c>
      <c r="C49" s="906" t="s">
        <v>709</v>
      </c>
      <c r="D49" s="906"/>
      <c r="E49" s="907"/>
      <c r="F49" s="908"/>
      <c r="I49" s="900"/>
      <c r="J49" s="363" t="s">
        <v>787</v>
      </c>
      <c r="K49" s="855">
        <f>E54</f>
        <v>0</v>
      </c>
      <c r="L49" s="856"/>
      <c r="M49" s="856"/>
      <c r="N49" s="856"/>
      <c r="O49" s="856"/>
      <c r="P49" s="856"/>
      <c r="Q49" s="856"/>
      <c r="R49" s="856"/>
      <c r="S49" s="856"/>
      <c r="T49" s="856"/>
    </row>
    <row r="50" spans="1:20" ht="17.25" thickBot="1">
      <c r="A50" s="132">
        <v>48</v>
      </c>
      <c r="B50" s="590"/>
      <c r="C50" s="909" t="s">
        <v>710</v>
      </c>
      <c r="D50" s="909"/>
      <c r="E50" s="907"/>
      <c r="F50" s="908"/>
      <c r="I50" s="857"/>
      <c r="J50" s="857"/>
      <c r="K50" s="857"/>
      <c r="L50" s="857"/>
      <c r="M50" s="857"/>
      <c r="N50" s="857"/>
      <c r="O50" s="857"/>
      <c r="P50" s="857"/>
      <c r="Q50" s="857"/>
      <c r="R50" s="857"/>
      <c r="S50" s="857"/>
      <c r="T50" s="857"/>
    </row>
    <row r="51" spans="1:20" ht="16.899999999999999">
      <c r="A51" s="132">
        <v>49</v>
      </c>
      <c r="B51" s="590"/>
      <c r="C51" s="909" t="s">
        <v>711</v>
      </c>
      <c r="D51" s="909"/>
      <c r="E51" s="907"/>
      <c r="F51" s="908"/>
      <c r="I51" s="364" t="s">
        <v>788</v>
      </c>
      <c r="J51" s="858" t="s">
        <v>789</v>
      </c>
      <c r="K51" s="858" t="s">
        <v>790</v>
      </c>
      <c r="L51" s="860" t="s">
        <v>791</v>
      </c>
      <c r="M51" s="861"/>
      <c r="N51" s="860" t="s">
        <v>792</v>
      </c>
      <c r="O51" s="864"/>
      <c r="P51" s="864"/>
      <c r="Q51" s="861"/>
      <c r="R51" s="860" t="s">
        <v>793</v>
      </c>
      <c r="S51" s="864"/>
      <c r="T51" s="864"/>
    </row>
    <row r="52" spans="1:20" ht="16.899999999999999">
      <c r="A52" s="132">
        <v>50</v>
      </c>
      <c r="B52" s="590"/>
      <c r="C52" s="909" t="s">
        <v>712</v>
      </c>
      <c r="D52" s="909"/>
      <c r="E52" s="907"/>
      <c r="F52" s="908"/>
      <c r="I52" s="365" t="s">
        <v>794</v>
      </c>
      <c r="J52" s="859"/>
      <c r="K52" s="859"/>
      <c r="L52" s="862"/>
      <c r="M52" s="863"/>
      <c r="N52" s="866" t="s">
        <v>795</v>
      </c>
      <c r="O52" s="867"/>
      <c r="P52" s="867"/>
      <c r="Q52" s="868"/>
      <c r="R52" s="862"/>
      <c r="S52" s="865"/>
      <c r="T52" s="865"/>
    </row>
    <row r="53" spans="1:20" ht="16.899999999999999">
      <c r="A53" s="132">
        <v>51</v>
      </c>
      <c r="B53" s="590"/>
      <c r="C53" s="909" t="s">
        <v>713</v>
      </c>
      <c r="D53" s="909"/>
      <c r="E53" s="907"/>
      <c r="F53" s="908"/>
      <c r="I53" s="353"/>
      <c r="J53" s="396" t="str">
        <f>B58</f>
        <v>정지우</v>
      </c>
      <c r="K53" s="366" t="str">
        <f>C58</f>
        <v>910699</v>
      </c>
      <c r="L53" s="848" t="str">
        <f>D58</f>
        <v>남</v>
      </c>
      <c r="M53" s="849"/>
      <c r="N53" s="869" t="s">
        <v>917</v>
      </c>
      <c r="O53" s="850"/>
      <c r="P53" s="850"/>
      <c r="Q53" s="849"/>
      <c r="R53" s="851" t="str">
        <f>F58</f>
        <v>010-1234-5678</v>
      </c>
      <c r="S53" s="850"/>
      <c r="T53" s="850"/>
    </row>
    <row r="54" spans="1:20" ht="17.25" thickBot="1">
      <c r="A54" s="132">
        <v>52</v>
      </c>
      <c r="B54" s="591"/>
      <c r="C54" s="910" t="s">
        <v>714</v>
      </c>
      <c r="D54" s="910"/>
      <c r="E54" s="911"/>
      <c r="F54" s="912"/>
      <c r="I54" s="353"/>
      <c r="J54" s="396" t="str">
        <f t="shared" ref="J54:J62" si="4">B59</f>
        <v>박예은</v>
      </c>
      <c r="K54" s="366" t="str">
        <f t="shared" ref="K54:K62" si="5">C59</f>
        <v>000899</v>
      </c>
      <c r="L54" s="848" t="str">
        <f t="shared" ref="L54:L62" si="6">D59</f>
        <v>여</v>
      </c>
      <c r="M54" s="849"/>
      <c r="N54" s="848" t="s">
        <v>796</v>
      </c>
      <c r="O54" s="850"/>
      <c r="P54" s="850"/>
      <c r="Q54" s="849"/>
      <c r="R54" s="851" t="str">
        <f t="shared" ref="R54:R62" si="7">F59</f>
        <v>010-1234-5678</v>
      </c>
      <c r="S54" s="850"/>
      <c r="T54" s="850"/>
    </row>
    <row r="55" spans="1:20" ht="13.5">
      <c r="A55" s="132">
        <v>53</v>
      </c>
      <c r="I55" s="353"/>
      <c r="J55" s="396" t="str">
        <f t="shared" si="4"/>
        <v>최현우</v>
      </c>
      <c r="K55" s="366" t="str">
        <f t="shared" si="5"/>
        <v>921299</v>
      </c>
      <c r="L55" s="848" t="str">
        <f t="shared" si="6"/>
        <v>여</v>
      </c>
      <c r="M55" s="849"/>
      <c r="N55" s="848" t="s">
        <v>796</v>
      </c>
      <c r="O55" s="850"/>
      <c r="P55" s="850"/>
      <c r="Q55" s="849"/>
      <c r="R55" s="851" t="str">
        <f t="shared" si="7"/>
        <v>010-1234-5678</v>
      </c>
      <c r="S55" s="850"/>
      <c r="T55" s="850"/>
    </row>
    <row r="56" spans="1:20" ht="25.15" thickBot="1">
      <c r="A56" s="132">
        <v>54</v>
      </c>
      <c r="B56" s="870" t="s">
        <v>715</v>
      </c>
      <c r="C56" s="871"/>
      <c r="D56" s="871"/>
      <c r="E56" s="871"/>
      <c r="F56" s="871"/>
      <c r="I56" s="353"/>
      <c r="J56" s="396" t="str">
        <f t="shared" si="4"/>
        <v>이현우</v>
      </c>
      <c r="K56" s="366" t="str">
        <f t="shared" si="5"/>
        <v>901199</v>
      </c>
      <c r="L56" s="848" t="str">
        <f t="shared" si="6"/>
        <v>남</v>
      </c>
      <c r="M56" s="849"/>
      <c r="N56" s="848" t="s">
        <v>796</v>
      </c>
      <c r="O56" s="850"/>
      <c r="P56" s="850"/>
      <c r="Q56" s="849"/>
      <c r="R56" s="851" t="str">
        <f t="shared" si="7"/>
        <v>010-1234-5678</v>
      </c>
      <c r="S56" s="850"/>
      <c r="T56" s="850"/>
    </row>
    <row r="57" spans="1:20" ht="16.899999999999999" thickTop="1">
      <c r="A57" s="132">
        <v>55</v>
      </c>
      <c r="B57" s="347" t="s">
        <v>186</v>
      </c>
      <c r="C57" s="347" t="s">
        <v>148</v>
      </c>
      <c r="D57" s="347" t="s">
        <v>149</v>
      </c>
      <c r="E57" s="347" t="s">
        <v>187</v>
      </c>
      <c r="F57" s="348" t="s">
        <v>158</v>
      </c>
      <c r="I57" s="353"/>
      <c r="J57" s="396" t="str">
        <f t="shared" si="4"/>
        <v>최예은</v>
      </c>
      <c r="K57" s="366" t="str">
        <f t="shared" si="5"/>
        <v>941099</v>
      </c>
      <c r="L57" s="848" t="str">
        <f t="shared" si="6"/>
        <v>남</v>
      </c>
      <c r="M57" s="849"/>
      <c r="N57" s="848" t="s">
        <v>796</v>
      </c>
      <c r="O57" s="850"/>
      <c r="P57" s="850"/>
      <c r="Q57" s="849"/>
      <c r="R57" s="851" t="str">
        <f t="shared" si="7"/>
        <v>010-1234-5678</v>
      </c>
      <c r="S57" s="850"/>
      <c r="T57" s="850"/>
    </row>
    <row r="58" spans="1:20" ht="13.5">
      <c r="A58" s="132">
        <v>56</v>
      </c>
      <c r="B58" s="394" t="str">
        <f>참여자명단!F13</f>
        <v>정지우</v>
      </c>
      <c r="C58" t="str">
        <f>참여자명단!T13</f>
        <v>910699</v>
      </c>
      <c r="D58" t="str">
        <f>참여자명단!S13</f>
        <v>남</v>
      </c>
      <c r="E58"/>
      <c r="F58" s="394" t="str">
        <f>참여자명단!H13</f>
        <v>010-1234-5678</v>
      </c>
      <c r="I58" s="353"/>
      <c r="J58" s="396">
        <f t="shared" si="4"/>
        <v>0</v>
      </c>
      <c r="K58" s="366">
        <f t="shared" si="5"/>
        <v>0</v>
      </c>
      <c r="L58" s="848">
        <f t="shared" si="6"/>
        <v>0</v>
      </c>
      <c r="M58" s="849"/>
      <c r="N58" s="848" t="s">
        <v>796</v>
      </c>
      <c r="O58" s="850"/>
      <c r="P58" s="850"/>
      <c r="Q58" s="849"/>
      <c r="R58" s="851">
        <f t="shared" si="7"/>
        <v>0</v>
      </c>
      <c r="S58" s="850"/>
      <c r="T58" s="850"/>
    </row>
    <row r="59" spans="1:20" ht="13.5">
      <c r="A59" s="132">
        <v>57</v>
      </c>
      <c r="B59" s="394" t="str">
        <f>참여자명단!F14</f>
        <v>박예은</v>
      </c>
      <c r="C59" t="str">
        <f>참여자명단!T14</f>
        <v>000899</v>
      </c>
      <c r="D59" t="str">
        <f>참여자명단!S14</f>
        <v>여</v>
      </c>
      <c r="E59"/>
      <c r="F59" s="394" t="str">
        <f>참여자명단!H14</f>
        <v>010-1234-5678</v>
      </c>
      <c r="I59" s="353"/>
      <c r="J59" s="396">
        <f t="shared" si="4"/>
        <v>0</v>
      </c>
      <c r="K59" s="366">
        <f t="shared" si="5"/>
        <v>0</v>
      </c>
      <c r="L59" s="848">
        <f t="shared" si="6"/>
        <v>0</v>
      </c>
      <c r="M59" s="849"/>
      <c r="N59" s="848" t="s">
        <v>796</v>
      </c>
      <c r="O59" s="850"/>
      <c r="P59" s="850"/>
      <c r="Q59" s="849"/>
      <c r="R59" s="851">
        <f t="shared" si="7"/>
        <v>0</v>
      </c>
      <c r="S59" s="850"/>
      <c r="T59" s="850"/>
    </row>
    <row r="60" spans="1:20" ht="13.5">
      <c r="A60" s="132">
        <v>58</v>
      </c>
      <c r="B60" s="394" t="str">
        <f>참여자명단!F15</f>
        <v>최현우</v>
      </c>
      <c r="C60" t="str">
        <f>참여자명단!T15</f>
        <v>921299</v>
      </c>
      <c r="D60" t="str">
        <f>참여자명단!S15</f>
        <v>여</v>
      </c>
      <c r="E60"/>
      <c r="F60" s="394" t="str">
        <f>참여자명단!H15</f>
        <v>010-1234-5678</v>
      </c>
      <c r="I60" s="353"/>
      <c r="J60" s="396">
        <f t="shared" si="4"/>
        <v>0</v>
      </c>
      <c r="K60" s="366">
        <f t="shared" si="5"/>
        <v>0</v>
      </c>
      <c r="L60" s="848">
        <f t="shared" si="6"/>
        <v>0</v>
      </c>
      <c r="M60" s="849"/>
      <c r="N60" s="848" t="s">
        <v>796</v>
      </c>
      <c r="O60" s="850"/>
      <c r="P60" s="850"/>
      <c r="Q60" s="849"/>
      <c r="R60" s="851">
        <f t="shared" si="7"/>
        <v>0</v>
      </c>
      <c r="S60" s="850"/>
      <c r="T60" s="850"/>
    </row>
    <row r="61" spans="1:20" ht="13.5">
      <c r="A61" s="132">
        <v>59</v>
      </c>
      <c r="B61" s="394" t="str">
        <f>참여자명단!F16</f>
        <v>이현우</v>
      </c>
      <c r="C61" t="str">
        <f>참여자명단!T16</f>
        <v>901199</v>
      </c>
      <c r="D61" t="str">
        <f>참여자명단!S16</f>
        <v>남</v>
      </c>
      <c r="E61"/>
      <c r="F61" s="394" t="str">
        <f>참여자명단!H16</f>
        <v>010-1234-5678</v>
      </c>
      <c r="I61" s="353"/>
      <c r="J61" s="396">
        <f t="shared" si="4"/>
        <v>0</v>
      </c>
      <c r="K61" s="366">
        <f t="shared" si="5"/>
        <v>0</v>
      </c>
      <c r="L61" s="848">
        <f t="shared" si="6"/>
        <v>0</v>
      </c>
      <c r="M61" s="849"/>
      <c r="N61" s="848" t="s">
        <v>796</v>
      </c>
      <c r="O61" s="850"/>
      <c r="P61" s="850"/>
      <c r="Q61" s="849"/>
      <c r="R61" s="851">
        <f t="shared" si="7"/>
        <v>0</v>
      </c>
      <c r="S61" s="850"/>
      <c r="T61" s="850"/>
    </row>
    <row r="62" spans="1:20" ht="13.9" thickBot="1">
      <c r="A62" s="132">
        <v>60</v>
      </c>
      <c r="B62" s="394" t="str">
        <f>참여자명단!F17</f>
        <v>최예은</v>
      </c>
      <c r="C62" t="str">
        <f>참여자명단!T17</f>
        <v>941099</v>
      </c>
      <c r="D62" t="str">
        <f>참여자명단!S17</f>
        <v>남</v>
      </c>
      <c r="E62"/>
      <c r="F62" s="394" t="str">
        <f>참여자명단!H17</f>
        <v>010-1234-5678</v>
      </c>
      <c r="I62" s="352"/>
      <c r="J62" s="396">
        <f t="shared" si="4"/>
        <v>0</v>
      </c>
      <c r="K62" s="366">
        <f t="shared" si="5"/>
        <v>0</v>
      </c>
      <c r="L62" s="848">
        <f t="shared" si="6"/>
        <v>0</v>
      </c>
      <c r="M62" s="849"/>
      <c r="N62" s="852" t="s">
        <v>796</v>
      </c>
      <c r="O62" s="853"/>
      <c r="P62" s="853"/>
      <c r="Q62" s="854"/>
      <c r="R62" s="851">
        <f t="shared" si="7"/>
        <v>0</v>
      </c>
      <c r="S62" s="850"/>
      <c r="T62" s="850"/>
    </row>
    <row r="63" spans="1:20" ht="13.5">
      <c r="A63" s="132">
        <v>61</v>
      </c>
      <c r="B63"/>
      <c r="C63"/>
      <c r="D63"/>
      <c r="E63"/>
      <c r="F63"/>
      <c r="I63" s="840"/>
      <c r="J63" s="840"/>
      <c r="K63" s="840"/>
      <c r="L63" s="840"/>
      <c r="M63" s="840"/>
      <c r="N63" s="840"/>
      <c r="O63" s="840"/>
      <c r="P63" s="840"/>
      <c r="Q63" s="840"/>
      <c r="R63" s="840"/>
      <c r="S63" s="840"/>
      <c r="T63" s="840"/>
    </row>
    <row r="64" spans="1:20" ht="13.15">
      <c r="B64"/>
      <c r="C64"/>
      <c r="D64"/>
      <c r="E64"/>
      <c r="F64"/>
      <c r="I64" s="841" t="s">
        <v>797</v>
      </c>
      <c r="J64" s="841"/>
      <c r="K64" s="841"/>
      <c r="L64" s="841"/>
      <c r="M64" s="841"/>
      <c r="N64" s="841"/>
      <c r="O64" s="841"/>
      <c r="P64" s="841"/>
      <c r="Q64" s="841"/>
      <c r="R64" s="841"/>
      <c r="S64" s="841"/>
      <c r="T64" s="841"/>
    </row>
    <row r="65" spans="2:20">
      <c r="B65"/>
      <c r="C65"/>
      <c r="D65"/>
      <c r="E65"/>
      <c r="F65"/>
      <c r="I65" s="842" t="s">
        <v>798</v>
      </c>
      <c r="J65" s="842"/>
      <c r="K65" s="842"/>
      <c r="L65" s="842"/>
      <c r="M65" s="842"/>
      <c r="N65" s="842"/>
      <c r="O65" s="842"/>
      <c r="P65" s="842"/>
      <c r="Q65" s="842"/>
      <c r="R65" s="842"/>
      <c r="S65" s="842"/>
      <c r="T65" s="842"/>
    </row>
    <row r="66" spans="2:20">
      <c r="B66"/>
      <c r="C66"/>
      <c r="D66"/>
      <c r="E66"/>
      <c r="F66"/>
      <c r="I66" s="843"/>
      <c r="J66" s="843"/>
      <c r="K66" s="843"/>
      <c r="L66" s="843"/>
      <c r="M66" s="844" t="s">
        <v>799</v>
      </c>
      <c r="N66" s="844"/>
      <c r="O66" s="844"/>
      <c r="P66" s="845" t="str">
        <f>E39</f>
        <v>홍길동</v>
      </c>
      <c r="Q66" s="845"/>
      <c r="R66" s="845"/>
      <c r="S66" s="845"/>
      <c r="T66" s="367" t="s">
        <v>800</v>
      </c>
    </row>
    <row r="67" spans="2:20" ht="13.15" thickBot="1">
      <c r="B67"/>
      <c r="C67"/>
      <c r="D67"/>
      <c r="E67"/>
      <c r="F67"/>
      <c r="I67" s="846" t="s">
        <v>716</v>
      </c>
      <c r="J67" s="846"/>
      <c r="K67" s="846"/>
      <c r="L67" s="846"/>
      <c r="M67" s="846"/>
      <c r="N67" s="846"/>
      <c r="O67" s="846"/>
      <c r="P67" s="846"/>
      <c r="Q67" s="846"/>
      <c r="R67" s="846"/>
      <c r="S67" s="847" t="s">
        <v>801</v>
      </c>
      <c r="T67" s="847"/>
    </row>
    <row r="68" spans="2:20" ht="13.15" thickTop="1"/>
  </sheetData>
  <mergeCells count="214">
    <mergeCell ref="I2:T2"/>
    <mergeCell ref="K15:T15"/>
    <mergeCell ref="I16:T16"/>
    <mergeCell ref="K17:K18"/>
    <mergeCell ref="L17:M18"/>
    <mergeCell ref="N17:Q17"/>
    <mergeCell ref="N18:Q18"/>
    <mergeCell ref="R17:T18"/>
    <mergeCell ref="K3:N3"/>
    <mergeCell ref="O3:P3"/>
    <mergeCell ref="Q3:T3"/>
    <mergeCell ref="K4:T4"/>
    <mergeCell ref="K5:N5"/>
    <mergeCell ref="O5:P5"/>
    <mergeCell ref="Q5:T5"/>
    <mergeCell ref="K6:N6"/>
    <mergeCell ref="O6:P6"/>
    <mergeCell ref="Q6:T6"/>
    <mergeCell ref="K7:N8"/>
    <mergeCell ref="O7:P8"/>
    <mergeCell ref="Q7:T8"/>
    <mergeCell ref="I9:T9"/>
    <mergeCell ref="I10:T10"/>
    <mergeCell ref="I32:L32"/>
    <mergeCell ref="M32:O32"/>
    <mergeCell ref="P32:S32"/>
    <mergeCell ref="I33:R33"/>
    <mergeCell ref="S33:T33"/>
    <mergeCell ref="L28:M28"/>
    <mergeCell ref="N28:Q28"/>
    <mergeCell ref="R28:T28"/>
    <mergeCell ref="I29:T29"/>
    <mergeCell ref="I30:T30"/>
    <mergeCell ref="I31:T31"/>
    <mergeCell ref="L26:M26"/>
    <mergeCell ref="N26:Q26"/>
    <mergeCell ref="R26:T26"/>
    <mergeCell ref="L27:M27"/>
    <mergeCell ref="N27:Q27"/>
    <mergeCell ref="R27:T27"/>
    <mergeCell ref="L24:M24"/>
    <mergeCell ref="N24:Q24"/>
    <mergeCell ref="R24:T24"/>
    <mergeCell ref="L25:M25"/>
    <mergeCell ref="N25:Q25"/>
    <mergeCell ref="R25:T25"/>
    <mergeCell ref="L22:M22"/>
    <mergeCell ref="N22:Q22"/>
    <mergeCell ref="R22:T22"/>
    <mergeCell ref="L23:M23"/>
    <mergeCell ref="N23:Q23"/>
    <mergeCell ref="R23:T23"/>
    <mergeCell ref="L20:M20"/>
    <mergeCell ref="N20:Q20"/>
    <mergeCell ref="R20:T20"/>
    <mergeCell ref="L21:M21"/>
    <mergeCell ref="N21:Q21"/>
    <mergeCell ref="R21:T21"/>
    <mergeCell ref="L19:M19"/>
    <mergeCell ref="N19:Q19"/>
    <mergeCell ref="R19:T19"/>
    <mergeCell ref="J17:J18"/>
    <mergeCell ref="I11:I15"/>
    <mergeCell ref="K11:N11"/>
    <mergeCell ref="O11:P11"/>
    <mergeCell ref="Q11:T11"/>
    <mergeCell ref="K12:T12"/>
    <mergeCell ref="K13:T13"/>
    <mergeCell ref="K14:T14"/>
    <mergeCell ref="B2:F2"/>
    <mergeCell ref="C15:D15"/>
    <mergeCell ref="C16:D16"/>
    <mergeCell ref="C17:D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B4:B13"/>
    <mergeCell ref="B15:B20"/>
    <mergeCell ref="C18:D18"/>
    <mergeCell ref="C19:D19"/>
    <mergeCell ref="C20:D20"/>
    <mergeCell ref="E15:F15"/>
    <mergeCell ref="E16:F16"/>
    <mergeCell ref="E17:F17"/>
    <mergeCell ref="E18:F18"/>
    <mergeCell ref="E19:F19"/>
    <mergeCell ref="B22:F2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E13:F13"/>
    <mergeCell ref="E20:F20"/>
    <mergeCell ref="B36:F36"/>
    <mergeCell ref="C37:D37"/>
    <mergeCell ref="E37:F37"/>
    <mergeCell ref="B38:B47"/>
    <mergeCell ref="C38:D38"/>
    <mergeCell ref="E38:F38"/>
    <mergeCell ref="C39:D39"/>
    <mergeCell ref="E39:F39"/>
    <mergeCell ref="C40:D40"/>
    <mergeCell ref="E40:F40"/>
    <mergeCell ref="C41:D41"/>
    <mergeCell ref="E41:F41"/>
    <mergeCell ref="C42:D42"/>
    <mergeCell ref="E42:F42"/>
    <mergeCell ref="C43:D43"/>
    <mergeCell ref="E43:F43"/>
    <mergeCell ref="C44:D44"/>
    <mergeCell ref="E44:F44"/>
    <mergeCell ref="C45:D45"/>
    <mergeCell ref="E45:F45"/>
    <mergeCell ref="C46:D46"/>
    <mergeCell ref="E46:F46"/>
    <mergeCell ref="C47:D47"/>
    <mergeCell ref="E47:F47"/>
    <mergeCell ref="B49:B54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B56:F56"/>
    <mergeCell ref="I36:T36"/>
    <mergeCell ref="K37:N37"/>
    <mergeCell ref="O37:P37"/>
    <mergeCell ref="Q37:T37"/>
    <mergeCell ref="K38:T38"/>
    <mergeCell ref="K39:N39"/>
    <mergeCell ref="O39:P39"/>
    <mergeCell ref="Q39:T39"/>
    <mergeCell ref="K40:N40"/>
    <mergeCell ref="O40:P40"/>
    <mergeCell ref="Q40:T40"/>
    <mergeCell ref="K41:N42"/>
    <mergeCell ref="O41:P42"/>
    <mergeCell ref="Q41:T42"/>
    <mergeCell ref="I43:T43"/>
    <mergeCell ref="I44:T44"/>
    <mergeCell ref="I45:I49"/>
    <mergeCell ref="K45:N45"/>
    <mergeCell ref="O45:P45"/>
    <mergeCell ref="Q45:T45"/>
    <mergeCell ref="K46:T46"/>
    <mergeCell ref="K47:T47"/>
    <mergeCell ref="K48:T48"/>
    <mergeCell ref="K49:T49"/>
    <mergeCell ref="I50:T50"/>
    <mergeCell ref="J51:J52"/>
    <mergeCell ref="K51:K52"/>
    <mergeCell ref="L51:M52"/>
    <mergeCell ref="N51:Q51"/>
    <mergeCell ref="R51:T52"/>
    <mergeCell ref="N52:Q52"/>
    <mergeCell ref="L53:M53"/>
    <mergeCell ref="N53:Q53"/>
    <mergeCell ref="R53:T53"/>
    <mergeCell ref="L54:M54"/>
    <mergeCell ref="N54:Q54"/>
    <mergeCell ref="R54:T54"/>
    <mergeCell ref="L55:M55"/>
    <mergeCell ref="N55:Q55"/>
    <mergeCell ref="R55:T55"/>
    <mergeCell ref="L56:M56"/>
    <mergeCell ref="N56:Q56"/>
    <mergeCell ref="R56:T56"/>
    <mergeCell ref="L57:M57"/>
    <mergeCell ref="N57:Q57"/>
    <mergeCell ref="R57:T57"/>
    <mergeCell ref="L58:M58"/>
    <mergeCell ref="N58:Q58"/>
    <mergeCell ref="R58:T58"/>
    <mergeCell ref="L59:M59"/>
    <mergeCell ref="N59:Q59"/>
    <mergeCell ref="R59:T59"/>
    <mergeCell ref="I63:T63"/>
    <mergeCell ref="I64:T64"/>
    <mergeCell ref="I65:T65"/>
    <mergeCell ref="I66:L66"/>
    <mergeCell ref="M66:O66"/>
    <mergeCell ref="P66:S66"/>
    <mergeCell ref="I67:R67"/>
    <mergeCell ref="S67:T67"/>
    <mergeCell ref="L60:M60"/>
    <mergeCell ref="N60:Q60"/>
    <mergeCell ref="R60:T60"/>
    <mergeCell ref="L61:M61"/>
    <mergeCell ref="N61:Q61"/>
    <mergeCell ref="R61:T61"/>
    <mergeCell ref="L62:M62"/>
    <mergeCell ref="N62:Q62"/>
    <mergeCell ref="R62:T62"/>
  </mergeCells>
  <phoneticPr fontId="16" type="noConversion"/>
  <hyperlinks>
    <hyperlink ref="E12" r:id="rId1" display="asd@asd.net" xr:uid="{694FA870-8D8E-4790-B77E-F471C440482C}"/>
    <hyperlink ref="E46" r:id="rId2" display="asd@asd.net" xr:uid="{4EACE0EE-2D3A-4858-A8B6-A699AFBB0B36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Drop Down 1">
              <controlPr defaultSize="0" autoLine="0" autoPict="0" macro="[0]!목차드롭다운">
                <anchor moveWithCells="1">
                  <from>
                    <xdr:col>20</xdr:col>
                    <xdr:colOff>361950</xdr:colOff>
                    <xdr:row>2</xdr:row>
                    <xdr:rowOff>9525</xdr:rowOff>
                  </from>
                  <to>
                    <xdr:col>24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184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21" t="s">
        <v>189</v>
      </c>
      <c r="C2" s="836"/>
    </row>
    <row r="3" spans="1:38" ht="19.5">
      <c r="A3" s="132">
        <v>1</v>
      </c>
      <c r="B3" s="134" t="s">
        <v>190</v>
      </c>
      <c r="C3" s="139" t="s">
        <v>159</v>
      </c>
    </row>
    <row r="4" spans="1:38" ht="19.5">
      <c r="A4" s="132">
        <v>2</v>
      </c>
      <c r="B4" s="134" t="s">
        <v>191</v>
      </c>
      <c r="C4" s="139" t="s">
        <v>202</v>
      </c>
    </row>
    <row r="5" spans="1:38" ht="19.5">
      <c r="A5" s="132">
        <v>3</v>
      </c>
      <c r="B5" s="134" t="s">
        <v>192</v>
      </c>
      <c r="C5" s="10" t="s">
        <v>185</v>
      </c>
    </row>
    <row r="6" spans="1:38" ht="19.5">
      <c r="A6" s="132">
        <v>4</v>
      </c>
      <c r="B6" s="135" t="s">
        <v>194</v>
      </c>
      <c r="C6" s="10" t="s">
        <v>203</v>
      </c>
    </row>
    <row r="7" spans="1:38" ht="19.5">
      <c r="A7" s="132">
        <v>5</v>
      </c>
      <c r="B7" s="135" t="s">
        <v>193</v>
      </c>
      <c r="C7" s="133" t="s">
        <v>204</v>
      </c>
    </row>
    <row r="8" spans="1:38" ht="13.5">
      <c r="A8" s="132">
        <v>6</v>
      </c>
    </row>
    <row r="9" spans="1:38" ht="19.5">
      <c r="A9" s="132">
        <v>7</v>
      </c>
      <c r="B9" s="134" t="s">
        <v>207</v>
      </c>
      <c r="C9" s="10" t="s">
        <v>208</v>
      </c>
    </row>
    <row r="10" spans="1:38" ht="13.5">
      <c r="A10" s="132">
        <v>8</v>
      </c>
    </row>
    <row r="11" spans="1:38" ht="19.5">
      <c r="A11" s="132">
        <v>9</v>
      </c>
      <c r="B11" s="134" t="s">
        <v>195</v>
      </c>
      <c r="C11" s="134" t="s">
        <v>196</v>
      </c>
      <c r="D11" s="134" t="s">
        <v>197</v>
      </c>
      <c r="E11" s="134" t="s">
        <v>198</v>
      </c>
      <c r="F11" s="134" t="s">
        <v>199</v>
      </c>
    </row>
    <row r="12" spans="1:38" ht="15.75">
      <c r="A12" s="132">
        <v>10</v>
      </c>
      <c r="B12" s="137" t="s">
        <v>206</v>
      </c>
      <c r="D12" s="136" t="s">
        <v>180</v>
      </c>
      <c r="E12" s="112" t="s">
        <v>200</v>
      </c>
      <c r="F12" s="138" t="s">
        <v>201</v>
      </c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hyperlinks>
    <hyperlink ref="C7" r:id="rId1" xr:uid="{050DC29C-09B4-4A4E-96B2-D6A0345664D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6BC7-28C8-4BDD-A414-B501214D4FD6}">
  <sheetPr codeName="Sheet16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184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21" t="s">
        <v>209</v>
      </c>
      <c r="C2" s="836"/>
    </row>
    <row r="3" spans="1:38" ht="19.5">
      <c r="A3" s="132">
        <v>1</v>
      </c>
      <c r="B3" s="134" t="s">
        <v>190</v>
      </c>
      <c r="C3" s="139" t="s">
        <v>159</v>
      </c>
    </row>
    <row r="4" spans="1:38" ht="19.5">
      <c r="A4" s="132">
        <v>2</v>
      </c>
      <c r="B4" s="134" t="s">
        <v>191</v>
      </c>
      <c r="C4" s="139" t="s">
        <v>202</v>
      </c>
    </row>
    <row r="5" spans="1:38" ht="13.5">
      <c r="A5" s="132">
        <v>3</v>
      </c>
    </row>
    <row r="6" spans="1:38" ht="19.5">
      <c r="A6" s="132">
        <v>4</v>
      </c>
      <c r="B6" s="134" t="s">
        <v>207</v>
      </c>
      <c r="C6" s="10" t="s">
        <v>208</v>
      </c>
    </row>
    <row r="7" spans="1:38" ht="13.5">
      <c r="A7" s="132">
        <v>5</v>
      </c>
    </row>
    <row r="8" spans="1:38" ht="13.5">
      <c r="A8" s="132">
        <v>6</v>
      </c>
    </row>
    <row r="9" spans="1:38" ht="13.5">
      <c r="A9" s="132">
        <v>7</v>
      </c>
    </row>
    <row r="10" spans="1:38" ht="13.5">
      <c r="A10" s="132">
        <v>8</v>
      </c>
    </row>
    <row r="11" spans="1:38" ht="13.5">
      <c r="A11" s="132">
        <v>9</v>
      </c>
    </row>
    <row r="12" spans="1:38" ht="15.75">
      <c r="A12" s="132">
        <v>10</v>
      </c>
      <c r="B12" s="137"/>
      <c r="D12" s="136"/>
      <c r="E12" s="112"/>
      <c r="F12" s="138"/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CC8C0-8DB8-45A7-818D-87232189135A}">
  <sheetPr codeName="Sheet17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184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21" t="s">
        <v>210</v>
      </c>
      <c r="C2" s="836"/>
    </row>
    <row r="3" spans="1:38" ht="19.5">
      <c r="A3" s="132">
        <v>1</v>
      </c>
      <c r="B3" s="134" t="s">
        <v>190</v>
      </c>
      <c r="C3" s="139" t="s">
        <v>159</v>
      </c>
    </row>
    <row r="4" spans="1:38" ht="19.5">
      <c r="A4" s="132">
        <v>2</v>
      </c>
      <c r="B4" s="134" t="s">
        <v>148</v>
      </c>
      <c r="C4" s="140">
        <v>123412</v>
      </c>
    </row>
    <row r="5" spans="1:38" ht="13.5">
      <c r="A5" s="132">
        <v>3</v>
      </c>
    </row>
    <row r="6" spans="1:38" ht="19.5">
      <c r="A6" s="132">
        <v>4</v>
      </c>
      <c r="B6" s="134" t="s">
        <v>207</v>
      </c>
      <c r="C6" s="10" t="s">
        <v>208</v>
      </c>
    </row>
    <row r="7" spans="1:38" ht="13.5">
      <c r="A7" s="132">
        <v>5</v>
      </c>
    </row>
    <row r="8" spans="1:38" ht="13.5">
      <c r="A8" s="132">
        <v>6</v>
      </c>
    </row>
    <row r="9" spans="1:38" ht="13.5">
      <c r="A9" s="132">
        <v>7</v>
      </c>
    </row>
    <row r="10" spans="1:38" ht="13.5">
      <c r="A10" s="132">
        <v>8</v>
      </c>
    </row>
    <row r="11" spans="1:38" ht="13.5">
      <c r="A11" s="132">
        <v>9</v>
      </c>
    </row>
    <row r="12" spans="1:38" ht="15.75">
      <c r="A12" s="132">
        <v>10</v>
      </c>
      <c r="B12" s="137"/>
      <c r="D12" s="136"/>
      <c r="E12" s="112"/>
      <c r="F12" s="138"/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940FF-A388-47C3-ACB9-35E43920EAEA}">
  <sheetPr codeName="Sheet18"/>
  <dimension ref="A1:AL63"/>
  <sheetViews>
    <sheetView workbookViewId="0"/>
  </sheetViews>
  <sheetFormatPr defaultColWidth="8.73046875" defaultRowHeight="12.75"/>
  <cols>
    <col min="1" max="1" width="14" style="55" customWidth="1"/>
    <col min="2" max="2" width="27.59765625" style="55" customWidth="1"/>
    <col min="3" max="3" width="37" style="55" customWidth="1"/>
    <col min="4" max="4" width="7.73046875" style="55" customWidth="1"/>
    <col min="5" max="5" width="18" style="55" customWidth="1"/>
    <col min="6" max="6" width="13.1328125" style="55" customWidth="1"/>
    <col min="7" max="16384" width="8.73046875" style="55"/>
  </cols>
  <sheetData>
    <row r="1" spans="1:38" ht="23.25">
      <c r="A1" s="129" t="s">
        <v>184</v>
      </c>
      <c r="B1" s="130">
        <v>1</v>
      </c>
      <c r="C1" s="130">
        <v>2</v>
      </c>
      <c r="D1" s="130">
        <v>3</v>
      </c>
      <c r="E1" s="130">
        <v>4</v>
      </c>
      <c r="F1" s="130">
        <v>5</v>
      </c>
      <c r="G1" s="130">
        <v>6</v>
      </c>
      <c r="H1" s="130">
        <v>7</v>
      </c>
      <c r="I1" s="130">
        <v>8</v>
      </c>
      <c r="J1" s="130">
        <v>9</v>
      </c>
      <c r="K1" s="130">
        <v>10</v>
      </c>
      <c r="L1" s="130">
        <v>11</v>
      </c>
      <c r="M1" s="130">
        <v>12</v>
      </c>
      <c r="N1" s="130">
        <v>13</v>
      </c>
      <c r="O1" s="130">
        <v>14</v>
      </c>
      <c r="P1" s="130">
        <v>15</v>
      </c>
      <c r="Q1" s="130">
        <v>16</v>
      </c>
      <c r="R1" s="130">
        <v>17</v>
      </c>
      <c r="S1" s="130">
        <v>18</v>
      </c>
      <c r="T1" s="130">
        <v>19</v>
      </c>
      <c r="U1" s="130">
        <v>20</v>
      </c>
      <c r="V1" s="130">
        <v>21</v>
      </c>
      <c r="W1" s="130">
        <v>22</v>
      </c>
      <c r="X1" s="130">
        <v>23</v>
      </c>
      <c r="Y1" s="130">
        <v>24</v>
      </c>
      <c r="Z1" s="130">
        <v>25</v>
      </c>
      <c r="AA1" s="130">
        <v>26</v>
      </c>
      <c r="AB1" s="130">
        <v>27</v>
      </c>
      <c r="AC1" s="130">
        <v>28</v>
      </c>
      <c r="AD1" s="130">
        <v>29</v>
      </c>
      <c r="AE1" s="130">
        <v>30</v>
      </c>
      <c r="AF1" s="130">
        <v>31</v>
      </c>
      <c r="AG1" s="130">
        <v>32</v>
      </c>
      <c r="AH1" s="130">
        <v>33</v>
      </c>
      <c r="AI1" s="130">
        <v>34</v>
      </c>
      <c r="AJ1" s="130">
        <v>35</v>
      </c>
      <c r="AK1" s="130">
        <v>36</v>
      </c>
      <c r="AL1" s="130">
        <v>37</v>
      </c>
    </row>
    <row r="2" spans="1:38" ht="28.5">
      <c r="A2" s="131">
        <v>0</v>
      </c>
      <c r="B2" s="921" t="s">
        <v>210</v>
      </c>
      <c r="C2" s="836"/>
    </row>
    <row r="3" spans="1:38" ht="19.5">
      <c r="A3" s="132">
        <v>1</v>
      </c>
      <c r="B3" s="134" t="s">
        <v>190</v>
      </c>
      <c r="C3" s="139"/>
    </row>
    <row r="4" spans="1:38" ht="19.5">
      <c r="A4" s="132">
        <v>2</v>
      </c>
      <c r="B4" s="134" t="s">
        <v>148</v>
      </c>
      <c r="C4" s="140"/>
    </row>
    <row r="5" spans="1:38" ht="13.5">
      <c r="A5" s="132">
        <v>3</v>
      </c>
    </row>
    <row r="6" spans="1:38" ht="19.5">
      <c r="A6" s="132">
        <v>4</v>
      </c>
      <c r="B6" s="134" t="s">
        <v>211</v>
      </c>
      <c r="C6" s="111" t="s">
        <v>218</v>
      </c>
    </row>
    <row r="7" spans="1:38" ht="19.5">
      <c r="A7" s="132">
        <v>5</v>
      </c>
      <c r="B7" s="134" t="s">
        <v>212</v>
      </c>
      <c r="C7" s="111" t="s">
        <v>219</v>
      </c>
    </row>
    <row r="8" spans="1:38" ht="19.5">
      <c r="A8" s="132">
        <v>6</v>
      </c>
      <c r="B8" s="134" t="s">
        <v>213</v>
      </c>
      <c r="C8" s="141" t="s">
        <v>214</v>
      </c>
    </row>
    <row r="9" spans="1:38" ht="19.5">
      <c r="A9" s="132">
        <v>7</v>
      </c>
      <c r="B9" s="134" t="s">
        <v>192</v>
      </c>
      <c r="C9" s="141" t="s">
        <v>215</v>
      </c>
    </row>
    <row r="10" spans="1:38" ht="19.5">
      <c r="A10" s="132">
        <v>8</v>
      </c>
      <c r="B10" s="134" t="s">
        <v>216</v>
      </c>
      <c r="C10" s="10" t="s">
        <v>217</v>
      </c>
    </row>
    <row r="11" spans="1:38" ht="13.5">
      <c r="A11" s="132">
        <v>9</v>
      </c>
    </row>
    <row r="12" spans="1:38" ht="15.75">
      <c r="A12" s="132">
        <v>10</v>
      </c>
      <c r="B12" s="137"/>
      <c r="D12" s="136"/>
      <c r="E12" s="112"/>
      <c r="F12" s="138"/>
    </row>
    <row r="13" spans="1:38" ht="13.5">
      <c r="A13" s="132">
        <v>11</v>
      </c>
    </row>
    <row r="14" spans="1:38" ht="13.5">
      <c r="A14" s="132">
        <v>12</v>
      </c>
    </row>
    <row r="15" spans="1:38" ht="13.5">
      <c r="A15" s="132">
        <v>13</v>
      </c>
    </row>
    <row r="16" spans="1:38" ht="13.5">
      <c r="A16" s="132">
        <v>14</v>
      </c>
    </row>
    <row r="17" spans="1:1" ht="13.5">
      <c r="A17" s="132">
        <v>15</v>
      </c>
    </row>
    <row r="18" spans="1:1" ht="13.5">
      <c r="A18" s="132">
        <v>16</v>
      </c>
    </row>
    <row r="19" spans="1:1" ht="13.5">
      <c r="A19" s="132">
        <v>17</v>
      </c>
    </row>
    <row r="20" spans="1:1" ht="13.5">
      <c r="A20" s="132">
        <v>18</v>
      </c>
    </row>
    <row r="21" spans="1:1" ht="13.5">
      <c r="A21" s="132">
        <v>19</v>
      </c>
    </row>
    <row r="22" spans="1:1" ht="13.5">
      <c r="A22" s="132">
        <v>20</v>
      </c>
    </row>
    <row r="23" spans="1:1" ht="13.5">
      <c r="A23" s="132">
        <v>21</v>
      </c>
    </row>
    <row r="24" spans="1:1" ht="13.5">
      <c r="A24" s="132">
        <v>22</v>
      </c>
    </row>
    <row r="25" spans="1:1" ht="13.5">
      <c r="A25" s="132">
        <v>23</v>
      </c>
    </row>
    <row r="26" spans="1:1" ht="13.5">
      <c r="A26" s="132">
        <v>24</v>
      </c>
    </row>
    <row r="27" spans="1:1" ht="13.5">
      <c r="A27" s="132">
        <v>25</v>
      </c>
    </row>
    <row r="28" spans="1:1" ht="13.5">
      <c r="A28" s="132">
        <v>26</v>
      </c>
    </row>
    <row r="29" spans="1:1" ht="13.5">
      <c r="A29" s="132">
        <v>27</v>
      </c>
    </row>
    <row r="30" spans="1:1" ht="13.5">
      <c r="A30" s="132">
        <v>28</v>
      </c>
    </row>
    <row r="31" spans="1:1" ht="13.5">
      <c r="A31" s="132">
        <v>29</v>
      </c>
    </row>
    <row r="32" spans="1:1" ht="13.5">
      <c r="A32" s="132">
        <v>30</v>
      </c>
    </row>
    <row r="33" spans="1:1" ht="13.5">
      <c r="A33" s="132">
        <v>31</v>
      </c>
    </row>
    <row r="34" spans="1:1" ht="13.5">
      <c r="A34" s="132">
        <v>32</v>
      </c>
    </row>
    <row r="35" spans="1:1" ht="13.5">
      <c r="A35" s="132">
        <v>33</v>
      </c>
    </row>
    <row r="36" spans="1:1" ht="13.5">
      <c r="A36" s="132">
        <v>34</v>
      </c>
    </row>
    <row r="37" spans="1:1" ht="13.5">
      <c r="A37" s="132">
        <v>35</v>
      </c>
    </row>
    <row r="38" spans="1:1" ht="13.5">
      <c r="A38" s="132">
        <v>36</v>
      </c>
    </row>
    <row r="39" spans="1:1" ht="13.5">
      <c r="A39" s="132">
        <v>37</v>
      </c>
    </row>
    <row r="40" spans="1:1" ht="13.5">
      <c r="A40" s="132">
        <v>38</v>
      </c>
    </row>
    <row r="41" spans="1:1" ht="13.5">
      <c r="A41" s="132">
        <v>39</v>
      </c>
    </row>
    <row r="42" spans="1:1" ht="13.5">
      <c r="A42" s="132">
        <v>40</v>
      </c>
    </row>
    <row r="43" spans="1:1" ht="13.5">
      <c r="A43" s="132">
        <v>41</v>
      </c>
    </row>
    <row r="44" spans="1:1" ht="13.5">
      <c r="A44" s="132">
        <v>42</v>
      </c>
    </row>
    <row r="45" spans="1:1" ht="13.5">
      <c r="A45" s="132">
        <v>43</v>
      </c>
    </row>
    <row r="46" spans="1:1" ht="13.5">
      <c r="A46" s="132">
        <v>44</v>
      </c>
    </row>
    <row r="47" spans="1:1" ht="13.5">
      <c r="A47" s="132">
        <v>45</v>
      </c>
    </row>
    <row r="48" spans="1:1" ht="13.5">
      <c r="A48" s="132">
        <v>46</v>
      </c>
    </row>
    <row r="49" spans="1:1" ht="13.5">
      <c r="A49" s="132">
        <v>47</v>
      </c>
    </row>
    <row r="50" spans="1:1" ht="13.5">
      <c r="A50" s="132">
        <v>48</v>
      </c>
    </row>
    <row r="51" spans="1:1" ht="13.5">
      <c r="A51" s="132">
        <v>49</v>
      </c>
    </row>
    <row r="52" spans="1:1" ht="13.5">
      <c r="A52" s="132">
        <v>50</v>
      </c>
    </row>
    <row r="53" spans="1:1" ht="13.5">
      <c r="A53" s="132">
        <v>51</v>
      </c>
    </row>
    <row r="54" spans="1:1" ht="13.5">
      <c r="A54" s="132">
        <v>52</v>
      </c>
    </row>
    <row r="55" spans="1:1" ht="13.5">
      <c r="A55" s="132">
        <v>53</v>
      </c>
    </row>
    <row r="56" spans="1:1" ht="13.5">
      <c r="A56" s="132">
        <v>54</v>
      </c>
    </row>
    <row r="57" spans="1:1" ht="13.5">
      <c r="A57" s="132">
        <v>55</v>
      </c>
    </row>
    <row r="58" spans="1:1" ht="13.5">
      <c r="A58" s="132">
        <v>56</v>
      </c>
    </row>
    <row r="59" spans="1:1" ht="13.5">
      <c r="A59" s="132">
        <v>57</v>
      </c>
    </row>
    <row r="60" spans="1:1" ht="13.5">
      <c r="A60" s="132">
        <v>58</v>
      </c>
    </row>
    <row r="61" spans="1:1" ht="13.5">
      <c r="A61" s="132">
        <v>59</v>
      </c>
    </row>
    <row r="62" spans="1:1" ht="13.5">
      <c r="A62" s="132">
        <v>60</v>
      </c>
    </row>
    <row r="63" spans="1:1" ht="13.5">
      <c r="A63" s="132">
        <v>61</v>
      </c>
    </row>
  </sheetData>
  <mergeCells count="1">
    <mergeCell ref="B2:C2"/>
  </mergeCells>
  <phoneticPr fontId="1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Drop Down 1">
              <controlPr defaultSize="0" autoLine="0" autoPict="0" macro="[0]!목차드롭다운">
                <anchor moveWithCells="1">
                  <from>
                    <xdr:col>4</xdr:col>
                    <xdr:colOff>0</xdr:colOff>
                    <xdr:row>2</xdr:row>
                    <xdr:rowOff>9525</xdr:rowOff>
                  </from>
                  <to>
                    <xdr:col>6</xdr:col>
                    <xdr:colOff>57150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D6F95-63F2-400C-8EDD-C6945A92C58B}">
  <sheetPr codeName="Sheet20"/>
  <dimension ref="A1:AL63"/>
  <sheetViews>
    <sheetView workbookViewId="0"/>
  </sheetViews>
  <sheetFormatPr defaultRowHeight="12.75"/>
  <cols>
    <col min="1" max="1" width="14" customWidth="1"/>
    <col min="2" max="2" width="31" bestFit="1" customWidth="1"/>
    <col min="3" max="3" width="33.73046875" bestFit="1" customWidth="1"/>
    <col min="4" max="4" width="33.73046875" customWidth="1"/>
    <col min="5" max="5" width="13.1328125" bestFit="1" customWidth="1"/>
    <col min="8" max="8" width="5.3984375" bestFit="1" customWidth="1"/>
    <col min="9" max="10" width="2.73046875" bestFit="1" customWidth="1"/>
    <col min="11" max="30" width="3.73046875" bestFit="1" customWidth="1"/>
    <col min="31" max="31" width="14.1328125" bestFit="1" customWidth="1"/>
    <col min="32" max="35" width="3.73046875" bestFit="1" customWidth="1"/>
    <col min="36" max="36" width="14.1328125" bestFit="1" customWidth="1"/>
  </cols>
  <sheetData>
    <row r="1" spans="1:38" ht="26.25">
      <c r="A1" s="1" t="s">
        <v>78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8.5">
      <c r="A2" s="3">
        <v>0</v>
      </c>
      <c r="B2" s="921" t="s">
        <v>237</v>
      </c>
      <c r="C2" s="836"/>
      <c r="H2" s="1009" t="s">
        <v>390</v>
      </c>
      <c r="I2" s="1010"/>
      <c r="J2" s="1010"/>
      <c r="K2" s="1010"/>
      <c r="L2" s="1010"/>
      <c r="M2" s="1010"/>
      <c r="N2" s="1010"/>
      <c r="O2" s="1010"/>
      <c r="P2" s="1010"/>
      <c r="Q2" s="1010"/>
      <c r="R2" s="1010"/>
      <c r="S2" s="1010"/>
      <c r="T2" s="1010"/>
      <c r="U2" s="1010"/>
      <c r="V2" s="1010"/>
      <c r="W2" s="1010"/>
      <c r="X2" s="1010"/>
      <c r="Y2" s="1010"/>
      <c r="Z2" s="1010"/>
      <c r="AA2" s="1010"/>
      <c r="AB2" s="1010"/>
      <c r="AC2" s="1010"/>
      <c r="AD2" s="1010"/>
      <c r="AE2" s="1010"/>
    </row>
    <row r="3" spans="1:38" ht="19.5">
      <c r="A3" s="2">
        <v>1</v>
      </c>
      <c r="B3" s="134" t="s">
        <v>238</v>
      </c>
      <c r="C3" s="141" t="s">
        <v>251</v>
      </c>
      <c r="H3" s="1011"/>
      <c r="I3" s="1011"/>
      <c r="J3" s="1011"/>
      <c r="K3" s="1011"/>
      <c r="L3" s="1011"/>
      <c r="M3" s="1011"/>
      <c r="N3" s="1011"/>
      <c r="O3" s="1011"/>
      <c r="P3" s="1011"/>
      <c r="Q3" s="1011"/>
      <c r="R3" s="1011"/>
      <c r="S3" s="1011"/>
      <c r="T3" s="1011"/>
      <c r="U3" s="1011"/>
      <c r="V3" s="1011"/>
      <c r="W3" s="1011"/>
      <c r="X3" s="1011"/>
      <c r="Y3" s="1011"/>
      <c r="Z3" s="1011"/>
      <c r="AA3" s="1011"/>
      <c r="AB3" s="1011"/>
      <c r="AC3" s="1011"/>
      <c r="AD3" s="1011"/>
      <c r="AE3" s="1011"/>
    </row>
    <row r="4" spans="1:38" ht="20.25" customHeight="1">
      <c r="A4" s="2">
        <v>2</v>
      </c>
      <c r="B4" s="134" t="s">
        <v>239</v>
      </c>
      <c r="C4" s="139" t="s">
        <v>159</v>
      </c>
      <c r="H4" s="1011"/>
      <c r="I4" s="1011"/>
      <c r="J4" s="1011"/>
      <c r="K4" s="1011"/>
      <c r="L4" s="1011"/>
      <c r="M4" s="1011"/>
      <c r="N4" s="1011"/>
      <c r="O4" s="1011"/>
      <c r="P4" s="1011"/>
      <c r="Q4" s="1011"/>
      <c r="R4" s="1011"/>
      <c r="S4" s="1011"/>
      <c r="T4" s="1011"/>
      <c r="U4" s="1011"/>
      <c r="V4" s="1011"/>
      <c r="W4" s="1011"/>
      <c r="X4" s="1011"/>
      <c r="Y4" s="1011"/>
      <c r="Z4" s="1011"/>
      <c r="AA4" s="1011"/>
      <c r="AB4" s="1011"/>
      <c r="AC4" s="1011"/>
      <c r="AD4" s="1011"/>
      <c r="AE4" s="1011"/>
    </row>
    <row r="5" spans="1:38" ht="39">
      <c r="A5" s="2">
        <v>3</v>
      </c>
      <c r="B5" s="143" t="s">
        <v>241</v>
      </c>
      <c r="C5" s="160" t="s">
        <v>393</v>
      </c>
      <c r="H5" s="993" t="s">
        <v>346</v>
      </c>
      <c r="I5" s="993"/>
      <c r="J5" s="993"/>
      <c r="K5" s="993"/>
      <c r="L5" s="993"/>
      <c r="M5" s="993"/>
      <c r="N5" s="993"/>
      <c r="O5" s="993"/>
      <c r="P5" s="993"/>
      <c r="Q5" s="993"/>
      <c r="R5" s="993"/>
      <c r="S5" s="993"/>
      <c r="T5" s="993"/>
      <c r="U5" s="993"/>
      <c r="V5" s="993"/>
      <c r="W5" s="993"/>
      <c r="X5" s="993"/>
      <c r="Y5" s="993"/>
      <c r="Z5" s="993"/>
      <c r="AA5" s="993"/>
      <c r="AB5" s="993"/>
      <c r="AC5" s="993"/>
      <c r="AD5" s="993"/>
      <c r="AE5" s="993"/>
    </row>
    <row r="6" spans="1:38" ht="19.5">
      <c r="A6" s="2">
        <v>4</v>
      </c>
      <c r="B6" s="134" t="s">
        <v>240</v>
      </c>
      <c r="C6" s="10">
        <v>121212121</v>
      </c>
      <c r="H6" s="994" t="s">
        <v>347</v>
      </c>
      <c r="I6" s="994"/>
      <c r="J6" s="995"/>
      <c r="K6" s="995"/>
      <c r="L6" s="995"/>
      <c r="M6" s="995"/>
      <c r="N6" s="995"/>
      <c r="O6" s="995"/>
      <c r="P6" s="995"/>
      <c r="Q6" s="995"/>
      <c r="R6" s="995"/>
      <c r="S6" s="995"/>
      <c r="T6" s="996"/>
      <c r="U6" s="997" t="s">
        <v>348</v>
      </c>
      <c r="V6" s="994"/>
      <c r="W6" s="994"/>
      <c r="X6" s="994"/>
      <c r="Y6" s="994"/>
      <c r="Z6" s="994"/>
      <c r="AA6" s="994"/>
      <c r="AB6" s="998"/>
      <c r="AC6" s="998"/>
      <c r="AD6" s="998"/>
      <c r="AE6" s="998"/>
    </row>
    <row r="7" spans="1:38" ht="19.5">
      <c r="A7" s="2">
        <v>5</v>
      </c>
      <c r="B7" s="134" t="s">
        <v>242</v>
      </c>
      <c r="C7" s="161" t="s">
        <v>394</v>
      </c>
      <c r="H7" s="925"/>
      <c r="I7" s="925"/>
      <c r="J7" s="925"/>
      <c r="K7" s="925"/>
      <c r="L7" s="925"/>
      <c r="M7" s="925"/>
      <c r="N7" s="925"/>
      <c r="O7" s="925"/>
      <c r="P7" s="925"/>
      <c r="Q7" s="925"/>
      <c r="R7" s="925"/>
      <c r="S7" s="925"/>
      <c r="T7" s="925"/>
      <c r="U7" s="925"/>
      <c r="V7" s="925"/>
      <c r="W7" s="925"/>
      <c r="X7" s="925"/>
      <c r="Y7" s="925"/>
      <c r="Z7" s="925"/>
      <c r="AA7" s="925"/>
      <c r="AB7" s="925"/>
      <c r="AC7" s="925"/>
      <c r="AD7" s="925"/>
      <c r="AE7" s="925"/>
    </row>
    <row r="8" spans="1:38" ht="16.5" customHeight="1">
      <c r="A8" s="2">
        <v>6</v>
      </c>
      <c r="B8" s="134" t="s">
        <v>243</v>
      </c>
      <c r="C8" s="162" t="s">
        <v>395</v>
      </c>
      <c r="H8" s="938" t="s">
        <v>391</v>
      </c>
      <c r="I8" s="938"/>
      <c r="J8" s="938"/>
      <c r="K8" s="938"/>
      <c r="L8" s="939"/>
      <c r="M8" s="1004" t="str">
        <f>C3</f>
        <v>㈜노마드랩</v>
      </c>
      <c r="N8" s="1005"/>
      <c r="O8" s="1005"/>
      <c r="P8" s="1005"/>
      <c r="Q8" s="1005"/>
      <c r="R8" s="1005"/>
      <c r="S8" s="1005"/>
      <c r="T8" s="1006"/>
      <c r="U8" s="1002" t="s">
        <v>392</v>
      </c>
      <c r="V8" s="938"/>
      <c r="W8" s="938"/>
      <c r="X8" s="938"/>
      <c r="Y8" s="938"/>
      <c r="Z8" s="938"/>
      <c r="AA8" s="939"/>
      <c r="AB8" s="1007" t="str">
        <f>C4</f>
        <v>홍길동</v>
      </c>
      <c r="AC8" s="1008"/>
      <c r="AD8" s="1008"/>
      <c r="AE8" s="1008"/>
    </row>
    <row r="9" spans="1:38" ht="16.5" customHeight="1">
      <c r="A9" s="2">
        <v>7</v>
      </c>
      <c r="B9" s="134" t="s">
        <v>244</v>
      </c>
      <c r="C9" s="10">
        <v>123</v>
      </c>
      <c r="H9" s="940" t="s">
        <v>349</v>
      </c>
      <c r="I9" s="940"/>
      <c r="J9" s="940"/>
      <c r="K9" s="940"/>
      <c r="L9" s="941"/>
      <c r="M9" s="929" t="str">
        <f>C5</f>
        <v>11111-1111-111
(121212121)</v>
      </c>
      <c r="N9" s="930"/>
      <c r="O9" s="930"/>
      <c r="P9" s="930"/>
      <c r="Q9" s="930"/>
      <c r="R9" s="930"/>
      <c r="S9" s="930"/>
      <c r="T9" s="931"/>
      <c r="U9" s="1003" t="s">
        <v>351</v>
      </c>
      <c r="V9" s="940"/>
      <c r="W9" s="940"/>
      <c r="X9" s="940"/>
      <c r="Y9" s="940"/>
      <c r="Z9" s="940"/>
      <c r="AA9" s="941"/>
      <c r="AB9" s="929">
        <f>C6</f>
        <v>121212121</v>
      </c>
      <c r="AC9" s="930"/>
      <c r="AD9" s="930"/>
      <c r="AE9" s="930"/>
    </row>
    <row r="10" spans="1:38" ht="16.5" customHeight="1">
      <c r="A10" s="2">
        <v>8</v>
      </c>
      <c r="B10" s="134" t="s">
        <v>245</v>
      </c>
      <c r="C10" s="133" t="s">
        <v>396</v>
      </c>
      <c r="E10" s="128"/>
      <c r="H10" s="936" t="s">
        <v>350</v>
      </c>
      <c r="I10" s="936"/>
      <c r="J10" s="936"/>
      <c r="K10" s="936"/>
      <c r="L10" s="937"/>
      <c r="M10" s="932"/>
      <c r="N10" s="933"/>
      <c r="O10" s="933"/>
      <c r="P10" s="933"/>
      <c r="Q10" s="933"/>
      <c r="R10" s="933"/>
      <c r="S10" s="933"/>
      <c r="T10" s="934"/>
      <c r="U10" s="935" t="s">
        <v>352</v>
      </c>
      <c r="V10" s="936"/>
      <c r="W10" s="936"/>
      <c r="X10" s="936"/>
      <c r="Y10" s="936"/>
      <c r="Z10" s="936"/>
      <c r="AA10" s="937"/>
      <c r="AB10" s="932"/>
      <c r="AC10" s="933"/>
      <c r="AD10" s="933"/>
      <c r="AE10" s="933"/>
    </row>
    <row r="11" spans="1:38" ht="19.5">
      <c r="A11" s="2">
        <v>9</v>
      </c>
      <c r="B11" s="134" t="s">
        <v>246</v>
      </c>
      <c r="C11" s="10"/>
      <c r="H11" s="1001" t="s">
        <v>10</v>
      </c>
      <c r="I11" s="1001"/>
      <c r="J11" s="1001"/>
      <c r="K11" s="1001"/>
      <c r="L11" s="1000"/>
      <c r="M11" s="1034" t="str">
        <f>C7</f>
        <v>부산광역시 부산진구</v>
      </c>
      <c r="N11" s="1035"/>
      <c r="O11" s="1035"/>
      <c r="P11" s="1035"/>
      <c r="Q11" s="1035"/>
      <c r="R11" s="1035"/>
      <c r="S11" s="1035"/>
      <c r="T11" s="1035"/>
      <c r="U11" s="1035"/>
      <c r="V11" s="1035"/>
      <c r="W11" s="1035"/>
      <c r="X11" s="1035"/>
      <c r="Y11" s="1035"/>
      <c r="Z11" s="1035"/>
      <c r="AA11" s="1035"/>
      <c r="AB11" s="1035"/>
      <c r="AC11" s="1035"/>
      <c r="AD11" s="1035"/>
      <c r="AE11" s="1035"/>
    </row>
    <row r="12" spans="1:38" ht="19.5">
      <c r="A12" s="2">
        <v>10</v>
      </c>
      <c r="B12" s="134" t="s">
        <v>207</v>
      </c>
      <c r="C12" s="111">
        <v>45518</v>
      </c>
      <c r="H12" s="940" t="s">
        <v>353</v>
      </c>
      <c r="I12" s="940"/>
      <c r="J12" s="940"/>
      <c r="K12" s="940"/>
      <c r="L12" s="941"/>
      <c r="M12" s="999" t="s">
        <v>164</v>
      </c>
      <c r="N12" s="1000"/>
      <c r="O12" s="928" t="str">
        <f>C8</f>
        <v>이순신</v>
      </c>
      <c r="P12" s="926"/>
      <c r="Q12" s="926"/>
      <c r="R12" s="926"/>
      <c r="S12" s="926"/>
      <c r="T12" s="926"/>
      <c r="U12" s="926"/>
      <c r="V12" s="926"/>
      <c r="W12" s="927"/>
      <c r="X12" s="999" t="s">
        <v>354</v>
      </c>
      <c r="Y12" s="1001"/>
      <c r="Z12" s="1001"/>
      <c r="AA12" s="1001"/>
      <c r="AB12" s="1000"/>
      <c r="AC12" s="928">
        <f>C9</f>
        <v>123</v>
      </c>
      <c r="AD12" s="926"/>
      <c r="AE12" s="926"/>
    </row>
    <row r="13" spans="1:38" ht="16.899999999999999">
      <c r="A13" s="2">
        <v>11</v>
      </c>
      <c r="H13" s="1036"/>
      <c r="I13" s="1036"/>
      <c r="J13" s="1036"/>
      <c r="K13" s="1036"/>
      <c r="L13" s="1037"/>
      <c r="M13" s="988" t="s">
        <v>20</v>
      </c>
      <c r="N13" s="990"/>
      <c r="O13" s="1038" t="str">
        <f>C10</f>
        <v>KJH5848@GMAIL.COM</v>
      </c>
      <c r="P13" s="1039"/>
      <c r="Q13" s="1039"/>
      <c r="R13" s="1039"/>
      <c r="S13" s="1039"/>
      <c r="T13" s="1039"/>
      <c r="U13" s="1039"/>
      <c r="V13" s="1039"/>
      <c r="W13" s="1040"/>
      <c r="X13" s="988" t="s">
        <v>355</v>
      </c>
      <c r="Y13" s="989"/>
      <c r="Z13" s="989"/>
      <c r="AA13" s="989"/>
      <c r="AB13" s="990"/>
      <c r="AC13" s="991">
        <f>C11</f>
        <v>0</v>
      </c>
      <c r="AD13" s="992"/>
      <c r="AE13" s="992"/>
    </row>
    <row r="14" spans="1:38" ht="16.5" customHeight="1">
      <c r="A14" s="2">
        <v>12</v>
      </c>
      <c r="B14" s="144" t="s">
        <v>250</v>
      </c>
      <c r="C14" s="144" t="s">
        <v>249</v>
      </c>
      <c r="D14" s="144" t="s">
        <v>248</v>
      </c>
      <c r="E14" s="144" t="s">
        <v>247</v>
      </c>
      <c r="H14" s="955"/>
      <c r="I14" s="955"/>
      <c r="J14" s="955"/>
      <c r="K14" s="955"/>
      <c r="L14" s="955"/>
      <c r="M14" s="955"/>
      <c r="N14" s="955"/>
      <c r="O14" s="955"/>
      <c r="P14" s="955"/>
      <c r="Q14" s="955"/>
      <c r="R14" s="955"/>
      <c r="S14" s="955"/>
      <c r="T14" s="955"/>
      <c r="U14" s="955"/>
      <c r="V14" s="955"/>
      <c r="W14" s="955"/>
      <c r="X14" s="955"/>
      <c r="Y14" s="955"/>
      <c r="Z14" s="955"/>
      <c r="AA14" s="955"/>
      <c r="AB14" s="955"/>
      <c r="AC14" s="955"/>
      <c r="AD14" s="955"/>
      <c r="AE14" s="955"/>
    </row>
    <row r="15" spans="1:38" ht="16.5" customHeight="1">
      <c r="A15" s="2">
        <v>13</v>
      </c>
      <c r="B15" s="55" t="s">
        <v>232</v>
      </c>
      <c r="C15" s="55">
        <v>501111</v>
      </c>
      <c r="D15" s="55" t="s">
        <v>229</v>
      </c>
      <c r="E15" s="55">
        <v>140</v>
      </c>
      <c r="H15" s="942" t="s">
        <v>356</v>
      </c>
      <c r="I15" s="942"/>
      <c r="J15" s="942"/>
      <c r="K15" s="942"/>
      <c r="L15" s="943"/>
      <c r="M15" s="956"/>
      <c r="N15" s="957"/>
      <c r="O15" s="957"/>
      <c r="P15" s="957"/>
      <c r="Q15" s="957"/>
      <c r="R15" s="957"/>
      <c r="S15" s="957"/>
      <c r="T15" s="957"/>
      <c r="U15" s="957"/>
      <c r="V15" s="957"/>
      <c r="W15" s="957"/>
      <c r="X15" s="957"/>
      <c r="Y15" s="957"/>
      <c r="Z15" s="957"/>
      <c r="AA15" s="957"/>
      <c r="AB15" s="957"/>
      <c r="AC15" s="957"/>
      <c r="AD15" s="957"/>
      <c r="AE15" s="957"/>
    </row>
    <row r="16" spans="1:38" ht="16.5" customHeight="1">
      <c r="A16" s="2">
        <v>14</v>
      </c>
      <c r="B16" s="55" t="s">
        <v>234</v>
      </c>
      <c r="C16" s="55">
        <v>111111</v>
      </c>
      <c r="D16" s="55" t="s">
        <v>188</v>
      </c>
      <c r="E16" s="55">
        <v>140</v>
      </c>
      <c r="H16" s="944" t="s">
        <v>357</v>
      </c>
      <c r="I16" s="944"/>
      <c r="J16" s="944"/>
      <c r="K16" s="944"/>
      <c r="L16" s="945"/>
      <c r="M16" s="946" t="s">
        <v>359</v>
      </c>
      <c r="N16" s="944"/>
      <c r="O16" s="944"/>
      <c r="P16" s="945"/>
      <c r="Q16" s="946" t="s">
        <v>361</v>
      </c>
      <c r="R16" s="944"/>
      <c r="S16" s="944"/>
      <c r="T16" s="944"/>
      <c r="U16" s="944"/>
      <c r="V16" s="944"/>
      <c r="W16" s="944"/>
      <c r="X16" s="944"/>
      <c r="Y16" s="944"/>
      <c r="Z16" s="944"/>
      <c r="AA16" s="944"/>
      <c r="AB16" s="944"/>
      <c r="AC16" s="944"/>
      <c r="AD16" s="945"/>
      <c r="AE16" s="156" t="s">
        <v>363</v>
      </c>
    </row>
    <row r="17" spans="1:31" ht="16.5" customHeight="1">
      <c r="A17" s="2">
        <v>15</v>
      </c>
      <c r="H17" s="922" t="s">
        <v>358</v>
      </c>
      <c r="I17" s="922"/>
      <c r="J17" s="922"/>
      <c r="K17" s="922"/>
      <c r="L17" s="923"/>
      <c r="M17" s="924" t="s">
        <v>360</v>
      </c>
      <c r="N17" s="922"/>
      <c r="O17" s="922"/>
      <c r="P17" s="923"/>
      <c r="Q17" s="924" t="s">
        <v>362</v>
      </c>
      <c r="R17" s="922"/>
      <c r="S17" s="922"/>
      <c r="T17" s="922"/>
      <c r="U17" s="922"/>
      <c r="V17" s="922"/>
      <c r="W17" s="922"/>
      <c r="X17" s="922"/>
      <c r="Y17" s="922"/>
      <c r="Z17" s="922"/>
      <c r="AA17" s="922"/>
      <c r="AB17" s="922"/>
      <c r="AC17" s="922"/>
      <c r="AD17" s="923"/>
      <c r="AE17" s="157" t="s">
        <v>364</v>
      </c>
    </row>
    <row r="18" spans="1:31" ht="16.899999999999999">
      <c r="A18" s="2">
        <v>16</v>
      </c>
      <c r="H18" s="926" t="str">
        <f>B15</f>
        <v>홍길동</v>
      </c>
      <c r="I18" s="926"/>
      <c r="J18" s="926"/>
      <c r="K18" s="926"/>
      <c r="L18" s="927"/>
      <c r="M18" s="928">
        <f>C15</f>
        <v>501111</v>
      </c>
      <c r="N18" s="926"/>
      <c r="O18" s="926"/>
      <c r="P18" s="927"/>
      <c r="Q18" s="928" t="str">
        <f>D15</f>
        <v>남</v>
      </c>
      <c r="R18" s="926"/>
      <c r="S18" s="926"/>
      <c r="T18" s="926"/>
      <c r="U18" s="926"/>
      <c r="V18" s="926"/>
      <c r="W18" s="926"/>
      <c r="X18" s="926"/>
      <c r="Y18" s="926"/>
      <c r="Z18" s="926"/>
      <c r="AA18" s="926"/>
      <c r="AB18" s="926"/>
      <c r="AC18" s="926"/>
      <c r="AD18" s="927"/>
      <c r="AE18" s="158">
        <f>E15</f>
        <v>140</v>
      </c>
    </row>
    <row r="19" spans="1:31" ht="16.899999999999999">
      <c r="A19" s="2">
        <v>17</v>
      </c>
      <c r="H19" s="926" t="str">
        <f t="shared" ref="H19:H25" si="0">B16</f>
        <v>수지</v>
      </c>
      <c r="I19" s="926"/>
      <c r="J19" s="926"/>
      <c r="K19" s="926"/>
      <c r="L19" s="927"/>
      <c r="M19" s="928">
        <f t="shared" ref="M19:M25" si="1">C16</f>
        <v>111111</v>
      </c>
      <c r="N19" s="926"/>
      <c r="O19" s="926"/>
      <c r="P19" s="927"/>
      <c r="Q19" s="928"/>
      <c r="R19" s="926"/>
      <c r="S19" s="926"/>
      <c r="T19" s="926"/>
      <c r="U19" s="926"/>
      <c r="V19" s="926"/>
      <c r="W19" s="926"/>
      <c r="X19" s="926"/>
      <c r="Y19" s="926"/>
      <c r="Z19" s="926"/>
      <c r="AA19" s="926"/>
      <c r="AB19" s="926"/>
      <c r="AC19" s="926"/>
      <c r="AD19" s="927"/>
      <c r="AE19" s="158"/>
    </row>
    <row r="20" spans="1:31" ht="16.899999999999999">
      <c r="A20" s="2">
        <v>18</v>
      </c>
      <c r="H20" s="926">
        <f t="shared" si="0"/>
        <v>0</v>
      </c>
      <c r="I20" s="926"/>
      <c r="J20" s="926"/>
      <c r="K20" s="926"/>
      <c r="L20" s="927"/>
      <c r="M20" s="928">
        <f t="shared" si="1"/>
        <v>0</v>
      </c>
      <c r="N20" s="926"/>
      <c r="O20" s="926"/>
      <c r="P20" s="927"/>
      <c r="Q20" s="928"/>
      <c r="R20" s="926"/>
      <c r="S20" s="926"/>
      <c r="T20" s="926"/>
      <c r="U20" s="926"/>
      <c r="V20" s="926"/>
      <c r="W20" s="926"/>
      <c r="X20" s="926"/>
      <c r="Y20" s="926"/>
      <c r="Z20" s="926"/>
      <c r="AA20" s="926"/>
      <c r="AB20" s="926"/>
      <c r="AC20" s="926"/>
      <c r="AD20" s="927"/>
      <c r="AE20" s="158"/>
    </row>
    <row r="21" spans="1:31" ht="16.899999999999999">
      <c r="A21" s="2">
        <v>19</v>
      </c>
      <c r="H21" s="926">
        <f t="shared" si="0"/>
        <v>0</v>
      </c>
      <c r="I21" s="926"/>
      <c r="J21" s="926"/>
      <c r="K21" s="926"/>
      <c r="L21" s="927"/>
      <c r="M21" s="928">
        <f t="shared" si="1"/>
        <v>0</v>
      </c>
      <c r="N21" s="926"/>
      <c r="O21" s="926"/>
      <c r="P21" s="927"/>
      <c r="Q21" s="928"/>
      <c r="R21" s="926"/>
      <c r="S21" s="926"/>
      <c r="T21" s="926"/>
      <c r="U21" s="926"/>
      <c r="V21" s="926"/>
      <c r="W21" s="926"/>
      <c r="X21" s="926"/>
      <c r="Y21" s="926"/>
      <c r="Z21" s="926"/>
      <c r="AA21" s="926"/>
      <c r="AB21" s="926"/>
      <c r="AC21" s="926"/>
      <c r="AD21" s="927"/>
      <c r="AE21" s="158"/>
    </row>
    <row r="22" spans="1:31" ht="16.899999999999999">
      <c r="A22" s="2">
        <v>20</v>
      </c>
      <c r="H22" s="926">
        <f t="shared" si="0"/>
        <v>0</v>
      </c>
      <c r="I22" s="926"/>
      <c r="J22" s="926"/>
      <c r="K22" s="926"/>
      <c r="L22" s="927"/>
      <c r="M22" s="928">
        <f t="shared" si="1"/>
        <v>0</v>
      </c>
      <c r="N22" s="926"/>
      <c r="O22" s="926"/>
      <c r="P22" s="927"/>
      <c r="Q22" s="928"/>
      <c r="R22" s="926"/>
      <c r="S22" s="926"/>
      <c r="T22" s="926"/>
      <c r="U22" s="926"/>
      <c r="V22" s="926"/>
      <c r="W22" s="926"/>
      <c r="X22" s="926"/>
      <c r="Y22" s="926"/>
      <c r="Z22" s="926"/>
      <c r="AA22" s="926"/>
      <c r="AB22" s="926"/>
      <c r="AC22" s="926"/>
      <c r="AD22" s="927"/>
      <c r="AE22" s="158"/>
    </row>
    <row r="23" spans="1:31" ht="16.899999999999999">
      <c r="A23" s="2">
        <v>21</v>
      </c>
      <c r="H23" s="926">
        <f t="shared" si="0"/>
        <v>0</v>
      </c>
      <c r="I23" s="926"/>
      <c r="J23" s="926"/>
      <c r="K23" s="926"/>
      <c r="L23" s="927"/>
      <c r="M23" s="928">
        <f t="shared" si="1"/>
        <v>0</v>
      </c>
      <c r="N23" s="926"/>
      <c r="O23" s="926"/>
      <c r="P23" s="927"/>
      <c r="Q23" s="928"/>
      <c r="R23" s="926"/>
      <c r="S23" s="926"/>
      <c r="T23" s="926"/>
      <c r="U23" s="926"/>
      <c r="V23" s="926"/>
      <c r="W23" s="926"/>
      <c r="X23" s="926"/>
      <c r="Y23" s="926"/>
      <c r="Z23" s="926"/>
      <c r="AA23" s="926"/>
      <c r="AB23" s="926"/>
      <c r="AC23" s="926"/>
      <c r="AD23" s="927"/>
      <c r="AE23" s="158"/>
    </row>
    <row r="24" spans="1:31" ht="16.899999999999999">
      <c r="A24" s="2">
        <v>22</v>
      </c>
      <c r="H24" s="926">
        <f t="shared" si="0"/>
        <v>0</v>
      </c>
      <c r="I24" s="926"/>
      <c r="J24" s="926"/>
      <c r="K24" s="926"/>
      <c r="L24" s="927"/>
      <c r="M24" s="928">
        <f t="shared" si="1"/>
        <v>0</v>
      </c>
      <c r="N24" s="926"/>
      <c r="O24" s="926"/>
      <c r="P24" s="927"/>
      <c r="Q24" s="928"/>
      <c r="R24" s="926"/>
      <c r="S24" s="926"/>
      <c r="T24" s="926"/>
      <c r="U24" s="926"/>
      <c r="V24" s="926"/>
      <c r="W24" s="926"/>
      <c r="X24" s="926"/>
      <c r="Y24" s="926"/>
      <c r="Z24" s="926"/>
      <c r="AA24" s="926"/>
      <c r="AB24" s="926"/>
      <c r="AC24" s="926"/>
      <c r="AD24" s="927"/>
      <c r="AE24" s="158"/>
    </row>
    <row r="25" spans="1:31" ht="16.5" customHeight="1">
      <c r="A25" s="2">
        <v>23</v>
      </c>
      <c r="B25" s="55"/>
      <c r="H25" s="926">
        <f t="shared" si="0"/>
        <v>0</v>
      </c>
      <c r="I25" s="926"/>
      <c r="J25" s="926"/>
      <c r="K25" s="926"/>
      <c r="L25" s="927"/>
      <c r="M25" s="928">
        <f t="shared" si="1"/>
        <v>0</v>
      </c>
      <c r="N25" s="926"/>
      <c r="O25" s="926"/>
      <c r="P25" s="927"/>
      <c r="Q25" s="928"/>
      <c r="R25" s="926"/>
      <c r="S25" s="926"/>
      <c r="T25" s="926"/>
      <c r="U25" s="926"/>
      <c r="V25" s="926"/>
      <c r="W25" s="926"/>
      <c r="X25" s="926"/>
      <c r="Y25" s="926"/>
      <c r="Z25" s="926"/>
      <c r="AA25" s="926"/>
      <c r="AB25" s="926"/>
      <c r="AC25" s="926"/>
      <c r="AD25" s="927"/>
      <c r="AE25" s="158"/>
    </row>
    <row r="26" spans="1:31" ht="16.5" customHeight="1">
      <c r="A26" s="2">
        <v>24</v>
      </c>
      <c r="B26" s="55"/>
      <c r="H26" s="947" t="s">
        <v>365</v>
      </c>
      <c r="I26" s="947"/>
      <c r="J26" s="947"/>
      <c r="K26" s="947"/>
      <c r="L26" s="947"/>
      <c r="M26" s="947"/>
      <c r="N26" s="947"/>
      <c r="O26" s="947"/>
      <c r="P26" s="947" t="s">
        <v>366</v>
      </c>
      <c r="Q26" s="947"/>
      <c r="R26" s="947"/>
      <c r="S26" s="947"/>
      <c r="T26" s="947"/>
      <c r="U26" s="947"/>
      <c r="V26" s="947"/>
      <c r="W26" s="947" t="s">
        <v>363</v>
      </c>
      <c r="X26" s="947"/>
      <c r="Y26" s="947"/>
      <c r="Z26" s="947"/>
      <c r="AA26" s="947" t="s">
        <v>367</v>
      </c>
      <c r="AB26" s="947"/>
      <c r="AC26" s="947"/>
      <c r="AD26" s="947"/>
      <c r="AE26" s="947"/>
    </row>
    <row r="27" spans="1:31" ht="16.5" customHeight="1">
      <c r="A27" s="2">
        <v>25</v>
      </c>
      <c r="B27" s="55"/>
      <c r="H27" s="948"/>
      <c r="I27" s="948"/>
      <c r="J27" s="948"/>
      <c r="K27" s="948"/>
      <c r="L27" s="948"/>
      <c r="M27" s="948"/>
      <c r="N27" s="948"/>
      <c r="O27" s="948"/>
      <c r="P27" s="948"/>
      <c r="Q27" s="948"/>
      <c r="R27" s="948"/>
      <c r="S27" s="948"/>
      <c r="T27" s="948"/>
      <c r="U27" s="948"/>
      <c r="V27" s="948"/>
      <c r="W27" s="948"/>
      <c r="X27" s="948"/>
      <c r="Y27" s="948"/>
      <c r="Z27" s="948"/>
      <c r="AA27" s="948"/>
      <c r="AB27" s="948"/>
      <c r="AC27" s="948"/>
      <c r="AD27" s="948"/>
      <c r="AE27" s="948"/>
    </row>
    <row r="28" spans="1:31" ht="16.5" customHeight="1">
      <c r="A28" s="2">
        <v>26</v>
      </c>
      <c r="H28" s="950" t="s">
        <v>368</v>
      </c>
      <c r="I28" s="950"/>
      <c r="J28" s="950"/>
      <c r="K28" s="950"/>
      <c r="L28" s="951"/>
      <c r="M28" s="952" t="s">
        <v>369</v>
      </c>
      <c r="N28" s="953"/>
      <c r="O28" s="953"/>
      <c r="P28" s="953"/>
      <c r="Q28" s="953"/>
      <c r="R28" s="953"/>
      <c r="S28" s="954"/>
      <c r="T28" s="954"/>
      <c r="U28" s="954"/>
      <c r="V28" s="954"/>
      <c r="W28" s="954"/>
      <c r="X28" s="954"/>
      <c r="Y28" s="954"/>
      <c r="Z28" s="954"/>
      <c r="AA28" s="954"/>
      <c r="AB28" s="954"/>
      <c r="AC28" s="950" t="s">
        <v>370</v>
      </c>
      <c r="AD28" s="950"/>
      <c r="AE28" s="950"/>
    </row>
    <row r="29" spans="1:31" ht="16.5" customHeight="1">
      <c r="A29" s="2">
        <v>27</v>
      </c>
      <c r="H29" s="949"/>
      <c r="I29" s="949"/>
      <c r="J29" s="949"/>
      <c r="K29" s="949"/>
      <c r="L29" s="949"/>
      <c r="M29" s="949"/>
      <c r="N29" s="949"/>
      <c r="O29" s="949"/>
      <c r="P29" s="949"/>
      <c r="Q29" s="949"/>
      <c r="R29" s="949"/>
      <c r="S29" s="949"/>
      <c r="T29" s="949"/>
      <c r="U29" s="949"/>
      <c r="V29" s="949"/>
      <c r="W29" s="949"/>
      <c r="X29" s="949"/>
      <c r="Y29" s="949"/>
      <c r="Z29" s="949"/>
      <c r="AA29" s="949"/>
      <c r="AB29" s="949"/>
      <c r="AC29" s="949"/>
      <c r="AD29" s="949"/>
      <c r="AE29" s="949"/>
    </row>
    <row r="30" spans="1:31" ht="16.5" customHeight="1">
      <c r="A30" s="2">
        <v>28</v>
      </c>
      <c r="H30" s="972" t="s">
        <v>371</v>
      </c>
      <c r="I30" s="972"/>
      <c r="J30" s="972"/>
      <c r="K30" s="972"/>
      <c r="L30" s="972"/>
      <c r="M30" s="972"/>
      <c r="N30" s="972"/>
      <c r="O30" s="972"/>
      <c r="P30" s="972"/>
      <c r="Q30" s="972"/>
      <c r="R30" s="972"/>
      <c r="S30" s="972"/>
      <c r="T30" s="972"/>
      <c r="U30" s="972"/>
      <c r="V30" s="972"/>
      <c r="W30" s="972"/>
      <c r="X30" s="972"/>
      <c r="Y30" s="972"/>
      <c r="Z30" s="972"/>
      <c r="AA30" s="972"/>
      <c r="AB30" s="972"/>
      <c r="AC30" s="972"/>
      <c r="AD30" s="972"/>
      <c r="AE30" s="972"/>
    </row>
    <row r="31" spans="1:31" ht="22.5" customHeight="1">
      <c r="A31" s="2">
        <v>29</v>
      </c>
      <c r="H31" s="973" t="s">
        <v>372</v>
      </c>
      <c r="I31" s="973"/>
      <c r="J31" s="973"/>
      <c r="K31" s="973"/>
      <c r="L31" s="973"/>
      <c r="M31" s="973"/>
      <c r="N31" s="973"/>
      <c r="O31" s="973"/>
      <c r="P31" s="973"/>
      <c r="Q31" s="973"/>
      <c r="R31" s="973"/>
      <c r="S31" s="973"/>
      <c r="T31" s="973"/>
      <c r="U31" s="973"/>
      <c r="V31" s="973"/>
      <c r="W31" s="973"/>
      <c r="X31" s="973"/>
      <c r="Y31" s="973"/>
      <c r="Z31" s="973"/>
      <c r="AA31" s="973"/>
      <c r="AB31" s="973"/>
      <c r="AC31" s="973"/>
      <c r="AD31" s="973"/>
      <c r="AE31" s="973"/>
    </row>
    <row r="32" spans="1:31" ht="17.25" customHeight="1">
      <c r="A32" s="2">
        <v>30</v>
      </c>
      <c r="H32" s="974"/>
      <c r="I32" s="974"/>
      <c r="J32" s="974"/>
      <c r="K32" s="974"/>
      <c r="L32" s="974"/>
      <c r="M32" s="974"/>
      <c r="N32" s="974"/>
      <c r="O32" s="974"/>
      <c r="P32" s="974"/>
      <c r="Q32" s="974"/>
      <c r="R32" s="974"/>
      <c r="S32" s="974"/>
      <c r="T32" s="975" t="s">
        <v>373</v>
      </c>
      <c r="U32" s="975"/>
      <c r="V32" s="975"/>
      <c r="W32" s="975"/>
      <c r="X32" s="975"/>
      <c r="Y32" s="975"/>
      <c r="Z32" s="976"/>
      <c r="AA32" s="976"/>
      <c r="AB32" s="976"/>
      <c r="AC32" s="976"/>
      <c r="AD32" s="976"/>
      <c r="AE32" s="159" t="s">
        <v>374</v>
      </c>
    </row>
    <row r="33" spans="1:31" ht="17.25" customHeight="1" thickBot="1">
      <c r="A33" s="2">
        <v>31</v>
      </c>
      <c r="H33" s="963" t="s">
        <v>375</v>
      </c>
      <c r="I33" s="963"/>
      <c r="J33" s="963"/>
      <c r="K33" s="963"/>
      <c r="L33" s="963"/>
      <c r="M33" s="963"/>
      <c r="N33" s="963"/>
      <c r="O33" s="963"/>
      <c r="P33" s="963"/>
      <c r="Q33" s="963"/>
      <c r="R33" s="963"/>
      <c r="S33" s="963"/>
      <c r="T33" s="963"/>
      <c r="U33" s="963"/>
      <c r="V33" s="963"/>
      <c r="W33" s="963"/>
      <c r="X33" s="963"/>
      <c r="Y33" s="963"/>
      <c r="Z33" s="963"/>
      <c r="AA33" s="964" t="s">
        <v>376</v>
      </c>
      <c r="AB33" s="964"/>
      <c r="AC33" s="964"/>
      <c r="AD33" s="964"/>
      <c r="AE33" s="964"/>
    </row>
    <row r="34" spans="1:31" ht="16.5" customHeight="1" thickTop="1">
      <c r="A34" s="2">
        <v>32</v>
      </c>
      <c r="H34" s="965"/>
      <c r="I34" s="965"/>
      <c r="J34" s="965"/>
      <c r="K34" s="965"/>
      <c r="L34" s="965"/>
      <c r="M34" s="965"/>
      <c r="N34" s="965"/>
      <c r="O34" s="965"/>
      <c r="P34" s="965"/>
      <c r="Q34" s="965"/>
      <c r="R34" s="965"/>
      <c r="S34" s="965"/>
      <c r="T34" s="965"/>
      <c r="U34" s="965"/>
      <c r="V34" s="965"/>
      <c r="W34" s="965"/>
      <c r="X34" s="965"/>
      <c r="Y34" s="965"/>
      <c r="Z34" s="965"/>
      <c r="AA34" s="965"/>
      <c r="AB34" s="965"/>
      <c r="AC34" s="965"/>
      <c r="AD34" s="965"/>
      <c r="AE34" s="965"/>
    </row>
    <row r="35" spans="1:31" ht="16.5" customHeight="1">
      <c r="A35" s="2">
        <v>33</v>
      </c>
      <c r="H35" s="966" t="s">
        <v>377</v>
      </c>
      <c r="I35" s="966"/>
      <c r="J35" s="967"/>
      <c r="K35" s="961" t="s">
        <v>378</v>
      </c>
      <c r="L35" s="962"/>
      <c r="M35" s="962"/>
      <c r="N35" s="962"/>
      <c r="O35" s="962"/>
      <c r="P35" s="962"/>
      <c r="Q35" s="962"/>
      <c r="R35" s="962"/>
      <c r="S35" s="962"/>
      <c r="T35" s="962"/>
      <c r="U35" s="962"/>
      <c r="V35" s="962"/>
      <c r="W35" s="962"/>
      <c r="X35" s="962"/>
      <c r="Y35" s="962"/>
      <c r="Z35" s="962"/>
      <c r="AA35" s="962"/>
      <c r="AB35" s="962"/>
      <c r="AC35" s="962"/>
      <c r="AD35" s="962"/>
      <c r="AE35" s="962"/>
    </row>
    <row r="36" spans="1:31" ht="17.25" customHeight="1" thickBot="1">
      <c r="A36" s="2">
        <v>34</v>
      </c>
      <c r="H36" s="968"/>
      <c r="I36" s="968"/>
      <c r="J36" s="969"/>
      <c r="K36" s="970" t="s">
        <v>379</v>
      </c>
      <c r="L36" s="971"/>
      <c r="M36" s="971"/>
      <c r="N36" s="971"/>
      <c r="O36" s="971"/>
      <c r="P36" s="971"/>
      <c r="Q36" s="971"/>
      <c r="R36" s="971"/>
      <c r="S36" s="971"/>
      <c r="T36" s="971"/>
      <c r="U36" s="971"/>
      <c r="V36" s="971"/>
      <c r="W36" s="971"/>
      <c r="X36" s="971"/>
      <c r="Y36" s="971"/>
      <c r="Z36" s="971"/>
      <c r="AA36" s="971"/>
      <c r="AB36" s="971"/>
      <c r="AC36" s="971"/>
      <c r="AD36" s="971"/>
      <c r="AE36" s="971"/>
    </row>
    <row r="37" spans="1:31" ht="17.25" customHeight="1" thickBot="1">
      <c r="A37" s="2">
        <v>35</v>
      </c>
      <c r="H37" s="979" t="s">
        <v>380</v>
      </c>
      <c r="I37" s="979"/>
      <c r="J37" s="979"/>
      <c r="K37" s="979"/>
      <c r="L37" s="979"/>
      <c r="M37" s="979"/>
      <c r="N37" s="979"/>
      <c r="O37" s="979"/>
      <c r="P37" s="979"/>
      <c r="Q37" s="979"/>
      <c r="R37" s="979"/>
      <c r="S37" s="979"/>
      <c r="T37" s="979"/>
      <c r="U37" s="979"/>
      <c r="V37" s="979"/>
      <c r="W37" s="979"/>
      <c r="X37" s="979"/>
      <c r="Y37" s="979"/>
      <c r="Z37" s="979"/>
      <c r="AA37" s="979"/>
      <c r="AB37" s="979"/>
      <c r="AC37" s="979"/>
      <c r="AD37" s="979"/>
      <c r="AE37" s="979"/>
    </row>
    <row r="38" spans="1:31" ht="16.5" customHeight="1">
      <c r="A38" s="2">
        <v>36</v>
      </c>
      <c r="H38" s="980" t="s">
        <v>381</v>
      </c>
      <c r="I38" s="958" t="s">
        <v>382</v>
      </c>
      <c r="J38" s="959"/>
      <c r="K38" s="959"/>
      <c r="L38" s="959"/>
      <c r="M38" s="959"/>
      <c r="N38" s="959"/>
      <c r="O38" s="959"/>
      <c r="P38" s="959"/>
      <c r="Q38" s="960"/>
      <c r="R38" s="958" t="s">
        <v>347</v>
      </c>
      <c r="S38" s="959"/>
      <c r="T38" s="959"/>
      <c r="U38" s="959"/>
      <c r="V38" s="959"/>
      <c r="W38" s="959"/>
      <c r="X38" s="960"/>
      <c r="Y38" s="958" t="s">
        <v>383</v>
      </c>
      <c r="Z38" s="959"/>
      <c r="AA38" s="959"/>
      <c r="AB38" s="959"/>
      <c r="AC38" s="959"/>
      <c r="AD38" s="959"/>
      <c r="AE38" s="959"/>
    </row>
    <row r="39" spans="1:31" ht="16.5" customHeight="1">
      <c r="A39" s="2">
        <v>37</v>
      </c>
      <c r="H39" s="981"/>
      <c r="I39" s="982"/>
      <c r="J39" s="983"/>
      <c r="K39" s="983"/>
      <c r="L39" s="983"/>
      <c r="M39" s="983"/>
      <c r="N39" s="983"/>
      <c r="O39" s="983"/>
      <c r="P39" s="983"/>
      <c r="Q39" s="984"/>
      <c r="R39" s="985"/>
      <c r="S39" s="986"/>
      <c r="T39" s="986"/>
      <c r="U39" s="986"/>
      <c r="V39" s="986"/>
      <c r="W39" s="986"/>
      <c r="X39" s="987"/>
      <c r="Y39" s="982"/>
      <c r="Z39" s="983"/>
      <c r="AA39" s="983"/>
      <c r="AB39" s="983"/>
      <c r="AC39" s="983"/>
      <c r="AD39" s="983"/>
      <c r="AE39" s="983"/>
    </row>
    <row r="40" spans="1:31" ht="16.5" customHeight="1">
      <c r="A40" s="2">
        <v>38</v>
      </c>
      <c r="H40" s="1012" t="s">
        <v>384</v>
      </c>
      <c r="I40" s="1014" t="s">
        <v>385</v>
      </c>
      <c r="J40" s="1015"/>
      <c r="K40" s="1016"/>
      <c r="L40" s="1020"/>
      <c r="M40" s="1021"/>
      <c r="N40" s="1014" t="s">
        <v>386</v>
      </c>
      <c r="O40" s="1015"/>
      <c r="P40" s="1015"/>
      <c r="Q40" s="1016"/>
      <c r="R40" s="1020"/>
      <c r="S40" s="1024"/>
      <c r="T40" s="1024"/>
      <c r="U40" s="1021"/>
      <c r="V40" s="1014" t="s">
        <v>387</v>
      </c>
      <c r="W40" s="1015"/>
      <c r="X40" s="1016"/>
      <c r="Y40" s="1026"/>
      <c r="Z40" s="1027"/>
      <c r="AA40" s="1027"/>
      <c r="AB40" s="1027"/>
      <c r="AC40" s="1028"/>
      <c r="AD40" s="977" t="s">
        <v>388</v>
      </c>
      <c r="AE40" s="978"/>
    </row>
    <row r="41" spans="1:31" ht="17.25" customHeight="1" thickBot="1">
      <c r="A41" s="2">
        <v>39</v>
      </c>
      <c r="H41" s="1013"/>
      <c r="I41" s="1017"/>
      <c r="J41" s="1018"/>
      <c r="K41" s="1019"/>
      <c r="L41" s="1022"/>
      <c r="M41" s="1023"/>
      <c r="N41" s="1017"/>
      <c r="O41" s="1018"/>
      <c r="P41" s="1018"/>
      <c r="Q41" s="1019"/>
      <c r="R41" s="1022"/>
      <c r="S41" s="1025"/>
      <c r="T41" s="1025"/>
      <c r="U41" s="1023"/>
      <c r="V41" s="1017"/>
      <c r="W41" s="1018"/>
      <c r="X41" s="1019"/>
      <c r="Y41" s="1029"/>
      <c r="Z41" s="1030"/>
      <c r="AA41" s="1030"/>
      <c r="AB41" s="1030"/>
      <c r="AC41" s="1031"/>
      <c r="AD41" s="1032" t="s">
        <v>389</v>
      </c>
      <c r="AE41" s="1033"/>
    </row>
    <row r="42" spans="1:31" ht="16.899999999999999">
      <c r="A42" s="2">
        <v>40</v>
      </c>
    </row>
    <row r="43" spans="1:31" ht="16.899999999999999">
      <c r="A43" s="2">
        <v>41</v>
      </c>
    </row>
    <row r="44" spans="1:31" ht="16.899999999999999">
      <c r="A44" s="2">
        <v>42</v>
      </c>
    </row>
    <row r="45" spans="1:31" ht="16.899999999999999">
      <c r="A45" s="2">
        <v>43</v>
      </c>
    </row>
    <row r="46" spans="1:31" ht="16.899999999999999">
      <c r="A46" s="2">
        <v>44</v>
      </c>
    </row>
    <row r="47" spans="1:31" ht="16.899999999999999">
      <c r="A47" s="2">
        <v>45</v>
      </c>
    </row>
    <row r="48" spans="1:31" ht="16.899999999999999">
      <c r="A48" s="2">
        <v>46</v>
      </c>
    </row>
    <row r="49" spans="1:1" ht="16.899999999999999">
      <c r="A49" s="2">
        <v>47</v>
      </c>
    </row>
    <row r="50" spans="1:1" ht="16.899999999999999">
      <c r="A50" s="2">
        <v>48</v>
      </c>
    </row>
    <row r="51" spans="1:1" ht="16.899999999999999">
      <c r="A51" s="2">
        <v>49</v>
      </c>
    </row>
    <row r="52" spans="1:1" ht="16.899999999999999">
      <c r="A52" s="2">
        <v>50</v>
      </c>
    </row>
    <row r="53" spans="1:1" ht="16.899999999999999">
      <c r="A53" s="2">
        <v>51</v>
      </c>
    </row>
    <row r="54" spans="1:1" ht="16.899999999999999">
      <c r="A54" s="2">
        <v>52</v>
      </c>
    </row>
    <row r="55" spans="1:1" ht="16.899999999999999">
      <c r="A55" s="2">
        <v>53</v>
      </c>
    </row>
    <row r="56" spans="1:1" ht="16.899999999999999">
      <c r="A56" s="2">
        <v>54</v>
      </c>
    </row>
    <row r="57" spans="1:1" ht="16.899999999999999">
      <c r="A57" s="2">
        <v>55</v>
      </c>
    </row>
    <row r="58" spans="1:1" ht="16.899999999999999">
      <c r="A58" s="2">
        <v>56</v>
      </c>
    </row>
    <row r="59" spans="1:1" ht="16.899999999999999">
      <c r="A59" s="2">
        <v>57</v>
      </c>
    </row>
    <row r="60" spans="1:1" ht="16.899999999999999">
      <c r="A60" s="2">
        <v>58</v>
      </c>
    </row>
    <row r="61" spans="1:1" ht="16.899999999999999">
      <c r="A61" s="2">
        <v>59</v>
      </c>
    </row>
    <row r="62" spans="1:1" ht="16.899999999999999">
      <c r="A62" s="2">
        <v>60</v>
      </c>
    </row>
    <row r="63" spans="1:1" ht="16.899999999999999">
      <c r="A63" s="2">
        <v>61</v>
      </c>
    </row>
  </sheetData>
  <mergeCells count="100">
    <mergeCell ref="H2:AE4"/>
    <mergeCell ref="B2:C2"/>
    <mergeCell ref="Y39:AE39"/>
    <mergeCell ref="H40:H41"/>
    <mergeCell ref="I40:K41"/>
    <mergeCell ref="L40:M41"/>
    <mergeCell ref="N40:Q41"/>
    <mergeCell ref="R40:U41"/>
    <mergeCell ref="V40:X41"/>
    <mergeCell ref="Y40:AC41"/>
    <mergeCell ref="AD41:AE41"/>
    <mergeCell ref="H11:L11"/>
    <mergeCell ref="M11:AE11"/>
    <mergeCell ref="H12:L13"/>
    <mergeCell ref="M13:N13"/>
    <mergeCell ref="O13:W13"/>
    <mergeCell ref="X13:AB13"/>
    <mergeCell ref="AC13:AE13"/>
    <mergeCell ref="H5:AE5"/>
    <mergeCell ref="H6:I6"/>
    <mergeCell ref="J6:T6"/>
    <mergeCell ref="U6:AA6"/>
    <mergeCell ref="AB6:AE6"/>
    <mergeCell ref="M12:N12"/>
    <mergeCell ref="O12:W12"/>
    <mergeCell ref="X12:AB12"/>
    <mergeCell ref="AC12:AE12"/>
    <mergeCell ref="U8:AA8"/>
    <mergeCell ref="U9:AA9"/>
    <mergeCell ref="H10:L10"/>
    <mergeCell ref="M8:T8"/>
    <mergeCell ref="AB8:AE8"/>
    <mergeCell ref="AD40:AE40"/>
    <mergeCell ref="H37:AE37"/>
    <mergeCell ref="H38:H39"/>
    <mergeCell ref="I39:Q39"/>
    <mergeCell ref="R39:X39"/>
    <mergeCell ref="H14:AE14"/>
    <mergeCell ref="M15:AE15"/>
    <mergeCell ref="I38:Q38"/>
    <mergeCell ref="R38:X38"/>
    <mergeCell ref="Y38:AE38"/>
    <mergeCell ref="K35:AE35"/>
    <mergeCell ref="H33:Z33"/>
    <mergeCell ref="AA33:AE33"/>
    <mergeCell ref="H34:AE34"/>
    <mergeCell ref="H35:J36"/>
    <mergeCell ref="K36:AE36"/>
    <mergeCell ref="H30:AE30"/>
    <mergeCell ref="H31:AE31"/>
    <mergeCell ref="H32:S32"/>
    <mergeCell ref="T32:Y32"/>
    <mergeCell ref="Z32:AD32"/>
    <mergeCell ref="H27:AE27"/>
    <mergeCell ref="H29:AE29"/>
    <mergeCell ref="H28:L28"/>
    <mergeCell ref="M28:R28"/>
    <mergeCell ref="S28:AB28"/>
    <mergeCell ref="AC28:AE28"/>
    <mergeCell ref="H25:L25"/>
    <mergeCell ref="M25:P25"/>
    <mergeCell ref="Q25:AD25"/>
    <mergeCell ref="H26:O26"/>
    <mergeCell ref="P26:V26"/>
    <mergeCell ref="W26:Z26"/>
    <mergeCell ref="AA26:AE26"/>
    <mergeCell ref="H23:L23"/>
    <mergeCell ref="M23:P23"/>
    <mergeCell ref="Q23:AD23"/>
    <mergeCell ref="H24:L24"/>
    <mergeCell ref="M24:P24"/>
    <mergeCell ref="Q24:AD24"/>
    <mergeCell ref="H21:L21"/>
    <mergeCell ref="M21:P21"/>
    <mergeCell ref="Q21:AD21"/>
    <mergeCell ref="H22:L22"/>
    <mergeCell ref="M22:P22"/>
    <mergeCell ref="Q22:AD22"/>
    <mergeCell ref="H19:L19"/>
    <mergeCell ref="M19:P19"/>
    <mergeCell ref="Q19:AD19"/>
    <mergeCell ref="H20:L20"/>
    <mergeCell ref="M20:P20"/>
    <mergeCell ref="Q20:AD20"/>
    <mergeCell ref="H17:L17"/>
    <mergeCell ref="M17:P17"/>
    <mergeCell ref="Q17:AD17"/>
    <mergeCell ref="H7:AE7"/>
    <mergeCell ref="H18:L18"/>
    <mergeCell ref="M18:P18"/>
    <mergeCell ref="Q18:AD18"/>
    <mergeCell ref="M9:T10"/>
    <mergeCell ref="U10:AA10"/>
    <mergeCell ref="AB9:AE10"/>
    <mergeCell ref="H8:L8"/>
    <mergeCell ref="H9:L9"/>
    <mergeCell ref="H15:L15"/>
    <mergeCell ref="H16:L16"/>
    <mergeCell ref="M16:P16"/>
    <mergeCell ref="Q16:AD16"/>
  </mergeCells>
  <phoneticPr fontId="16" type="noConversion"/>
  <hyperlinks>
    <hyperlink ref="C10" r:id="rId1" xr:uid="{EC903CE3-7DC3-4F26-9899-6C75C2FB79B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Drop Down 1">
              <controlPr defaultSize="0" autoLine="0" autoPict="0" macro="[0]!목차드롭다운">
                <anchor moveWithCells="1">
                  <from>
                    <xdr:col>31</xdr:col>
                    <xdr:colOff>95250</xdr:colOff>
                    <xdr:row>1</xdr:row>
                    <xdr:rowOff>38100</xdr:rowOff>
                  </from>
                  <to>
                    <xdr:col>36</xdr:col>
                    <xdr:colOff>390525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체크리스트</vt:lpstr>
      <vt:lpstr>목차</vt:lpstr>
      <vt:lpstr>기본양식</vt:lpstr>
      <vt:lpstr>참여자명단</vt:lpstr>
      <vt:lpstr>102. 사전직무교육 운영 계획서</vt:lpstr>
      <vt:lpstr>참여기업 정보</vt:lpstr>
      <vt:lpstr>13. 참여기업 지원금 지급 신청서</vt:lpstr>
      <vt:lpstr>108. 일경험 운영 계획서</vt:lpstr>
      <vt:lpstr>멘토일지</vt:lpstr>
      <vt:lpstr>종합보고서</vt:lpstr>
      <vt:lpstr>중간점검일지</vt:lpstr>
      <vt:lpstr>12. 청년 일경험 프로그램 참여기업 신청서 </vt:lpstr>
      <vt:lpstr>42. 청년 일경험 지원사업 기업 참여 의향서</vt:lpstr>
      <vt:lpstr>125. (공통직무교육기관) 사전직무교육 실시보고</vt:lpstr>
      <vt:lpstr>34. 인턴형 일경험 실시보고</vt:lpstr>
      <vt:lpstr>33. 인턴형 일경험 참여신청서</vt:lpstr>
      <vt:lpstr>40. 개인정보 활용에 관한 동의서</vt:lpstr>
      <vt:lpstr>46. 참여 청년용 확인서</vt:lpstr>
      <vt:lpstr>118. 인턴형 프로그램 표준계약서</vt:lpstr>
      <vt:lpstr>기본양식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SO YEON LEE</cp:lastModifiedBy>
  <dcterms:created xsi:type="dcterms:W3CDTF">2024-11-21T06:22:48Z</dcterms:created>
  <dcterms:modified xsi:type="dcterms:W3CDTF">2024-12-13T07:49:58Z</dcterms:modified>
</cp:coreProperties>
</file>