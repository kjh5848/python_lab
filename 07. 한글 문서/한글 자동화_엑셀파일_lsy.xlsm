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drawings/drawing9.xml" ContentType="application/vnd.openxmlformats-officedocument.drawing+xml"/>
  <Override PartName="/xl/ctrlProps/ctrlProp52.xml" ContentType="application/vnd.ms-excel.controlproperties+xml"/>
  <Override PartName="/xl/drawings/drawing10.xml" ContentType="application/vnd.openxmlformats-officedocument.drawing+xml"/>
  <Override PartName="/xl/ctrlProps/ctrlProp53.xml" ContentType="application/vnd.ms-excel.controlproperties+xml"/>
  <Override PartName="/xl/drawings/drawing11.xml" ContentType="application/vnd.openxmlformats-officedocument.drawing+xml"/>
  <Override PartName="/xl/ctrlProps/ctrlProp54.xml" ContentType="application/vnd.ms-excel.controlproperties+xml"/>
  <Override PartName="/xl/drawings/drawing12.xml" ContentType="application/vnd.openxmlformats-officedocument.drawing+xml"/>
  <Override PartName="/xl/ctrlProps/ctrlProp55.xml" ContentType="application/vnd.ms-excel.controlproperties+xml"/>
  <Override PartName="/xl/drawings/drawing13.xml" ContentType="application/vnd.openxmlformats-officedocument.drawing+xml"/>
  <Override PartName="/xl/ctrlProps/ctrlProp56.xml" ContentType="application/vnd.ms-excel.controlproperties+xml"/>
  <Override PartName="/xl/drawings/drawing14.xml" ContentType="application/vnd.openxmlformats-officedocument.drawing+xml"/>
  <Override PartName="/xl/ctrlProps/ctrlProp57.xml" ContentType="application/vnd.ms-excel.controlproperties+xml"/>
  <Override PartName="/xl/drawings/drawing15.xml" ContentType="application/vnd.openxmlformats-officedocument.drawing+xml"/>
  <Override PartName="/xl/ctrlProps/ctrlProp58.xml" ContentType="application/vnd.ms-excel.controlproperties+xml"/>
  <Override PartName="/xl/drawings/drawing16.xml" ContentType="application/vnd.openxmlformats-officedocument.drawing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drawings/drawing18.xml" ContentType="application/vnd.openxmlformats-officedocument.drawing+xml"/>
  <Override PartName="/xl/ctrlProps/ctrlProp61.xml" ContentType="application/vnd.ms-excel.controlproperties+xml"/>
  <Override PartName="/xl/drawings/drawing19.xml" ContentType="application/vnd.openxmlformats-officedocument.drawing+xml"/>
  <Override PartName="/xl/ctrlProps/ctrlProp62.xml" ContentType="application/vnd.ms-excel.controlproperties+xml"/>
  <Override PartName="/xl/drawings/drawing20.xml" ContentType="application/vnd.openxmlformats-officedocument.drawing+xml"/>
  <Override PartName="/xl/ctrlProps/ctrlProp6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hdus\Desktop\미래내일일경험\07. 한글 문서\"/>
    </mc:Choice>
  </mc:AlternateContent>
  <xr:revisionPtr revIDLastSave="0" documentId="13_ncr:1_{9D9019DE-B5E3-466D-BCD8-6608F297B5D6}" xr6:coauthVersionLast="47" xr6:coauthVersionMax="47" xr10:uidLastSave="{00000000-0000-0000-0000-000000000000}"/>
  <bookViews>
    <workbookView xWindow="-28815" yWindow="6345" windowWidth="15645" windowHeight="15510" firstSheet="1" activeTab="4" xr2:uid="{AD418BF7-E810-4CC1-8987-FCAB80FFD850}"/>
    <workbookView xWindow="-14190" yWindow="6510" windowWidth="14430" windowHeight="15510" firstSheet="4" activeTab="5" xr2:uid="{55DD0A09-8B09-43E6-BA7E-398A1979706C}"/>
  </bookViews>
  <sheets>
    <sheet name="체크리스트" sheetId="33" r:id="rId1"/>
    <sheet name="목차" sheetId="22" r:id="rId2"/>
    <sheet name="기본양식" sheetId="6" r:id="rId3"/>
    <sheet name="참여자명단" sheetId="24" r:id="rId4"/>
    <sheet name="참여기업 정보" sheetId="7" r:id="rId5"/>
    <sheet name="13. 참여기업 지원금 지급 신청서" sheetId="29" r:id="rId6"/>
    <sheet name="108. 일경험 운영 계획서" sheetId="17" r:id="rId7"/>
    <sheet name="멘토일지" sheetId="9" r:id="rId8"/>
    <sheet name="종합보고서" sheetId="10" r:id="rId9"/>
    <sheet name="중간점검일지" sheetId="11" r:id="rId10"/>
    <sheet name="102. 사전직무교육 운영 계획서" sheetId="16" r:id="rId11"/>
    <sheet name="12. 청년 일경험 프로그램 참여기업 신청서 " sheetId="18" r:id="rId12"/>
    <sheet name="42. 청년 일경험 지원사업 기업 참여 의향서" sheetId="21" r:id="rId13"/>
    <sheet name="125. (공통직무교육기관) 사전직무교육 실시보고" sheetId="20" r:id="rId14"/>
    <sheet name="34. 인턴형 일경험 실시보고" sheetId="19" r:id="rId15"/>
    <sheet name="33. 인턴형 일경험 참여신청서" sheetId="25" r:id="rId16"/>
    <sheet name="40. 개인정보 활용에 관한 동의서" sheetId="26" r:id="rId17"/>
    <sheet name="46. 참여 청년용 확인서" sheetId="27" r:id="rId18"/>
    <sheet name="118. 인턴형 프로그램 표준계약서" sheetId="28" r:id="rId19"/>
    <sheet name="기본양식 (2)" sheetId="31" r:id="rId20"/>
  </sheets>
  <definedNames>
    <definedName name="_xleta.LEFT" hidden="1" xlm="1">#NAME?</definedName>
    <definedName name="_xlpm.지역셀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29" l="1"/>
  <c r="AA10" i="29"/>
  <c r="AA9" i="29"/>
  <c r="M10" i="29"/>
  <c r="M9" i="29"/>
  <c r="K8" i="29"/>
  <c r="Z6" i="29"/>
  <c r="K6" i="29"/>
  <c r="D29" i="29"/>
  <c r="D16" i="29"/>
  <c r="D17" i="29"/>
  <c r="D18" i="29"/>
  <c r="D19" i="29"/>
  <c r="D20" i="29"/>
  <c r="D21" i="29"/>
  <c r="D22" i="29"/>
  <c r="D23" i="29"/>
  <c r="D24" i="29"/>
  <c r="D25" i="29"/>
  <c r="D26" i="29"/>
  <c r="D27" i="29"/>
  <c r="D28" i="29"/>
  <c r="D15" i="29"/>
  <c r="O15" i="29" s="1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15" i="29"/>
  <c r="BV2" i="33"/>
  <c r="BX2" i="33"/>
  <c r="BY3" i="33"/>
  <c r="F37" i="7"/>
  <c r="F38" i="7"/>
  <c r="B29" i="29"/>
  <c r="B28" i="29"/>
  <c r="B24" i="29"/>
  <c r="B25" i="29"/>
  <c r="B26" i="29"/>
  <c r="B27" i="29"/>
  <c r="B16" i="29"/>
  <c r="B17" i="29"/>
  <c r="B18" i="29"/>
  <c r="B19" i="29"/>
  <c r="B20" i="29"/>
  <c r="B21" i="29"/>
  <c r="B22" i="29"/>
  <c r="B23" i="29"/>
  <c r="B15" i="29"/>
  <c r="D11" i="29"/>
  <c r="D12" i="29"/>
  <c r="D10" i="29"/>
  <c r="D9" i="29"/>
  <c r="D8" i="29"/>
  <c r="D7" i="29"/>
  <c r="D6" i="29"/>
  <c r="D5" i="29"/>
  <c r="D4" i="29"/>
  <c r="Z5" i="29" s="1"/>
  <c r="D3" i="29"/>
  <c r="K5" i="29" s="1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C21" i="18"/>
  <c r="BX3" i="33" l="1"/>
  <c r="CA3" i="33" s="1"/>
  <c r="Y23" i="33"/>
  <c r="BZ3" i="33" l="1"/>
  <c r="Q18" i="31" l="1"/>
  <c r="AE18" i="31"/>
  <c r="M19" i="31"/>
  <c r="M20" i="31"/>
  <c r="M21" i="31"/>
  <c r="M22" i="31"/>
  <c r="M23" i="31"/>
  <c r="M24" i="31"/>
  <c r="M25" i="31"/>
  <c r="M18" i="31"/>
  <c r="H19" i="31"/>
  <c r="H20" i="31"/>
  <c r="H21" i="31"/>
  <c r="H22" i="31"/>
  <c r="H23" i="31"/>
  <c r="H24" i="31"/>
  <c r="H25" i="31"/>
  <c r="H18" i="31"/>
  <c r="AC13" i="31"/>
  <c r="O13" i="31"/>
  <c r="AC12" i="31"/>
  <c r="O12" i="31"/>
  <c r="M11" i="31"/>
  <c r="AB9" i="31"/>
  <c r="M9" i="31"/>
  <c r="AB8" i="31"/>
  <c r="M8" i="31"/>
  <c r="V14" i="24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3" i="10"/>
  <c r="C3" i="9"/>
  <c r="CA2" i="33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<sst xmlns="http://schemas.openxmlformats.org/spreadsheetml/2006/main" count="1141" uniqueCount="766">
  <si>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</si>
  <si>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</si>
  <si>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</si>
  <si>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</si>
  <si>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</si>
  <si>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</si>
  <si>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</si>
  <si>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</si>
  <si>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</si>
  <si>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</si>
  <si>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</si>
  <si>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</si>
  <si>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</si>
  <si>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</si>
  <si>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</si>
  <si>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</si>
  <si>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</si>
  <si>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</si>
  <si>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</si>
  <si>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담당자명</t>
  </si>
  <si>
    <t>이메일</t>
  </si>
  <si>
    <t>abc@hanmail.com</t>
  </si>
  <si>
    <t>없음</t>
  </si>
  <si>
    <t>자격내용1</t>
  </si>
  <si>
    <t>참여기업 담당자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</si>
  <si>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</si>
  <si>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</si>
  <si>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</si>
  <si>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</si>
  <si>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</si>
  <si>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</si>
  <si>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</si>
  <si>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</si>
  <si>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</si>
  <si>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멘토 부서명</t>
  </si>
  <si>
    <t>연구 1팀</t>
  </si>
  <si>
    <t>멘토 직위</t>
  </si>
  <si>
    <t>멘토 연락처</t>
  </si>
  <si>
    <t>멘토 이메일</t>
  </si>
  <si>
    <t>IT</t>
  </si>
  <si>
    <t>참여자 근무부서</t>
  </si>
  <si>
    <t>개발팀</t>
  </si>
  <si>
    <t>소프트웨어 개발 업무에 대한 전반적인 기초 능력 배양 및 현업에 대한 경험</t>
  </si>
  <si>
    <t>참여기업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</si>
  <si>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</si>
  <si>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</si>
  <si>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</si>
  <si>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</si>
  <si>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</si>
  <si>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</si>
  <si>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</si>
  <si>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</si>
  <si>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</si>
  <si>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</si>
  <si>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</si>
  <si>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</si>
  <si>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</si>
  <si>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</si>
  <si>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</si>
  <si>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</si>
  <si>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</si>
  <si>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</si>
  <si>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</si>
  <si>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</si>
  <si>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</si>
  <si>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</si>
  <si>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</si>
  <si>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</si>
  <si>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</si>
  <si>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</si>
  <si>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</si>
  <si>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</si>
  <si>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</si>
  <si>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</si>
  <si>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</si>
  <si>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</si>
  <si>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</si>
  <si>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</si>
  <si>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</si>
  <si>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</si>
  <si>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</si>
  <si>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</si>
  <si>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</si>
  <si>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</si>
  <si>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</si>
  <si>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</si>
  <si>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</si>
  <si>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</si>
  <si>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</si>
  <si>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</si>
  <si>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</si>
  <si>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</si>
  <si>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</si>
  <si>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</si>
  <si>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</si>
  <si>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</si>
  <si>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</si>
  <si>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</si>
  <si>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</si>
  <si>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</si>
  <si>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</si>
  <si>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</si>
  <si>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6" type="noConversion"/>
  </si>
  <si>
    <t>111-2222</t>
    <phoneticPr fontId="16" type="noConversion"/>
  </si>
  <si>
    <t>www.example.com</t>
    <phoneticPr fontId="16" type="noConversion"/>
  </si>
  <si>
    <t>010-111-2222</t>
    <phoneticPr fontId="16" type="noConversion"/>
  </si>
  <si>
    <t>www.example2.com</t>
    <phoneticPr fontId="16" type="noConversion"/>
  </si>
  <si>
    <t>2024.11.18 ~ 2025.01.10</t>
    <phoneticPr fontId="16" type="noConversion"/>
  </si>
  <si>
    <t>2024.11.18 ~ 2025.01.10</t>
    <phoneticPr fontId="16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</si>
  <si>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</si>
  <si>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6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</si>
  <si>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</si>
  <si>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</si>
  <si>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</si>
  <si>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</si>
  <si>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</si>
  <si>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</si>
  <si>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</si>
  <si>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</si>
  <si>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</si>
  <si>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</si>
  <si>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</si>
  <si>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</si>
  <si>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</si>
  <si>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</si>
  <si>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</si>
  <si>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</si>
  <si>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6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</si>
  <si>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6" type="noConversion"/>
  </si>
  <si>
    <t>111-222-3333</t>
    <phoneticPr fontId="16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</si>
  <si>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</si>
  <si>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6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</si>
  <si>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</si>
  <si>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</si>
  <si>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</si>
  <si>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6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</si>
  <si>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</si>
  <si>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6" type="noConversion"/>
  </si>
  <si>
    <t>000-111-2222</t>
    <phoneticPr fontId="16" type="noConversion"/>
  </si>
  <si>
    <t>010-0000-0000</t>
    <phoneticPr fontId="16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</si>
  <si>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</si>
  <si>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</si>
  <si>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</si>
  <si>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</si>
  <si>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</si>
  <si>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</si>
  <si>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</si>
  <si>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</si>
  <si>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6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</si>
  <si>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</si>
  <si>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t>시트 명</t>
    <phoneticPr fontId="16" type="noConversion"/>
  </si>
  <si>
    <t>102. 사전직무교육 운영 계획서</t>
    <phoneticPr fontId="16" type="noConversion"/>
  </si>
  <si>
    <t>108. 일경험 운영 계획서</t>
    <phoneticPr fontId="16" type="noConversion"/>
  </si>
  <si>
    <t>12. 청년 일경험 프로ㅡ램 참여기업 신청서</t>
    <phoneticPr fontId="16" type="noConversion"/>
  </si>
  <si>
    <t>42. 청년 일경험 지원사업 기업 참여 의향서</t>
    <phoneticPr fontId="16" type="noConversion"/>
  </si>
  <si>
    <t>24.08.14 ~ 24.08.28</t>
    <phoneticPr fontId="16" type="noConversion"/>
  </si>
  <si>
    <t>이름</t>
    <phoneticPr fontId="16" type="noConversion"/>
  </si>
  <si>
    <t>생년월일</t>
    <phoneticPr fontId="16" type="noConversion"/>
  </si>
  <si>
    <t>성별</t>
    <phoneticPr fontId="16" type="noConversion"/>
  </si>
  <si>
    <t>연락처</t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</si>
  <si>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</si>
  <si>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</si>
  <si>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</si>
  <si>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</si>
  <si>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</si>
  <si>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</si>
  <si>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</si>
  <si>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</si>
  <si>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</si>
  <si>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6" type="noConversion"/>
  </si>
  <si>
    <t>홍길동</t>
    <phoneticPr fontId="16" type="noConversion"/>
  </si>
  <si>
    <t>작성날짜</t>
    <phoneticPr fontId="17" type="noConversion"/>
  </si>
  <si>
    <t>특이사항 기재</t>
  </si>
  <si>
    <t>순번</t>
  </si>
  <si>
    <t>프로그램명</t>
  </si>
  <si>
    <t>성명</t>
  </si>
  <si>
    <t>주민등록번호</t>
    <phoneticPr fontId="17" type="noConversion"/>
  </si>
  <si>
    <t>연락처</t>
    <phoneticPr fontId="17" type="noConversion"/>
  </si>
  <si>
    <t>이메일</t>
    <phoneticPr fontId="17" type="noConversion"/>
  </si>
  <si>
    <t>학년</t>
  </si>
  <si>
    <t>최종학교명</t>
    <phoneticPr fontId="17" type="noConversion"/>
  </si>
  <si>
    <t>최종학과</t>
  </si>
  <si>
    <t>주소</t>
    <phoneticPr fontId="17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</si>
  <si>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</si>
  <si>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</si>
  <si>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</si>
  <si>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</si>
  <si>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</si>
  <si>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</si>
  <si>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7" type="noConversion"/>
  </si>
  <si>
    <t>지역</t>
  </si>
  <si>
    <t>졸업</t>
    <phoneticPr fontId="17" type="noConversion"/>
  </si>
  <si>
    <t>국민은행</t>
  </si>
  <si>
    <t>참여자명단</t>
    <phoneticPr fontId="16" type="noConversion"/>
  </si>
  <si>
    <t>참고용</t>
    <phoneticPr fontId="16" type="noConversion"/>
  </si>
  <si>
    <t>051-123-1234</t>
    <phoneticPr fontId="16" type="noConversion"/>
  </si>
  <si>
    <t>asd@asd.net</t>
    <phoneticPr fontId="16" type="noConversion"/>
  </si>
  <si>
    <t>2024.00.00 ~ 2024.00.00</t>
    <phoneticPr fontId="16" type="noConversion"/>
  </si>
  <si>
    <t>010-1234-1233</t>
    <phoneticPr fontId="16" type="noConversion"/>
  </si>
  <si>
    <t>010-2134-2134</t>
    <phoneticPr fontId="16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</si>
  <si>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</si>
  <si>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㈜</t>
    </r>
    <r>
      <rPr>
        <sz val="13"/>
        <color theme="1"/>
        <rFont val="Arial"/>
        <family val="2"/>
        <scheme val="minor"/>
      </rPr>
      <t>000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</si>
  <si>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</si>
  <si>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</si>
  <si>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업종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</si>
  <si>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업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외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</si>
  <si>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피보험자수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</si>
  <si>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담당부서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</si>
  <si>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부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</si>
  <si>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담당자명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</si>
  <si>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</si>
  <si>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전화번호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</si>
  <si>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이메일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</si>
  <si>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운영계획서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참조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</si>
  <si>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프로그램내용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</si>
  <si>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프로그램기간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</si>
  <si>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프로그램장소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</si>
  <si>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프로그램참여인원</t>
    </r>
    <phoneticPr fontId="16" type="noConversion"/>
  </si>
  <si>
    <r>
      <t>2024</t>
    </r>
    <r>
      <rPr>
        <sz val="13"/>
        <color theme="1"/>
        <rFont val="Arial"/>
        <family val="2"/>
        <charset val="129"/>
        <scheme val="minor"/>
      </rPr>
      <t>년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</si>
  <si>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</si>
  <si>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</si>
  <si>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</si>
  <si>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남</t>
    </r>
    <phoneticPr fontId="16" type="noConversion"/>
  </si>
  <si>
    <t>2024년 00월 00일</t>
    <phoneticPr fontId="16" type="noConversion"/>
  </si>
  <si>
    <r>
      <rPr>
        <sz val="10"/>
        <color rgb="FF000000"/>
        <rFont val="Arial"/>
        <family val="3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</si>
  <si>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</si>
  <si>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t>2024</t>
    </r>
    <r>
      <rPr>
        <sz val="10"/>
        <color rgb="FF000000"/>
        <rFont val="Arial"/>
        <family val="3"/>
        <charset val="129"/>
        <scheme val="minor"/>
      </rPr>
      <t>년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월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일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</si>
  <si>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</si>
  <si>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phoneticPr fontId="16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</si>
  <si>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6" type="noConversion"/>
  </si>
  <si>
    <t>성명</t>
    <phoneticPr fontId="16" type="noConversion"/>
  </si>
  <si>
    <t>주민등록번호</t>
    <phoneticPr fontId="16" type="noConversion"/>
  </si>
  <si>
    <t>주소</t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</si>
  <si>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</si>
  <si>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6" type="noConversion"/>
  </si>
  <si>
    <t>최종학력구분</t>
    <phoneticPr fontId="16" type="noConversion"/>
  </si>
  <si>
    <t>학년</t>
    <phoneticPr fontId="16" type="noConversion"/>
  </si>
  <si>
    <t>최종학력상태</t>
    <phoneticPr fontId="16" type="noConversion"/>
  </si>
  <si>
    <t>최종학교명</t>
    <phoneticPr fontId="16" type="noConversion"/>
  </si>
  <si>
    <t>최종학과</t>
    <phoneticPr fontId="16" type="noConversion"/>
  </si>
  <si>
    <t>동의대학교</t>
    <phoneticPr fontId="16" type="noConversion"/>
  </si>
  <si>
    <t>일본어학과</t>
    <phoneticPr fontId="16" type="noConversion"/>
  </si>
  <si>
    <t>123412-1212221</t>
    <phoneticPr fontId="16" type="noConversion"/>
  </si>
  <si>
    <t>010-1233-1223</t>
    <phoneticPr fontId="16" type="noConversion"/>
  </si>
  <si>
    <t>example@nate.com</t>
    <phoneticPr fontId="16" type="noConversion"/>
  </si>
  <si>
    <t>최종학력구분</t>
    <phoneticPr fontId="16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</si>
  <si>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7" type="noConversion"/>
  </si>
  <si>
    <t>작성날짜</t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</si>
  <si>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</si>
  <si>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</si>
  <si>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6" type="noConversion"/>
  </si>
  <si>
    <t>일경험기간시작일</t>
    <phoneticPr fontId="16" type="noConversion"/>
  </si>
  <si>
    <t>일경험기간종료일</t>
    <phoneticPr fontId="16" type="noConversion"/>
  </si>
  <si>
    <t>주업무</t>
    <phoneticPr fontId="16" type="noConversion"/>
  </si>
  <si>
    <t>콘텐츠 마케팅</t>
    <phoneticPr fontId="16" type="noConversion"/>
  </si>
  <si>
    <t>부산광역시 금정구</t>
    <phoneticPr fontId="16" type="noConversion"/>
  </si>
  <si>
    <t>계좌번호</t>
    <phoneticPr fontId="16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</si>
  <si>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</si>
  <si>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</si>
  <si>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</si>
  <si>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t>참여인원</t>
    <phoneticPr fontId="16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</si>
  <si>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</si>
  <si>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</si>
  <si>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t>직무분야</t>
    <phoneticPr fontId="16" type="noConversion"/>
  </si>
  <si>
    <t>운영기관명</t>
    <phoneticPr fontId="16" type="noConversion"/>
  </si>
  <si>
    <t>직무교육명</t>
    <phoneticPr fontId="16" type="noConversion"/>
  </si>
  <si>
    <t>교육주요내용</t>
    <phoneticPr fontId="16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</si>
  <si>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6" type="noConversion"/>
  </si>
  <si>
    <t>교육기간</t>
    <phoneticPr fontId="16" type="noConversion"/>
  </si>
  <si>
    <t>남</t>
    <phoneticPr fontId="16" type="noConversion"/>
  </si>
  <si>
    <t>010-111-2223</t>
    <phoneticPr fontId="16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</si>
  <si>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</si>
  <si>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</si>
  <si>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</si>
  <si>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</si>
  <si>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</si>
  <si>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</si>
  <si>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phoneticPr fontId="16" type="noConversion"/>
  </si>
  <si>
    <t>사업장명</t>
    <phoneticPr fontId="16" type="noConversion"/>
  </si>
  <si>
    <t>대표자명</t>
    <phoneticPr fontId="16" type="noConversion"/>
  </si>
  <si>
    <t>고용보험사업장관리번호</t>
    <phoneticPr fontId="16" type="noConversion"/>
  </si>
  <si>
    <t>사업자등록번호
(법인등록번호)</t>
    <phoneticPr fontId="16" type="noConversion"/>
  </si>
  <si>
    <t>소재지</t>
    <phoneticPr fontId="16" type="noConversion"/>
  </si>
  <si>
    <t>담당자성명</t>
    <phoneticPr fontId="16" type="noConversion"/>
  </si>
  <si>
    <t>담당자전화번호</t>
    <phoneticPr fontId="16" type="noConversion"/>
  </si>
  <si>
    <t>담당자이메일</t>
    <phoneticPr fontId="16" type="noConversion"/>
  </si>
  <si>
    <t>담당자팩스번호</t>
    <phoneticPr fontId="16" type="noConversion"/>
  </si>
  <si>
    <r>
      <rPr>
        <sz val="13"/>
        <color theme="1"/>
        <rFont val="맑은 고딕"/>
        <family val="3"/>
        <charset val="129"/>
      </rPr>
      <t>신청금액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원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</si>
  <si>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신청기간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 xml:space="preserve"> ~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</si>
  <si>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참여일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</si>
  <si>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참여청년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성명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주민등록번호</t>
    </r>
    <r>
      <rPr>
        <sz val="13"/>
        <color theme="1"/>
        <rFont val="Arial"/>
        <family val="3"/>
      </rPr>
      <t>)</t>
    </r>
    <phoneticPr fontId="16" type="noConversion"/>
  </si>
  <si>
    <t>㈜노마드랩</t>
    <phoneticPr fontId="16" type="noConversion"/>
  </si>
  <si>
    <t>㈜노마드</t>
    <phoneticPr fontId="16" type="noConversion"/>
  </si>
  <si>
    <t>2024.11.18 ~ 2024.12.13</t>
    <phoneticPr fontId="16" type="noConversion"/>
  </si>
  <si>
    <t>2024.12.16 ~ 2024.01.07</t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</si>
  <si>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사전직무교육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실시보고</t>
    </r>
    <phoneticPr fontId="16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</si>
  <si>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</si>
  <si>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</si>
  <si>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</si>
  <si>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</si>
  <si>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</si>
  <si>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</si>
  <si>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</si>
  <si>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</si>
  <si>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</si>
  <si>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</si>
  <si>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</si>
  <si>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</si>
  <si>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</si>
  <si>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</si>
  <si>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</si>
  <si>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</si>
  <si>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</si>
  <si>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</si>
  <si>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</si>
  <si>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</si>
  <si>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</si>
  <si>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</si>
  <si>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</si>
  <si>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</si>
  <si>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</si>
  <si>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</si>
  <si>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</si>
  <si>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</si>
  <si>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</si>
  <si>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</si>
  <si>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</si>
  <si>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</si>
  <si>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</si>
  <si>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</si>
  <si>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</si>
  <si>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</si>
  <si>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</si>
  <si>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</si>
  <si>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</si>
  <si>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</si>
  <si>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</si>
  <si>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</si>
  <si>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</si>
  <si>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</si>
  <si>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</si>
  <si>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</si>
  <si>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</si>
  <si>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</si>
  <si>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</si>
  <si>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</si>
  <si>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</si>
  <si>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</si>
  <si>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</si>
  <si>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</si>
  <si>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</si>
  <si>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</si>
  <si>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</si>
  <si>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</si>
  <si>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</si>
  <si>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</si>
  <si>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</si>
  <si>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</si>
  <si>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</si>
  <si>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6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</si>
  <si>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6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</si>
  <si>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</si>
  <si>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 xml:space="preserve"> 경상남도 부산진구</t>
    <phoneticPr fontId="16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</si>
  <si>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</si>
  <si>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>제주특별시</t>
    <phoneticPr fontId="16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</si>
  <si>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</si>
  <si>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</si>
  <si>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</si>
  <si>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</si>
  <si>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</si>
  <si>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</si>
  <si>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</si>
  <si>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</si>
  <si>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</si>
  <si>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</si>
  <si>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</si>
  <si>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</si>
  <si>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6" type="noConversion"/>
  </si>
  <si>
    <t>001199-3301932</t>
    <phoneticPr fontId="16" type="noConversion"/>
  </si>
  <si>
    <t>020699-3626178</t>
    <phoneticPr fontId="16" type="noConversion"/>
  </si>
  <si>
    <t>[SY컴퍼니] 마케팅 인턴십</t>
    <phoneticPr fontId="16" type="noConversion"/>
  </si>
  <si>
    <t>2024년 12월 03일</t>
    <phoneticPr fontId="17" type="noConversion"/>
  </si>
  <si>
    <r>
      <rPr>
        <sz val="12"/>
        <color theme="1"/>
        <rFont val="맑은 고딕"/>
        <family val="3"/>
        <charset val="129"/>
      </rPr>
      <t>부산</t>
    </r>
    <r>
      <rPr>
        <sz val="12"/>
        <color theme="1"/>
        <rFont val="Arial Unicode MS"/>
        <family val="2"/>
        <charset val="129"/>
      </rPr>
      <t>광역시 연제구</t>
    </r>
    <phoneticPr fontId="16" type="noConversion"/>
  </si>
  <si>
    <t>디자인</t>
    <phoneticPr fontId="16" type="noConversion"/>
  </si>
  <si>
    <t>기업통장명</t>
    <phoneticPr fontId="16" type="noConversion"/>
  </si>
  <si>
    <t>기업통장 계좌번호</t>
    <phoneticPr fontId="16" type="noConversion"/>
  </si>
  <si>
    <t>111-11-11111</t>
    <phoneticPr fontId="16" type="noConversion"/>
  </si>
  <si>
    <t>법인번호</t>
    <phoneticPr fontId="16" type="noConversion"/>
  </si>
  <si>
    <t>중소기업일때만체크</t>
    <phoneticPr fontId="16" type="noConversion"/>
  </si>
  <si>
    <t>필요서식</t>
    <phoneticPr fontId="16" type="noConversion"/>
  </si>
  <si>
    <t>필드</t>
    <phoneticPr fontId="16" type="noConversion"/>
  </si>
  <si>
    <t>입력</t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</si>
  <si>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</si>
  <si>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대표자명</t>
    </r>
  </si>
  <si>
    <r>
      <rPr>
        <b/>
        <sz val="11"/>
        <color theme="1"/>
        <rFont val="Arial"/>
        <family val="3"/>
        <charset val="129"/>
        <scheme val="minor"/>
      </rPr>
      <t>고용보험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사업장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관리번호</t>
    </r>
  </si>
  <si>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</si>
  <si>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기업구분</t>
    </r>
    <r>
      <rPr>
        <b/>
        <sz val="11"/>
        <color theme="1"/>
        <rFont val="Arial"/>
        <family val="2"/>
        <scheme val="minor"/>
      </rPr>
      <t xml:space="preserve"> </t>
    </r>
  </si>
  <si>
    <r>
      <rPr>
        <b/>
        <sz val="11"/>
        <color theme="1"/>
        <rFont val="Arial"/>
        <family val="3"/>
        <charset val="129"/>
        <scheme val="minor"/>
      </rPr>
      <t>회사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소개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및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주요사업</t>
    </r>
  </si>
  <si>
    <r>
      <rPr>
        <b/>
        <sz val="11"/>
        <color theme="1"/>
        <rFont val="Arial"/>
        <family val="3"/>
        <charset val="129"/>
        <scheme val="minor"/>
      </rPr>
      <t>수행업무</t>
    </r>
    <r>
      <rPr>
        <b/>
        <sz val="11"/>
        <color theme="1"/>
        <rFont val="Arial"/>
        <family val="2"/>
        <scheme val="minor"/>
      </rPr>
      <t>(</t>
    </r>
    <r>
      <rPr>
        <b/>
        <sz val="11"/>
        <color theme="1"/>
        <rFont val="Arial"/>
        <family val="3"/>
        <charset val="129"/>
        <scheme val="minor"/>
      </rPr>
      <t>직무</t>
    </r>
    <r>
      <rPr>
        <b/>
        <sz val="11"/>
        <color theme="1"/>
        <rFont val="Arial"/>
        <family val="2"/>
        <scheme val="minor"/>
      </rPr>
      <t>)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</si>
  <si>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</si>
  <si>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</si>
  <si>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</si>
  <si>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</si>
  <si>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</si>
  <si>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</si>
  <si>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일경험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기간</t>
    </r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</si>
  <si>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직무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</si>
  <si>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근무부서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</si>
  <si>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주요업무</t>
    </r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</si>
  <si>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(1~4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6" type="noConversion"/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</si>
  <si>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(5~8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6" type="noConversion"/>
  </si>
  <si>
    <t>참여기업 및 일경험정보</t>
    <phoneticPr fontId="16" type="noConversion"/>
  </si>
  <si>
    <t>작성날짜</t>
    <phoneticPr fontId="16" type="noConversion"/>
  </si>
  <si>
    <t>있음일경우에만 자격내용</t>
    <phoneticPr fontId="16" type="noConversion"/>
  </si>
  <si>
    <t>청년 일경험 지원사업 참여기업 지원금 지급 신청서</t>
  </si>
  <si>
    <t>접수번호</t>
  </si>
  <si>
    <t>접수일자</t>
  </si>
  <si>
    <t>사업자등록번호</t>
  </si>
  <si>
    <t>(법인등록번호)</t>
  </si>
  <si>
    <t>고용보험</t>
  </si>
  <si>
    <t>사업장관리번호</t>
  </si>
  <si>
    <t>담당자</t>
  </si>
  <si>
    <t>전화번호</t>
  </si>
  <si>
    <t>팩스번호</t>
  </si>
  <si>
    <t>신청내용</t>
  </si>
  <si>
    <t>참여청년 성명</t>
  </si>
  <si>
    <t>(주민등록번호)</t>
  </si>
  <si>
    <t>참여일</t>
  </si>
  <si>
    <t>( 년 월 일)</t>
  </si>
  <si>
    <t>신청기간</t>
  </si>
  <si>
    <t>( 년 월 일 ~ 년 월 일)</t>
  </si>
  <si>
    <t>신청금액</t>
  </si>
  <si>
    <t>(원)</t>
  </si>
  <si>
    <t>지원금 총 신청인원</t>
  </si>
  <si>
    <t>( ) 명 ,</t>
  </si>
  <si>
    <t>( ) 원</t>
  </si>
  <si>
    <t>기업명의 계좌번호</t>
  </si>
  <si>
    <t>( ) 은행</t>
  </si>
  <si>
    <t>(예금주 : )</t>
  </si>
  <si>
    <t>『청년 일경험 지원사업｣ 지침에 따라 위와 같이 지원금 지급을 신청합니다.</t>
  </si>
  <si>
    <t>2024년 00월 00일</t>
  </si>
  <si>
    <t>확인자(대표자)</t>
  </si>
  <si>
    <t>(서명 또는 인)</t>
  </si>
  <si>
    <t>한국무선인터넷솔루션협회 운영기관장</t>
  </si>
  <si>
    <t>귀하</t>
  </si>
  <si>
    <t>첨부서류</t>
  </si>
  <si>
    <t>1. 프로그램 운영 증빙자료(프로그램 계획서, 참여청년 명단 등)</t>
  </si>
  <si>
    <t>2. 기업명의 통장사본(최초 1회 신청 시에만 제출)</t>
  </si>
  <si>
    <t xml:space="preserve">※ 아래 란은 적지 않습니다. </t>
  </si>
  <si>
    <t>접수</t>
  </si>
  <si>
    <t>접수 연월일</t>
  </si>
  <si>
    <t>처리부서</t>
  </si>
  <si>
    <t>선람</t>
  </si>
  <si>
    <t>담당</t>
  </si>
  <si>
    <t>팀장</t>
  </si>
  <si>
    <t>과장</t>
  </si>
  <si>
    <t>결재 연월일</t>
  </si>
  <si>
    <t>. . .</t>
  </si>
  <si>
    <t>미리보기</t>
    <phoneticPr fontId="16" type="noConversion"/>
  </si>
  <si>
    <t>사업장명</t>
    <phoneticPr fontId="16" type="noConversion"/>
  </si>
  <si>
    <t>대표자명</t>
    <phoneticPr fontId="16" type="noConversion"/>
  </si>
  <si>
    <t>11111-1111-111
(121212121)</t>
    <phoneticPr fontId="16" type="noConversion"/>
  </si>
  <si>
    <r>
      <rPr>
        <sz val="13"/>
        <color theme="1"/>
        <rFont val="맑은 고딕"/>
        <family val="3"/>
        <charset val="129"/>
      </rPr>
      <t>부산</t>
    </r>
    <r>
      <rPr>
        <sz val="13"/>
        <color theme="1"/>
        <rFont val="Arial Unicode MS"/>
        <family val="3"/>
        <charset val="129"/>
      </rPr>
      <t>광역시 부산진구</t>
    </r>
    <phoneticPr fontId="16" type="noConversion"/>
  </si>
  <si>
    <t>이순신</t>
    <phoneticPr fontId="16" type="noConversion"/>
  </si>
  <si>
    <t>KJH5848@GMAIL.COM</t>
    <phoneticPr fontId="16" type="noConversion"/>
  </si>
  <si>
    <t>참여기업</t>
    <phoneticPr fontId="16" type="noConversion"/>
  </si>
  <si>
    <t>참여기업 
담당자</t>
    <phoneticPr fontId="16" type="noConversion"/>
  </si>
  <si>
    <t xml:space="preserve"> 참여기업
멘토</t>
    <phoneticPr fontId="16" type="noConversion"/>
  </si>
  <si>
    <t>c</t>
    <phoneticPr fontId="17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</si>
  <si>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6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</si>
  <si>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</si>
  <si>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</si>
  <si>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</si>
  <si>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</si>
  <si>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</si>
  <si>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</si>
  <si>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</si>
  <si>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</si>
  <si>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</si>
  <si>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</si>
  <si>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</si>
  <si>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</si>
  <si>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</si>
  <si>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</si>
  <si>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</si>
  <si>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</si>
  <si>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</si>
  <si>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</si>
  <si>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</si>
  <si>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</si>
  <si>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</si>
  <si>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</si>
  <si>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</si>
  <si>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</si>
  <si>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</si>
  <si>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</si>
  <si>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</si>
  <si>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</si>
  <si>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</si>
  <si>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</si>
  <si>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</si>
  <si>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</si>
  <si>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</si>
  <si>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</si>
  <si>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</si>
  <si>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</si>
  <si>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</si>
  <si>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</si>
  <si>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</si>
  <si>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</si>
  <si>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</si>
  <si>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</si>
  <si>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</si>
  <si>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</si>
  <si>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</si>
  <si>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</si>
  <si>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</si>
  <si>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</si>
  <si>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</si>
  <si>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</si>
  <si>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</si>
  <si>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</si>
  <si>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</si>
  <si>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</si>
  <si>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</si>
  <si>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</si>
  <si>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</si>
  <si>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</si>
  <si>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</si>
  <si>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</si>
  <si>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</si>
  <si>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</si>
  <si>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</si>
  <si>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</si>
  <si>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</si>
  <si>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</si>
  <si>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</si>
  <si>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</si>
  <si>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</si>
  <si>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</si>
  <si>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</si>
  <si>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</si>
  <si>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</si>
  <si>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</si>
  <si>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</si>
  <si>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</si>
  <si>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</si>
  <si>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</si>
  <si>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</si>
  <si>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</si>
  <si>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</si>
  <si>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</si>
  <si>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</si>
  <si>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</si>
  <si>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</si>
  <si>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</si>
  <si>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</si>
  <si>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</si>
  <si>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</si>
  <si>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</si>
  <si>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</si>
  <si>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</si>
  <si>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</si>
  <si>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</si>
  <si>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</si>
  <si>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</si>
  <si>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</si>
  <si>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</si>
  <si>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</si>
  <si>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</si>
  <si>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6" type="noConversion"/>
  </si>
  <si>
    <t>기업멘토성명</t>
    <phoneticPr fontId="16" type="noConversion"/>
  </si>
  <si>
    <t>업무</t>
    <phoneticPr fontId="16" type="noConversion"/>
  </si>
  <si>
    <r>
      <rPr>
        <b/>
        <sz val="11"/>
        <color theme="1"/>
        <rFont val="맑은 고딕"/>
        <family val="3"/>
        <charset val="129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부서명</t>
    </r>
    <phoneticPr fontId="16" type="noConversion"/>
  </si>
  <si>
    <r>
      <rPr>
        <b/>
        <sz val="11"/>
        <color theme="1"/>
        <rFont val="맑은 고딕"/>
        <family val="3"/>
        <charset val="129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부서명</t>
    </r>
    <phoneticPr fontId="16" type="noConversion"/>
  </si>
  <si>
    <r>
      <rPr>
        <b/>
        <sz val="11"/>
        <color theme="1"/>
        <rFont val="맑은 고딕"/>
        <family val="3"/>
        <charset val="129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담당자</t>
    </r>
    <phoneticPr fontId="16" type="noConversion"/>
  </si>
  <si>
    <t>참여자자격요건</t>
    <phoneticPr fontId="16" type="noConversion"/>
  </si>
  <si>
    <t>사업자등록번호</t>
    <phoneticPr fontId="16" type="noConversion"/>
  </si>
  <si>
    <t>담당자는 참여기업을 붙여서 필드명을 넣는다.</t>
    <phoneticPr fontId="16" type="noConversion"/>
  </si>
  <si>
    <t>멘토는 멘토를 붙여서 필드명을 넣는다.</t>
    <phoneticPr fontId="16" type="noConversion"/>
  </si>
  <si>
    <r>
      <t>#</t>
    </r>
    <r>
      <rPr>
        <sz val="10"/>
        <color rgb="FF000000"/>
        <rFont val="Arial Unicode MS"/>
        <family val="2"/>
      </rPr>
      <t>유일하지 않고 중복되는 필드명들이 있다면 구분할 수 있는 키워드를 넣어서 유일한 필드로 만든다.</t>
    </r>
    <phoneticPr fontId="16" type="noConversion"/>
  </si>
  <si>
    <t>작성 팁</t>
    <phoneticPr fontId="16" type="noConversion"/>
  </si>
  <si>
    <t xml:space="preserve">글 및 폰트 와 크기 </t>
    <phoneticPr fontId="16" type="noConversion"/>
  </si>
  <si>
    <t>글 추가 시 이 위에 행 삽입</t>
    <phoneticPr fontId="16" type="noConversion"/>
  </si>
  <si>
    <t>지우지 마세요.</t>
    <phoneticPr fontId="16" type="noConversion"/>
  </si>
  <si>
    <t>40. 개인정보 활용에 관한 동의서</t>
    <phoneticPr fontId="16" type="noConversion"/>
  </si>
  <si>
    <t>46. 참여 청년용 확인서</t>
    <phoneticPr fontId="16" type="noConversion"/>
  </si>
  <si>
    <t>118. 인턴형 프로그램 표준계약서</t>
    <phoneticPr fontId="16" type="noConversion"/>
  </si>
  <si>
    <r>
      <rPr>
        <sz val="14"/>
        <color rgb="FF000000"/>
        <rFont val="Arial"/>
        <family val="3"/>
        <charset val="129"/>
        <scheme val="major"/>
      </rPr>
      <t>기본양식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</si>
  <si>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참여기업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정보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</si>
  <si>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운영계획서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</si>
  <si>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멘토일지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</si>
  <si>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종합보고서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</si>
  <si>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중간점검일지</t>
    </r>
    <phoneticPr fontId="16" type="noConversion"/>
  </si>
  <si>
    <r>
      <t>125. (</t>
    </r>
    <r>
      <rPr>
        <sz val="14"/>
        <color rgb="FF000000"/>
        <rFont val="Arial"/>
        <family val="2"/>
        <charset val="129"/>
        <scheme val="major"/>
      </rPr>
      <t>공통직무교육기관</t>
    </r>
    <r>
      <rPr>
        <sz val="14"/>
        <color rgb="FF000000"/>
        <rFont val="Arial"/>
        <family val="2"/>
        <scheme val="major"/>
      </rPr>
      <t xml:space="preserve">) </t>
    </r>
    <r>
      <rPr>
        <sz val="14"/>
        <color rgb="FF000000"/>
        <rFont val="Arial"/>
        <family val="2"/>
        <charset val="129"/>
        <scheme val="major"/>
      </rPr>
      <t>사전직무교육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2"/>
        <charset val="129"/>
        <scheme val="major"/>
      </rPr>
      <t>실시보고</t>
    </r>
    <phoneticPr fontId="16" type="noConversion"/>
  </si>
  <si>
    <r>
      <t xml:space="preserve">34. </t>
    </r>
    <r>
      <rPr>
        <sz val="14"/>
        <color rgb="FF000000"/>
        <rFont val="Arial"/>
        <family val="3"/>
        <charset val="129"/>
        <scheme val="major"/>
      </rPr>
      <t>인턴형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실시보고</t>
    </r>
    <phoneticPr fontId="16" type="noConversion"/>
  </si>
  <si>
    <r>
      <t xml:space="preserve">33. </t>
    </r>
    <r>
      <rPr>
        <sz val="14"/>
        <color rgb="FF000000"/>
        <rFont val="Arial"/>
        <family val="3"/>
        <charset val="129"/>
        <scheme val="major"/>
      </rPr>
      <t>인턴형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참여신청서</t>
    </r>
    <phoneticPr fontId="16" type="noConversion"/>
  </si>
  <si>
    <r>
      <t xml:space="preserve">13. </t>
    </r>
    <r>
      <rPr>
        <sz val="14"/>
        <color rgb="FF000000"/>
        <rFont val="Arial"/>
        <family val="3"/>
        <charset val="129"/>
        <scheme val="major"/>
      </rPr>
      <t>참여기업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지원금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지급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신청서</t>
    </r>
    <phoneticPr fontId="16" type="noConversion"/>
  </si>
  <si>
    <t>폰트</t>
    <phoneticPr fontId="16" type="noConversion"/>
  </si>
  <si>
    <t>용도</t>
    <phoneticPr fontId="16" type="noConversion"/>
  </si>
  <si>
    <t>크기</t>
    <phoneticPr fontId="16" type="noConversion"/>
  </si>
  <si>
    <t>타이틀</t>
    <phoneticPr fontId="16" type="noConversion"/>
  </si>
  <si>
    <r>
      <t>G</t>
    </r>
    <r>
      <rPr>
        <sz val="10"/>
        <color rgb="FF000000"/>
        <rFont val="맑은 고딕"/>
        <family val="3"/>
        <charset val="129"/>
      </rPr>
      <t>마켓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산스</t>
    </r>
    <r>
      <rPr>
        <sz val="10"/>
        <color rgb="FF000000"/>
        <rFont val="Arial"/>
        <family val="2"/>
        <scheme val="minor"/>
      </rPr>
      <t xml:space="preserve"> Bold</t>
    </r>
    <phoneticPr fontId="16" type="noConversion"/>
  </si>
  <si>
    <t>필드</t>
    <phoneticPr fontId="16" type="noConversion"/>
  </si>
  <si>
    <t>입력</t>
    <phoneticPr fontId="16" type="noConversion"/>
  </si>
  <si>
    <t>일경험(1~4주)</t>
  </si>
  <si>
    <t>일경험(5~8주)</t>
  </si>
  <si>
    <r>
      <t xml:space="preserve">(              </t>
    </r>
    <r>
      <rPr>
        <sz val="9"/>
        <rFont val="Arial"/>
        <family val="2"/>
        <scheme val="minor"/>
      </rPr>
      <t xml:space="preserve"> </t>
    </r>
    <r>
      <rPr>
        <sz val="9"/>
        <rFont val="KoPubWorld돋움체 Light"/>
        <family val="3"/>
        <charset val="129"/>
      </rPr>
      <t>) 은행</t>
    </r>
    <phoneticPr fontId="16" type="noConversion"/>
  </si>
  <si>
    <r>
      <t xml:space="preserve">(예금주 :    </t>
    </r>
    <r>
      <rPr>
        <sz val="9"/>
        <rFont val="Arial"/>
        <family val="2"/>
        <scheme val="minor"/>
      </rPr>
      <t xml:space="preserve"> </t>
    </r>
    <r>
      <rPr>
        <sz val="9"/>
        <rFont val="KoPubWorld돋움체 Light"/>
        <family val="3"/>
        <charset val="129"/>
      </rPr>
      <t>)</t>
    </r>
    <phoneticPr fontId="16" type="noConversion"/>
  </si>
  <si>
    <t>일경험 직무 정보</t>
    <phoneticPr fontId="16" type="noConversion"/>
  </si>
  <si>
    <t>종업원 수</t>
    <phoneticPr fontId="16" type="noConversion"/>
  </si>
  <si>
    <r>
      <t>2</t>
    </r>
    <r>
      <rPr>
        <sz val="10"/>
        <color theme="1"/>
        <rFont val="Arial Unicode MS"/>
        <family val="2"/>
        <charset val="129"/>
      </rPr>
      <t>명</t>
    </r>
    <phoneticPr fontId="16" type="noConversion"/>
  </si>
  <si>
    <t>홈페이지</t>
    <phoneticPr fontId="16" type="noConversion"/>
  </si>
  <si>
    <r>
      <rPr>
        <b/>
        <sz val="11"/>
        <color theme="1"/>
        <rFont val="굴림"/>
        <family val="2"/>
        <charset val="129"/>
      </rPr>
      <t>사업장주소</t>
    </r>
    <r>
      <rPr>
        <b/>
        <sz val="11"/>
        <color theme="1"/>
        <rFont val="Arial"/>
        <family val="2"/>
      </rPr>
      <t>(</t>
    </r>
    <r>
      <rPr>
        <b/>
        <sz val="11"/>
        <color theme="1"/>
        <rFont val="굴림"/>
        <family val="2"/>
        <charset val="129"/>
      </rPr>
      <t>본사</t>
    </r>
    <r>
      <rPr>
        <b/>
        <sz val="11"/>
        <color theme="1"/>
        <rFont val="Arial"/>
        <family val="2"/>
      </rPr>
      <t>)</t>
    </r>
    <phoneticPr fontId="16" type="noConversion"/>
  </si>
  <si>
    <t>사업장주소(일경험)</t>
    <phoneticPr fontId="16" type="noConversion"/>
  </si>
  <si>
    <t>사업자</t>
    <phoneticPr fontId="16" type="noConversion"/>
  </si>
  <si>
    <t>사전직무</t>
    <phoneticPr fontId="16" type="noConversion"/>
  </si>
  <si>
    <t>프로그램 명</t>
    <phoneticPr fontId="16" type="noConversion"/>
  </si>
  <si>
    <t>일경험</t>
    <phoneticPr fontId="16" type="noConversion"/>
  </si>
  <si>
    <t>총 기간</t>
    <phoneticPr fontId="16" type="noConversion"/>
  </si>
  <si>
    <t xml:space="preserve">고용보험 사업장 </t>
  </si>
  <si>
    <t>1차(1~4주)</t>
    <phoneticPr fontId="16" type="noConversion"/>
  </si>
  <si>
    <t xml:space="preserve"> </t>
    <phoneticPr fontId="16" type="noConversion"/>
  </si>
  <si>
    <t>(법인번호)</t>
  </si>
  <si>
    <t>관리번호</t>
  </si>
  <si>
    <t>교육목적</t>
    <phoneticPr fontId="16" type="noConversion"/>
  </si>
  <si>
    <t>2차(4~8주)</t>
    <phoneticPr fontId="16" type="noConversion"/>
  </si>
  <si>
    <t>체크할때는 문서내용의 진위를 확인 후 완성되었을때만 체크!!</t>
    <phoneticPr fontId="16" type="noConversion"/>
  </si>
  <si>
    <t>연 락 처</t>
  </si>
  <si>
    <t>업종</t>
    <phoneticPr fontId="16" type="noConversion"/>
  </si>
  <si>
    <t>교육장소</t>
    <phoneticPr fontId="16" type="noConversion"/>
  </si>
  <si>
    <t>직무</t>
    <phoneticPr fontId="16" type="noConversion"/>
  </si>
  <si>
    <t>회차</t>
    <phoneticPr fontId="16" type="noConversion"/>
  </si>
  <si>
    <t>시작</t>
    <phoneticPr fontId="16" type="noConversion"/>
  </si>
  <si>
    <t>종료</t>
    <phoneticPr fontId="16" type="noConversion"/>
  </si>
  <si>
    <t>소 재 지</t>
  </si>
  <si>
    <t>사업자등록번호</t>
    <phoneticPr fontId="16" type="noConversion"/>
  </si>
  <si>
    <t>인원</t>
    <phoneticPr fontId="16" type="noConversion"/>
  </si>
  <si>
    <t>근무부서</t>
    <phoneticPr fontId="16" type="noConversion"/>
  </si>
  <si>
    <t>최상위 파일 명</t>
    <phoneticPr fontId="16" type="noConversion"/>
  </si>
  <si>
    <t>상위 파일 명</t>
    <phoneticPr fontId="16" type="noConversion"/>
  </si>
  <si>
    <t>번호</t>
    <phoneticPr fontId="16" type="noConversion"/>
  </si>
  <si>
    <t>서류 명</t>
    <phoneticPr fontId="16" type="noConversion"/>
  </si>
  <si>
    <t>작성시기</t>
    <phoneticPr fontId="16" type="noConversion"/>
  </si>
  <si>
    <t>체크</t>
    <phoneticPr fontId="16" type="noConversion"/>
  </si>
  <si>
    <t>주의 사항</t>
    <phoneticPr fontId="16" type="noConversion"/>
  </si>
  <si>
    <t>주 된 업 종</t>
  </si>
  <si>
    <t xml:space="preserve">고용보험 </t>
  </si>
  <si>
    <t>피보험자 수</t>
    <phoneticPr fontId="16" type="noConversion"/>
  </si>
  <si>
    <t>주요업무</t>
    <phoneticPr fontId="16" type="noConversion"/>
  </si>
  <si>
    <t>일경험 프로그램 명</t>
    <phoneticPr fontId="16" type="noConversion"/>
  </si>
  <si>
    <t>0. 회사
/
멘토</t>
    <phoneticPr fontId="16" type="noConversion"/>
  </si>
  <si>
    <t>4대 사회보험 사업장 가입자 명부(최신)_기업명</t>
    <phoneticPr fontId="16" type="noConversion"/>
  </si>
  <si>
    <t>4대 사회보험 사업장 가입자 명부(최신)</t>
  </si>
  <si>
    <t>참여기업협약시</t>
    <phoneticPr fontId="16" type="noConversion"/>
  </si>
  <si>
    <t>피 보 험 자 수</t>
  </si>
  <si>
    <t>담당자</t>
    <phoneticPr fontId="16" type="noConversion"/>
  </si>
  <si>
    <t>담당부서</t>
    <phoneticPr fontId="16" type="noConversion"/>
  </si>
  <si>
    <t>사업장 등록증_기업명</t>
    <phoneticPr fontId="16" type="noConversion"/>
  </si>
  <si>
    <t>사업장 등록증</t>
  </si>
  <si>
    <t xml:space="preserve">[ ✔] 󰊱 중소기업 </t>
  </si>
  <si>
    <t>담당자 명</t>
    <phoneticPr fontId="16" type="noConversion"/>
  </si>
  <si>
    <t>벤처기업확인서_기업명</t>
    <phoneticPr fontId="16" type="noConversion"/>
  </si>
  <si>
    <t>벤처기업인증</t>
  </si>
  <si>
    <t>□신기술·신성장유망기업□강소기업·청년친화강소기업□우수벤처기업</t>
  </si>
  <si>
    <t>담당자 연락처</t>
    <phoneticPr fontId="16" type="noConversion"/>
  </si>
  <si>
    <t>직인 이미지(기업)</t>
    <phoneticPr fontId="16" type="noConversion"/>
  </si>
  <si>
    <t>위 필독사항 3번 참조</t>
    <phoneticPr fontId="16" type="noConversion"/>
  </si>
  <si>
    <t>□우수 중소기업(경영혁신형․기술혁신형 중소기업)</t>
  </si>
  <si>
    <t>이메일</t>
    <phoneticPr fontId="16" type="noConversion"/>
  </si>
  <si>
    <t>[서식12, 42, 46,121] 일경험_참여기업 서류 모음_기업명(통합).hwp</t>
    <phoneticPr fontId="16" type="noConversion"/>
  </si>
  <si>
    <t>[서식12] 일경험 프로그램 참여기업 신청서_기업명</t>
    <phoneticPr fontId="16" type="noConversion"/>
  </si>
  <si>
    <t>□사회적기업 ■기타 중소기업</t>
  </si>
  <si>
    <t>[서식46] 참여자격 확인서_기업명</t>
    <phoneticPr fontId="16" type="noConversion"/>
  </si>
  <si>
    <t xml:space="preserve">[ ] 󰊲 중견기업 </t>
  </si>
  <si>
    <t>[서식121] 참여기업 협약서_기업명</t>
    <phoneticPr fontId="16" type="noConversion"/>
  </si>
  <si>
    <t xml:space="preserve">[ ] 󰊳 대기업 </t>
  </si>
  <si>
    <t>[서식42] 참여기업 참여 의향서_기업명</t>
    <phoneticPr fontId="16" type="noConversion"/>
  </si>
  <si>
    <t>[ ] 󰊴 기타(비영리 법인 등)</t>
  </si>
  <si>
    <t>참여기업 통장 사본</t>
    <phoneticPr fontId="16" type="noConversion"/>
  </si>
  <si>
    <t>운영 당일</t>
    <phoneticPr fontId="16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</si>
  <si>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</si>
  <si>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</si>
  <si>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6" type="noConversion"/>
  </si>
  <si>
    <t>주요사업</t>
  </si>
  <si>
    <t>멘토 통장 사본</t>
    <phoneticPr fontId="16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</si>
  <si>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</si>
  <si>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</si>
  <si>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</si>
  <si>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</si>
  <si>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6" type="noConversion"/>
  </si>
  <si>
    <t xml:space="preserve">프로그램 내용 </t>
    <phoneticPr fontId="16" type="noConversion"/>
  </si>
  <si>
    <t xml:space="preserve">참여 이력 </t>
  </si>
  <si>
    <t>멘토 재직증명서</t>
    <phoneticPr fontId="16" type="noConversion"/>
  </si>
  <si>
    <t>불가능한 멘토 : 대표, 임원
가능한 멘토 : 대표, 임원 외 (신입도 가능)
※[배포] 청년일경험 인턴형 멘토수당 지급기준(안)_.hwp 확인</t>
    <phoneticPr fontId="16" type="noConversion"/>
  </si>
  <si>
    <t>멘토 서명</t>
    <phoneticPr fontId="16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</si>
  <si>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</si>
  <si>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</si>
  <si>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</si>
  <si>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</si>
  <si>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</si>
  <si>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6" type="noConversion"/>
  </si>
  <si>
    <t>프로그램 운영
매주 작성(4주마다 제출)</t>
    <phoneticPr fontId="16" type="noConversion"/>
  </si>
  <si>
    <t>01. 프로그램
등록</t>
    <phoneticPr fontId="16" type="noConversion"/>
  </si>
  <si>
    <t>[서식102] 사전직무교육 운영계획서_기업명.hwp</t>
    <phoneticPr fontId="16" type="noConversion"/>
  </si>
  <si>
    <t>프로그램 등록시</t>
    <phoneticPr fontId="16" type="noConversion"/>
  </si>
  <si>
    <t>[서식108] 일경험 운영 계획서_기업명.hwp</t>
    <phoneticPr fontId="16" type="noConversion"/>
  </si>
  <si>
    <t>02. 참여자
서류
(하위 폴더 명
ex) 01. 이름)</t>
    <phoneticPr fontId="16" type="noConversion"/>
  </si>
  <si>
    <t>[배포] [서식46,40,33] 청년서류 모음_(꼭 확인 파란글씨검은색변경).hwp</t>
    <phoneticPr fontId="16" type="noConversion"/>
  </si>
  <si>
    <t>참여청년 모집시</t>
    <phoneticPr fontId="16" type="noConversion"/>
  </si>
  <si>
    <t>[서식33] 일경험 참여신청서</t>
    <phoneticPr fontId="16" type="noConversion"/>
  </si>
  <si>
    <t>[서식40] 개인정보 활용에 관한 동의서</t>
    <phoneticPr fontId="16" type="noConversion"/>
  </si>
  <si>
    <t>[서식46] 참여 청년 자격 확인서</t>
    <phoneticPr fontId="16" type="noConversion"/>
  </si>
  <si>
    <t>신청서_이름.xlsx</t>
    <phoneticPr fontId="16" type="noConversion"/>
  </si>
  <si>
    <t>신분증 사본</t>
    <phoneticPr fontId="16" type="noConversion"/>
  </si>
  <si>
    <t>통장 사본</t>
    <phoneticPr fontId="16" type="noConversion"/>
  </si>
  <si>
    <t>사업자 사실증명서</t>
    <phoneticPr fontId="16" type="noConversion"/>
  </si>
  <si>
    <t>(휴업),(폐업)시 각각 휴업사실증명, 폐업사실증명 필요
(링크는 신청서_이름.xlsx 양식에 있음)</t>
    <phoneticPr fontId="16" type="noConversion"/>
  </si>
  <si>
    <t>03. 사전직무
교육</t>
    <phoneticPr fontId="16" type="noConversion"/>
  </si>
  <si>
    <t>[서식125] 사전직무교육 실시보고_기업명.hwp</t>
    <phoneticPr fontId="16" type="noConversion"/>
  </si>
  <si>
    <t>개시 당일</t>
    <phoneticPr fontId="16" type="noConversion"/>
  </si>
  <si>
    <t>실시 후 5일 이내 보고</t>
    <phoneticPr fontId="16" type="noConversion"/>
  </si>
  <si>
    <t>[서식104] 사전직무교육 공가관리대장_기업명.hwp</t>
    <phoneticPr fontId="16" type="noConversion"/>
  </si>
  <si>
    <t>직무교육 중</t>
    <phoneticPr fontId="16" type="noConversion"/>
  </si>
  <si>
    <t>사전직무교육 결석 사유가 있을 경우 대장관리 필요.</t>
    <phoneticPr fontId="16" type="noConversion"/>
  </si>
  <si>
    <t>[서식103] 사전직무교육 출석부_기업명.hwp</t>
    <phoneticPr fontId="16" type="noConversion"/>
  </si>
  <si>
    <t>[서식16] 사전직무교육만족도조사_기업명.hwp</t>
    <phoneticPr fontId="16" type="noConversion"/>
  </si>
  <si>
    <t>종료당일</t>
    <phoneticPr fontId="16" type="noConversion"/>
  </si>
  <si>
    <t>사전직무교육비-청년교육수당.xlsx</t>
    <phoneticPr fontId="16" type="noConversion"/>
  </si>
  <si>
    <t>종료 후 10일 이내</t>
    <phoneticPr fontId="16" type="noConversion"/>
  </si>
  <si>
    <t>[서식129] 사전직무교육 수료 보고서_기업명.hwp</t>
    <phoneticPr fontId="16" type="noConversion"/>
  </si>
  <si>
    <t>[서식15] 결과보고서 대체가능, 실적보고서라고도 함.</t>
    <phoneticPr fontId="16" type="noConversion"/>
  </si>
  <si>
    <t>04. 프로그램 
운영</t>
    <phoneticPr fontId="16" type="noConversion"/>
  </si>
  <si>
    <t>[서식118] 인턴형 일경험 프로그램 표준 계약서_기업명.hwp</t>
    <phoneticPr fontId="16" type="noConversion"/>
  </si>
  <si>
    <t>운영시작 당일</t>
    <phoneticPr fontId="16" type="noConversion"/>
  </si>
  <si>
    <t>[서식34] 인턴형 일경험 실시보고_기업명(3일이내).hwp</t>
    <phoneticPr fontId="16" type="noConversion"/>
  </si>
  <si>
    <t>3일 이내</t>
    <phoneticPr fontId="16" type="noConversion"/>
  </si>
  <si>
    <t>[서식35] ( )월 인턴형 일경험 결과보고(지원금 신청 포함).hwp</t>
    <phoneticPr fontId="16" type="noConversion"/>
  </si>
  <si>
    <t>4주마다</t>
    <phoneticPr fontId="16" type="noConversion"/>
  </si>
  <si>
    <t>※서명란은 꼭 직인 이미지 삽입!(위 필독사항 3번 참조)</t>
    <phoneticPr fontId="16" type="noConversion"/>
  </si>
  <si>
    <t>[서식17] 청년 일경험 프로그램 출석부 1차(4주차)_기업명.hwp</t>
    <phoneticPr fontId="16" type="noConversion"/>
  </si>
  <si>
    <t>[서식17] 청년 일경험 프로그램 출석부 2차(8주차)_기업명.hwp</t>
    <phoneticPr fontId="16" type="noConversion"/>
  </si>
  <si>
    <t>[서식106] 참여기업 중간점검 일지.hwp</t>
    <phoneticPr fontId="16" type="noConversion"/>
  </si>
  <si>
    <t>[서식13] 참여기업 지원금 지급 신청서.hwp</t>
    <phoneticPr fontId="16" type="noConversion"/>
  </si>
  <si>
    <t>[서식123] 일경험 중도포기 신청서.hwp</t>
    <phoneticPr fontId="16" type="noConversion"/>
  </si>
  <si>
    <t>중도포기시</t>
    <phoneticPr fontId="16" type="noConversion"/>
  </si>
  <si>
    <t>[서식109] 청년 일경험 인턴형 종합 보고서_기업명.hwp</t>
    <phoneticPr fontId="16" type="noConversion"/>
  </si>
  <si>
    <t>05. 프로그램
종료</t>
    <phoneticPr fontId="16" type="noConversion"/>
  </si>
  <si>
    <t>인턴형 일경험 프로그램 만족도 조사(미래내일 홈페이지)</t>
    <phoneticPr fontId="16" type="noConversion"/>
  </si>
  <si>
    <t>프로그램 종료 시</t>
    <phoneticPr fontId="16" type="noConversion"/>
  </si>
  <si>
    <t>참여청년 수료증</t>
    <phoneticPr fontId="16" type="noConversion"/>
  </si>
  <si>
    <t>월</t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</si>
  <si>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</si>
  <si>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</si>
  <si>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</si>
  <si>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t>이순신</t>
    <phoneticPr fontId="16" type="noConversion"/>
  </si>
  <si>
    <t>세종대왕</t>
    <phoneticPr fontId="16" type="noConversion"/>
  </si>
  <si>
    <r>
      <rPr>
        <b/>
        <sz val="11"/>
        <color theme="1"/>
        <rFont val="Arial"/>
        <family val="2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2"/>
        <charset val="129"/>
        <scheme val="minor"/>
      </rPr>
      <t>팩스번호</t>
    </r>
    <phoneticPr fontId="16" type="noConversion"/>
  </si>
  <si>
    <t>참여일(1~4주)</t>
    <phoneticPr fontId="16" type="noConversion"/>
  </si>
  <si>
    <t>참여일(5~8주)</t>
    <phoneticPr fontId="16" type="noConversion"/>
  </si>
  <si>
    <t>2024. 11. 18 ~ 2025. 01. 10</t>
    <phoneticPr fontId="16" type="noConversion"/>
  </si>
  <si>
    <r>
      <rPr>
        <b/>
        <sz val="11"/>
        <color theme="1"/>
        <rFont val="맑은 고딕"/>
        <family val="3"/>
        <charset val="129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명</t>
    </r>
    <r>
      <rPr>
        <b/>
        <sz val="11"/>
        <color theme="1"/>
        <rFont val="Arial"/>
        <family val="2"/>
        <scheme val="minor"/>
      </rPr>
      <t>1</t>
    </r>
    <phoneticPr fontId="16" type="noConversion"/>
  </si>
  <si>
    <r>
      <rPr>
        <b/>
        <sz val="11"/>
        <color theme="1"/>
        <rFont val="맑은 고딕"/>
        <family val="3"/>
        <charset val="129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명2</t>
    </r>
    <phoneticPr fontId="16" type="noConversion"/>
  </si>
  <si>
    <t>장보고</t>
    <phoneticPr fontId="16" type="noConversion"/>
  </si>
  <si>
    <r>
      <rPr>
        <sz val="10"/>
        <color rgb="FFFF0000"/>
        <rFont val="Arial"/>
        <family val="2"/>
        <scheme val="minor"/>
      </rPr>
      <t xml:space="preserve">* </t>
    </r>
    <r>
      <rPr>
        <sz val="10"/>
        <color rgb="FFFF0000"/>
        <rFont val="맑은 고딕"/>
        <family val="3"/>
        <charset val="129"/>
      </rPr>
      <t>담당자는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맑은 고딕"/>
        <family val="3"/>
        <charset val="129"/>
      </rPr>
      <t>멘토를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맑은 고딕"/>
        <family val="3"/>
        <charset val="129"/>
      </rPr>
      <t>지칭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</si>
  <si>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r>
      <rPr>
        <b/>
        <sz val="20"/>
        <color theme="1"/>
        <rFont val="Arial"/>
        <family val="3"/>
        <charset val="129"/>
      </rPr>
      <t>_</t>
    </r>
    <r>
      <rPr>
        <b/>
        <sz val="20"/>
        <color theme="1"/>
        <rFont val="Arial Unicode MS"/>
        <family val="3"/>
        <charset val="129"/>
      </rPr>
      <t>멘토1</t>
    </r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</si>
</sst>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  <numFmt numFmtId="181" formatCode="yyyy&quot;년&quot;\ m&quot;월&quot;\ d&quot;일&quot;;@"/>
  </numFmts>
  <fonts count="169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4"/>
      <color rgb="FF000000"/>
      <name val="Arial Unicode MS"/>
      <family val="2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b/>
      <sz val="20"/>
      <color theme="1"/>
      <name val="맑은 고딕"/>
      <family val="3"/>
      <charset val="129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돋움"/>
      <family val="3"/>
      <charset val="129"/>
    </font>
    <font>
      <sz val="10"/>
      <color rgb="FF000000"/>
      <name val="Arial"/>
      <family val="2"/>
    </font>
    <font>
      <b/>
      <sz val="20"/>
      <color theme="1"/>
      <name val="Arial"/>
      <family val="2"/>
      <scheme val="major"/>
    </font>
    <font>
      <b/>
      <sz val="20"/>
      <color theme="1"/>
      <name val="Arial"/>
      <family val="3"/>
      <charset val="129"/>
      <scheme val="major"/>
    </font>
    <font>
      <sz val="10"/>
      <color rgb="FF000000"/>
      <name val="Arial"/>
      <family val="2"/>
      <charset val="129"/>
    </font>
    <font>
      <sz val="12"/>
      <color theme="1"/>
      <name val="맑은 고딕"/>
      <family val="3"/>
      <charset val="129"/>
    </font>
    <font>
      <sz val="12"/>
      <color theme="1"/>
      <name val="Arial Unicode MS"/>
      <family val="2"/>
      <charset val="129"/>
    </font>
    <font>
      <sz val="12"/>
      <color theme="1"/>
      <name val="Arial"/>
      <family val="3"/>
      <charset val="129"/>
    </font>
    <font>
      <b/>
      <sz val="18"/>
      <color rgb="FF000000"/>
      <name val="맑은 고딕"/>
      <family val="3"/>
      <charset val="129"/>
    </font>
    <font>
      <b/>
      <sz val="14"/>
      <color theme="1"/>
      <name val="G마켓 산스 Bold"/>
      <family val="3"/>
      <charset val="129"/>
    </font>
    <font>
      <b/>
      <sz val="14"/>
      <color theme="1"/>
      <name val="G마켓 산스 Medium"/>
      <family val="3"/>
      <charset val="129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b/>
      <sz val="11"/>
      <color rgb="FF000000"/>
      <name val="Arial"/>
      <family val="2"/>
      <scheme val="minor"/>
    </font>
    <font>
      <sz val="16"/>
      <color rgb="FF000000"/>
      <name val="KoPub돋움체 Bold"/>
      <family val="3"/>
      <charset val="129"/>
    </font>
    <font>
      <sz val="9"/>
      <name val="KoPubWorld돋움체 Light"/>
      <family val="3"/>
      <charset val="129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sz val="2"/>
      <name val="Arial"/>
      <family val="2"/>
      <scheme val="minor"/>
    </font>
    <font>
      <vertAlign val="superscript"/>
      <sz val="9"/>
      <name val="Arial"/>
      <family val="2"/>
      <scheme val="minor"/>
    </font>
    <font>
      <u/>
      <sz val="9"/>
      <name val="Arial"/>
      <family val="2"/>
      <scheme val="minor"/>
    </font>
    <font>
      <b/>
      <sz val="10"/>
      <name val="KoPubWorld돋움체 Light"/>
      <family val="3"/>
      <charset val="129"/>
    </font>
    <font>
      <b/>
      <sz val="9"/>
      <name val="KoPub돋움체 Light"/>
      <family val="3"/>
      <charset val="129"/>
    </font>
    <font>
      <sz val="8"/>
      <name val="KoPubWorld돋움체 Light"/>
      <family val="3"/>
      <charset val="129"/>
    </font>
    <font>
      <b/>
      <sz val="9"/>
      <name val="KoPubWorld돋움체 Light"/>
      <family val="3"/>
      <charset val="129"/>
    </font>
    <font>
      <sz val="14"/>
      <name val="Arial"/>
      <family val="2"/>
      <scheme val="minor"/>
    </font>
    <font>
      <sz val="13"/>
      <color theme="1"/>
      <name val="Arial Unicode MS"/>
      <family val="3"/>
      <charset val="129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b/>
      <sz val="11"/>
      <color theme="1"/>
      <name val="맑은 고딕"/>
      <family val="3"/>
      <charset val="129"/>
    </font>
    <font>
      <sz val="10"/>
      <color rgb="FF000000"/>
      <name val="G마켓 산스 Bold"/>
      <family val="3"/>
      <charset val="129"/>
    </font>
    <font>
      <u/>
      <sz val="20"/>
      <color rgb="FF000000"/>
      <name val="G마켓 산스 Bold"/>
      <family val="3"/>
      <charset val="129"/>
    </font>
    <font>
      <b/>
      <i/>
      <sz val="10"/>
      <color rgb="FF000000"/>
      <name val="Arial Unicode MS"/>
      <family val="2"/>
    </font>
    <font>
      <b/>
      <i/>
      <sz val="10"/>
      <color rgb="FFFF0000"/>
      <name val="Arial Unicode MS"/>
      <family val="2"/>
    </font>
    <font>
      <b/>
      <u/>
      <sz val="15"/>
      <color rgb="FF000000"/>
      <name val="Arial Unicode MS"/>
      <family val="2"/>
    </font>
    <font>
      <b/>
      <u/>
      <sz val="15"/>
      <color rgb="FF000000"/>
      <name val="맑은 고딕"/>
      <family val="3"/>
      <charset val="129"/>
    </font>
    <font>
      <b/>
      <i/>
      <u/>
      <sz val="11"/>
      <color rgb="FFFF0000"/>
      <name val="돋움"/>
      <family val="3"/>
      <charset val="129"/>
    </font>
    <font>
      <sz val="14"/>
      <color rgb="FF000000"/>
      <name val="Arial"/>
      <family val="2"/>
      <scheme val="major"/>
    </font>
    <font>
      <sz val="14"/>
      <color rgb="FF000000"/>
      <name val="Arial"/>
      <family val="3"/>
      <charset val="129"/>
      <scheme val="major"/>
    </font>
    <font>
      <sz val="14"/>
      <color rgb="FF000000"/>
      <name val="Arial"/>
      <family val="2"/>
      <charset val="129"/>
      <scheme val="major"/>
    </font>
    <font>
      <b/>
      <sz val="20"/>
      <color theme="1"/>
      <name val="G마켓 산스 Bold"/>
      <family val="3"/>
      <charset val="129"/>
    </font>
    <font>
      <sz val="12"/>
      <color theme="1"/>
      <name val="Arial"/>
      <family val="3"/>
      <charset val="129"/>
      <scheme val="minor"/>
    </font>
    <font>
      <sz val="16"/>
      <name val="KoPub돋움체 Bold"/>
      <family val="3"/>
      <charset val="129"/>
    </font>
    <font>
      <i/>
      <sz val="9"/>
      <name val="KoPubWorld돋움체 Light"/>
      <family val="3"/>
      <charset val="129"/>
    </font>
    <font>
      <i/>
      <sz val="10"/>
      <name val="함초롬바탕"/>
      <family val="1"/>
      <charset val="129"/>
    </font>
    <font>
      <i/>
      <u/>
      <sz val="9"/>
      <name val="KoPubWorld돋움체 Light"/>
      <family val="3"/>
      <charset val="129"/>
    </font>
    <font>
      <sz val="7"/>
      <name val="Arial"/>
      <family val="2"/>
      <scheme val="minor"/>
    </font>
    <font>
      <sz val="10"/>
      <color theme="1"/>
      <name val="Arial Unicode MS"/>
      <family val="2"/>
      <charset val="129"/>
    </font>
    <font>
      <b/>
      <sz val="11"/>
      <color theme="1"/>
      <name val="굴림"/>
      <family val="2"/>
      <charset val="129"/>
    </font>
    <font>
      <b/>
      <sz val="11"/>
      <color theme="1"/>
      <name val="Arial"/>
      <family val="2"/>
    </font>
    <font>
      <b/>
      <sz val="11"/>
      <color theme="1"/>
      <name val="Arial"/>
      <family val="2"/>
      <charset val="129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1"/>
      <color theme="1"/>
      <name val="Arial"/>
      <family val="2"/>
      <charset val="129"/>
      <scheme val="minor"/>
    </font>
    <font>
      <sz val="12"/>
      <color theme="1"/>
      <name val="맑은 고딕"/>
      <family val="2"/>
      <charset val="129"/>
    </font>
    <font>
      <b/>
      <sz val="11"/>
      <color theme="1"/>
      <name val="맑은 고딕"/>
      <family val="2"/>
      <charset val="129"/>
    </font>
    <font>
      <sz val="10"/>
      <color rgb="FFFF0000"/>
      <name val="맑은 고딕"/>
      <family val="3"/>
      <charset val="129"/>
    </font>
    <font>
      <sz val="10"/>
      <color rgb="FFFF0000"/>
      <name val="Arial"/>
      <family val="2"/>
    </font>
    <font>
      <b/>
      <sz val="20"/>
      <color theme="1"/>
      <name val="Arial Unicode MS"/>
      <family val="3"/>
      <charset val="129"/>
    </font>
    <font>
      <i/>
      <sz val="7"/>
      <name val="KoPubWorld돋움체 Light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</fills>
  <borders count="1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/>
      <bottom style="thin">
        <color rgb="FF999999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4">
    <xf numFmtId="0" fontId="0" fillId="0" borderId="0"/>
    <xf numFmtId="0" fontId="23" fillId="0" borderId="0" applyNumberFormat="0" applyFill="0" applyBorder="0" applyAlignment="0" applyProtection="0"/>
    <xf numFmtId="0" fontId="95" fillId="20" borderId="0" applyNumberFormat="0" applyBorder="0" applyAlignment="0" applyProtection="0">
      <alignment vertical="center"/>
    </xf>
    <xf numFmtId="0" fontId="13" fillId="0" borderId="0"/>
  </cellStyleXfs>
  <cellXfs count="792">
    <xf numFmtId="0" fontId="0" fillId="0" borderId="0" xfId="0"/>
    <xf numFmtId="0" fontId="15" fillId="6" borderId="2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0" fillId="0" borderId="13" xfId="0" applyBorder="1"/>
    <xf numFmtId="0" fontId="1" fillId="2" borderId="15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28" fillId="2" borderId="15" xfId="0" applyFont="1" applyFill="1" applyBorder="1" applyAlignment="1">
      <alignment vertical="center"/>
    </xf>
    <xf numFmtId="0" fontId="28" fillId="2" borderId="11" xfId="0" applyFont="1" applyFill="1" applyBorder="1" applyAlignment="1">
      <alignment vertical="center"/>
    </xf>
    <xf numFmtId="0" fontId="24" fillId="2" borderId="15" xfId="0" applyFont="1" applyFill="1" applyBorder="1" applyAlignment="1">
      <alignment horizontal="center" vertical="center"/>
    </xf>
    <xf numFmtId="0" fontId="29" fillId="0" borderId="11" xfId="0" applyFont="1" applyBorder="1"/>
    <xf numFmtId="0" fontId="29" fillId="0" borderId="0" xfId="0" applyFont="1"/>
    <xf numFmtId="0" fontId="29" fillId="0" borderId="14" xfId="0" applyFont="1" applyBorder="1"/>
    <xf numFmtId="0" fontId="29" fillId="0" borderId="8" xfId="0" applyFont="1" applyBorder="1"/>
    <xf numFmtId="0" fontId="0" fillId="7" borderId="6" xfId="0" applyFill="1" applyBorder="1"/>
    <xf numFmtId="0" fontId="25" fillId="9" borderId="17" xfId="0" applyFont="1" applyFill="1" applyBorder="1"/>
    <xf numFmtId="0" fontId="0" fillId="0" borderId="25" xfId="0" applyBorder="1"/>
    <xf numFmtId="0" fontId="25" fillId="0" borderId="10" xfId="0" applyFont="1" applyBorder="1"/>
    <xf numFmtId="0" fontId="25" fillId="9" borderId="26" xfId="0" applyFont="1" applyFill="1" applyBorder="1"/>
    <xf numFmtId="0" fontId="25" fillId="9" borderId="16" xfId="0" applyFont="1" applyFill="1" applyBorder="1"/>
    <xf numFmtId="0" fontId="4" fillId="4" borderId="3" xfId="0" applyFont="1" applyFill="1" applyBorder="1" applyAlignment="1">
      <alignment vertical="center"/>
    </xf>
    <xf numFmtId="0" fontId="22" fillId="0" borderId="6" xfId="0" applyFont="1" applyBorder="1"/>
    <xf numFmtId="0" fontId="22" fillId="0" borderId="1" xfId="0" applyFont="1" applyBorder="1"/>
    <xf numFmtId="0" fontId="22" fillId="0" borderId="18" xfId="0" applyFont="1" applyBorder="1"/>
    <xf numFmtId="0" fontId="1" fillId="2" borderId="27" xfId="0" applyFont="1" applyFill="1" applyBorder="1" applyAlignment="1">
      <alignment vertical="center"/>
    </xf>
    <xf numFmtId="0" fontId="1" fillId="2" borderId="28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29" xfId="0" applyFont="1" applyFill="1" applyBorder="1" applyAlignment="1">
      <alignment vertical="center"/>
    </xf>
    <xf numFmtId="0" fontId="1" fillId="2" borderId="24" xfId="0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7" fillId="0" borderId="20" xfId="0" applyFont="1" applyBorder="1"/>
    <xf numFmtId="0" fontId="27" fillId="0" borderId="16" xfId="0" applyFont="1" applyBorder="1"/>
    <xf numFmtId="0" fontId="27" fillId="0" borderId="19" xfId="0" applyFont="1" applyBorder="1"/>
    <xf numFmtId="0" fontId="23" fillId="2" borderId="4" xfId="1" applyFill="1" applyBorder="1" applyAlignment="1">
      <alignment vertical="center"/>
    </xf>
    <xf numFmtId="0" fontId="23" fillId="0" borderId="1" xfId="1" applyBorder="1"/>
    <xf numFmtId="0" fontId="22" fillId="0" borderId="3" xfId="0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2" fillId="0" borderId="18" xfId="0" applyFont="1" applyBorder="1" applyAlignment="1">
      <alignment horizontal="left"/>
    </xf>
    <xf numFmtId="0" fontId="22" fillId="0" borderId="0" xfId="0" applyFont="1"/>
    <xf numFmtId="0" fontId="22" fillId="0" borderId="23" xfId="0" applyFont="1" applyBorder="1"/>
    <xf numFmtId="0" fontId="18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2" xfId="0" applyFont="1" applyFill="1" applyBorder="1" applyAlignment="1">
      <alignment vertical="center"/>
    </xf>
    <xf numFmtId="0" fontId="4" fillId="8" borderId="20" xfId="0" applyFont="1" applyFill="1" applyBorder="1" applyAlignment="1">
      <alignment vertical="center"/>
    </xf>
    <xf numFmtId="0" fontId="4" fillId="12" borderId="30" xfId="0" applyFont="1" applyFill="1" applyBorder="1" applyAlignment="1">
      <alignment vertical="center"/>
    </xf>
    <xf numFmtId="0" fontId="4" fillId="8" borderId="15" xfId="0" applyFont="1" applyFill="1" applyBorder="1" applyAlignment="1">
      <alignment vertical="center"/>
    </xf>
    <xf numFmtId="0" fontId="4" fillId="8" borderId="11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4" fillId="2" borderId="9" xfId="0" applyFont="1" applyFill="1" applyBorder="1" applyAlignment="1">
      <alignment horizontal="center" vertical="center"/>
    </xf>
    <xf numFmtId="0" fontId="20" fillId="8" borderId="0" xfId="0" applyFont="1" applyFill="1" applyAlignment="1">
      <alignment vertical="center"/>
    </xf>
    <xf numFmtId="0" fontId="1" fillId="12" borderId="29" xfId="0" applyFont="1" applyFill="1" applyBorder="1" applyAlignment="1">
      <alignment vertical="center"/>
    </xf>
    <xf numFmtId="0" fontId="1" fillId="12" borderId="28" xfId="0" applyFont="1" applyFill="1" applyBorder="1" applyAlignment="1">
      <alignment vertical="center"/>
    </xf>
    <xf numFmtId="0" fontId="1" fillId="12" borderId="32" xfId="0" applyFont="1" applyFill="1" applyBorder="1" applyAlignment="1">
      <alignment vertical="center"/>
    </xf>
    <xf numFmtId="0" fontId="1" fillId="12" borderId="24" xfId="0" applyFont="1" applyFill="1" applyBorder="1" applyAlignment="1">
      <alignment vertical="center"/>
    </xf>
    <xf numFmtId="0" fontId="0" fillId="9" borderId="28" xfId="0" applyFill="1" applyBorder="1"/>
    <xf numFmtId="0" fontId="1" fillId="12" borderId="11" xfId="0" applyFont="1" applyFill="1" applyBorder="1" applyAlignment="1">
      <alignment vertical="center"/>
    </xf>
    <xf numFmtId="0" fontId="20" fillId="8" borderId="14" xfId="0" applyFont="1" applyFill="1" applyBorder="1" applyAlignment="1">
      <alignment vertical="center"/>
    </xf>
    <xf numFmtId="0" fontId="1" fillId="12" borderId="12" xfId="0" applyFont="1" applyFill="1" applyBorder="1" applyAlignment="1">
      <alignment vertical="center"/>
    </xf>
    <xf numFmtId="0" fontId="0" fillId="0" borderId="28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4" xfId="0" applyNumberFormat="1" applyFont="1" applyFill="1" applyBorder="1" applyAlignment="1">
      <alignment horizontal="left" vertical="center"/>
    </xf>
    <xf numFmtId="0" fontId="5" fillId="12" borderId="24" xfId="0" applyFont="1" applyFill="1" applyBorder="1" applyAlignment="1">
      <alignment horizontal="left" vertical="center"/>
    </xf>
    <xf numFmtId="0" fontId="7" fillId="12" borderId="24" xfId="0" applyFont="1" applyFill="1" applyBorder="1" applyAlignment="1">
      <alignment horizontal="left" vertical="center"/>
    </xf>
    <xf numFmtId="0" fontId="0" fillId="9" borderId="24" xfId="0" applyFill="1" applyBorder="1"/>
    <xf numFmtId="0" fontId="0" fillId="0" borderId="24" xfId="0" applyBorder="1"/>
    <xf numFmtId="0" fontId="5" fillId="9" borderId="32" xfId="0" applyFont="1" applyFill="1" applyBorder="1" applyAlignment="1">
      <alignment horizontal="left"/>
    </xf>
    <xf numFmtId="0" fontId="0" fillId="9" borderId="31" xfId="0" applyFill="1" applyBorder="1"/>
    <xf numFmtId="0" fontId="5" fillId="9" borderId="17" xfId="0" applyFont="1" applyFill="1" applyBorder="1" applyAlignment="1">
      <alignment horizontal="left"/>
    </xf>
    <xf numFmtId="0" fontId="0" fillId="9" borderId="17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2" xfId="0" applyFill="1" applyBorder="1"/>
    <xf numFmtId="0" fontId="20" fillId="8" borderId="11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0" fillId="8" borderId="27" xfId="0" applyFont="1" applyFill="1" applyBorder="1" applyAlignment="1">
      <alignment vertical="center"/>
    </xf>
    <xf numFmtId="0" fontId="18" fillId="6" borderId="6" xfId="0" applyFont="1" applyFill="1" applyBorder="1" applyAlignment="1">
      <alignment horizontal="center" vertical="center"/>
    </xf>
    <xf numFmtId="0" fontId="18" fillId="6" borderId="34" xfId="0" applyFont="1" applyFill="1" applyBorder="1" applyAlignment="1">
      <alignment horizontal="center" vertical="center"/>
    </xf>
    <xf numFmtId="0" fontId="18" fillId="6" borderId="35" xfId="0" applyFont="1" applyFill="1" applyBorder="1" applyAlignment="1">
      <alignment horizontal="center" vertical="center"/>
    </xf>
    <xf numFmtId="0" fontId="5" fillId="12" borderId="17" xfId="0" applyFont="1" applyFill="1" applyBorder="1" applyAlignment="1">
      <alignment horizontal="left" vertical="center"/>
    </xf>
    <xf numFmtId="0" fontId="0" fillId="0" borderId="12" xfId="0" applyBorder="1"/>
    <xf numFmtId="0" fontId="20" fillId="8" borderId="10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" fillId="2" borderId="19" xfId="0" applyFont="1" applyFill="1" applyBorder="1" applyAlignment="1">
      <alignment vertical="center"/>
    </xf>
    <xf numFmtId="0" fontId="20" fillId="8" borderId="36" xfId="0" applyFont="1" applyFill="1" applyBorder="1" applyAlignment="1">
      <alignment vertical="center"/>
    </xf>
    <xf numFmtId="0" fontId="1" fillId="2" borderId="37" xfId="0" applyFont="1" applyFill="1" applyBorder="1" applyAlignment="1">
      <alignment vertical="center"/>
    </xf>
    <xf numFmtId="0" fontId="20" fillId="8" borderId="15" xfId="0" applyFont="1" applyFill="1" applyBorder="1" applyAlignment="1">
      <alignment vertical="center"/>
    </xf>
    <xf numFmtId="0" fontId="34" fillId="0" borderId="36" xfId="0" applyFont="1" applyBorder="1"/>
    <xf numFmtId="0" fontId="36" fillId="4" borderId="1" xfId="0" applyFont="1" applyFill="1" applyBorder="1" applyAlignment="1">
      <alignment vertical="center"/>
    </xf>
    <xf numFmtId="0" fontId="37" fillId="2" borderId="1" xfId="0" applyFont="1" applyFill="1" applyBorder="1" applyAlignment="1">
      <alignment horizontal="left" vertical="center"/>
    </xf>
    <xf numFmtId="0" fontId="28" fillId="2" borderId="1" xfId="0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36" fillId="8" borderId="4" xfId="0" applyFont="1" applyFill="1" applyBorder="1" applyAlignment="1">
      <alignment vertical="center"/>
    </xf>
    <xf numFmtId="0" fontId="37" fillId="12" borderId="38" xfId="0" applyFont="1" applyFill="1" applyBorder="1" applyAlignment="1">
      <alignment horizontal="left" vertical="center"/>
    </xf>
    <xf numFmtId="0" fontId="28" fillId="12" borderId="38" xfId="0" applyFont="1" applyFill="1" applyBorder="1" applyAlignment="1">
      <alignment vertical="center"/>
    </xf>
    <xf numFmtId="0" fontId="36" fillId="8" borderId="21" xfId="0" applyFont="1" applyFill="1" applyBorder="1" applyAlignment="1">
      <alignment vertical="center"/>
    </xf>
    <xf numFmtId="0" fontId="37" fillId="12" borderId="5" xfId="0" applyFont="1" applyFill="1" applyBorder="1" applyAlignment="1">
      <alignment horizontal="left" vertical="center"/>
    </xf>
    <xf numFmtId="0" fontId="28" fillId="12" borderId="33" xfId="0" applyFont="1" applyFill="1" applyBorder="1" applyAlignment="1">
      <alignment vertical="center"/>
    </xf>
    <xf numFmtId="176" fontId="37" fillId="2" borderId="1" xfId="0" applyNumberFormat="1" applyFont="1" applyFill="1" applyBorder="1" applyAlignment="1">
      <alignment horizontal="left" vertical="center"/>
    </xf>
    <xf numFmtId="0" fontId="41" fillId="0" borderId="0" xfId="0" applyFont="1" applyAlignment="1">
      <alignment vertical="center"/>
    </xf>
    <xf numFmtId="0" fontId="0" fillId="0" borderId="0" xfId="0" applyAlignment="1">
      <alignment vertical="center"/>
    </xf>
    <xf numFmtId="0" fontId="40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31" fontId="4" fillId="2" borderId="1" xfId="0" applyNumberFormat="1" applyFont="1" applyFill="1" applyBorder="1" applyAlignment="1">
      <alignment vertical="center"/>
    </xf>
    <xf numFmtId="0" fontId="45" fillId="0" borderId="0" xfId="0" applyFont="1"/>
    <xf numFmtId="0" fontId="49" fillId="14" borderId="39" xfId="0" applyFont="1" applyFill="1" applyBorder="1" applyAlignment="1">
      <alignment horizontal="center" vertical="center"/>
    </xf>
    <xf numFmtId="0" fontId="49" fillId="14" borderId="40" xfId="0" applyFont="1" applyFill="1" applyBorder="1" applyAlignment="1">
      <alignment horizontal="center" vertical="center"/>
    </xf>
    <xf numFmtId="0" fontId="49" fillId="14" borderId="41" xfId="0" applyFont="1" applyFill="1" applyBorder="1" applyAlignment="1">
      <alignment horizontal="center" vertical="center"/>
    </xf>
    <xf numFmtId="0" fontId="50" fillId="2" borderId="40" xfId="0" applyFont="1" applyFill="1" applyBorder="1" applyAlignment="1">
      <alignment horizontal="center" vertical="center"/>
    </xf>
    <xf numFmtId="0" fontId="50" fillId="2" borderId="42" xfId="0" applyFont="1" applyFill="1" applyBorder="1" applyAlignment="1">
      <alignment horizontal="center" vertical="center"/>
    </xf>
    <xf numFmtId="0" fontId="51" fillId="2" borderId="44" xfId="0" applyFont="1" applyFill="1" applyBorder="1" applyAlignment="1">
      <alignment horizontal="center" vertical="center"/>
    </xf>
    <xf numFmtId="49" fontId="48" fillId="0" borderId="42" xfId="0" applyNumberFormat="1" applyFont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0" fontId="48" fillId="0" borderId="41" xfId="0" applyFont="1" applyBorder="1" applyAlignment="1">
      <alignment horizontal="center" vertical="center"/>
    </xf>
    <xf numFmtId="49" fontId="48" fillId="0" borderId="41" xfId="0" applyNumberFormat="1" applyFont="1" applyBorder="1" applyAlignment="1">
      <alignment horizontal="center" vertical="center"/>
    </xf>
    <xf numFmtId="0" fontId="48" fillId="0" borderId="40" xfId="0" applyFont="1" applyBorder="1" applyAlignment="1">
      <alignment horizontal="center" vertical="center"/>
    </xf>
    <xf numFmtId="179" fontId="48" fillId="0" borderId="43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52" fillId="0" borderId="0" xfId="0" applyFont="1"/>
    <xf numFmtId="0" fontId="53" fillId="6" borderId="2" xfId="0" applyFont="1" applyFill="1" applyBorder="1" applyAlignment="1">
      <alignment horizontal="left" vertical="center" wrapText="1"/>
    </xf>
    <xf numFmtId="0" fontId="22" fillId="7" borderId="1" xfId="0" applyFont="1" applyFill="1" applyBorder="1"/>
    <xf numFmtId="0" fontId="55" fillId="6" borderId="3" xfId="0" applyFont="1" applyFill="1" applyBorder="1" applyAlignment="1">
      <alignment horizontal="center" vertical="center"/>
    </xf>
    <xf numFmtId="0" fontId="55" fillId="6" borderId="1" xfId="0" applyFont="1" applyFill="1" applyBorder="1" applyAlignment="1">
      <alignment horizontal="center" vertical="center"/>
    </xf>
    <xf numFmtId="0" fontId="23" fillId="2" borderId="1" xfId="1" applyFill="1" applyBorder="1" applyAlignment="1">
      <alignment vertical="center"/>
    </xf>
    <xf numFmtId="0" fontId="59" fillId="4" borderId="1" xfId="0" applyFont="1" applyFill="1" applyBorder="1" applyAlignment="1">
      <alignment vertical="center"/>
    </xf>
    <xf numFmtId="0" fontId="61" fillId="4" borderId="1" xfId="0" applyFont="1" applyFill="1" applyBorder="1" applyAlignment="1">
      <alignment vertical="center"/>
    </xf>
    <xf numFmtId="0" fontId="41" fillId="0" borderId="0" xfId="0" applyFont="1"/>
    <xf numFmtId="0" fontId="63" fillId="0" borderId="0" xfId="0" applyFont="1"/>
    <xf numFmtId="0" fontId="64" fillId="0" borderId="0" xfId="0" applyFont="1"/>
    <xf numFmtId="0" fontId="59" fillId="2" borderId="1" xfId="0" applyFont="1" applyFill="1" applyBorder="1" applyAlignment="1">
      <alignment vertical="center"/>
    </xf>
    <xf numFmtId="0" fontId="59" fillId="2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vertical="center"/>
    </xf>
    <xf numFmtId="0" fontId="43" fillId="4" borderId="1" xfId="0" applyFont="1" applyFill="1" applyBorder="1" applyAlignment="1">
      <alignment vertical="center"/>
    </xf>
    <xf numFmtId="0" fontId="59" fillId="4" borderId="1" xfId="0" applyFont="1" applyFill="1" applyBorder="1" applyAlignment="1">
      <alignment vertical="center" wrapText="1"/>
    </xf>
    <xf numFmtId="0" fontId="61" fillId="4" borderId="1" xfId="0" applyFont="1" applyFill="1" applyBorder="1" applyAlignment="1">
      <alignment vertical="center" wrapText="1"/>
    </xf>
    <xf numFmtId="0" fontId="66" fillId="0" borderId="0" xfId="0" applyFont="1"/>
    <xf numFmtId="0" fontId="63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50" fillId="2" borderId="43" xfId="0" applyFont="1" applyFill="1" applyBorder="1" applyAlignment="1">
      <alignment horizontal="center" vertical="center"/>
    </xf>
    <xf numFmtId="0" fontId="40" fillId="0" borderId="0" xfId="0" applyFont="1"/>
    <xf numFmtId="0" fontId="71" fillId="0" borderId="1" xfId="0" applyFont="1" applyBorder="1" applyAlignment="1">
      <alignment horizontal="center" vertical="center"/>
    </xf>
    <xf numFmtId="0" fontId="48" fillId="0" borderId="45" xfId="0" applyFont="1" applyBorder="1" applyAlignment="1">
      <alignment horizontal="center" vertical="center"/>
    </xf>
    <xf numFmtId="49" fontId="48" fillId="0" borderId="45" xfId="0" applyNumberFormat="1" applyFont="1" applyBorder="1" applyAlignment="1">
      <alignment horizontal="center" vertical="center"/>
    </xf>
    <xf numFmtId="0" fontId="74" fillId="2" borderId="1" xfId="0" applyFont="1" applyFill="1" applyBorder="1" applyAlignment="1">
      <alignment horizontal="left" vertical="center"/>
    </xf>
    <xf numFmtId="0" fontId="72" fillId="2" borderId="1" xfId="0" applyFont="1" applyFill="1" applyBorder="1" applyAlignment="1">
      <alignment horizontal="left" vertical="center"/>
    </xf>
    <xf numFmtId="0" fontId="77" fillId="8" borderId="1" xfId="0" applyFont="1" applyFill="1" applyBorder="1" applyAlignment="1">
      <alignment vertical="center"/>
    </xf>
    <xf numFmtId="0" fontId="78" fillId="16" borderId="1" xfId="0" applyFont="1" applyFill="1" applyBorder="1" applyAlignment="1">
      <alignment vertical="center"/>
    </xf>
    <xf numFmtId="0" fontId="78" fillId="16" borderId="3" xfId="0" applyFont="1" applyFill="1" applyBorder="1" applyAlignment="1">
      <alignment vertical="center"/>
    </xf>
    <xf numFmtId="0" fontId="76" fillId="15" borderId="47" xfId="0" applyFont="1" applyFill="1" applyBorder="1" applyAlignment="1">
      <alignment horizontal="center" vertical="center"/>
    </xf>
    <xf numFmtId="0" fontId="78" fillId="16" borderId="50" xfId="0" applyFont="1" applyFill="1" applyBorder="1" applyAlignment="1">
      <alignment vertical="center"/>
    </xf>
    <xf numFmtId="176" fontId="5" fillId="2" borderId="51" xfId="0" applyNumberFormat="1" applyFont="1" applyFill="1" applyBorder="1" applyAlignment="1">
      <alignment horizontal="left" vertical="center"/>
    </xf>
    <xf numFmtId="0" fontId="78" fillId="16" borderId="52" xfId="0" applyFont="1" applyFill="1" applyBorder="1" applyAlignment="1">
      <alignment vertical="center"/>
    </xf>
    <xf numFmtId="0" fontId="1" fillId="2" borderId="52" xfId="0" applyFont="1" applyFill="1" applyBorder="1" applyAlignment="1">
      <alignment vertical="center"/>
    </xf>
    <xf numFmtId="176" fontId="5" fillId="2" borderId="52" xfId="0" applyNumberFormat="1" applyFont="1" applyFill="1" applyBorder="1" applyAlignment="1">
      <alignment horizontal="left" vertical="center"/>
    </xf>
    <xf numFmtId="0" fontId="83" fillId="0" borderId="79" xfId="0" applyFont="1" applyBorder="1" applyAlignment="1">
      <alignment horizontal="center" vertical="center" wrapText="1"/>
    </xf>
    <xf numFmtId="0" fontId="83" fillId="0" borderId="67" xfId="0" applyFont="1" applyBorder="1" applyAlignment="1">
      <alignment horizontal="center" vertical="center" wrapText="1"/>
    </xf>
    <xf numFmtId="0" fontId="84" fillId="0" borderId="68" xfId="0" applyFont="1" applyBorder="1" applyAlignment="1">
      <alignment horizontal="right" vertical="center" wrapText="1"/>
    </xf>
    <xf numFmtId="0" fontId="83" fillId="0" borderId="0" xfId="0" applyFont="1" applyAlignment="1">
      <alignment horizontal="center" vertical="center" wrapText="1"/>
    </xf>
    <xf numFmtId="0" fontId="59" fillId="2" borderId="1" xfId="0" applyFont="1" applyFill="1" applyBorder="1" applyAlignment="1">
      <alignment vertical="center" wrapText="1"/>
    </xf>
    <xf numFmtId="0" fontId="61" fillId="2" borderId="1" xfId="0" applyFont="1" applyFill="1" applyBorder="1" applyAlignment="1">
      <alignment vertical="center"/>
    </xf>
    <xf numFmtId="0" fontId="44" fillId="2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66" fillId="0" borderId="0" xfId="0" applyFont="1" applyAlignment="1">
      <alignment vertical="center"/>
    </xf>
    <xf numFmtId="0" fontId="67" fillId="0" borderId="0" xfId="0" applyFont="1" applyAlignment="1">
      <alignment vertical="center"/>
    </xf>
    <xf numFmtId="0" fontId="96" fillId="0" borderId="1" xfId="0" applyFont="1" applyBorder="1"/>
    <xf numFmtId="0" fontId="21" fillId="4" borderId="1" xfId="0" applyFont="1" applyFill="1" applyBorder="1" applyAlignment="1">
      <alignment vertical="center"/>
    </xf>
    <xf numFmtId="0" fontId="100" fillId="22" borderId="110" xfId="0" applyFont="1" applyFill="1" applyBorder="1" applyAlignment="1">
      <alignment horizontal="center" vertical="center" wrapText="1"/>
    </xf>
    <xf numFmtId="0" fontId="100" fillId="22" borderId="117" xfId="0" applyFont="1" applyFill="1" applyBorder="1" applyAlignment="1">
      <alignment horizontal="center" vertical="center" wrapText="1"/>
    </xf>
    <xf numFmtId="0" fontId="100" fillId="22" borderId="120" xfId="0" applyFont="1" applyFill="1" applyBorder="1" applyAlignment="1">
      <alignment horizontal="center" vertical="center" wrapText="1"/>
    </xf>
    <xf numFmtId="0" fontId="103" fillId="0" borderId="122" xfId="0" applyFont="1" applyBorder="1" applyAlignment="1">
      <alignment horizontal="center" vertical="center" wrapText="1"/>
    </xf>
    <xf numFmtId="0" fontId="103" fillId="0" borderId="77" xfId="0" applyFont="1" applyBorder="1" applyAlignment="1">
      <alignment horizontal="center" vertical="center" wrapText="1"/>
    </xf>
    <xf numFmtId="0" fontId="100" fillId="22" borderId="121" xfId="0" applyFont="1" applyFill="1" applyBorder="1" applyAlignment="1">
      <alignment horizontal="center" vertical="center" wrapText="1"/>
    </xf>
    <xf numFmtId="0" fontId="100" fillId="22" borderId="111" xfId="0" applyFont="1" applyFill="1" applyBorder="1" applyAlignment="1">
      <alignment horizontal="center" vertical="center" wrapText="1"/>
    </xf>
    <xf numFmtId="0" fontId="101" fillId="0" borderId="115" xfId="0" applyFont="1" applyBorder="1" applyAlignment="1">
      <alignment horizontal="center" vertical="center" wrapText="1"/>
    </xf>
    <xf numFmtId="0" fontId="100" fillId="22" borderId="40" xfId="0" applyFont="1" applyFill="1" applyBorder="1" applyAlignment="1">
      <alignment horizontal="center" vertical="center" wrapText="1"/>
    </xf>
    <xf numFmtId="0" fontId="100" fillId="22" borderId="128" xfId="0" applyFont="1" applyFill="1" applyBorder="1" applyAlignment="1">
      <alignment horizontal="center" vertical="center" wrapText="1"/>
    </xf>
    <xf numFmtId="0" fontId="100" fillId="22" borderId="127" xfId="0" applyFont="1" applyFill="1" applyBorder="1" applyAlignment="1">
      <alignment horizontal="center" vertical="center" wrapText="1"/>
    </xf>
    <xf numFmtId="0" fontId="0" fillId="22" borderId="127" xfId="0" applyFill="1" applyBorder="1" applyAlignment="1">
      <alignment vertical="center" wrapText="1"/>
    </xf>
    <xf numFmtId="0" fontId="0" fillId="22" borderId="121" xfId="0" applyFill="1" applyBorder="1" applyAlignment="1">
      <alignment vertical="center" wrapText="1"/>
    </xf>
    <xf numFmtId="0" fontId="108" fillId="23" borderId="40" xfId="0" applyFont="1" applyFill="1" applyBorder="1" applyAlignment="1">
      <alignment horizontal="center" vertical="center" wrapText="1"/>
    </xf>
    <xf numFmtId="0" fontId="108" fillId="0" borderId="40" xfId="0" applyFont="1" applyBorder="1" applyAlignment="1">
      <alignment horizontal="center" vertical="center" wrapText="1"/>
    </xf>
    <xf numFmtId="0" fontId="41" fillId="0" borderId="40" xfId="0" applyFont="1" applyBorder="1" applyAlignment="1">
      <alignment horizontal="center" vertical="center" wrapText="1"/>
    </xf>
    <xf numFmtId="0" fontId="108" fillId="23" borderId="118" xfId="0" applyFont="1" applyFill="1" applyBorder="1" applyAlignment="1">
      <alignment horizontal="center" vertical="center" wrapText="1"/>
    </xf>
    <xf numFmtId="0" fontId="41" fillId="0" borderId="118" xfId="0" applyFont="1" applyBorder="1" applyAlignment="1">
      <alignment horizontal="center" vertical="center" wrapText="1"/>
    </xf>
    <xf numFmtId="0" fontId="101" fillId="0" borderId="141" xfId="0" applyFont="1" applyBorder="1" applyAlignment="1">
      <alignment horizontal="center" vertical="center" wrapText="1"/>
    </xf>
    <xf numFmtId="0" fontId="100" fillId="23" borderId="141" xfId="0" applyFont="1" applyFill="1" applyBorder="1" applyAlignment="1">
      <alignment horizontal="center" vertical="center" wrapText="1"/>
    </xf>
    <xf numFmtId="0" fontId="101" fillId="0" borderId="129" xfId="0" applyFont="1" applyBorder="1" applyAlignment="1">
      <alignment horizontal="center" vertical="center" wrapText="1"/>
    </xf>
    <xf numFmtId="0" fontId="79" fillId="16" borderId="1" xfId="0" applyFont="1" applyFill="1" applyBorder="1" applyAlignment="1">
      <alignment vertical="center"/>
    </xf>
    <xf numFmtId="0" fontId="111" fillId="16" borderId="1" xfId="0" applyFont="1" applyFill="1" applyBorder="1" applyAlignment="1">
      <alignment vertical="center"/>
    </xf>
    <xf numFmtId="0" fontId="112" fillId="7" borderId="1" xfId="0" applyFont="1" applyFill="1" applyBorder="1" applyAlignment="1">
      <alignment vertical="center"/>
    </xf>
    <xf numFmtId="0" fontId="112" fillId="0" borderId="0" xfId="0" applyFont="1" applyAlignment="1">
      <alignment vertical="center"/>
    </xf>
    <xf numFmtId="0" fontId="112" fillId="0" borderId="48" xfId="0" applyFont="1" applyBorder="1" applyAlignment="1">
      <alignment vertical="center"/>
    </xf>
    <xf numFmtId="0" fontId="112" fillId="0" borderId="7" xfId="0" applyFont="1" applyBorder="1" applyAlignment="1">
      <alignment vertical="center"/>
    </xf>
    <xf numFmtId="0" fontId="41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40" fillId="9" borderId="0" xfId="0" applyFont="1" applyFill="1" applyAlignment="1">
      <alignment vertical="center"/>
    </xf>
    <xf numFmtId="0" fontId="0" fillId="9" borderId="47" xfId="0" applyFill="1" applyBorder="1" applyAlignment="1">
      <alignment vertical="center"/>
    </xf>
    <xf numFmtId="0" fontId="118" fillId="0" borderId="145" xfId="0" applyFont="1" applyBorder="1" applyAlignment="1">
      <alignment vertical="center"/>
    </xf>
    <xf numFmtId="0" fontId="41" fillId="0" borderId="142" xfId="0" applyFont="1" applyBorder="1" applyAlignment="1">
      <alignment vertical="center"/>
    </xf>
    <xf numFmtId="0" fontId="40" fillId="9" borderId="146" xfId="0" applyFont="1" applyFill="1" applyBorder="1" applyAlignment="1">
      <alignment horizontal="center" vertical="center"/>
    </xf>
    <xf numFmtId="0" fontId="40" fillId="9" borderId="22" xfId="0" applyFont="1" applyFill="1" applyBorder="1" applyAlignment="1">
      <alignment horizontal="center" vertical="center"/>
    </xf>
    <xf numFmtId="0" fontId="119" fillId="0" borderId="46" xfId="0" applyFont="1" applyBorder="1" applyAlignment="1">
      <alignment vertical="center"/>
    </xf>
    <xf numFmtId="0" fontId="119" fillId="0" borderId="5" xfId="0" applyFont="1" applyBorder="1" applyAlignment="1">
      <alignment vertical="center"/>
    </xf>
    <xf numFmtId="0" fontId="0" fillId="0" borderId="144" xfId="0" applyBorder="1" applyAlignment="1">
      <alignment vertical="center"/>
    </xf>
    <xf numFmtId="0" fontId="41" fillId="0" borderId="146" xfId="0" applyFont="1" applyBorder="1" applyAlignment="1">
      <alignment vertical="center"/>
    </xf>
    <xf numFmtId="0" fontId="0" fillId="0" borderId="5" xfId="0" applyBorder="1" applyAlignment="1">
      <alignment vertical="center"/>
    </xf>
    <xf numFmtId="0" fontId="41" fillId="0" borderId="22" xfId="0" applyFont="1" applyBorder="1" applyAlignment="1">
      <alignment vertical="center"/>
    </xf>
    <xf numFmtId="176" fontId="5" fillId="2" borderId="1" xfId="0" applyNumberFormat="1" applyFont="1" applyFill="1" applyBorder="1" applyAlignment="1">
      <alignment horizontal="left" vertical="center" wrapText="1"/>
    </xf>
    <xf numFmtId="0" fontId="125" fillId="0" borderId="68" xfId="0" applyFont="1" applyBorder="1" applyAlignment="1">
      <alignment horizontal="right" vertical="center" wrapText="1"/>
    </xf>
    <xf numFmtId="0" fontId="111" fillId="16" borderId="3" xfId="0" applyFont="1" applyFill="1" applyBorder="1" applyAlignment="1">
      <alignment vertical="center"/>
    </xf>
    <xf numFmtId="0" fontId="0" fillId="7" borderId="1" xfId="0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3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112" fillId="0" borderId="151" xfId="0" applyFont="1" applyBorder="1" applyAlignment="1">
      <alignment vertical="center"/>
    </xf>
    <xf numFmtId="0" fontId="78" fillId="16" borderId="109" xfId="0" applyFont="1" applyFill="1" applyBorder="1" applyAlignment="1">
      <alignment vertical="center"/>
    </xf>
    <xf numFmtId="0" fontId="5" fillId="2" borderId="109" xfId="0" applyFont="1" applyFill="1" applyBorder="1" applyAlignment="1">
      <alignment horizontal="left" vertical="center"/>
    </xf>
    <xf numFmtId="0" fontId="1" fillId="2" borderId="109" xfId="0" applyFont="1" applyFill="1" applyBorder="1" applyAlignment="1">
      <alignment vertical="center"/>
    </xf>
    <xf numFmtId="0" fontId="1" fillId="2" borderId="152" xfId="0" applyFont="1" applyFill="1" applyBorder="1" applyAlignment="1">
      <alignment horizontal="left" vertical="center"/>
    </xf>
    <xf numFmtId="0" fontId="76" fillId="15" borderId="49" xfId="0" applyFont="1" applyFill="1" applyBorder="1" applyAlignment="1">
      <alignment horizontal="left" vertical="center"/>
    </xf>
    <xf numFmtId="0" fontId="132" fillId="16" borderId="1" xfId="0" applyFont="1" applyFill="1" applyBorder="1" applyAlignment="1">
      <alignment vertical="center"/>
    </xf>
    <xf numFmtId="0" fontId="134" fillId="9" borderId="0" xfId="3" applyFont="1" applyFill="1" applyAlignment="1">
      <alignment vertical="center"/>
    </xf>
    <xf numFmtId="0" fontId="135" fillId="9" borderId="0" xfId="3" applyFont="1" applyFill="1" applyAlignment="1">
      <alignment vertical="center"/>
    </xf>
    <xf numFmtId="0" fontId="136" fillId="9" borderId="0" xfId="3" applyFont="1" applyFill="1" applyAlignment="1">
      <alignment vertical="center"/>
    </xf>
    <xf numFmtId="0" fontId="135" fillId="9" borderId="0" xfId="3" applyFont="1" applyFill="1" applyAlignment="1">
      <alignment horizontal="center" vertical="center"/>
    </xf>
    <xf numFmtId="0" fontId="13" fillId="9" borderId="0" xfId="3" applyFill="1"/>
    <xf numFmtId="0" fontId="139" fillId="0" borderId="75" xfId="3" applyFont="1" applyBorder="1" applyAlignment="1">
      <alignment horizontal="center" vertical="center"/>
    </xf>
    <xf numFmtId="0" fontId="139" fillId="0" borderId="43" xfId="3" applyFont="1" applyBorder="1" applyAlignment="1">
      <alignment horizontal="center" vertical="center"/>
    </xf>
    <xf numFmtId="0" fontId="123" fillId="25" borderId="1" xfId="3" applyFont="1" applyFill="1" applyBorder="1"/>
    <xf numFmtId="0" fontId="123" fillId="9" borderId="1" xfId="3" applyFont="1" applyFill="1" applyBorder="1"/>
    <xf numFmtId="0" fontId="141" fillId="27" borderId="43" xfId="3" applyFont="1" applyFill="1" applyBorder="1" applyAlignment="1">
      <alignment vertical="center" wrapText="1"/>
    </xf>
    <xf numFmtId="0" fontId="141" fillId="27" borderId="76" xfId="3" applyFont="1" applyFill="1" applyBorder="1" applyAlignment="1">
      <alignment vertical="center" wrapText="1"/>
    </xf>
    <xf numFmtId="0" fontId="141" fillId="27" borderId="75" xfId="3" applyFont="1" applyFill="1" applyBorder="1" applyAlignment="1">
      <alignment vertical="center" wrapText="1"/>
    </xf>
    <xf numFmtId="0" fontId="142" fillId="0" borderId="43" xfId="3" applyFont="1" applyBorder="1" applyAlignment="1">
      <alignment vertical="center" wrapText="1"/>
    </xf>
    <xf numFmtId="0" fontId="142" fillId="0" borderId="76" xfId="3" applyFont="1" applyBorder="1" applyAlignment="1">
      <alignment vertical="center" wrapText="1"/>
    </xf>
    <xf numFmtId="0" fontId="142" fillId="0" borderId="75" xfId="3" applyFont="1" applyBorder="1" applyAlignment="1">
      <alignment vertical="center" wrapText="1"/>
    </xf>
    <xf numFmtId="0" fontId="123" fillId="25" borderId="1" xfId="3" applyFont="1" applyFill="1" applyBorder="1" applyAlignment="1">
      <alignment vertical="center"/>
    </xf>
    <xf numFmtId="0" fontId="123" fillId="9" borderId="1" xfId="3" applyFont="1" applyFill="1" applyBorder="1" applyAlignment="1">
      <alignment horizontal="center" vertical="center"/>
    </xf>
    <xf numFmtId="0" fontId="137" fillId="9" borderId="0" xfId="3" applyFont="1" applyFill="1" applyAlignment="1">
      <alignment horizontal="center" vertical="center"/>
    </xf>
    <xf numFmtId="14" fontId="138" fillId="0" borderId="0" xfId="3" applyNumberFormat="1" applyFont="1" applyAlignment="1">
      <alignment horizontal="center" vertical="center"/>
    </xf>
    <xf numFmtId="0" fontId="138" fillId="0" borderId="0" xfId="3" applyFont="1" applyAlignment="1">
      <alignment horizontal="center" vertical="center"/>
    </xf>
    <xf numFmtId="0" fontId="139" fillId="0" borderId="42" xfId="3" applyFont="1" applyBorder="1" applyAlignment="1">
      <alignment horizontal="center" vertical="center"/>
    </xf>
    <xf numFmtId="0" fontId="100" fillId="22" borderId="117" xfId="3" applyFont="1" applyFill="1" applyBorder="1" applyAlignment="1">
      <alignment horizontal="center" vertical="center" wrapText="1"/>
    </xf>
    <xf numFmtId="14" fontId="143" fillId="9" borderId="0" xfId="3" applyNumberFormat="1" applyFont="1" applyFill="1" applyAlignment="1">
      <alignment horizontal="center" vertical="center"/>
    </xf>
    <xf numFmtId="14" fontId="123" fillId="9" borderId="1" xfId="3" applyNumberFormat="1" applyFont="1" applyFill="1" applyBorder="1" applyAlignment="1">
      <alignment horizontal="center" vertical="center"/>
    </xf>
    <xf numFmtId="0" fontId="13" fillId="9" borderId="1" xfId="3" applyFill="1" applyBorder="1" applyAlignment="1">
      <alignment horizontal="center"/>
    </xf>
    <xf numFmtId="0" fontId="139" fillId="0" borderId="39" xfId="3" applyFont="1" applyBorder="1" applyAlignment="1">
      <alignment horizontal="center" vertical="center"/>
    </xf>
    <xf numFmtId="0" fontId="5" fillId="9" borderId="1" xfId="3" applyFont="1" applyFill="1" applyBorder="1" applyAlignment="1">
      <alignment horizontal="center" vertical="center"/>
    </xf>
    <xf numFmtId="0" fontId="140" fillId="25" borderId="155" xfId="3" applyFont="1" applyFill="1" applyBorder="1" applyAlignment="1">
      <alignment horizontal="center" vertical="center"/>
    </xf>
    <xf numFmtId="0" fontId="134" fillId="9" borderId="156" xfId="3" applyFont="1" applyFill="1" applyBorder="1" applyAlignment="1">
      <alignment horizontal="center" vertical="center"/>
    </xf>
    <xf numFmtId="0" fontId="145" fillId="0" borderId="43" xfId="3" applyFont="1" applyBorder="1" applyAlignment="1">
      <alignment horizontal="center" vertical="center"/>
    </xf>
    <xf numFmtId="0" fontId="100" fillId="22" borderId="120" xfId="3" applyFont="1" applyFill="1" applyBorder="1" applyAlignment="1">
      <alignment horizontal="center" vertical="center" wrapText="1"/>
    </xf>
    <xf numFmtId="0" fontId="13" fillId="28" borderId="1" xfId="3" applyFill="1" applyBorder="1"/>
    <xf numFmtId="0" fontId="13" fillId="28" borderId="3" xfId="3" applyFill="1" applyBorder="1" applyAlignment="1">
      <alignment horizontal="center"/>
    </xf>
    <xf numFmtId="0" fontId="79" fillId="9" borderId="0" xfId="3" applyFont="1" applyFill="1" applyAlignment="1">
      <alignment horizontal="center" vertical="center"/>
    </xf>
    <xf numFmtId="0" fontId="146" fillId="0" borderId="0" xfId="3" applyFont="1" applyAlignment="1">
      <alignment horizontal="center" vertical="center"/>
    </xf>
    <xf numFmtId="0" fontId="140" fillId="25" borderId="1" xfId="3" applyFont="1" applyFill="1" applyBorder="1" applyAlignment="1">
      <alignment horizontal="center" vertical="center"/>
    </xf>
    <xf numFmtId="0" fontId="134" fillId="9" borderId="159" xfId="3" applyFont="1" applyFill="1" applyBorder="1" applyAlignment="1">
      <alignment horizontal="center" vertical="center"/>
    </xf>
    <xf numFmtId="0" fontId="141" fillId="27" borderId="122" xfId="3" applyFont="1" applyFill="1" applyBorder="1" applyAlignment="1">
      <alignment vertical="center" wrapText="1"/>
    </xf>
    <xf numFmtId="0" fontId="141" fillId="27" borderId="42" xfId="3" applyFont="1" applyFill="1" applyBorder="1" applyAlignment="1">
      <alignment vertical="center" wrapText="1"/>
    </xf>
    <xf numFmtId="0" fontId="100" fillId="22" borderId="127" xfId="3" applyFont="1" applyFill="1" applyBorder="1" applyAlignment="1">
      <alignment horizontal="center" vertical="center" wrapText="1"/>
    </xf>
    <xf numFmtId="0" fontId="147" fillId="23" borderId="40" xfId="3" applyFont="1" applyFill="1" applyBorder="1" applyAlignment="1">
      <alignment horizontal="center" vertical="center" wrapText="1"/>
    </xf>
    <xf numFmtId="0" fontId="147" fillId="23" borderId="118" xfId="3" applyFont="1" applyFill="1" applyBorder="1" applyAlignment="1">
      <alignment horizontal="center" vertical="center" wrapText="1"/>
    </xf>
    <xf numFmtId="14" fontId="13" fillId="9" borderId="1" xfId="3" applyNumberFormat="1" applyFill="1" applyBorder="1"/>
    <xf numFmtId="0" fontId="137" fillId="25" borderId="47" xfId="3" applyFont="1" applyFill="1" applyBorder="1" applyAlignment="1">
      <alignment horizontal="center" vertical="center" wrapText="1" shrinkToFit="1"/>
    </xf>
    <xf numFmtId="0" fontId="137" fillId="25" borderId="160" xfId="3" applyFont="1" applyFill="1" applyBorder="1" applyAlignment="1">
      <alignment horizontal="center" vertical="center" shrinkToFit="1"/>
    </xf>
    <xf numFmtId="0" fontId="137" fillId="25" borderId="160" xfId="3" applyFont="1" applyFill="1" applyBorder="1" applyAlignment="1">
      <alignment horizontal="center" vertical="center"/>
    </xf>
    <xf numFmtId="0" fontId="137" fillId="24" borderId="161" xfId="3" applyFont="1" applyFill="1" applyBorder="1" applyAlignment="1">
      <alignment horizontal="center" vertical="center"/>
    </xf>
    <xf numFmtId="0" fontId="141" fillId="27" borderId="77" xfId="3" applyFont="1" applyFill="1" applyBorder="1" applyAlignment="1">
      <alignment vertical="center" wrapText="1"/>
    </xf>
    <xf numFmtId="0" fontId="141" fillId="27" borderId="39" xfId="3" applyFont="1" applyFill="1" applyBorder="1" applyAlignment="1">
      <alignment vertical="center" wrapText="1"/>
    </xf>
    <xf numFmtId="0" fontId="13" fillId="22" borderId="127" xfId="3" applyFill="1" applyBorder="1" applyAlignment="1">
      <alignment vertical="center" wrapText="1"/>
    </xf>
    <xf numFmtId="0" fontId="147" fillId="0" borderId="40" xfId="3" applyFont="1" applyBorder="1" applyAlignment="1">
      <alignment horizontal="center" vertical="center" wrapText="1"/>
    </xf>
    <xf numFmtId="0" fontId="40" fillId="0" borderId="40" xfId="3" applyFont="1" applyBorder="1" applyAlignment="1">
      <alignment horizontal="center" vertical="center" wrapText="1"/>
    </xf>
    <xf numFmtId="0" fontId="40" fillId="0" borderId="118" xfId="3" applyFont="1" applyBorder="1" applyAlignment="1">
      <alignment horizontal="center" vertical="center" wrapText="1"/>
    </xf>
    <xf numFmtId="0" fontId="135" fillId="9" borderId="1" xfId="3" applyFont="1" applyFill="1" applyBorder="1" applyAlignment="1">
      <alignment horizontal="center" vertical="center"/>
    </xf>
    <xf numFmtId="0" fontId="135" fillId="9" borderId="1" xfId="3" applyFont="1" applyFill="1" applyBorder="1" applyAlignment="1">
      <alignment vertical="center"/>
    </xf>
    <xf numFmtId="0" fontId="145" fillId="0" borderId="76" xfId="3" applyFont="1" applyBorder="1" applyAlignment="1">
      <alignment vertical="center" wrapText="1"/>
    </xf>
    <xf numFmtId="0" fontId="140" fillId="25" borderId="52" xfId="3" applyFont="1" applyFill="1" applyBorder="1" applyAlignment="1">
      <alignment horizontal="center" vertical="center"/>
    </xf>
    <xf numFmtId="0" fontId="134" fillId="9" borderId="165" xfId="3" applyFont="1" applyFill="1" applyBorder="1" applyAlignment="1">
      <alignment horizontal="center" vertical="center"/>
    </xf>
    <xf numFmtId="0" fontId="139" fillId="0" borderId="166" xfId="3" applyFont="1" applyBorder="1" applyAlignment="1">
      <alignment horizontal="center" vertical="center"/>
    </xf>
    <xf numFmtId="0" fontId="13" fillId="22" borderId="121" xfId="3" applyFill="1" applyBorder="1" applyAlignment="1">
      <alignment vertical="center" wrapText="1"/>
    </xf>
    <xf numFmtId="0" fontId="144" fillId="9" borderId="0" xfId="3" applyFont="1" applyFill="1" applyAlignment="1">
      <alignment vertical="center"/>
    </xf>
    <xf numFmtId="0" fontId="140" fillId="9" borderId="0" xfId="3" applyFont="1" applyFill="1" applyAlignment="1">
      <alignment horizontal="center" vertical="center"/>
    </xf>
    <xf numFmtId="0" fontId="134" fillId="9" borderId="0" xfId="3" applyFont="1" applyFill="1" applyAlignment="1">
      <alignment horizontal="center" vertical="center"/>
    </xf>
    <xf numFmtId="0" fontId="152" fillId="0" borderId="76" xfId="3" applyFont="1" applyBorder="1" applyAlignment="1">
      <alignment vertical="center" wrapText="1"/>
    </xf>
    <xf numFmtId="0" fontId="100" fillId="22" borderId="121" xfId="3" applyFont="1" applyFill="1" applyBorder="1" applyAlignment="1">
      <alignment horizontal="center" vertical="center" wrapText="1"/>
    </xf>
    <xf numFmtId="0" fontId="139" fillId="0" borderId="40" xfId="3" applyFont="1" applyBorder="1" applyAlignment="1">
      <alignment horizontal="center" vertical="center"/>
    </xf>
    <xf numFmtId="0" fontId="80" fillId="19" borderId="40" xfId="3" applyFont="1" applyFill="1" applyBorder="1" applyAlignment="1">
      <alignment horizontal="center" vertical="center" wrapText="1"/>
    </xf>
    <xf numFmtId="0" fontId="80" fillId="19" borderId="43" xfId="3" applyFont="1" applyFill="1" applyBorder="1" applyAlignment="1">
      <alignment vertical="center" wrapText="1"/>
    </xf>
    <xf numFmtId="0" fontId="80" fillId="19" borderId="75" xfId="3" applyFont="1" applyFill="1" applyBorder="1" applyAlignment="1">
      <alignment vertical="center" wrapText="1"/>
    </xf>
    <xf numFmtId="0" fontId="80" fillId="19" borderId="76" xfId="3" applyFont="1" applyFill="1" applyBorder="1" applyAlignment="1">
      <alignment vertical="center" wrapText="1"/>
    </xf>
    <xf numFmtId="0" fontId="154" fillId="0" borderId="40" xfId="3" applyFont="1" applyBorder="1" applyAlignment="1">
      <alignment horizontal="justify" vertical="center"/>
    </xf>
    <xf numFmtId="0" fontId="80" fillId="27" borderId="41" xfId="3" applyFont="1" applyFill="1" applyBorder="1" applyAlignment="1">
      <alignment horizontal="center" vertical="center" wrapText="1"/>
    </xf>
    <xf numFmtId="0" fontId="80" fillId="27" borderId="43" xfId="3" applyFont="1" applyFill="1" applyBorder="1" applyAlignment="1">
      <alignment vertical="center" wrapText="1"/>
    </xf>
    <xf numFmtId="0" fontId="80" fillId="27" borderId="75" xfId="3" applyFont="1" applyFill="1" applyBorder="1" applyAlignment="1">
      <alignment vertical="center" wrapText="1"/>
    </xf>
    <xf numFmtId="0" fontId="142" fillId="0" borderId="40" xfId="3" applyFont="1" applyBorder="1" applyAlignment="1">
      <alignment horizontal="center" vertical="center" wrapText="1"/>
    </xf>
    <xf numFmtId="0" fontId="13" fillId="0" borderId="39" xfId="3" applyBorder="1" applyAlignment="1">
      <alignment vertical="center"/>
    </xf>
    <xf numFmtId="0" fontId="80" fillId="27" borderId="170" xfId="3" applyFont="1" applyFill="1" applyBorder="1" applyAlignment="1">
      <alignment horizontal="center" vertical="center" wrapText="1"/>
    </xf>
    <xf numFmtId="0" fontId="80" fillId="27" borderId="122" xfId="3" applyFont="1" applyFill="1" applyBorder="1" applyAlignment="1">
      <alignment vertical="center" wrapText="1"/>
    </xf>
    <xf numFmtId="0" fontId="80" fillId="27" borderId="42" xfId="3" applyFont="1" applyFill="1" applyBorder="1" applyAlignment="1">
      <alignment vertical="center" wrapText="1"/>
    </xf>
    <xf numFmtId="0" fontId="142" fillId="0" borderId="122" xfId="3" applyFont="1" applyBorder="1" applyAlignment="1">
      <alignment vertical="center" wrapText="1"/>
    </xf>
    <xf numFmtId="0" fontId="142" fillId="0" borderId="42" xfId="3" applyFont="1" applyBorder="1" applyAlignment="1">
      <alignment vertical="center" wrapText="1"/>
    </xf>
    <xf numFmtId="0" fontId="155" fillId="0" borderId="122" xfId="3" applyFont="1" applyBorder="1" applyAlignment="1">
      <alignment vertical="center" wrapText="1"/>
    </xf>
    <xf numFmtId="0" fontId="155" fillId="0" borderId="42" xfId="3" applyFont="1" applyBorder="1" applyAlignment="1">
      <alignment vertical="center" wrapText="1"/>
    </xf>
    <xf numFmtId="0" fontId="142" fillId="0" borderId="41" xfId="3" applyFont="1" applyBorder="1" applyAlignment="1">
      <alignment horizontal="center" vertical="center" wrapText="1"/>
    </xf>
    <xf numFmtId="0" fontId="13" fillId="27" borderId="170" xfId="3" applyFill="1" applyBorder="1" applyAlignment="1">
      <alignment vertical="center" wrapText="1"/>
    </xf>
    <xf numFmtId="0" fontId="80" fillId="27" borderId="77" xfId="3" applyFont="1" applyFill="1" applyBorder="1" applyAlignment="1">
      <alignment vertical="center" wrapText="1"/>
    </xf>
    <xf numFmtId="0" fontId="80" fillId="27" borderId="39" xfId="3" applyFont="1" applyFill="1" applyBorder="1" applyAlignment="1">
      <alignment vertical="center" wrapText="1"/>
    </xf>
    <xf numFmtId="0" fontId="142" fillId="0" borderId="77" xfId="3" applyFont="1" applyBorder="1" applyAlignment="1">
      <alignment vertical="center" wrapText="1"/>
    </xf>
    <xf numFmtId="0" fontId="142" fillId="0" borderId="39" xfId="3" applyFont="1" applyBorder="1" applyAlignment="1">
      <alignment vertical="center" wrapText="1"/>
    </xf>
    <xf numFmtId="0" fontId="155" fillId="0" borderId="77" xfId="3" applyFont="1" applyBorder="1" applyAlignment="1">
      <alignment vertical="center" wrapText="1"/>
    </xf>
    <xf numFmtId="0" fontId="155" fillId="0" borderId="39" xfId="3" applyFont="1" applyBorder="1" applyAlignment="1">
      <alignment vertical="center" wrapText="1"/>
    </xf>
    <xf numFmtId="0" fontId="142" fillId="0" borderId="171" xfId="3" applyFont="1" applyBorder="1" applyAlignment="1">
      <alignment horizontal="center" vertical="center" wrapText="1"/>
    </xf>
    <xf numFmtId="0" fontId="142" fillId="0" borderId="44" xfId="3" applyFont="1" applyBorder="1" applyAlignment="1">
      <alignment vertical="center" wrapText="1"/>
    </xf>
    <xf numFmtId="0" fontId="139" fillId="0" borderId="43" xfId="3" applyFont="1" applyBorder="1" applyAlignment="1">
      <alignment horizontal="justify" vertical="center"/>
    </xf>
    <xf numFmtId="0" fontId="142" fillId="0" borderId="71" xfId="3" applyFont="1" applyBorder="1" applyAlignment="1">
      <alignment vertical="center" wrapText="1"/>
    </xf>
    <xf numFmtId="0" fontId="13" fillId="27" borderId="171" xfId="3" applyFill="1" applyBorder="1" applyAlignment="1">
      <alignment vertical="center" wrapText="1"/>
    </xf>
    <xf numFmtId="0" fontId="142" fillId="0" borderId="40" xfId="3" applyFont="1" applyBorder="1" applyAlignment="1">
      <alignment vertical="center" wrapText="1"/>
    </xf>
    <xf numFmtId="0" fontId="142" fillId="0" borderId="41" xfId="3" applyFont="1" applyBorder="1" applyAlignment="1">
      <alignment vertical="center" wrapText="1"/>
    </xf>
    <xf numFmtId="0" fontId="142" fillId="0" borderId="171" xfId="3" applyFont="1" applyBorder="1" applyAlignment="1">
      <alignment vertical="center" wrapText="1"/>
    </xf>
    <xf numFmtId="0" fontId="79" fillId="24" borderId="1" xfId="3" applyFont="1" applyFill="1" applyBorder="1" applyAlignment="1">
      <alignment horizontal="center" vertical="center"/>
    </xf>
    <xf numFmtId="0" fontId="79" fillId="24" borderId="1" xfId="3" applyFont="1" applyFill="1" applyBorder="1" applyAlignment="1">
      <alignment vertical="center"/>
    </xf>
    <xf numFmtId="0" fontId="158" fillId="20" borderId="1" xfId="2" applyFont="1" applyBorder="1" applyAlignment="1">
      <alignment horizontal="center" vertical="center"/>
    </xf>
    <xf numFmtId="0" fontId="158" fillId="20" borderId="1" xfId="2" applyFont="1" applyBorder="1" applyAlignment="1">
      <alignment vertical="center"/>
    </xf>
    <xf numFmtId="0" fontId="135" fillId="9" borderId="3" xfId="3" applyFont="1" applyFill="1" applyBorder="1" applyAlignment="1">
      <alignment vertical="center"/>
    </xf>
    <xf numFmtId="0" fontId="159" fillId="9" borderId="0" xfId="3" applyFont="1" applyFill="1"/>
    <xf numFmtId="0" fontId="160" fillId="20" borderId="1" xfId="2" applyFont="1" applyBorder="1" applyAlignment="1">
      <alignment horizontal="center" vertical="center"/>
    </xf>
    <xf numFmtId="0" fontId="160" fillId="20" borderId="1" xfId="2" applyFont="1" applyBorder="1" applyAlignment="1">
      <alignment vertical="center"/>
    </xf>
    <xf numFmtId="0" fontId="140" fillId="26" borderId="18" xfId="3" applyFont="1" applyFill="1" applyBorder="1" applyAlignment="1">
      <alignment horizontal="center" vertical="center"/>
    </xf>
    <xf numFmtId="0" fontId="140" fillId="26" borderId="3" xfId="3" applyFont="1" applyFill="1" applyBorder="1" applyAlignment="1">
      <alignment horizontal="center" vertical="center"/>
    </xf>
    <xf numFmtId="0" fontId="40" fillId="0" borderId="43" xfId="3" applyFont="1" applyBorder="1" applyAlignment="1">
      <alignment horizontal="justify" vertical="center" wrapText="1"/>
    </xf>
    <xf numFmtId="0" fontId="40" fillId="0" borderId="76" xfId="3" applyFont="1" applyBorder="1" applyAlignment="1">
      <alignment horizontal="justify" vertical="center" wrapText="1"/>
    </xf>
    <xf numFmtId="0" fontId="40" fillId="0" borderId="119" xfId="3" applyFont="1" applyBorder="1" applyAlignment="1">
      <alignment horizontal="justify" vertical="center" wrapText="1"/>
    </xf>
    <xf numFmtId="0" fontId="139" fillId="0" borderId="43" xfId="3" applyFont="1" applyBorder="1" applyAlignment="1">
      <alignment horizontal="center" vertical="center"/>
    </xf>
    <xf numFmtId="0" fontId="139" fillId="0" borderId="76" xfId="3" applyFont="1" applyBorder="1" applyAlignment="1">
      <alignment horizontal="center" vertical="center"/>
    </xf>
    <xf numFmtId="0" fontId="139" fillId="0" borderId="122" xfId="3" applyFont="1" applyBorder="1" applyAlignment="1">
      <alignment horizontal="justify" vertical="center"/>
    </xf>
    <xf numFmtId="0" fontId="139" fillId="0" borderId="77" xfId="3" applyFont="1" applyBorder="1" applyAlignment="1">
      <alignment horizontal="justify" vertical="center"/>
    </xf>
    <xf numFmtId="0" fontId="140" fillId="26" borderId="1" xfId="3" applyFont="1" applyFill="1" applyBorder="1" applyAlignment="1">
      <alignment horizontal="center" vertical="center"/>
    </xf>
    <xf numFmtId="0" fontId="40" fillId="0" borderId="122" xfId="3" applyFont="1" applyBorder="1" applyAlignment="1">
      <alignment horizontal="justify" vertical="center" wrapText="1"/>
    </xf>
    <xf numFmtId="0" fontId="40" fillId="0" borderId="44" xfId="3" applyFont="1" applyBorder="1" applyAlignment="1">
      <alignment horizontal="justify" vertical="center" wrapText="1"/>
    </xf>
    <xf numFmtId="0" fontId="40" fillId="0" borderId="123" xfId="3" applyFont="1" applyBorder="1" applyAlignment="1">
      <alignment horizontal="justify" vertical="center" wrapText="1"/>
    </xf>
    <xf numFmtId="0" fontId="139" fillId="0" borderId="122" xfId="3" applyFont="1" applyBorder="1" applyAlignment="1">
      <alignment horizontal="center" vertical="center"/>
    </xf>
    <xf numFmtId="0" fontId="139" fillId="0" borderId="42" xfId="3" applyFont="1" applyBorder="1" applyAlignment="1">
      <alignment horizontal="center" vertical="center"/>
    </xf>
    <xf numFmtId="0" fontId="139" fillId="0" borderId="77" xfId="3" applyFont="1" applyBorder="1" applyAlignment="1">
      <alignment horizontal="center" vertical="center"/>
    </xf>
    <xf numFmtId="0" fontId="139" fillId="0" borderId="39" xfId="3" applyFont="1" applyBorder="1" applyAlignment="1">
      <alignment horizontal="center" vertical="center"/>
    </xf>
    <xf numFmtId="0" fontId="142" fillId="0" borderId="43" xfId="3" applyFont="1" applyBorder="1" applyAlignment="1">
      <alignment horizontal="center" vertical="center" wrapText="1"/>
    </xf>
    <xf numFmtId="0" fontId="142" fillId="0" borderId="76" xfId="3" applyFont="1" applyBorder="1" applyAlignment="1">
      <alignment horizontal="center" vertical="center" wrapText="1"/>
    </xf>
    <xf numFmtId="0" fontId="142" fillId="0" borderId="119" xfId="3" applyFont="1" applyBorder="1" applyAlignment="1">
      <alignment horizontal="center" vertical="center" wrapText="1"/>
    </xf>
    <xf numFmtId="0" fontId="137" fillId="25" borderId="47" xfId="3" applyFont="1" applyFill="1" applyBorder="1" applyAlignment="1">
      <alignment horizontal="center" vertical="center"/>
    </xf>
    <xf numFmtId="0" fontId="137" fillId="25" borderId="161" xfId="3" applyFont="1" applyFill="1" applyBorder="1" applyAlignment="1">
      <alignment horizontal="center" vertical="center"/>
    </xf>
    <xf numFmtId="0" fontId="133" fillId="24" borderId="20" xfId="3" applyFont="1" applyFill="1" applyBorder="1" applyAlignment="1">
      <alignment horizontal="center" vertical="center"/>
    </xf>
    <xf numFmtId="0" fontId="133" fillId="24" borderId="19" xfId="3" applyFont="1" applyFill="1" applyBorder="1" applyAlignment="1">
      <alignment horizontal="center" vertical="center"/>
    </xf>
    <xf numFmtId="0" fontId="133" fillId="24" borderId="153" xfId="3" applyFont="1" applyFill="1" applyBorder="1" applyAlignment="1">
      <alignment horizontal="center" vertical="center"/>
    </xf>
    <xf numFmtId="0" fontId="133" fillId="24" borderId="48" xfId="3" applyFont="1" applyFill="1" applyBorder="1" applyAlignment="1">
      <alignment horizontal="center" vertical="center"/>
    </xf>
    <xf numFmtId="0" fontId="133" fillId="24" borderId="46" xfId="3" applyFont="1" applyFill="1" applyBorder="1" applyAlignment="1">
      <alignment horizontal="center" vertical="center"/>
    </xf>
    <xf numFmtId="0" fontId="133" fillId="24" borderId="157" xfId="3" applyFont="1" applyFill="1" applyBorder="1" applyAlignment="1">
      <alignment horizontal="center" vertical="center"/>
    </xf>
    <xf numFmtId="0" fontId="144" fillId="26" borderId="154" xfId="3" applyFont="1" applyFill="1" applyBorder="1" applyAlignment="1">
      <alignment horizontal="center" vertical="center"/>
    </xf>
    <xf numFmtId="0" fontId="144" fillId="26" borderId="158" xfId="3" applyFont="1" applyFill="1" applyBorder="1" applyAlignment="1">
      <alignment horizontal="center" vertical="center"/>
    </xf>
    <xf numFmtId="0" fontId="144" fillId="26" borderId="164" xfId="3" applyFont="1" applyFill="1" applyBorder="1" applyAlignment="1">
      <alignment horizontal="center" vertical="center"/>
    </xf>
    <xf numFmtId="0" fontId="139" fillId="0" borderId="75" xfId="3" applyFont="1" applyBorder="1" applyAlignment="1">
      <alignment horizontal="center" vertical="center"/>
    </xf>
    <xf numFmtId="0" fontId="145" fillId="0" borderId="43" xfId="3" applyFont="1" applyBorder="1" applyAlignment="1">
      <alignment horizontal="center" vertical="center"/>
    </xf>
    <xf numFmtId="0" fontId="145" fillId="0" borderId="75" xfId="3" applyFont="1" applyBorder="1" applyAlignment="1">
      <alignment horizontal="center" vertical="center"/>
    </xf>
    <xf numFmtId="0" fontId="135" fillId="9" borderId="1" xfId="3" applyFont="1" applyFill="1" applyBorder="1" applyAlignment="1">
      <alignment horizontal="left" vertical="center"/>
    </xf>
    <xf numFmtId="0" fontId="135" fillId="9" borderId="1" xfId="3" applyFont="1" applyFill="1" applyBorder="1" applyAlignment="1">
      <alignment horizontal="left" vertical="center" wrapText="1"/>
    </xf>
    <xf numFmtId="0" fontId="139" fillId="0" borderId="140" xfId="3" applyFont="1" applyBorder="1" applyAlignment="1">
      <alignment horizontal="justify" vertical="center"/>
    </xf>
    <xf numFmtId="0" fontId="139" fillId="0" borderId="0" xfId="3" applyFont="1" applyAlignment="1">
      <alignment horizontal="justify" vertical="center"/>
    </xf>
    <xf numFmtId="0" fontId="40" fillId="0" borderId="77" xfId="3" applyFont="1" applyBorder="1" applyAlignment="1">
      <alignment horizontal="justify" vertical="center" wrapText="1"/>
    </xf>
    <xf numFmtId="0" fontId="40" fillId="0" borderId="71" xfId="3" applyFont="1" applyBorder="1" applyAlignment="1">
      <alignment horizontal="justify" vertical="center" wrapText="1"/>
    </xf>
    <xf numFmtId="0" fontId="40" fillId="0" borderId="124" xfId="3" applyFont="1" applyBorder="1" applyAlignment="1">
      <alignment horizontal="justify" vertical="center" wrapText="1"/>
    </xf>
    <xf numFmtId="0" fontId="151" fillId="9" borderId="1" xfId="3" applyFont="1" applyFill="1" applyBorder="1" applyAlignment="1">
      <alignment horizontal="left" vertical="center" wrapText="1"/>
    </xf>
    <xf numFmtId="0" fontId="135" fillId="0" borderId="1" xfId="3" applyFont="1" applyBorder="1" applyAlignment="1">
      <alignment horizontal="left" vertical="center" wrapText="1"/>
    </xf>
    <xf numFmtId="0" fontId="142" fillId="0" borderId="122" xfId="3" applyFont="1" applyBorder="1" applyAlignment="1">
      <alignment horizontal="center" vertical="center" wrapText="1"/>
    </xf>
    <xf numFmtId="0" fontId="142" fillId="0" borderId="44" xfId="3" applyFont="1" applyBorder="1" applyAlignment="1">
      <alignment horizontal="center" vertical="center" wrapText="1"/>
    </xf>
    <xf numFmtId="0" fontId="142" fillId="0" borderId="123" xfId="3" applyFont="1" applyBorder="1" applyAlignment="1">
      <alignment horizontal="center" vertical="center" wrapText="1"/>
    </xf>
    <xf numFmtId="0" fontId="142" fillId="0" borderId="77" xfId="3" applyFont="1" applyBorder="1" applyAlignment="1">
      <alignment horizontal="center" vertical="center" wrapText="1"/>
    </xf>
    <xf numFmtId="0" fontId="142" fillId="0" borderId="71" xfId="3" applyFont="1" applyBorder="1" applyAlignment="1">
      <alignment horizontal="center" vertical="center" wrapText="1"/>
    </xf>
    <xf numFmtId="0" fontId="142" fillId="0" borderId="124" xfId="3" applyFont="1" applyBorder="1" applyAlignment="1">
      <alignment horizontal="center" vertical="center" wrapText="1"/>
    </xf>
    <xf numFmtId="0" fontId="148" fillId="29" borderId="108" xfId="3" applyFont="1" applyFill="1" applyBorder="1" applyAlignment="1">
      <alignment horizontal="center" vertical="center" textRotation="255"/>
    </xf>
    <xf numFmtId="0" fontId="148" fillId="29" borderId="18" xfId="3" applyFont="1" applyFill="1" applyBorder="1" applyAlignment="1">
      <alignment horizontal="center" vertical="center" textRotation="255"/>
    </xf>
    <xf numFmtId="0" fontId="148" fillId="29" borderId="3" xfId="3" applyFont="1" applyFill="1" applyBorder="1" applyAlignment="1">
      <alignment horizontal="center" vertical="center" textRotation="255"/>
    </xf>
    <xf numFmtId="0" fontId="140" fillId="30" borderId="162" xfId="3" applyFont="1" applyFill="1" applyBorder="1" applyAlignment="1">
      <alignment horizontal="center" vertical="center" wrapText="1" shrinkToFit="1"/>
    </xf>
    <xf numFmtId="0" fontId="140" fillId="30" borderId="22" xfId="3" applyFont="1" applyFill="1" applyBorder="1" applyAlignment="1">
      <alignment horizontal="center" vertical="center" wrapText="1" shrinkToFit="1"/>
    </xf>
    <xf numFmtId="0" fontId="135" fillId="9" borderId="150" xfId="3" applyFont="1" applyFill="1" applyBorder="1" applyAlignment="1">
      <alignment horizontal="left" vertical="center"/>
    </xf>
    <xf numFmtId="0" fontId="135" fillId="9" borderId="143" xfId="3" applyFont="1" applyFill="1" applyBorder="1" applyAlignment="1">
      <alignment horizontal="left" vertical="center"/>
    </xf>
    <xf numFmtId="0" fontId="135" fillId="9" borderId="163" xfId="3" applyFont="1" applyFill="1" applyBorder="1" applyAlignment="1">
      <alignment horizontal="left" vertical="center"/>
    </xf>
    <xf numFmtId="0" fontId="149" fillId="9" borderId="150" xfId="3" applyFont="1" applyFill="1" applyBorder="1" applyAlignment="1">
      <alignment horizontal="center" vertical="center"/>
    </xf>
    <xf numFmtId="0" fontId="149" fillId="9" borderId="163" xfId="3" applyFont="1" applyFill="1" applyBorder="1" applyAlignment="1">
      <alignment horizontal="center" vertical="center"/>
    </xf>
    <xf numFmtId="0" fontId="149" fillId="9" borderId="48" xfId="3" applyFont="1" applyFill="1" applyBorder="1" applyAlignment="1">
      <alignment horizontal="center" vertical="center"/>
    </xf>
    <xf numFmtId="0" fontId="149" fillId="9" borderId="162" xfId="3" applyFont="1" applyFill="1" applyBorder="1" applyAlignment="1">
      <alignment horizontal="center" vertical="center"/>
    </xf>
    <xf numFmtId="0" fontId="149" fillId="9" borderId="7" xfId="3" applyFont="1" applyFill="1" applyBorder="1" applyAlignment="1">
      <alignment horizontal="center" vertical="center"/>
    </xf>
    <xf numFmtId="0" fontId="149" fillId="9" borderId="157" xfId="3" applyFont="1" applyFill="1" applyBorder="1" applyAlignment="1">
      <alignment horizontal="center" vertical="center"/>
    </xf>
    <xf numFmtId="0" fontId="135" fillId="9" borderId="18" xfId="3" applyFont="1" applyFill="1" applyBorder="1" applyAlignment="1">
      <alignment horizontal="left" vertical="center" wrapText="1"/>
    </xf>
    <xf numFmtId="0" fontId="135" fillId="0" borderId="18" xfId="3" applyFont="1" applyBorder="1" applyAlignment="1">
      <alignment horizontal="left" vertical="center" wrapText="1"/>
    </xf>
    <xf numFmtId="0" fontId="150" fillId="0" borderId="77" xfId="3" applyFont="1" applyBorder="1" applyAlignment="1">
      <alignment horizontal="center" vertical="center"/>
    </xf>
    <xf numFmtId="0" fontId="150" fillId="0" borderId="39" xfId="3" applyFont="1" applyBorder="1" applyAlignment="1">
      <alignment horizontal="center" vertical="center"/>
    </xf>
    <xf numFmtId="0" fontId="139" fillId="0" borderId="166" xfId="3" applyFont="1" applyBorder="1" applyAlignment="1">
      <alignment horizontal="center" vertical="center"/>
    </xf>
    <xf numFmtId="0" fontId="139" fillId="0" borderId="44" xfId="3" applyFont="1" applyBorder="1" applyAlignment="1">
      <alignment horizontal="justify" vertical="center"/>
    </xf>
    <xf numFmtId="0" fontId="135" fillId="9" borderId="6" xfId="3" applyFont="1" applyFill="1" applyBorder="1" applyAlignment="1">
      <alignment horizontal="center" vertical="center"/>
    </xf>
    <xf numFmtId="0" fontId="135" fillId="9" borderId="18" xfId="3" applyFont="1" applyFill="1" applyBorder="1" applyAlignment="1">
      <alignment horizontal="center" vertical="center"/>
    </xf>
    <xf numFmtId="0" fontId="135" fillId="9" borderId="3" xfId="3" applyFont="1" applyFill="1" applyBorder="1" applyAlignment="1">
      <alignment horizontal="center" vertical="center"/>
    </xf>
    <xf numFmtId="0" fontId="79" fillId="26" borderId="1" xfId="3" applyFont="1" applyFill="1" applyBorder="1" applyAlignment="1">
      <alignment horizontal="left" vertical="center"/>
    </xf>
    <xf numFmtId="0" fontId="144" fillId="26" borderId="167" xfId="3" applyFont="1" applyFill="1" applyBorder="1" applyAlignment="1">
      <alignment horizontal="center" vertical="center"/>
    </xf>
    <xf numFmtId="0" fontId="144" fillId="26" borderId="168" xfId="3" applyFont="1" applyFill="1" applyBorder="1" applyAlignment="1">
      <alignment horizontal="center" vertical="center"/>
    </xf>
    <xf numFmtId="0" fontId="144" fillId="26" borderId="169" xfId="3" applyFont="1" applyFill="1" applyBorder="1" applyAlignment="1">
      <alignment horizontal="center" vertical="center"/>
    </xf>
    <xf numFmtId="0" fontId="139" fillId="0" borderId="71" xfId="3" applyFont="1" applyBorder="1" applyAlignment="1">
      <alignment horizontal="justify" vertical="center"/>
    </xf>
    <xf numFmtId="0" fontId="135" fillId="9" borderId="20" xfId="3" applyFont="1" applyFill="1" applyBorder="1" applyAlignment="1">
      <alignment horizontal="center" vertical="center"/>
    </xf>
    <xf numFmtId="0" fontId="135" fillId="9" borderId="153" xfId="3" applyFont="1" applyFill="1" applyBorder="1" applyAlignment="1">
      <alignment horizontal="center" vertical="center"/>
    </xf>
    <xf numFmtId="0" fontId="135" fillId="9" borderId="48" xfId="3" applyFont="1" applyFill="1" applyBorder="1" applyAlignment="1">
      <alignment horizontal="center" vertical="center"/>
    </xf>
    <xf numFmtId="0" fontId="135" fillId="9" borderId="162" xfId="3" applyFont="1" applyFill="1" applyBorder="1" applyAlignment="1">
      <alignment horizontal="center" vertical="center"/>
    </xf>
    <xf numFmtId="0" fontId="135" fillId="9" borderId="7" xfId="3" applyFont="1" applyFill="1" applyBorder="1" applyAlignment="1">
      <alignment horizontal="center" vertical="center"/>
    </xf>
    <xf numFmtId="0" fontId="135" fillId="9" borderId="157" xfId="3" applyFont="1" applyFill="1" applyBorder="1" applyAlignment="1">
      <alignment horizontal="center" vertical="center"/>
    </xf>
    <xf numFmtId="0" fontId="153" fillId="0" borderId="122" xfId="3" applyFont="1" applyBorder="1" applyAlignment="1">
      <alignment horizontal="justify" vertical="center"/>
    </xf>
    <xf numFmtId="0" fontId="153" fillId="0" borderId="44" xfId="3" applyFont="1" applyBorder="1" applyAlignment="1">
      <alignment horizontal="justify" vertical="center"/>
    </xf>
    <xf numFmtId="0" fontId="153" fillId="0" borderId="77" xfId="3" applyFont="1" applyBorder="1" applyAlignment="1">
      <alignment horizontal="justify" vertical="center"/>
    </xf>
    <xf numFmtId="0" fontId="153" fillId="0" borderId="71" xfId="3" applyFont="1" applyBorder="1" applyAlignment="1">
      <alignment horizontal="justify" vertical="center"/>
    </xf>
    <xf numFmtId="0" fontId="154" fillId="0" borderId="43" xfId="3" applyFont="1" applyBorder="1" applyAlignment="1">
      <alignment horizontal="justify" vertical="center"/>
    </xf>
    <xf numFmtId="0" fontId="154" fillId="0" borderId="75" xfId="3" applyFont="1" applyBorder="1" applyAlignment="1">
      <alignment horizontal="justify" vertical="center"/>
    </xf>
    <xf numFmtId="0" fontId="154" fillId="0" borderId="76" xfId="3" applyFont="1" applyBorder="1" applyAlignment="1">
      <alignment horizontal="justify" vertical="center"/>
    </xf>
    <xf numFmtId="0" fontId="156" fillId="0" borderId="76" xfId="3" applyFont="1" applyBorder="1" applyAlignment="1">
      <alignment horizontal="left" vertical="center"/>
    </xf>
    <xf numFmtId="0" fontId="160" fillId="20" borderId="1" xfId="2" applyFont="1" applyBorder="1" applyAlignment="1">
      <alignment horizontal="left" vertical="center"/>
    </xf>
    <xf numFmtId="0" fontId="161" fillId="20" borderId="20" xfId="2" applyFont="1" applyBorder="1" applyAlignment="1">
      <alignment horizontal="center" vertical="center"/>
    </xf>
    <xf numFmtId="0" fontId="160" fillId="20" borderId="153" xfId="2" applyFont="1" applyBorder="1" applyAlignment="1">
      <alignment horizontal="center" vertical="center"/>
    </xf>
    <xf numFmtId="0" fontId="160" fillId="20" borderId="7" xfId="2" applyFont="1" applyBorder="1" applyAlignment="1">
      <alignment horizontal="center" vertical="center"/>
    </xf>
    <xf numFmtId="0" fontId="160" fillId="20" borderId="157" xfId="2" applyFont="1" applyBorder="1" applyAlignment="1">
      <alignment horizontal="center" vertical="center"/>
    </xf>
    <xf numFmtId="0" fontId="160" fillId="20" borderId="1" xfId="2" applyFont="1" applyBorder="1" applyAlignment="1">
      <alignment horizontal="left" vertical="center" wrapText="1"/>
    </xf>
    <xf numFmtId="0" fontId="135" fillId="9" borderId="1" xfId="3" applyFont="1" applyFill="1" applyBorder="1" applyAlignment="1">
      <alignment horizontal="center" vertical="center" wrapText="1"/>
    </xf>
    <xf numFmtId="0" fontId="135" fillId="9" borderId="1" xfId="3" applyFont="1" applyFill="1" applyBorder="1" applyAlignment="1">
      <alignment horizontal="center" vertical="center"/>
    </xf>
    <xf numFmtId="0" fontId="149" fillId="9" borderId="20" xfId="3" applyFont="1" applyFill="1" applyBorder="1" applyAlignment="1">
      <alignment horizontal="center" vertical="center"/>
    </xf>
    <xf numFmtId="0" fontId="149" fillId="9" borderId="153" xfId="3" applyFont="1" applyFill="1" applyBorder="1" applyAlignment="1">
      <alignment horizontal="center" vertical="center"/>
    </xf>
    <xf numFmtId="0" fontId="140" fillId="30" borderId="22" xfId="3" applyFont="1" applyFill="1" applyBorder="1" applyAlignment="1">
      <alignment horizontal="center" vertical="center" shrinkToFit="1"/>
    </xf>
    <xf numFmtId="0" fontId="79" fillId="26" borderId="1" xfId="3" applyFont="1" applyFill="1" applyBorder="1" applyAlignment="1">
      <alignment horizontal="left" vertical="center" shrinkToFit="1"/>
    </xf>
    <xf numFmtId="0" fontId="151" fillId="0" borderId="1" xfId="3" applyFont="1" applyBorder="1" applyAlignment="1">
      <alignment horizontal="left" vertical="center" wrapText="1"/>
    </xf>
    <xf numFmtId="0" fontId="149" fillId="9" borderId="1" xfId="3" applyFont="1" applyFill="1" applyBorder="1" applyAlignment="1">
      <alignment horizontal="center" vertical="center"/>
    </xf>
    <xf numFmtId="0" fontId="79" fillId="24" borderId="1" xfId="3" applyFont="1" applyFill="1" applyBorder="1" applyAlignment="1">
      <alignment horizontal="left" vertical="center"/>
    </xf>
    <xf numFmtId="0" fontId="157" fillId="24" borderId="1" xfId="3" applyFont="1" applyFill="1" applyBorder="1" applyAlignment="1">
      <alignment horizontal="center" vertical="center"/>
    </xf>
    <xf numFmtId="0" fontId="79" fillId="24" borderId="1" xfId="3" applyFont="1" applyFill="1" applyBorder="1" applyAlignment="1">
      <alignment horizontal="left" vertical="center" wrapText="1"/>
    </xf>
    <xf numFmtId="0" fontId="135" fillId="9" borderId="4" xfId="3" applyFont="1" applyFill="1" applyBorder="1" applyAlignment="1">
      <alignment horizontal="left" vertical="center"/>
    </xf>
    <xf numFmtId="0" fontId="135" fillId="9" borderId="5" xfId="3" applyFont="1" applyFill="1" applyBorder="1" applyAlignment="1">
      <alignment horizontal="left" vertical="center"/>
    </xf>
    <xf numFmtId="0" fontId="135" fillId="9" borderId="22" xfId="3" applyFont="1" applyFill="1" applyBorder="1" applyAlignment="1">
      <alignment horizontal="left" vertical="center"/>
    </xf>
    <xf numFmtId="0" fontId="151" fillId="9" borderId="20" xfId="3" applyFont="1" applyFill="1" applyBorder="1" applyAlignment="1">
      <alignment horizontal="center" vertical="center"/>
    </xf>
    <xf numFmtId="0" fontId="151" fillId="9" borderId="153" xfId="3" applyFont="1" applyFill="1" applyBorder="1" applyAlignment="1">
      <alignment horizontal="center" vertical="center"/>
    </xf>
    <xf numFmtId="0" fontId="151" fillId="9" borderId="7" xfId="3" applyFont="1" applyFill="1" applyBorder="1" applyAlignment="1">
      <alignment horizontal="center" vertical="center"/>
    </xf>
    <xf numFmtId="0" fontId="151" fillId="9" borderId="157" xfId="3" applyFont="1" applyFill="1" applyBorder="1" applyAlignment="1">
      <alignment horizontal="center" vertical="center"/>
    </xf>
    <xf numFmtId="0" fontId="158" fillId="20" borderId="1" xfId="2" applyFont="1" applyBorder="1" applyAlignment="1">
      <alignment horizontal="left" vertical="center" wrapText="1"/>
    </xf>
    <xf numFmtId="0" fontId="158" fillId="20" borderId="1" xfId="2" applyFont="1" applyBorder="1" applyAlignment="1">
      <alignment horizontal="left" vertical="center"/>
    </xf>
    <xf numFmtId="0" fontId="158" fillId="20" borderId="20" xfId="2" applyFont="1" applyBorder="1" applyAlignment="1">
      <alignment horizontal="center" vertical="center"/>
    </xf>
    <xf numFmtId="0" fontId="158" fillId="20" borderId="153" xfId="2" applyFont="1" applyBorder="1" applyAlignment="1">
      <alignment horizontal="center" vertical="center"/>
    </xf>
    <xf numFmtId="0" fontId="158" fillId="20" borderId="48" xfId="2" applyFont="1" applyBorder="1" applyAlignment="1">
      <alignment horizontal="center" vertical="center"/>
    </xf>
    <xf numFmtId="0" fontId="158" fillId="20" borderId="162" xfId="2" applyFont="1" applyBorder="1" applyAlignment="1">
      <alignment horizontal="center" vertical="center"/>
    </xf>
    <xf numFmtId="0" fontId="158" fillId="20" borderId="7" xfId="2" applyFont="1" applyBorder="1" applyAlignment="1">
      <alignment horizontal="center" vertical="center"/>
    </xf>
    <xf numFmtId="0" fontId="158" fillId="20" borderId="157" xfId="2" applyFont="1" applyBorder="1" applyAlignment="1">
      <alignment horizontal="center" vertical="center"/>
    </xf>
    <xf numFmtId="0" fontId="140" fillId="30" borderId="157" xfId="3" applyFont="1" applyFill="1" applyBorder="1" applyAlignment="1">
      <alignment horizontal="center" vertical="center" wrapText="1" shrinkToFit="1"/>
    </xf>
    <xf numFmtId="0" fontId="135" fillId="9" borderId="7" xfId="3" applyFont="1" applyFill="1" applyBorder="1" applyAlignment="1">
      <alignment horizontal="left" vertical="center"/>
    </xf>
    <xf numFmtId="0" fontId="135" fillId="9" borderId="46" xfId="3" applyFont="1" applyFill="1" applyBorder="1" applyAlignment="1">
      <alignment horizontal="left" vertical="center"/>
    </xf>
    <xf numFmtId="0" fontId="135" fillId="9" borderId="157" xfId="3" applyFont="1" applyFill="1" applyBorder="1" applyAlignment="1">
      <alignment horizontal="left" vertical="center"/>
    </xf>
    <xf numFmtId="0" fontId="135" fillId="9" borderId="3" xfId="3" applyFont="1" applyFill="1" applyBorder="1" applyAlignment="1">
      <alignment horizontal="left" vertical="center" wrapText="1"/>
    </xf>
    <xf numFmtId="0" fontId="135" fillId="0" borderId="3" xfId="3" applyFont="1" applyBorder="1" applyAlignment="1">
      <alignment horizontal="left" vertical="center" wrapText="1"/>
    </xf>
    <xf numFmtId="0" fontId="117" fillId="0" borderId="142" xfId="0" applyFont="1" applyBorder="1" applyAlignment="1">
      <alignment horizontal="left" vertical="center"/>
    </xf>
    <xf numFmtId="0" fontId="116" fillId="0" borderId="0" xfId="0" applyFont="1" applyAlignment="1">
      <alignment horizontal="left" vertical="center"/>
    </xf>
    <xf numFmtId="0" fontId="75" fillId="13" borderId="0" xfId="0" applyFont="1" applyFill="1" applyAlignment="1">
      <alignment horizontal="center" vertical="center"/>
    </xf>
    <xf numFmtId="0" fontId="75" fillId="13" borderId="142" xfId="0" applyFont="1" applyFill="1" applyBorder="1" applyAlignment="1">
      <alignment horizontal="center" vertical="center"/>
    </xf>
    <xf numFmtId="0" fontId="115" fillId="25" borderId="142" xfId="0" applyFont="1" applyFill="1" applyBorder="1" applyAlignment="1">
      <alignment horizontal="center" vertical="center"/>
    </xf>
    <xf numFmtId="0" fontId="41" fillId="0" borderId="144" xfId="0" applyFont="1" applyBorder="1" applyAlignment="1">
      <alignment horizontal="left" vertical="center"/>
    </xf>
    <xf numFmtId="0" fontId="41" fillId="0" borderId="5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114" fillId="25" borderId="142" xfId="0" applyFont="1" applyFill="1" applyBorder="1" applyAlignment="1">
      <alignment horizontal="center" vertical="center"/>
    </xf>
    <xf numFmtId="0" fontId="41" fillId="0" borderId="142" xfId="0" applyFont="1" applyBorder="1" applyAlignment="1">
      <alignment horizontal="center" vertical="center"/>
    </xf>
    <xf numFmtId="0" fontId="22" fillId="0" borderId="51" xfId="0" applyFont="1" applyBorder="1" applyAlignment="1">
      <alignment horizontal="center" vertical="center"/>
    </xf>
    <xf numFmtId="0" fontId="22" fillId="0" borderId="14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22" fillId="3" borderId="20" xfId="0" applyFont="1" applyFill="1" applyBorder="1" applyAlignment="1">
      <alignment horizontal="center" vertical="center"/>
    </xf>
    <xf numFmtId="0" fontId="122" fillId="3" borderId="19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1" fillId="11" borderId="4" xfId="0" applyFont="1" applyFill="1" applyBorder="1" applyAlignment="1">
      <alignment horizontal="center" vertical="center"/>
    </xf>
    <xf numFmtId="0" fontId="30" fillId="11" borderId="5" xfId="0" applyFont="1" applyFill="1" applyBorder="1" applyAlignment="1">
      <alignment horizontal="center" vertical="center"/>
    </xf>
    <xf numFmtId="0" fontId="98" fillId="21" borderId="43" xfId="0" applyFont="1" applyFill="1" applyBorder="1" applyAlignment="1">
      <alignment horizontal="center" vertical="center" wrapText="1"/>
    </xf>
    <xf numFmtId="0" fontId="98" fillId="21" borderId="76" xfId="0" applyFont="1" applyFill="1" applyBorder="1" applyAlignment="1">
      <alignment horizontal="center" vertical="center" wrapText="1"/>
    </xf>
    <xf numFmtId="0" fontId="98" fillId="21" borderId="75" xfId="0" applyFont="1" applyFill="1" applyBorder="1" applyAlignment="1">
      <alignment horizontal="center" vertical="center" wrapText="1"/>
    </xf>
    <xf numFmtId="0" fontId="99" fillId="0" borderId="133" xfId="0" applyFont="1" applyBorder="1" applyAlignment="1">
      <alignment horizontal="left" vertical="center" wrapText="1"/>
    </xf>
    <xf numFmtId="0" fontId="99" fillId="0" borderId="131" xfId="0" applyFont="1" applyBorder="1" applyAlignment="1">
      <alignment horizontal="left" vertical="center" wrapText="1"/>
    </xf>
    <xf numFmtId="0" fontId="101" fillId="0" borderId="112" xfId="0" applyFont="1" applyBorder="1" applyAlignment="1">
      <alignment horizontal="center" vertical="center" wrapText="1"/>
    </xf>
    <xf numFmtId="0" fontId="101" fillId="0" borderId="113" xfId="0" applyFont="1" applyBorder="1" applyAlignment="1">
      <alignment horizontal="center" vertical="center" wrapText="1"/>
    </xf>
    <xf numFmtId="0" fontId="101" fillId="0" borderId="114" xfId="0" applyFont="1" applyBorder="1" applyAlignment="1">
      <alignment horizontal="center" vertical="center" wrapText="1"/>
    </xf>
    <xf numFmtId="0" fontId="100" fillId="22" borderId="112" xfId="0" applyFont="1" applyFill="1" applyBorder="1" applyAlignment="1">
      <alignment horizontal="center" vertical="center" wrapText="1"/>
    </xf>
    <xf numFmtId="0" fontId="100" fillId="22" borderId="113" xfId="0" applyFont="1" applyFill="1" applyBorder="1" applyAlignment="1">
      <alignment horizontal="center" vertical="center" wrapText="1"/>
    </xf>
    <xf numFmtId="0" fontId="100" fillId="22" borderId="114" xfId="0" applyFont="1" applyFill="1" applyBorder="1" applyAlignment="1">
      <alignment horizontal="center" vertical="center" wrapText="1"/>
    </xf>
    <xf numFmtId="0" fontId="102" fillId="0" borderId="112" xfId="0" applyFont="1" applyBorder="1" applyAlignment="1">
      <alignment horizontal="center" vertical="center" wrapText="1"/>
    </xf>
    <xf numFmtId="0" fontId="102" fillId="0" borderId="113" xfId="0" applyFont="1" applyBorder="1" applyAlignment="1">
      <alignment horizontal="center" vertical="center" wrapText="1"/>
    </xf>
    <xf numFmtId="0" fontId="102" fillId="0" borderId="116" xfId="0" applyFont="1" applyBorder="1" applyAlignment="1">
      <alignment horizontal="center" vertical="center" wrapText="1"/>
    </xf>
    <xf numFmtId="0" fontId="101" fillId="0" borderId="43" xfId="0" applyFont="1" applyBorder="1" applyAlignment="1">
      <alignment horizontal="center" vertical="center" wrapText="1"/>
    </xf>
    <xf numFmtId="0" fontId="101" fillId="0" borderId="76" xfId="0" applyFont="1" applyBorder="1" applyAlignment="1">
      <alignment horizontal="center" vertical="center" wrapText="1"/>
    </xf>
    <xf numFmtId="0" fontId="101" fillId="0" borderId="75" xfId="0" applyFont="1" applyBorder="1" applyAlignment="1">
      <alignment horizontal="center" vertical="center" wrapText="1"/>
    </xf>
    <xf numFmtId="0" fontId="100" fillId="22" borderId="43" xfId="0" applyFont="1" applyFill="1" applyBorder="1" applyAlignment="1">
      <alignment horizontal="center" vertical="center" wrapText="1"/>
    </xf>
    <xf numFmtId="0" fontId="100" fillId="22" borderId="76" xfId="0" applyFont="1" applyFill="1" applyBorder="1" applyAlignment="1">
      <alignment horizontal="center" vertical="center" wrapText="1"/>
    </xf>
    <xf numFmtId="0" fontId="100" fillId="22" borderId="75" xfId="0" applyFont="1" applyFill="1" applyBorder="1" applyAlignment="1">
      <alignment horizontal="center" vertical="center" wrapText="1"/>
    </xf>
    <xf numFmtId="0" fontId="102" fillId="0" borderId="43" xfId="0" applyFont="1" applyBorder="1" applyAlignment="1">
      <alignment horizontal="center" vertical="center" wrapText="1"/>
    </xf>
    <xf numFmtId="0" fontId="102" fillId="0" borderId="76" xfId="0" applyFont="1" applyBorder="1" applyAlignment="1">
      <alignment horizontal="center" vertical="center" wrapText="1"/>
    </xf>
    <xf numFmtId="0" fontId="102" fillId="0" borderId="119" xfId="0" applyFont="1" applyBorder="1" applyAlignment="1">
      <alignment horizontal="center" vertical="center" wrapText="1"/>
    </xf>
    <xf numFmtId="0" fontId="100" fillId="22" borderId="120" xfId="0" applyFont="1" applyFill="1" applyBorder="1" applyAlignment="1">
      <alignment horizontal="center" vertical="center" wrapText="1"/>
    </xf>
    <xf numFmtId="0" fontId="100" fillId="22" borderId="121" xfId="0" applyFont="1" applyFill="1" applyBorder="1" applyAlignment="1">
      <alignment horizontal="center" vertical="center" wrapText="1"/>
    </xf>
    <xf numFmtId="0" fontId="102" fillId="0" borderId="44" xfId="0" applyFont="1" applyBorder="1" applyAlignment="1">
      <alignment horizontal="center" vertical="center" wrapText="1"/>
    </xf>
    <xf numFmtId="0" fontId="102" fillId="0" borderId="123" xfId="0" applyFont="1" applyBorder="1" applyAlignment="1">
      <alignment horizontal="center" vertical="center" wrapText="1"/>
    </xf>
    <xf numFmtId="0" fontId="102" fillId="0" borderId="71" xfId="0" applyFont="1" applyBorder="1" applyAlignment="1">
      <alignment horizontal="center" vertical="center" wrapText="1"/>
    </xf>
    <xf numFmtId="0" fontId="102" fillId="0" borderId="124" xfId="0" applyFont="1" applyBorder="1" applyAlignment="1">
      <alignment horizontal="center" vertical="center" wrapText="1"/>
    </xf>
    <xf numFmtId="0" fontId="101" fillId="0" borderId="119" xfId="0" applyFont="1" applyBorder="1" applyAlignment="1">
      <alignment horizontal="center" vertical="center" wrapText="1"/>
    </xf>
    <xf numFmtId="0" fontId="101" fillId="0" borderId="122" xfId="0" applyFont="1" applyBorder="1" applyAlignment="1">
      <alignment horizontal="center" vertical="center" wrapText="1"/>
    </xf>
    <xf numFmtId="0" fontId="101" fillId="0" borderId="44" xfId="0" applyFont="1" applyBorder="1" applyAlignment="1">
      <alignment horizontal="center" vertical="center" wrapText="1"/>
    </xf>
    <xf numFmtId="0" fontId="101" fillId="0" borderId="123" xfId="0" applyFont="1" applyBorder="1" applyAlignment="1">
      <alignment horizontal="center" vertical="center" wrapText="1"/>
    </xf>
    <xf numFmtId="0" fontId="101" fillId="0" borderId="134" xfId="0" applyFont="1" applyBorder="1" applyAlignment="1">
      <alignment horizontal="center" vertical="center" wrapText="1"/>
    </xf>
    <xf numFmtId="0" fontId="101" fillId="0" borderId="135" xfId="0" applyFont="1" applyBorder="1" applyAlignment="1">
      <alignment horizontal="center" vertical="center" wrapText="1"/>
    </xf>
    <xf numFmtId="0" fontId="101" fillId="0" borderId="136" xfId="0" applyFont="1" applyBorder="1" applyAlignment="1">
      <alignment horizontal="center" vertical="center" wrapText="1"/>
    </xf>
    <xf numFmtId="0" fontId="104" fillId="0" borderId="137" xfId="0" applyFont="1" applyBorder="1" applyAlignment="1">
      <alignment horizontal="justify" vertical="center" wrapText="1"/>
    </xf>
    <xf numFmtId="0" fontId="104" fillId="0" borderId="125" xfId="0" applyFont="1" applyBorder="1" applyAlignment="1">
      <alignment horizontal="justify" vertical="center" wrapText="1"/>
    </xf>
    <xf numFmtId="0" fontId="100" fillId="22" borderId="126" xfId="0" applyFont="1" applyFill="1" applyBorder="1" applyAlignment="1">
      <alignment horizontal="center" vertical="center" wrapText="1"/>
    </xf>
    <xf numFmtId="0" fontId="100" fillId="22" borderId="138" xfId="0" applyFont="1" applyFill="1" applyBorder="1" applyAlignment="1">
      <alignment horizontal="center" vertical="center" wrapText="1"/>
    </xf>
    <xf numFmtId="0" fontId="100" fillId="22" borderId="130" xfId="0" applyFont="1" applyFill="1" applyBorder="1" applyAlignment="1">
      <alignment horizontal="center" vertical="center" wrapText="1"/>
    </xf>
    <xf numFmtId="0" fontId="100" fillId="22" borderId="139" xfId="0" applyFont="1" applyFill="1" applyBorder="1" applyAlignment="1">
      <alignment horizontal="center" vertical="center" wrapText="1"/>
    </xf>
    <xf numFmtId="0" fontId="105" fillId="0" borderId="130" xfId="0" applyFont="1" applyBorder="1" applyAlignment="1">
      <alignment horizontal="center" vertical="center" wrapText="1"/>
    </xf>
    <xf numFmtId="0" fontId="105" fillId="0" borderId="131" xfId="0" applyFont="1" applyBorder="1" applyAlignment="1">
      <alignment horizontal="center" vertical="center" wrapText="1"/>
    </xf>
    <xf numFmtId="0" fontId="105" fillId="0" borderId="139" xfId="0" applyFont="1" applyBorder="1" applyAlignment="1">
      <alignment horizontal="center" vertical="center" wrapText="1"/>
    </xf>
    <xf numFmtId="0" fontId="102" fillId="0" borderId="130" xfId="0" applyFont="1" applyBorder="1" applyAlignment="1">
      <alignment horizontal="center" vertical="center" wrapText="1"/>
    </xf>
    <xf numFmtId="0" fontId="102" fillId="0" borderId="131" xfId="0" applyFont="1" applyBorder="1" applyAlignment="1">
      <alignment horizontal="center" vertical="center" wrapText="1"/>
    </xf>
    <xf numFmtId="0" fontId="102" fillId="0" borderId="132" xfId="0" applyFont="1" applyBorder="1" applyAlignment="1">
      <alignment horizontal="center" vertical="center" wrapText="1"/>
    </xf>
    <xf numFmtId="0" fontId="99" fillId="0" borderId="125" xfId="0" applyFont="1" applyBorder="1" applyAlignment="1">
      <alignment horizontal="left" vertical="center" wrapText="1"/>
    </xf>
    <xf numFmtId="0" fontId="103" fillId="0" borderId="112" xfId="0" applyFont="1" applyBorder="1" applyAlignment="1">
      <alignment horizontal="justify" vertical="center" wrapText="1"/>
    </xf>
    <xf numFmtId="0" fontId="103" fillId="0" borderId="113" xfId="0" applyFont="1" applyBorder="1" applyAlignment="1">
      <alignment horizontal="justify" vertical="center" wrapText="1"/>
    </xf>
    <xf numFmtId="0" fontId="103" fillId="0" borderId="116" xfId="0" applyFont="1" applyBorder="1" applyAlignment="1">
      <alignment horizontal="justify" vertical="center" wrapText="1"/>
    </xf>
    <xf numFmtId="0" fontId="100" fillId="22" borderId="127" xfId="0" applyFont="1" applyFill="1" applyBorder="1" applyAlignment="1">
      <alignment horizontal="center" vertical="center" wrapText="1"/>
    </xf>
    <xf numFmtId="0" fontId="103" fillId="0" borderId="43" xfId="0" applyFont="1" applyBorder="1" applyAlignment="1">
      <alignment horizontal="center" vertical="center" wrapText="1"/>
    </xf>
    <xf numFmtId="0" fontId="103" fillId="0" borderId="76" xfId="0" applyFont="1" applyBorder="1" applyAlignment="1">
      <alignment horizontal="center" vertical="center" wrapText="1"/>
    </xf>
    <xf numFmtId="0" fontId="103" fillId="0" borderId="75" xfId="0" applyFont="1" applyBorder="1" applyAlignment="1">
      <alignment horizontal="center" vertical="center" wrapText="1"/>
    </xf>
    <xf numFmtId="0" fontId="103" fillId="0" borderId="43" xfId="0" applyFont="1" applyBorder="1" applyAlignment="1">
      <alignment horizontal="justify" vertical="center" wrapText="1"/>
    </xf>
    <xf numFmtId="0" fontId="103" fillId="0" borderId="76" xfId="0" applyFont="1" applyBorder="1" applyAlignment="1">
      <alignment horizontal="justify" vertical="center" wrapText="1"/>
    </xf>
    <xf numFmtId="0" fontId="103" fillId="0" borderId="119" xfId="0" applyFont="1" applyBorder="1" applyAlignment="1">
      <alignment horizontal="justify" vertical="center" wrapText="1"/>
    </xf>
    <xf numFmtId="0" fontId="103" fillId="0" borderId="122" xfId="0" applyFont="1" applyBorder="1" applyAlignment="1">
      <alignment horizontal="center" vertical="center" wrapText="1"/>
    </xf>
    <xf numFmtId="0" fontId="103" fillId="0" borderId="44" xfId="0" applyFont="1" applyBorder="1" applyAlignment="1">
      <alignment horizontal="center" vertical="center" wrapText="1"/>
    </xf>
    <xf numFmtId="0" fontId="103" fillId="0" borderId="42" xfId="0" applyFont="1" applyBorder="1" applyAlignment="1">
      <alignment horizontal="center" vertical="center" wrapText="1"/>
    </xf>
    <xf numFmtId="0" fontId="103" fillId="0" borderId="77" xfId="0" applyFont="1" applyBorder="1" applyAlignment="1">
      <alignment horizontal="center" vertical="center" wrapText="1"/>
    </xf>
    <xf numFmtId="0" fontId="103" fillId="0" borderId="71" xfId="0" applyFont="1" applyBorder="1" applyAlignment="1">
      <alignment horizontal="center" vertical="center" wrapText="1"/>
    </xf>
    <xf numFmtId="0" fontId="103" fillId="0" borderId="39" xfId="0" applyFont="1" applyBorder="1" applyAlignment="1">
      <alignment horizontal="center" vertical="center" wrapText="1"/>
    </xf>
    <xf numFmtId="0" fontId="103" fillId="0" borderId="122" xfId="0" applyFont="1" applyBorder="1" applyAlignment="1">
      <alignment horizontal="justify" vertical="center" wrapText="1"/>
    </xf>
    <xf numFmtId="0" fontId="103" fillId="0" borderId="44" xfId="0" applyFont="1" applyBorder="1" applyAlignment="1">
      <alignment horizontal="justify" vertical="center" wrapText="1"/>
    </xf>
    <xf numFmtId="0" fontId="103" fillId="0" borderId="123" xfId="0" applyFont="1" applyBorder="1" applyAlignment="1">
      <alignment horizontal="justify" vertical="center" wrapText="1"/>
    </xf>
    <xf numFmtId="0" fontId="103" fillId="0" borderId="77" xfId="0" applyFont="1" applyBorder="1" applyAlignment="1">
      <alignment horizontal="justify" vertical="center" wrapText="1"/>
    </xf>
    <xf numFmtId="0" fontId="103" fillId="0" borderId="71" xfId="0" applyFont="1" applyBorder="1" applyAlignment="1">
      <alignment horizontal="justify" vertical="center" wrapText="1"/>
    </xf>
    <xf numFmtId="0" fontId="103" fillId="0" borderId="124" xfId="0" applyFont="1" applyBorder="1" applyAlignment="1">
      <alignment horizontal="justify" vertical="center" wrapText="1"/>
    </xf>
    <xf numFmtId="0" fontId="22" fillId="0" borderId="130" xfId="0" applyFont="1" applyBorder="1" applyAlignment="1">
      <alignment horizontal="justify" vertical="center" wrapText="1"/>
    </xf>
    <xf numFmtId="0" fontId="22" fillId="0" borderId="131" xfId="0" applyFont="1" applyBorder="1" applyAlignment="1">
      <alignment horizontal="justify" vertical="center" wrapText="1"/>
    </xf>
    <xf numFmtId="0" fontId="22" fillId="0" borderId="132" xfId="0" applyFont="1" applyBorder="1" applyAlignment="1">
      <alignment horizontal="justify" vertical="center" wrapText="1"/>
    </xf>
    <xf numFmtId="0" fontId="99" fillId="0" borderId="135" xfId="0" applyFont="1" applyBorder="1" applyAlignment="1">
      <alignment horizontal="left" vertical="center" wrapText="1"/>
    </xf>
    <xf numFmtId="0" fontId="107" fillId="0" borderId="112" xfId="0" applyFont="1" applyBorder="1" applyAlignment="1">
      <alignment horizontal="center" vertical="center" wrapText="1"/>
    </xf>
    <xf numFmtId="0" fontId="107" fillId="0" borderId="113" xfId="0" applyFont="1" applyBorder="1" applyAlignment="1">
      <alignment horizontal="center" vertical="center" wrapText="1"/>
    </xf>
    <xf numFmtId="0" fontId="107" fillId="0" borderId="116" xfId="0" applyFont="1" applyBorder="1" applyAlignment="1">
      <alignment horizontal="center" vertical="center" wrapText="1"/>
    </xf>
    <xf numFmtId="0" fontId="107" fillId="0" borderId="43" xfId="0" applyFont="1" applyBorder="1" applyAlignment="1">
      <alignment horizontal="center" vertical="center" wrapText="1"/>
    </xf>
    <xf numFmtId="0" fontId="107" fillId="0" borderId="76" xfId="0" applyFont="1" applyBorder="1" applyAlignment="1">
      <alignment horizontal="center" vertical="center" wrapText="1"/>
    </xf>
    <xf numFmtId="0" fontId="107" fillId="0" borderId="119" xfId="0" applyFont="1" applyBorder="1" applyAlignment="1">
      <alignment horizontal="center" vertical="center" wrapText="1"/>
    </xf>
    <xf numFmtId="0" fontId="41" fillId="0" borderId="43" xfId="0" applyFont="1" applyBorder="1" applyAlignment="1">
      <alignment horizontal="justify" vertical="center" wrapText="1"/>
    </xf>
    <xf numFmtId="0" fontId="41" fillId="0" borderId="76" xfId="0" applyFont="1" applyBorder="1" applyAlignment="1">
      <alignment horizontal="justify" vertical="center" wrapText="1"/>
    </xf>
    <xf numFmtId="0" fontId="41" fillId="0" borderId="119" xfId="0" applyFont="1" applyBorder="1" applyAlignment="1">
      <alignment horizontal="justify" vertical="center" wrapText="1"/>
    </xf>
    <xf numFmtId="0" fontId="41" fillId="0" borderId="122" xfId="0" applyFont="1" applyBorder="1" applyAlignment="1">
      <alignment horizontal="justify" vertical="center" wrapText="1"/>
    </xf>
    <xf numFmtId="0" fontId="41" fillId="0" borderId="44" xfId="0" applyFont="1" applyBorder="1" applyAlignment="1">
      <alignment horizontal="justify" vertical="center" wrapText="1"/>
    </xf>
    <xf numFmtId="0" fontId="41" fillId="0" borderId="123" xfId="0" applyFont="1" applyBorder="1" applyAlignment="1">
      <alignment horizontal="justify" vertical="center" wrapText="1"/>
    </xf>
    <xf numFmtId="0" fontId="41" fillId="0" borderId="77" xfId="0" applyFont="1" applyBorder="1" applyAlignment="1">
      <alignment horizontal="justify" vertical="center" wrapText="1"/>
    </xf>
    <xf numFmtId="0" fontId="41" fillId="0" borderId="71" xfId="0" applyFont="1" applyBorder="1" applyAlignment="1">
      <alignment horizontal="justify" vertical="center" wrapText="1"/>
    </xf>
    <xf numFmtId="0" fontId="41" fillId="0" borderId="124" xfId="0" applyFont="1" applyBorder="1" applyAlignment="1">
      <alignment horizontal="justify" vertical="center" wrapText="1"/>
    </xf>
    <xf numFmtId="0" fontId="109" fillId="0" borderId="122" xfId="0" applyFont="1" applyBorder="1" applyAlignment="1">
      <alignment horizontal="left" vertical="center" wrapText="1"/>
    </xf>
    <xf numFmtId="0" fontId="109" fillId="0" borderId="44" xfId="0" applyFont="1" applyBorder="1" applyAlignment="1">
      <alignment horizontal="left" vertical="center" wrapText="1"/>
    </xf>
    <xf numFmtId="0" fontId="109" fillId="0" borderId="123" xfId="0" applyFont="1" applyBorder="1" applyAlignment="1">
      <alignment horizontal="left" vertical="center" wrapText="1"/>
    </xf>
    <xf numFmtId="0" fontId="109" fillId="0" borderId="77" xfId="0" applyFont="1" applyBorder="1" applyAlignment="1">
      <alignment horizontal="left" vertical="center" wrapText="1"/>
    </xf>
    <xf numFmtId="0" fontId="109" fillId="0" borderId="71" xfId="0" applyFont="1" applyBorder="1" applyAlignment="1">
      <alignment horizontal="left" vertical="center" wrapText="1"/>
    </xf>
    <xf numFmtId="0" fontId="109" fillId="0" borderId="124" xfId="0" applyFont="1" applyBorder="1" applyAlignment="1">
      <alignment horizontal="left" vertical="center" wrapText="1"/>
    </xf>
    <xf numFmtId="0" fontId="100" fillId="0" borderId="43" xfId="0" applyFont="1" applyBorder="1" applyAlignment="1">
      <alignment horizontal="center" vertical="center" wrapText="1"/>
    </xf>
    <xf numFmtId="0" fontId="100" fillId="0" borderId="76" xfId="0" applyFont="1" applyBorder="1" applyAlignment="1">
      <alignment horizontal="center" vertical="center" wrapText="1"/>
    </xf>
    <xf numFmtId="0" fontId="100" fillId="0" borderId="75" xfId="0" applyFont="1" applyBorder="1" applyAlignment="1">
      <alignment horizontal="center" vertical="center" wrapText="1"/>
    </xf>
    <xf numFmtId="0" fontId="109" fillId="0" borderId="43" xfId="0" applyFont="1" applyBorder="1" applyAlignment="1">
      <alignment horizontal="center" vertical="center" wrapText="1"/>
    </xf>
    <xf numFmtId="0" fontId="109" fillId="0" borderId="76" xfId="0" applyFont="1" applyBorder="1" applyAlignment="1">
      <alignment horizontal="center" vertical="center" wrapText="1"/>
    </xf>
    <xf numFmtId="0" fontId="109" fillId="0" borderId="119" xfId="0" applyFont="1" applyBorder="1" applyAlignment="1">
      <alignment horizontal="center" vertical="center" wrapText="1"/>
    </xf>
    <xf numFmtId="0" fontId="103" fillId="0" borderId="119" xfId="0" applyFont="1" applyBorder="1" applyAlignment="1">
      <alignment horizontal="center" vertical="center" wrapText="1"/>
    </xf>
    <xf numFmtId="0" fontId="100" fillId="23" borderId="130" xfId="0" applyFont="1" applyFill="1" applyBorder="1" applyAlignment="1">
      <alignment horizontal="center" vertical="center" wrapText="1"/>
    </xf>
    <xf numFmtId="0" fontId="100" fillId="23" borderId="131" xfId="0" applyFont="1" applyFill="1" applyBorder="1" applyAlignment="1">
      <alignment horizontal="center" vertical="center" wrapText="1"/>
    </xf>
    <xf numFmtId="0" fontId="100" fillId="23" borderId="139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/>
    <xf numFmtId="177" fontId="9" fillId="0" borderId="1" xfId="0" applyNumberFormat="1" applyFont="1" applyBorder="1" applyAlignment="1">
      <alignment horizontal="center" vertical="center"/>
    </xf>
    <xf numFmtId="0" fontId="21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178" fontId="9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0" fontId="4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0" fillId="0" borderId="1" xfId="0" applyBorder="1"/>
    <xf numFmtId="177" fontId="12" fillId="0" borderId="1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0" fontId="30" fillId="3" borderId="4" xfId="0" applyFont="1" applyFill="1" applyBorder="1" applyAlignment="1">
      <alignment horizontal="center" vertical="center"/>
    </xf>
    <xf numFmtId="0" fontId="30" fillId="3" borderId="22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35" fillId="3" borderId="5" xfId="0" applyFont="1" applyFill="1" applyBorder="1" applyAlignment="1">
      <alignment horizontal="center" vertical="center"/>
    </xf>
    <xf numFmtId="0" fontId="69" fillId="3" borderId="4" xfId="0" applyFont="1" applyFill="1" applyBorder="1" applyAlignment="1">
      <alignment horizontal="center" vertical="center"/>
    </xf>
    <xf numFmtId="0" fontId="69" fillId="3" borderId="22" xfId="0" applyFont="1" applyFill="1" applyBorder="1" applyAlignment="1">
      <alignment horizontal="center" vertical="center"/>
    </xf>
    <xf numFmtId="0" fontId="46" fillId="3" borderId="4" xfId="0" applyFont="1" applyFill="1" applyBorder="1" applyAlignment="1">
      <alignment horizontal="center" vertical="center"/>
    </xf>
    <xf numFmtId="0" fontId="58" fillId="3" borderId="4" xfId="0" applyFont="1" applyFill="1" applyBorder="1" applyAlignment="1">
      <alignment horizontal="center" vertical="center"/>
    </xf>
    <xf numFmtId="0" fontId="124" fillId="0" borderId="147" xfId="0" applyFont="1" applyBorder="1" applyAlignment="1">
      <alignment horizontal="center" vertical="center" wrapText="1"/>
    </xf>
    <xf numFmtId="0" fontId="83" fillId="17" borderId="55" xfId="0" applyFont="1" applyFill="1" applyBorder="1" applyAlignment="1">
      <alignment horizontal="justify" vertical="center" wrapText="1"/>
    </xf>
    <xf numFmtId="0" fontId="84" fillId="17" borderId="55" xfId="0" applyFont="1" applyFill="1" applyBorder="1" applyAlignment="1">
      <alignment vertical="top" wrapText="1"/>
    </xf>
    <xf numFmtId="0" fontId="84" fillId="17" borderId="84" xfId="0" applyFont="1" applyFill="1" applyBorder="1" applyAlignment="1">
      <alignment vertical="top" wrapText="1"/>
    </xf>
    <xf numFmtId="0" fontId="83" fillId="17" borderId="56" xfId="0" applyFont="1" applyFill="1" applyBorder="1" applyAlignment="1">
      <alignment horizontal="justify" vertical="center" wrapText="1"/>
    </xf>
    <xf numFmtId="0" fontId="85" fillId="17" borderId="55" xfId="0" applyFont="1" applyFill="1" applyBorder="1" applyAlignment="1">
      <alignment vertical="top" wrapText="1"/>
    </xf>
    <xf numFmtId="0" fontId="83" fillId="0" borderId="67" xfId="0" applyFont="1" applyBorder="1" applyAlignment="1">
      <alignment horizontal="justify" vertical="center" wrapText="1"/>
    </xf>
    <xf numFmtId="0" fontId="83" fillId="0" borderId="64" xfId="0" applyFont="1" applyBorder="1" applyAlignment="1">
      <alignment horizontal="justify" vertical="center" wrapText="1"/>
    </xf>
    <xf numFmtId="0" fontId="83" fillId="0" borderId="65" xfId="0" applyFont="1" applyBorder="1" applyAlignment="1">
      <alignment horizontal="justify" vertical="center" wrapText="1"/>
    </xf>
    <xf numFmtId="0" fontId="86" fillId="0" borderId="57" xfId="0" applyFont="1" applyBorder="1" applyAlignment="1">
      <alignment horizontal="justify" vertical="center" wrapText="1"/>
    </xf>
    <xf numFmtId="0" fontId="83" fillId="0" borderId="59" xfId="0" applyFont="1" applyBorder="1" applyAlignment="1">
      <alignment horizontal="justify" vertical="center" wrapText="1"/>
    </xf>
    <xf numFmtId="0" fontId="83" fillId="0" borderId="58" xfId="0" applyFont="1" applyBorder="1" applyAlignment="1">
      <alignment horizontal="justify" vertical="center" wrapText="1"/>
    </xf>
    <xf numFmtId="0" fontId="125" fillId="0" borderId="60" xfId="0" applyFont="1" applyBorder="1" applyAlignment="1">
      <alignment horizontal="center" vertical="center" wrapText="1"/>
    </xf>
    <xf numFmtId="0" fontId="125" fillId="0" borderId="59" xfId="0" applyFont="1" applyBorder="1" applyAlignment="1">
      <alignment horizontal="center" vertical="center" wrapText="1"/>
    </xf>
    <xf numFmtId="0" fontId="125" fillId="0" borderId="58" xfId="0" applyFont="1" applyBorder="1" applyAlignment="1">
      <alignment horizontal="center" vertical="center" wrapText="1"/>
    </xf>
    <xf numFmtId="0" fontId="83" fillId="0" borderId="60" xfId="0" applyFont="1" applyBorder="1" applyAlignment="1">
      <alignment horizontal="justify" vertical="center" wrapText="1"/>
    </xf>
    <xf numFmtId="0" fontId="125" fillId="0" borderId="66" xfId="0" applyFont="1" applyBorder="1" applyAlignment="1">
      <alignment horizontal="center" vertical="center" wrapText="1"/>
    </xf>
    <xf numFmtId="0" fontId="125" fillId="0" borderId="62" xfId="0" applyFont="1" applyBorder="1" applyAlignment="1">
      <alignment horizontal="center" vertical="center" wrapText="1"/>
    </xf>
    <xf numFmtId="0" fontId="125" fillId="0" borderId="67" xfId="0" applyFont="1" applyBorder="1" applyAlignment="1">
      <alignment horizontal="center" vertical="center" wrapText="1"/>
    </xf>
    <xf numFmtId="0" fontId="125" fillId="0" borderId="64" xfId="0" applyFont="1" applyBorder="1" applyAlignment="1">
      <alignment horizontal="center" vertical="center" wrapText="1"/>
    </xf>
    <xf numFmtId="0" fontId="83" fillId="0" borderId="69" xfId="0" applyFont="1" applyBorder="1" applyAlignment="1">
      <alignment horizontal="justify" vertical="center" wrapText="1"/>
    </xf>
    <xf numFmtId="0" fontId="83" fillId="0" borderId="61" xfId="0" applyFont="1" applyBorder="1" applyAlignment="1">
      <alignment horizontal="justify" vertical="center" wrapText="1"/>
    </xf>
    <xf numFmtId="0" fontId="126" fillId="0" borderId="68" xfId="0" applyFont="1" applyBorder="1" applyAlignment="1">
      <alignment horizontal="center" vertical="center" wrapText="1"/>
    </xf>
    <xf numFmtId="0" fontId="126" fillId="0" borderId="69" xfId="0" applyFont="1" applyBorder="1" applyAlignment="1">
      <alignment horizontal="center" vertical="center" wrapText="1"/>
    </xf>
    <xf numFmtId="0" fontId="83" fillId="0" borderId="62" xfId="0" applyFont="1" applyBorder="1" applyAlignment="1">
      <alignment horizontal="justify" vertical="center" wrapText="1"/>
    </xf>
    <xf numFmtId="0" fontId="83" fillId="0" borderId="63" xfId="0" applyFont="1" applyBorder="1" applyAlignment="1">
      <alignment horizontal="justify" vertical="center" wrapText="1"/>
    </xf>
    <xf numFmtId="0" fontId="83" fillId="0" borderId="71" xfId="0" applyFont="1" applyBorder="1" applyAlignment="1">
      <alignment horizontal="justify" vertical="center" wrapText="1"/>
    </xf>
    <xf numFmtId="0" fontId="83" fillId="0" borderId="72" xfId="0" applyFont="1" applyBorder="1" applyAlignment="1">
      <alignment horizontal="justify" vertical="center" wrapText="1"/>
    </xf>
    <xf numFmtId="0" fontId="83" fillId="0" borderId="68" xfId="0" applyFont="1" applyBorder="1" applyAlignment="1">
      <alignment horizontal="justify" vertical="center" wrapText="1"/>
    </xf>
    <xf numFmtId="0" fontId="125" fillId="0" borderId="68" xfId="0" applyFont="1" applyBorder="1" applyAlignment="1">
      <alignment horizontal="center" vertical="center" wrapText="1"/>
    </xf>
    <xf numFmtId="0" fontId="125" fillId="0" borderId="69" xfId="0" applyFont="1" applyBorder="1" applyAlignment="1">
      <alignment horizontal="center" vertical="center" wrapText="1"/>
    </xf>
    <xf numFmtId="0" fontId="125" fillId="0" borderId="61" xfId="0" applyFont="1" applyBorder="1" applyAlignment="1">
      <alignment horizontal="center" vertical="center" wrapText="1"/>
    </xf>
    <xf numFmtId="0" fontId="83" fillId="0" borderId="73" xfId="0" applyFont="1" applyBorder="1" applyAlignment="1">
      <alignment horizontal="justify" vertical="center" wrapText="1"/>
    </xf>
    <xf numFmtId="0" fontId="83" fillId="0" borderId="70" xfId="0" applyFont="1" applyBorder="1" applyAlignment="1">
      <alignment horizontal="justify" vertical="center" wrapText="1"/>
    </xf>
    <xf numFmtId="0" fontId="125" fillId="0" borderId="73" xfId="0" applyFont="1" applyBorder="1" applyAlignment="1">
      <alignment horizontal="center" vertical="center" wrapText="1"/>
    </xf>
    <xf numFmtId="0" fontId="125" fillId="0" borderId="74" xfId="0" applyFont="1" applyBorder="1" applyAlignment="1">
      <alignment horizontal="center" vertical="center" wrapText="1"/>
    </xf>
    <xf numFmtId="0" fontId="125" fillId="0" borderId="70" xfId="0" applyFont="1" applyBorder="1" applyAlignment="1">
      <alignment horizontal="center" vertical="center" wrapText="1"/>
    </xf>
    <xf numFmtId="0" fontId="83" fillId="0" borderId="74" xfId="0" applyFont="1" applyBorder="1" applyAlignment="1">
      <alignment horizontal="justify" vertical="center" wrapText="1"/>
    </xf>
    <xf numFmtId="0" fontId="84" fillId="0" borderId="73" xfId="0" applyFont="1" applyBorder="1" applyAlignment="1">
      <alignment horizontal="justify" vertical="center" wrapText="1"/>
    </xf>
    <xf numFmtId="0" fontId="84" fillId="0" borderId="74" xfId="0" applyFont="1" applyBorder="1" applyAlignment="1">
      <alignment horizontal="justify" vertical="center" wrapText="1"/>
    </xf>
    <xf numFmtId="0" fontId="125" fillId="0" borderId="63" xfId="0" applyFont="1" applyBorder="1" applyAlignment="1">
      <alignment horizontal="center" vertical="center" wrapText="1"/>
    </xf>
    <xf numFmtId="0" fontId="125" fillId="0" borderId="65" xfId="0" applyFont="1" applyBorder="1" applyAlignment="1">
      <alignment horizontal="center" vertical="center" wrapText="1"/>
    </xf>
    <xf numFmtId="0" fontId="83" fillId="0" borderId="66" xfId="0" applyFont="1" applyBorder="1" applyAlignment="1">
      <alignment horizontal="justify" vertical="center" wrapText="1"/>
    </xf>
    <xf numFmtId="0" fontId="87" fillId="0" borderId="44" xfId="0" applyFont="1" applyBorder="1" applyAlignment="1">
      <alignment horizontal="center" vertical="center" wrapText="1"/>
    </xf>
    <xf numFmtId="0" fontId="83" fillId="0" borderId="76" xfId="0" applyFont="1" applyBorder="1" applyAlignment="1">
      <alignment horizontal="justify" vertical="center" wrapText="1"/>
    </xf>
    <xf numFmtId="0" fontId="83" fillId="0" borderId="75" xfId="0" applyFont="1" applyBorder="1" applyAlignment="1">
      <alignment horizontal="justify" vertical="center" wrapText="1"/>
    </xf>
    <xf numFmtId="0" fontId="87" fillId="0" borderId="77" xfId="0" applyFont="1" applyBorder="1" applyAlignment="1">
      <alignment horizontal="center" vertical="center" wrapText="1"/>
    </xf>
    <xf numFmtId="0" fontId="87" fillId="0" borderId="71" xfId="0" applyFont="1" applyBorder="1" applyAlignment="1">
      <alignment horizontal="center" vertical="center" wrapText="1"/>
    </xf>
    <xf numFmtId="0" fontId="83" fillId="0" borderId="44" xfId="0" applyFont="1" applyBorder="1" applyAlignment="1">
      <alignment horizontal="center" vertical="center" wrapText="1"/>
    </xf>
    <xf numFmtId="0" fontId="83" fillId="0" borderId="78" xfId="0" applyFont="1" applyBorder="1" applyAlignment="1">
      <alignment horizontal="center" vertical="center" wrapText="1"/>
    </xf>
    <xf numFmtId="0" fontId="83" fillId="0" borderId="148" xfId="0" applyFont="1" applyBorder="1" applyAlignment="1">
      <alignment horizontal="center" vertical="center" wrapText="1"/>
    </xf>
    <xf numFmtId="0" fontId="83" fillId="0" borderId="64" xfId="0" applyFont="1" applyBorder="1" applyAlignment="1">
      <alignment horizontal="center" vertical="center" wrapText="1"/>
    </xf>
    <xf numFmtId="0" fontId="83" fillId="0" borderId="65" xfId="0" applyFont="1" applyBorder="1" applyAlignment="1">
      <alignment horizontal="center" vertical="center" wrapText="1"/>
    </xf>
    <xf numFmtId="0" fontId="83" fillId="0" borderId="79" xfId="0" applyFont="1" applyBorder="1" applyAlignment="1">
      <alignment horizontal="center" vertical="center" wrapText="1"/>
    </xf>
    <xf numFmtId="0" fontId="83" fillId="0" borderId="67" xfId="0" applyFont="1" applyBorder="1" applyAlignment="1">
      <alignment horizontal="center" vertical="center" wrapText="1"/>
    </xf>
    <xf numFmtId="0" fontId="84" fillId="0" borderId="69" xfId="0" applyFont="1" applyBorder="1" applyAlignment="1">
      <alignment horizontal="center" vertical="center" wrapText="1"/>
    </xf>
    <xf numFmtId="0" fontId="84" fillId="0" borderId="61" xfId="0" applyFont="1" applyBorder="1" applyAlignment="1">
      <alignment horizontal="center" vertical="center" wrapText="1"/>
    </xf>
    <xf numFmtId="0" fontId="84" fillId="0" borderId="68" xfId="0" applyFont="1" applyBorder="1" applyAlignment="1">
      <alignment horizontal="center" vertical="center" wrapText="1"/>
    </xf>
    <xf numFmtId="0" fontId="83" fillId="0" borderId="74" xfId="0" applyFont="1" applyBorder="1" applyAlignment="1">
      <alignment horizontal="right" vertical="center" wrapText="1"/>
    </xf>
    <xf numFmtId="0" fontId="86" fillId="0" borderId="76" xfId="0" applyFont="1" applyBorder="1" applyAlignment="1">
      <alignment horizontal="right" vertical="center" wrapText="1"/>
    </xf>
    <xf numFmtId="0" fontId="83" fillId="17" borderId="76" xfId="0" applyFont="1" applyFill="1" applyBorder="1" applyAlignment="1">
      <alignment horizontal="center" vertical="center" wrapText="1"/>
    </xf>
    <xf numFmtId="0" fontId="83" fillId="17" borderId="80" xfId="0" applyFont="1" applyFill="1" applyBorder="1" applyAlignment="1">
      <alignment horizontal="center" vertical="center" wrapText="1"/>
    </xf>
    <xf numFmtId="0" fontId="83" fillId="17" borderId="81" xfId="0" applyFont="1" applyFill="1" applyBorder="1" applyAlignment="1">
      <alignment horizontal="right" vertical="center" wrapText="1"/>
    </xf>
    <xf numFmtId="0" fontId="83" fillId="17" borderId="76" xfId="0" applyFont="1" applyFill="1" applyBorder="1" applyAlignment="1">
      <alignment horizontal="right" vertical="center" wrapText="1"/>
    </xf>
    <xf numFmtId="0" fontId="127" fillId="17" borderId="76" xfId="0" applyFont="1" applyFill="1" applyBorder="1" applyAlignment="1">
      <alignment horizontal="center" vertical="center" wrapText="1"/>
    </xf>
    <xf numFmtId="0" fontId="84" fillId="0" borderId="44" xfId="0" applyFont="1" applyBorder="1" applyAlignment="1">
      <alignment horizontal="justify" vertical="center" wrapText="1"/>
    </xf>
    <xf numFmtId="0" fontId="89" fillId="0" borderId="0" xfId="0" applyFont="1" applyAlignment="1">
      <alignment horizontal="justify" vertical="center" wrapText="1"/>
    </xf>
    <xf numFmtId="0" fontId="83" fillId="0" borderId="0" xfId="0" applyFont="1" applyAlignment="1">
      <alignment horizontal="right" vertical="center" wrapText="1"/>
    </xf>
    <xf numFmtId="0" fontId="84" fillId="0" borderId="0" xfId="0" applyFont="1" applyAlignment="1">
      <alignment vertical="top" wrapText="1"/>
    </xf>
    <xf numFmtId="0" fontId="83" fillId="0" borderId="0" xfId="0" applyFont="1" applyAlignment="1">
      <alignment horizontal="center" vertical="center" wrapText="1"/>
    </xf>
    <xf numFmtId="0" fontId="125" fillId="0" borderId="0" xfId="0" applyFont="1" applyAlignment="1">
      <alignment horizontal="center" vertical="center" wrapText="1"/>
    </xf>
    <xf numFmtId="0" fontId="90" fillId="0" borderId="82" xfId="0" applyFont="1" applyBorder="1" applyAlignment="1">
      <alignment horizontal="right" vertical="center" wrapText="1"/>
    </xf>
    <xf numFmtId="0" fontId="83" fillId="0" borderId="82" xfId="0" applyFont="1" applyBorder="1" applyAlignment="1">
      <alignment horizontal="justify" vertical="center" wrapText="1"/>
    </xf>
    <xf numFmtId="0" fontId="84" fillId="0" borderId="83" xfId="0" applyFont="1" applyBorder="1" applyAlignment="1">
      <alignment horizontal="center" vertical="center" wrapText="1"/>
    </xf>
    <xf numFmtId="0" fontId="91" fillId="0" borderId="85" xfId="0" applyFont="1" applyBorder="1" applyAlignment="1">
      <alignment horizontal="center" vertical="center" wrapText="1"/>
    </xf>
    <xf numFmtId="0" fontId="91" fillId="0" borderId="86" xfId="0" applyFont="1" applyBorder="1" applyAlignment="1">
      <alignment horizontal="center" vertical="center" wrapText="1"/>
    </xf>
    <xf numFmtId="0" fontId="91" fillId="0" borderId="103" xfId="0" applyFont="1" applyBorder="1" applyAlignment="1">
      <alignment horizontal="center" vertical="center" wrapText="1"/>
    </xf>
    <xf numFmtId="0" fontId="91" fillId="0" borderId="106" xfId="0" applyFont="1" applyBorder="1" applyAlignment="1">
      <alignment horizontal="center" vertical="center" wrapText="1"/>
    </xf>
    <xf numFmtId="0" fontId="91" fillId="0" borderId="88" xfId="0" applyFont="1" applyBorder="1" applyAlignment="1">
      <alignment horizontal="justify" vertical="center" wrapText="1"/>
    </xf>
    <xf numFmtId="0" fontId="91" fillId="0" borderId="85" xfId="0" applyFont="1" applyBorder="1" applyAlignment="1">
      <alignment horizontal="justify" vertical="center" wrapText="1"/>
    </xf>
    <xf numFmtId="0" fontId="91" fillId="0" borderId="107" xfId="0" applyFont="1" applyBorder="1" applyAlignment="1">
      <alignment horizontal="justify" vertical="center" wrapText="1"/>
    </xf>
    <xf numFmtId="0" fontId="91" fillId="0" borderId="103" xfId="0" applyFont="1" applyBorder="1" applyAlignment="1">
      <alignment horizontal="justify" vertical="center" wrapText="1"/>
    </xf>
    <xf numFmtId="0" fontId="92" fillId="0" borderId="89" xfId="0" applyFont="1" applyBorder="1" applyAlignment="1">
      <alignment horizontal="justify" vertical="center" wrapText="1"/>
    </xf>
    <xf numFmtId="0" fontId="92" fillId="18" borderId="91" xfId="0" applyFont="1" applyFill="1" applyBorder="1" applyAlignment="1">
      <alignment horizontal="center" vertical="center" wrapText="1"/>
    </xf>
    <xf numFmtId="0" fontId="92" fillId="18" borderId="92" xfId="0" applyFont="1" applyFill="1" applyBorder="1" applyAlignment="1">
      <alignment horizontal="center" vertical="center" wrapText="1"/>
    </xf>
    <xf numFmtId="0" fontId="83" fillId="19" borderId="93" xfId="0" applyFont="1" applyFill="1" applyBorder="1" applyAlignment="1">
      <alignment horizontal="center" vertical="center" wrapText="1"/>
    </xf>
    <xf numFmtId="0" fontId="83" fillId="19" borderId="94" xfId="0" applyFont="1" applyFill="1" applyBorder="1" applyAlignment="1">
      <alignment horizontal="center" vertical="center" wrapText="1"/>
    </xf>
    <xf numFmtId="0" fontId="83" fillId="19" borderId="90" xfId="0" applyFont="1" applyFill="1" applyBorder="1" applyAlignment="1">
      <alignment horizontal="center" vertical="center" wrapText="1"/>
    </xf>
    <xf numFmtId="0" fontId="93" fillId="19" borderId="95" xfId="0" applyFont="1" applyFill="1" applyBorder="1" applyAlignment="1">
      <alignment horizontal="center" vertical="center" wrapText="1"/>
    </xf>
    <xf numFmtId="0" fontId="93" fillId="19" borderId="96" xfId="0" applyFont="1" applyFill="1" applyBorder="1" applyAlignment="1">
      <alignment horizontal="center" vertical="center" wrapText="1"/>
    </xf>
    <xf numFmtId="0" fontId="93" fillId="19" borderId="97" xfId="0" applyFont="1" applyFill="1" applyBorder="1" applyAlignment="1">
      <alignment horizontal="center" vertical="center" wrapText="1"/>
    </xf>
    <xf numFmtId="0" fontId="93" fillId="19" borderId="95" xfId="0" applyFont="1" applyFill="1" applyBorder="1" applyAlignment="1">
      <alignment horizontal="justify" vertical="center" wrapText="1"/>
    </xf>
    <xf numFmtId="0" fontId="93" fillId="19" borderId="96" xfId="0" applyFont="1" applyFill="1" applyBorder="1" applyAlignment="1">
      <alignment horizontal="justify" vertical="center" wrapText="1"/>
    </xf>
    <xf numFmtId="0" fontId="93" fillId="19" borderId="97" xfId="0" applyFont="1" applyFill="1" applyBorder="1" applyAlignment="1">
      <alignment horizontal="justify" vertical="center" wrapText="1"/>
    </xf>
    <xf numFmtId="0" fontId="83" fillId="19" borderId="100" xfId="0" applyFont="1" applyFill="1" applyBorder="1" applyAlignment="1">
      <alignment horizontal="center" vertical="center" wrapText="1"/>
    </xf>
    <xf numFmtId="0" fontId="83" fillId="19" borderId="101" xfId="0" applyFont="1" applyFill="1" applyBorder="1" applyAlignment="1">
      <alignment horizontal="center" vertical="center" wrapText="1"/>
    </xf>
    <xf numFmtId="0" fontId="83" fillId="19" borderId="98" xfId="0" applyFont="1" applyFill="1" applyBorder="1" applyAlignment="1">
      <alignment horizontal="center" vertical="center" wrapText="1"/>
    </xf>
    <xf numFmtId="0" fontId="83" fillId="19" borderId="102" xfId="0" applyFont="1" applyFill="1" applyBorder="1" applyAlignment="1">
      <alignment horizontal="center" vertical="center" wrapText="1"/>
    </xf>
    <xf numFmtId="0" fontId="83" fillId="19" borderId="103" xfId="0" applyFont="1" applyFill="1" applyBorder="1" applyAlignment="1">
      <alignment horizontal="center" vertical="center" wrapText="1"/>
    </xf>
    <xf numFmtId="0" fontId="83" fillId="19" borderId="99" xfId="0" applyFont="1" applyFill="1" applyBorder="1" applyAlignment="1">
      <alignment horizontal="center" vertical="center" wrapText="1"/>
    </xf>
    <xf numFmtId="0" fontId="93" fillId="19" borderId="100" xfId="0" applyFont="1" applyFill="1" applyBorder="1" applyAlignment="1">
      <alignment horizontal="justify" vertical="center" wrapText="1"/>
    </xf>
    <xf numFmtId="0" fontId="93" fillId="19" borderId="101" xfId="0" applyFont="1" applyFill="1" applyBorder="1" applyAlignment="1">
      <alignment horizontal="justify" vertical="center" wrapText="1"/>
    </xf>
    <xf numFmtId="0" fontId="93" fillId="19" borderId="98" xfId="0" applyFont="1" applyFill="1" applyBorder="1" applyAlignment="1">
      <alignment horizontal="justify" vertical="center" wrapText="1"/>
    </xf>
    <xf numFmtId="0" fontId="93" fillId="19" borderId="102" xfId="0" applyFont="1" applyFill="1" applyBorder="1" applyAlignment="1">
      <alignment horizontal="justify" vertical="center" wrapText="1"/>
    </xf>
    <xf numFmtId="0" fontId="93" fillId="19" borderId="103" xfId="0" applyFont="1" applyFill="1" applyBorder="1" applyAlignment="1">
      <alignment horizontal="justify" vertical="center" wrapText="1"/>
    </xf>
    <xf numFmtId="0" fontId="93" fillId="19" borderId="99" xfId="0" applyFont="1" applyFill="1" applyBorder="1" applyAlignment="1">
      <alignment horizontal="justify" vertical="center" wrapText="1"/>
    </xf>
    <xf numFmtId="0" fontId="83" fillId="19" borderId="95" xfId="0" applyFont="1" applyFill="1" applyBorder="1" applyAlignment="1">
      <alignment horizontal="center" vertical="center" wrapText="1"/>
    </xf>
    <xf numFmtId="0" fontId="83" fillId="19" borderId="96" xfId="0" applyFont="1" applyFill="1" applyBorder="1" applyAlignment="1">
      <alignment horizontal="center" vertical="center" wrapText="1"/>
    </xf>
    <xf numFmtId="0" fontId="83" fillId="19" borderId="104" xfId="0" applyFont="1" applyFill="1" applyBorder="1" applyAlignment="1">
      <alignment horizontal="center" vertical="center" wrapText="1"/>
    </xf>
    <xf numFmtId="0" fontId="83" fillId="19" borderId="105" xfId="0" applyFont="1" applyFill="1" applyBorder="1" applyAlignment="1">
      <alignment horizontal="center" vertical="center" wrapText="1"/>
    </xf>
    <xf numFmtId="0" fontId="128" fillId="0" borderId="149" xfId="0" applyFont="1" applyBorder="1" applyAlignment="1">
      <alignment horizontal="right" vertical="center" wrapText="1"/>
    </xf>
    <xf numFmtId="0" fontId="92" fillId="18" borderId="98" xfId="0" applyFont="1" applyFill="1" applyBorder="1" applyAlignment="1">
      <alignment horizontal="center" vertical="center" wrapText="1"/>
    </xf>
    <xf numFmtId="0" fontId="92" fillId="18" borderId="99" xfId="0" applyFont="1" applyFill="1" applyBorder="1" applyAlignment="1">
      <alignment horizontal="center" vertical="center" wrapText="1"/>
    </xf>
    <xf numFmtId="0" fontId="93" fillId="19" borderId="100" xfId="0" applyFont="1" applyFill="1" applyBorder="1" applyAlignment="1">
      <alignment horizontal="center" vertical="center" wrapText="1"/>
    </xf>
    <xf numFmtId="0" fontId="93" fillId="19" borderId="98" xfId="0" applyFont="1" applyFill="1" applyBorder="1" applyAlignment="1">
      <alignment horizontal="center" vertical="center" wrapText="1"/>
    </xf>
    <xf numFmtId="0" fontId="93" fillId="19" borderId="102" xfId="0" applyFont="1" applyFill="1" applyBorder="1" applyAlignment="1">
      <alignment horizontal="center" vertical="center" wrapText="1"/>
    </xf>
    <xf numFmtId="0" fontId="93" fillId="19" borderId="99" xfId="0" applyFont="1" applyFill="1" applyBorder="1" applyAlignment="1">
      <alignment horizontal="center" vertical="center" wrapText="1"/>
    </xf>
    <xf numFmtId="0" fontId="93" fillId="19" borderId="101" xfId="0" applyFont="1" applyFill="1" applyBorder="1" applyAlignment="1">
      <alignment horizontal="center" vertical="center" wrapText="1"/>
    </xf>
    <xf numFmtId="0" fontId="93" fillId="19" borderId="103" xfId="0" applyFont="1" applyFill="1" applyBorder="1" applyAlignment="1">
      <alignment horizontal="center" vertical="center" wrapText="1"/>
    </xf>
    <xf numFmtId="0" fontId="66" fillId="0" borderId="19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68" xfId="0" applyFont="1" applyBorder="1" applyAlignment="1">
      <alignment horizontal="center" vertical="center" wrapText="1"/>
    </xf>
    <xf numFmtId="0" fontId="27" fillId="0" borderId="69" xfId="0" applyFont="1" applyBorder="1" applyAlignment="1">
      <alignment horizontal="center" vertical="center" wrapText="1"/>
    </xf>
    <xf numFmtId="0" fontId="84" fillId="0" borderId="73" xfId="0" applyFont="1" applyBorder="1" applyAlignment="1">
      <alignment horizontal="center" vertical="center" wrapText="1"/>
    </xf>
    <xf numFmtId="0" fontId="84" fillId="0" borderId="74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2" fillId="0" borderId="87" xfId="0" applyFont="1" applyBorder="1" applyAlignment="1">
      <alignment horizontal="center" vertical="center" wrapText="1"/>
    </xf>
    <xf numFmtId="176" fontId="83" fillId="0" borderId="60" xfId="0" applyNumberFormat="1" applyFont="1" applyBorder="1" applyAlignment="1">
      <alignment horizontal="center" vertical="center" wrapText="1"/>
    </xf>
    <xf numFmtId="0" fontId="83" fillId="0" borderId="59" xfId="0" applyFont="1" applyBorder="1" applyAlignment="1">
      <alignment horizontal="center" vertical="center" wrapText="1"/>
    </xf>
    <xf numFmtId="0" fontId="83" fillId="0" borderId="58" xfId="0" applyFont="1" applyBorder="1" applyAlignment="1">
      <alignment horizontal="center" vertical="center" wrapText="1"/>
    </xf>
    <xf numFmtId="176" fontId="84" fillId="0" borderId="60" xfId="0" applyNumberFormat="1" applyFont="1" applyBorder="1" applyAlignment="1">
      <alignment horizontal="center" vertical="center" wrapText="1"/>
    </xf>
    <xf numFmtId="0" fontId="84" fillId="0" borderId="59" xfId="0" applyFont="1" applyBorder="1" applyAlignment="1">
      <alignment horizontal="center" vertical="center" wrapText="1"/>
    </xf>
    <xf numFmtId="0" fontId="84" fillId="0" borderId="0" xfId="0" applyFont="1" applyAlignment="1">
      <alignment horizontal="center" vertical="center" wrapText="1"/>
    </xf>
    <xf numFmtId="0" fontId="88" fillId="17" borderId="76" xfId="0" applyFont="1" applyFill="1" applyBorder="1" applyAlignment="1">
      <alignment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62" xfId="0" applyFont="1" applyBorder="1" applyAlignment="1">
      <alignment horizontal="center" vertical="center" wrapText="1"/>
    </xf>
    <xf numFmtId="0" fontId="84" fillId="0" borderId="63" xfId="0" applyFont="1" applyBorder="1" applyAlignment="1">
      <alignment horizontal="center" vertical="center" wrapText="1"/>
    </xf>
    <xf numFmtId="0" fontId="84" fillId="0" borderId="67" xfId="0" applyFont="1" applyBorder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65" xfId="0" applyFont="1" applyBorder="1" applyAlignment="1">
      <alignment horizontal="center" vertical="center" wrapText="1"/>
    </xf>
    <xf numFmtId="0" fontId="163" fillId="2" borderId="50" xfId="0" applyFont="1" applyFill="1" applyBorder="1" applyAlignment="1">
      <alignment horizontal="left" vertical="center"/>
    </xf>
    <xf numFmtId="176" fontId="73" fillId="2" borderId="1" xfId="0" applyNumberFormat="1" applyFont="1" applyFill="1" applyBorder="1" applyAlignment="1">
      <alignment horizontal="left" vertical="center"/>
    </xf>
    <xf numFmtId="0" fontId="78" fillId="16" borderId="6" xfId="0" applyFont="1" applyFill="1" applyBorder="1" applyAlignment="1">
      <alignment vertical="center"/>
    </xf>
    <xf numFmtId="176" fontId="5" fillId="2" borderId="6" xfId="0" applyNumberFormat="1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0" fontId="1" fillId="2" borderId="20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176" fontId="5" fillId="2" borderId="4" xfId="0" applyNumberFormat="1" applyFont="1" applyFill="1" applyBorder="1" applyAlignment="1">
      <alignment horizontal="left" vertical="center"/>
    </xf>
    <xf numFmtId="0" fontId="164" fillId="16" borderId="1" xfId="0" applyFont="1" applyFill="1" applyBorder="1" applyAlignment="1">
      <alignment vertical="center"/>
    </xf>
    <xf numFmtId="181" fontId="22" fillId="0" borderId="0" xfId="0" applyNumberFormat="1" applyFont="1"/>
    <xf numFmtId="181" fontId="5" fillId="2" borderId="4" xfId="0" applyNumberFormat="1" applyFont="1" applyFill="1" applyBorder="1" applyAlignment="1">
      <alignment horizontal="left" vertical="center"/>
    </xf>
    <xf numFmtId="0" fontId="113" fillId="31" borderId="108" xfId="0" applyFont="1" applyFill="1" applyBorder="1" applyAlignment="1">
      <alignment horizontal="center" vertical="center"/>
    </xf>
    <xf numFmtId="0" fontId="113" fillId="31" borderId="18" xfId="0" applyFont="1" applyFill="1" applyBorder="1" applyAlignment="1">
      <alignment horizontal="center" vertical="center"/>
    </xf>
    <xf numFmtId="0" fontId="113" fillId="31" borderId="109" xfId="0" applyFont="1" applyFill="1" applyBorder="1" applyAlignment="1">
      <alignment horizontal="center" vertical="center"/>
    </xf>
    <xf numFmtId="0" fontId="113" fillId="31" borderId="6" xfId="0" applyFont="1" applyFill="1" applyBorder="1" applyAlignment="1">
      <alignment horizontal="center" vertical="center" wrapText="1"/>
    </xf>
    <xf numFmtId="0" fontId="113" fillId="31" borderId="18" xfId="0" applyFont="1" applyFill="1" applyBorder="1" applyAlignment="1">
      <alignment horizontal="center" vertical="center" wrapText="1"/>
    </xf>
    <xf numFmtId="0" fontId="113" fillId="31" borderId="3" xfId="0" applyFont="1" applyFill="1" applyBorder="1" applyAlignment="1">
      <alignment horizontal="center" vertical="center" wrapText="1"/>
    </xf>
    <xf numFmtId="0" fontId="168" fillId="0" borderId="69" xfId="0" applyFont="1" applyBorder="1" applyAlignment="1">
      <alignment horizontal="center" vertical="center" wrapText="1"/>
    </xf>
    <xf numFmtId="0" fontId="168" fillId="0" borderId="61" xfId="0" applyFont="1" applyBorder="1" applyAlignment="1">
      <alignment horizontal="center" vertical="center" wrapText="1"/>
    </xf>
    <xf numFmtId="0" fontId="59" fillId="32" borderId="1" xfId="0" applyFont="1" applyFill="1" applyBorder="1" applyAlignment="1">
      <alignment vertical="center"/>
    </xf>
    <xf numFmtId="0" fontId="59" fillId="32" borderId="1" xfId="0" applyFont="1" applyFill="1" applyBorder="1" applyAlignment="1">
      <alignment vertical="center" wrapText="1"/>
    </xf>
    <xf numFmtId="0" fontId="61" fillId="32" borderId="1" xfId="0" applyFont="1" applyFill="1" applyBorder="1" applyAlignment="1">
      <alignment vertical="center" wrapText="1"/>
    </xf>
  </cellXfs>
  <cellStyles count="4">
    <cellStyle name="나쁨" xfId="2" builtinId="27"/>
    <cellStyle name="표준" xfId="0" builtinId="0"/>
    <cellStyle name="표준 2" xfId="3" xr:uid="{751D343F-DA69-4A4F-AFB8-E24B97E8BF2A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checked="Checked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22" fmlaLink="목차!$B$1" fmlaRange="$C$5:$C$28" noThreeD="1" sel="17" val="16"/>
</file>

<file path=xl/ctrlProps/ctrlProp46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47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48.xml><?xml version="1.0" encoding="utf-8"?>
<formControlPr xmlns="http://schemas.microsoft.com/office/spreadsheetml/2009/9/main" objectType="Drop" dropStyle="combo" dx="22" fmlaLink="목차!$B$1" fmlaRange="목차!$C$5:$C$42" noThreeD="1" sel="17" val="16"/>
</file>

<file path=xl/ctrlProps/ctrlProp49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50.xml><?xml version="1.0" encoding="utf-8"?>
<formControlPr xmlns="http://schemas.microsoft.com/office/spreadsheetml/2009/9/main" objectType="Drop" dropStyle="combo" dx="22" fmlaLink="목차!$B$1" fmlaRange="목차!$C$5:$C$42" noThreeD="1" sel="17" val="16"/>
</file>

<file path=xl/ctrlProps/ctrlProp51.xml><?xml version="1.0" encoding="utf-8"?>
<formControlPr xmlns="http://schemas.microsoft.com/office/spreadsheetml/2009/9/main" objectType="Drop" dropStyle="combo" dx="22" fmlaLink="목차!$B$1" fmlaRange="목차!$C$5:$C$42" noThreeD="1" sel="17" val="3"/>
</file>

<file path=xl/ctrlProps/ctrlProp52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53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54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55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56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57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58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59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60.xml><?xml version="1.0" encoding="utf-8"?>
<formControlPr xmlns="http://schemas.microsoft.com/office/spreadsheetml/2009/9/main" objectType="Drop" dropStyle="combo" dx="22" fmlaLink="목차!$B$1" fmlaRange="목차!$C$5:$C$42" noThreeD="1" sel="17" val="8"/>
</file>

<file path=xl/ctrlProps/ctrlProp61.xml><?xml version="1.0" encoding="utf-8"?>
<formControlPr xmlns="http://schemas.microsoft.com/office/spreadsheetml/2009/9/main" objectType="Drop" dropStyle="combo" dx="22" fmlaLink="목차!$B$1" fmlaRange="목차!$C$5:$C$42" noThreeD="1" sel="17" val="15"/>
</file>

<file path=xl/ctrlProps/ctrlProp62.xml><?xml version="1.0" encoding="utf-8"?>
<formControlPr xmlns="http://schemas.microsoft.com/office/spreadsheetml/2009/9/main" objectType="Drop" dropStyle="combo" dx="22" fmlaLink="목차!$B$1" fmlaRange="목차!$C$5:$C$42" noThreeD="1" sel="17" val="7"/>
</file>

<file path=xl/ctrlProps/ctrlProp63.xml><?xml version="1.0" encoding="utf-8"?>
<formControlPr xmlns="http://schemas.microsoft.com/office/spreadsheetml/2009/9/main" objectType="Drop" dropStyle="combo" dx="22" fmlaLink="목차!$B$1" fmlaRange="목차!$C$5:$C$42" noThreeD="1" sel="17" val="1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0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10</xdr:row>
          <xdr:rowOff>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15</xdr:row>
          <xdr:rowOff>9525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9525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228600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25</xdr:row>
          <xdr:rowOff>342900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28</xdr:row>
          <xdr:rowOff>9525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29</xdr:row>
          <xdr:rowOff>9525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30</xdr:row>
          <xdr:rowOff>9525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31</xdr:row>
          <xdr:rowOff>9525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34</xdr:row>
          <xdr:rowOff>9525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34</xdr:row>
          <xdr:rowOff>9525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34</xdr:row>
          <xdr:rowOff>381000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36</xdr:row>
          <xdr:rowOff>9525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38</xdr:row>
          <xdr:rowOff>9525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41</xdr:row>
          <xdr:rowOff>9525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42</xdr:row>
          <xdr:rowOff>9525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43</xdr:row>
          <xdr:rowOff>9525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44</xdr:row>
          <xdr:rowOff>9525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45</xdr:row>
          <xdr:rowOff>9525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47</xdr:row>
          <xdr:rowOff>9525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48</xdr:row>
          <xdr:rowOff>9525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49</xdr:row>
          <xdr:rowOff>9525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37</xdr:row>
          <xdr:rowOff>38100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46</xdr:row>
          <xdr:rowOff>9525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38100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22</xdr:row>
          <xdr:rowOff>228600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9525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9525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19050</xdr:rowOff>
        </xdr:from>
        <xdr:to>
          <xdr:col>7</xdr:col>
          <xdr:colOff>400050</xdr:colOff>
          <xdr:row>5</xdr:row>
          <xdr:rowOff>219075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12</xdr:col>
          <xdr:colOff>419100</xdr:colOff>
          <xdr:row>4</xdr:row>
          <xdr:rowOff>123825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2</xdr:row>
          <xdr:rowOff>0</xdr:rowOff>
        </xdr:from>
        <xdr:to>
          <xdr:col>4</xdr:col>
          <xdr:colOff>942975</xdr:colOff>
          <xdr:row>4</xdr:row>
          <xdr:rowOff>295275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19050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</xdr:row>
          <xdr:rowOff>228600</xdr:rowOff>
        </xdr:from>
        <xdr:to>
          <xdr:col>10</xdr:col>
          <xdr:colOff>400050</xdr:colOff>
          <xdr:row>5</xdr:row>
          <xdr:rowOff>47625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285750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285750</xdr:rowOff>
        </xdr:from>
        <xdr:to>
          <xdr:col>8</xdr:col>
          <xdr:colOff>457200</xdr:colOff>
          <xdr:row>5</xdr:row>
          <xdr:rowOff>114300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0</xdr:rowOff>
        </xdr:from>
        <xdr:to>
          <xdr:col>11</xdr:col>
          <xdr:colOff>400050</xdr:colOff>
          <xdr:row>5</xdr:row>
          <xdr:rowOff>47625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171450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19050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95250</xdr:colOff>
          <xdr:row>1</xdr:row>
          <xdr:rowOff>38100</xdr:rowOff>
        </xdr:from>
        <xdr:to>
          <xdr:col>36</xdr:col>
          <xdr:colOff>390525</xdr:colOff>
          <xdr:row>3</xdr:row>
          <xdr:rowOff>171450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50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asd@asd.net" TargetMode="External"/><Relationship Id="rId4" Type="http://schemas.openxmlformats.org/officeDocument/2006/relationships/ctrlProp" Target="../ctrlProps/ctrlProp5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5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hyperlink" Target="mailto:KJH5848@GMAIL.COM" TargetMode="External"/><Relationship Id="rId4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showGridLines="0" topLeftCell="BO1" zoomScale="70" zoomScaleNormal="70" workbookViewId="0">
      <selection activeCell="BV2" sqref="BV2"/>
    </sheetView>
    <sheetView workbookViewId="1"/>
  </sheetViews>
  <sheetFormatPr defaultColWidth="9.1328125" defaultRowHeight="20.25"/>
  <cols>
    <col min="1" max="2" width="9.1328125" style="248"/>
    <col min="3" max="3" width="25" style="248" customWidth="1"/>
    <col min="4" max="4" width="18.3984375" style="248" bestFit="1" customWidth="1"/>
    <col min="5" max="5" width="7.3984375" style="248" bestFit="1" customWidth="1"/>
    <col min="6" max="6" width="18.3984375" style="248" bestFit="1" customWidth="1"/>
    <col min="7" max="7" width="14.59765625" style="248" customWidth="1"/>
    <col min="8" max="8" width="9.1328125" style="248"/>
    <col min="9" max="9" width="12.59765625" style="248" customWidth="1"/>
    <col min="10" max="10" width="10.265625" style="248" customWidth="1"/>
    <col min="11" max="11" width="14.265625" style="248" bestFit="1" customWidth="1"/>
    <col min="12" max="13" width="17.265625" style="248" customWidth="1"/>
    <col min="14" max="14" width="14.59765625" style="248" customWidth="1"/>
    <col min="15" max="15" width="13.73046875" style="248" customWidth="1"/>
    <col min="16" max="16" width="9" style="248" customWidth="1"/>
    <col min="17" max="22" width="9.1328125" style="248"/>
    <col min="23" max="23" width="14.73046875" style="249" bestFit="1" customWidth="1"/>
    <col min="24" max="24" width="24.86328125" style="250" bestFit="1" customWidth="1"/>
    <col min="25" max="25" width="103.1328125" style="248" bestFit="1" customWidth="1"/>
    <col min="26" max="28" width="9.1328125" style="248"/>
    <col min="29" max="30" width="9.1328125" style="251"/>
    <col min="31" max="31" width="18.86328125" style="251" bestFit="1" customWidth="1"/>
    <col min="32" max="32" width="35.1328125" style="251" bestFit="1" customWidth="1"/>
    <col min="33" max="35" width="9.1328125" style="251"/>
    <col min="36" max="36" width="23.3984375" style="251" bestFit="1" customWidth="1"/>
    <col min="37" max="38" width="9.1328125" style="251"/>
    <col min="39" max="39" width="17.265625" style="251" bestFit="1" customWidth="1"/>
    <col min="40" max="40" width="35.1328125" style="251" bestFit="1" customWidth="1"/>
    <col min="41" max="41" width="9.1328125" style="251"/>
    <col min="42" max="42" width="7.73046875" style="251" bestFit="1" customWidth="1"/>
    <col min="43" max="54" width="9.1328125" style="251"/>
    <col min="55" max="55" width="15.86328125" style="251" bestFit="1" customWidth="1"/>
    <col min="56" max="56" width="9.1328125" style="251"/>
    <col min="57" max="57" width="11.1328125" style="251" bestFit="1" customWidth="1"/>
    <col min="58" max="58" width="18" style="251" bestFit="1" customWidth="1"/>
    <col min="59" max="59" width="82.1328125" style="251" customWidth="1"/>
    <col min="60" max="72" width="9.1328125" style="251"/>
    <col min="73" max="73" width="13.59765625" style="251" bestFit="1" customWidth="1"/>
    <col min="74" max="74" width="58.73046875" style="251" bestFit="1" customWidth="1"/>
    <col min="75" max="75" width="14.59765625" style="251" bestFit="1" customWidth="1"/>
    <col min="76" max="76" width="15.59765625" style="251" bestFit="1" customWidth="1"/>
    <col min="77" max="78" width="12.73046875" style="251" bestFit="1" customWidth="1"/>
    <col min="79" max="79" width="4" style="251" bestFit="1" customWidth="1"/>
    <col min="80" max="80" width="9.1328125" style="251"/>
    <col min="81" max="16384" width="9.1328125" style="248"/>
  </cols>
  <sheetData>
    <row r="2" spans="3:80">
      <c r="C2" s="264"/>
      <c r="D2" s="265"/>
      <c r="E2" s="266"/>
      <c r="AE2" s="267" t="s">
        <v>417</v>
      </c>
      <c r="AF2" s="367"/>
      <c r="AG2" s="368"/>
      <c r="AH2" s="367" t="s">
        <v>620</v>
      </c>
      <c r="AI2" s="368"/>
      <c r="AJ2" s="367"/>
      <c r="AL2" s="354"/>
      <c r="AM2" s="254" t="s">
        <v>279</v>
      </c>
      <c r="AN2" s="255" t="e">
        <f>#REF!</f>
        <v>#REF!</v>
      </c>
      <c r="AP2" s="256"/>
      <c r="AQ2" s="257"/>
      <c r="AR2" s="257"/>
      <c r="AS2" s="258"/>
      <c r="AT2" s="259"/>
      <c r="AU2" s="260"/>
      <c r="AV2" s="260"/>
      <c r="AW2" s="260"/>
      <c r="AX2" s="260"/>
      <c r="AY2" s="260"/>
      <c r="AZ2" s="260"/>
      <c r="BA2" s="260"/>
      <c r="BB2" s="260"/>
      <c r="BC2" s="261"/>
      <c r="BE2" s="354"/>
      <c r="BF2" s="262" t="s">
        <v>263</v>
      </c>
      <c r="BG2" s="263">
        <f>AT7</f>
        <v>0</v>
      </c>
      <c r="BI2" s="268"/>
      <c r="BJ2" s="371" t="s">
        <v>760</v>
      </c>
      <c r="BK2" s="372"/>
      <c r="BL2" s="372"/>
      <c r="BM2" s="372"/>
      <c r="BN2" s="372"/>
      <c r="BO2" s="372"/>
      <c r="BP2" s="372"/>
      <c r="BQ2" s="372"/>
      <c r="BR2" s="373"/>
      <c r="BT2" s="354"/>
      <c r="BU2" s="262" t="s">
        <v>621</v>
      </c>
      <c r="BV2" s="263" t="e">
        <f>"2024. " &amp; TEXT(MONTH(BY5), "00") &amp; ". " &amp; TEXT(DAY(BY5), "00") &amp; " ~ 2024. " &amp; TEXT(MONTH(BZ5), "00") &amp; ". " &amp; TEXT(DAY(BZ5), "00")</f>
        <v>#REF!</v>
      </c>
      <c r="BW2" s="269"/>
      <c r="BX2" s="270" t="e">
        <f>LEFT(#REF!, FIND("~",#REF!) - 2)</f>
        <v>#REF!</v>
      </c>
      <c r="BY2" s="263" t="e">
        <f>LEFT(BX2, 4)</f>
        <v>#REF!</v>
      </c>
      <c r="BZ2" s="271" t="e">
        <f>MID(BX2, 7, 2)</f>
        <v>#REF!</v>
      </c>
      <c r="CA2" s="271" t="e">
        <f>RIGHT(BX2, 2)</f>
        <v>#REF!</v>
      </c>
      <c r="CB2" s="351" t="s">
        <v>751</v>
      </c>
    </row>
    <row r="3" spans="3:80" ht="20.65" thickBot="1">
      <c r="P3" s="248" t="s">
        <v>622</v>
      </c>
      <c r="AE3" s="272" t="s">
        <v>623</v>
      </c>
      <c r="AF3" s="369"/>
      <c r="AG3" s="370"/>
      <c r="AH3" s="369" t="s">
        <v>624</v>
      </c>
      <c r="AI3" s="370"/>
      <c r="AJ3" s="369"/>
      <c r="AL3" s="354"/>
      <c r="AM3" s="254" t="s">
        <v>282</v>
      </c>
      <c r="AN3" s="255">
        <f>AF5</f>
        <v>0</v>
      </c>
      <c r="AP3" s="256"/>
      <c r="AQ3" s="257"/>
      <c r="AR3" s="257"/>
      <c r="AS3" s="258"/>
      <c r="AT3" s="259"/>
      <c r="AU3" s="260"/>
      <c r="AV3" s="260"/>
      <c r="AW3" s="260"/>
      <c r="AX3" s="260"/>
      <c r="AY3" s="260"/>
      <c r="AZ3" s="260"/>
      <c r="BA3" s="260"/>
      <c r="BB3" s="260"/>
      <c r="BC3" s="261"/>
      <c r="BE3" s="354"/>
      <c r="BF3" s="262" t="s">
        <v>625</v>
      </c>
      <c r="BG3" s="263">
        <f>AT15</f>
        <v>0</v>
      </c>
      <c r="BI3" s="268"/>
      <c r="BJ3" s="371"/>
      <c r="BK3" s="372"/>
      <c r="BL3" s="372"/>
      <c r="BM3" s="372"/>
      <c r="BN3" s="372"/>
      <c r="BO3" s="372"/>
      <c r="BP3" s="372"/>
      <c r="BQ3" s="372"/>
      <c r="BR3" s="373"/>
      <c r="BT3" s="354"/>
      <c r="BU3" s="262" t="s">
        <v>626</v>
      </c>
      <c r="BV3" s="263" t="e">
        <f>"2024. " &amp; TEXT(MONTH(BY6), "00") &amp; ". " &amp; TEXT(DAY(BY6), "00") &amp; " ~ 2024. " &amp; TEXT(MONTH(BZ6), "00") &amp; ". " &amp; TEXT(DAY(BZ6), "00")</f>
        <v>#REF!</v>
      </c>
      <c r="BW3" s="269"/>
      <c r="BX3" s="273" t="e">
        <f>RIGHT(#REF!, LEN(#REF!) - FIND("~",#REF!) - 1)</f>
        <v>#REF!</v>
      </c>
      <c r="BY3" s="263" t="e">
        <f>LEFT(BX3, 4)</f>
        <v>#REF!</v>
      </c>
      <c r="BZ3" s="271" t="e">
        <f>MID(BX3, 7, 2)</f>
        <v>#REF!</v>
      </c>
      <c r="CA3" s="271" t="e">
        <f>RIGHT(BX3, 2)</f>
        <v>#REF!</v>
      </c>
    </row>
    <row r="4" spans="3:80" ht="17.25">
      <c r="N4" s="376" t="s">
        <v>627</v>
      </c>
      <c r="O4" s="377"/>
      <c r="P4" s="377"/>
      <c r="Q4" s="377"/>
      <c r="R4" s="377"/>
      <c r="S4" s="377"/>
      <c r="T4" s="377"/>
      <c r="U4" s="378"/>
      <c r="W4" s="382" t="s">
        <v>615</v>
      </c>
      <c r="X4" s="274" t="s">
        <v>278</v>
      </c>
      <c r="Y4" s="275" t="e">
        <f>#REF!</f>
        <v>#REF!</v>
      </c>
      <c r="AE4" s="252" t="s">
        <v>628</v>
      </c>
      <c r="AF4" s="359"/>
      <c r="AG4" s="385"/>
      <c r="AH4" s="386"/>
      <c r="AI4" s="387"/>
      <c r="AJ4" s="276"/>
      <c r="AL4" s="354"/>
      <c r="AM4" s="254" t="s">
        <v>629</v>
      </c>
      <c r="AN4" s="255">
        <f>AF6</f>
        <v>0</v>
      </c>
      <c r="AP4" s="256"/>
      <c r="AQ4" s="257"/>
      <c r="AR4" s="257"/>
      <c r="AS4" s="258"/>
      <c r="AT4" s="259"/>
      <c r="AU4" s="260"/>
      <c r="AV4" s="260"/>
      <c r="AW4" s="260"/>
      <c r="AX4" s="260"/>
      <c r="AY4" s="260"/>
      <c r="AZ4" s="260"/>
      <c r="BA4" s="260"/>
      <c r="BB4" s="260"/>
      <c r="BC4" s="261"/>
      <c r="BE4" s="354"/>
      <c r="BF4" s="262" t="s">
        <v>630</v>
      </c>
      <c r="BG4" s="263">
        <f>AT6</f>
        <v>0</v>
      </c>
      <c r="BI4" s="277"/>
      <c r="BJ4" s="356"/>
      <c r="BK4" s="357"/>
      <c r="BL4" s="357"/>
      <c r="BM4" s="357"/>
      <c r="BN4" s="357"/>
      <c r="BO4" s="357"/>
      <c r="BP4" s="357"/>
      <c r="BQ4" s="357"/>
      <c r="BR4" s="358"/>
      <c r="BT4" s="354"/>
      <c r="BU4" s="262" t="s">
        <v>631</v>
      </c>
      <c r="BV4" s="263" t="str">
        <f>BJ2</f>
        <v>2024. 11. 18 ~ 2025. 01. 10</v>
      </c>
      <c r="BX4" s="278" t="s">
        <v>632</v>
      </c>
      <c r="BY4" s="279" t="s">
        <v>633</v>
      </c>
      <c r="BZ4" s="279" t="s">
        <v>634</v>
      </c>
    </row>
    <row r="5" spans="3:80" ht="17.25">
      <c r="C5" s="280"/>
      <c r="D5" s="281"/>
      <c r="E5" s="281"/>
      <c r="N5" s="379"/>
      <c r="O5" s="380"/>
      <c r="P5" s="380"/>
      <c r="Q5" s="380"/>
      <c r="R5" s="380"/>
      <c r="S5" s="380"/>
      <c r="T5" s="380"/>
      <c r="U5" s="381"/>
      <c r="W5" s="383"/>
      <c r="X5" s="282" t="s">
        <v>279</v>
      </c>
      <c r="Y5" s="283" t="e">
        <f t="shared" ref="Y5:Y9" si="0">AN2</f>
        <v>#REF!</v>
      </c>
      <c r="AE5" s="252" t="s">
        <v>635</v>
      </c>
      <c r="AF5" s="359"/>
      <c r="AG5" s="360"/>
      <c r="AH5" s="360"/>
      <c r="AI5" s="360"/>
      <c r="AJ5" s="360"/>
      <c r="AL5" s="354"/>
      <c r="AM5" s="254" t="s">
        <v>636</v>
      </c>
      <c r="AN5" s="255">
        <f>AF2</f>
        <v>0</v>
      </c>
      <c r="AP5" s="284"/>
      <c r="AQ5" s="285"/>
      <c r="AR5" s="256"/>
      <c r="AS5" s="258"/>
      <c r="AT5" s="259"/>
      <c r="AU5" s="260"/>
      <c r="AV5" s="260"/>
      <c r="AW5" s="260"/>
      <c r="AX5" s="260"/>
      <c r="AY5" s="260"/>
      <c r="AZ5" s="260"/>
      <c r="BA5" s="260"/>
      <c r="BB5" s="260"/>
      <c r="BC5" s="261"/>
      <c r="BE5" s="354"/>
      <c r="BF5" s="262" t="s">
        <v>637</v>
      </c>
      <c r="BG5" s="263">
        <f>AT14</f>
        <v>0</v>
      </c>
      <c r="BI5" s="286"/>
      <c r="BJ5" s="287"/>
      <c r="BK5" s="287"/>
      <c r="BL5" s="287"/>
      <c r="BM5" s="287"/>
      <c r="BN5" s="287"/>
      <c r="BO5" s="287"/>
      <c r="BP5" s="287"/>
      <c r="BQ5" s="287"/>
      <c r="BR5" s="288"/>
      <c r="BT5" s="354"/>
      <c r="BU5" s="262" t="s">
        <v>638</v>
      </c>
      <c r="BV5" s="263">
        <f>BJ3</f>
        <v>0</v>
      </c>
      <c r="BX5" s="262" t="s">
        <v>621</v>
      </c>
      <c r="BY5" s="289" t="e">
        <f>DATE(BY2, BZ2, CA2)</f>
        <v>#REF!</v>
      </c>
      <c r="BZ5" s="289" t="e">
        <f>BY5+ 25</f>
        <v>#REF!</v>
      </c>
    </row>
    <row r="6" spans="3:80" ht="18" thickBot="1">
      <c r="C6" s="290" t="s">
        <v>639</v>
      </c>
      <c r="D6" s="291" t="s">
        <v>640</v>
      </c>
      <c r="E6" s="292" t="s">
        <v>641</v>
      </c>
      <c r="F6" s="374" t="s">
        <v>642</v>
      </c>
      <c r="G6" s="374"/>
      <c r="H6" s="374"/>
      <c r="I6" s="374"/>
      <c r="J6" s="374"/>
      <c r="K6" s="374"/>
      <c r="L6" s="374" t="s">
        <v>643</v>
      </c>
      <c r="M6" s="374"/>
      <c r="N6" s="293" t="s">
        <v>644</v>
      </c>
      <c r="O6" s="375" t="s">
        <v>645</v>
      </c>
      <c r="P6" s="375"/>
      <c r="Q6" s="375"/>
      <c r="R6" s="375"/>
      <c r="S6" s="375"/>
      <c r="T6" s="375"/>
      <c r="U6" s="375"/>
      <c r="W6" s="383"/>
      <c r="X6" s="282" t="s">
        <v>282</v>
      </c>
      <c r="Y6" s="283">
        <f t="shared" si="0"/>
        <v>0</v>
      </c>
      <c r="AE6" s="368" t="s">
        <v>646</v>
      </c>
      <c r="AF6" s="367"/>
      <c r="AG6" s="368"/>
      <c r="AH6" s="367" t="s">
        <v>647</v>
      </c>
      <c r="AI6" s="368"/>
      <c r="AJ6" s="361"/>
      <c r="AL6" s="355"/>
      <c r="AM6" s="254" t="s">
        <v>648</v>
      </c>
      <c r="AN6" s="255">
        <f>AJ6</f>
        <v>0</v>
      </c>
      <c r="AP6" s="294"/>
      <c r="AQ6" s="295"/>
      <c r="AR6" s="256"/>
      <c r="AS6" s="258"/>
      <c r="AT6" s="259"/>
      <c r="AU6" s="260"/>
      <c r="AV6" s="260"/>
      <c r="AW6" s="260"/>
      <c r="AX6" s="260"/>
      <c r="AY6" s="260"/>
      <c r="AZ6" s="260"/>
      <c r="BA6" s="260"/>
      <c r="BB6" s="260"/>
      <c r="BC6" s="261"/>
      <c r="BE6" s="355"/>
      <c r="BF6" s="262" t="s">
        <v>619</v>
      </c>
      <c r="BG6" s="263">
        <f>AT13</f>
        <v>0</v>
      </c>
      <c r="BI6" s="296"/>
      <c r="BJ6" s="297"/>
      <c r="BK6" s="298"/>
      <c r="BL6" s="298"/>
      <c r="BM6" s="298"/>
      <c r="BN6" s="298"/>
      <c r="BO6" s="298"/>
      <c r="BP6" s="298"/>
      <c r="BQ6" s="298"/>
      <c r="BR6" s="299"/>
      <c r="BT6" s="355"/>
      <c r="BU6" s="262" t="s">
        <v>649</v>
      </c>
      <c r="BV6" s="263">
        <f>BJ10</f>
        <v>0</v>
      </c>
      <c r="BX6" s="262" t="s">
        <v>626</v>
      </c>
      <c r="BY6" s="289" t="e">
        <f>BZ5+3</f>
        <v>#REF!</v>
      </c>
      <c r="BZ6" s="289" t="e">
        <f>BY6+25</f>
        <v>#REF!</v>
      </c>
    </row>
    <row r="7" spans="3:80" ht="18.75" thickTop="1">
      <c r="C7" s="403" t="s">
        <v>650</v>
      </c>
      <c r="D7" s="406" t="s">
        <v>651</v>
      </c>
      <c r="E7" s="300">
        <v>1</v>
      </c>
      <c r="F7" s="408" t="s">
        <v>652</v>
      </c>
      <c r="G7" s="409" t="s">
        <v>653</v>
      </c>
      <c r="H7" s="409" t="s">
        <v>653</v>
      </c>
      <c r="I7" s="409" t="s">
        <v>653</v>
      </c>
      <c r="J7" s="409" t="s">
        <v>653</v>
      </c>
      <c r="K7" s="410" t="s">
        <v>653</v>
      </c>
      <c r="L7" s="411" t="s">
        <v>654</v>
      </c>
      <c r="M7" s="412"/>
      <c r="N7" s="301" t="b">
        <v>0</v>
      </c>
      <c r="O7" s="417"/>
      <c r="P7" s="418"/>
      <c r="Q7" s="418"/>
      <c r="R7" s="418"/>
      <c r="S7" s="418"/>
      <c r="T7" s="418"/>
      <c r="U7" s="418"/>
      <c r="W7" s="383"/>
      <c r="X7" s="282" t="s">
        <v>629</v>
      </c>
      <c r="Y7" s="283">
        <f t="shared" si="0"/>
        <v>0</v>
      </c>
      <c r="AE7" s="370"/>
      <c r="AF7" s="369"/>
      <c r="AG7" s="370"/>
      <c r="AH7" s="419" t="s">
        <v>655</v>
      </c>
      <c r="AI7" s="420"/>
      <c r="AJ7" s="362"/>
      <c r="AL7" s="363" t="s">
        <v>656</v>
      </c>
      <c r="AM7" s="254" t="s">
        <v>657</v>
      </c>
      <c r="AN7" s="255">
        <f>AF21</f>
        <v>0</v>
      </c>
      <c r="AP7" s="256"/>
      <c r="AQ7" s="257"/>
      <c r="AR7" s="257"/>
      <c r="AS7" s="258"/>
      <c r="AT7" s="259"/>
      <c r="AU7" s="260"/>
      <c r="AV7" s="260"/>
      <c r="AW7" s="260"/>
      <c r="AX7" s="260"/>
      <c r="AY7" s="260"/>
      <c r="AZ7" s="260"/>
      <c r="BA7" s="260"/>
      <c r="BB7" s="260"/>
      <c r="BC7" s="261"/>
      <c r="BI7" s="296"/>
      <c r="BJ7" s="297"/>
      <c r="BK7" s="298"/>
      <c r="BL7" s="298"/>
      <c r="BM7" s="298"/>
      <c r="BN7" s="298"/>
      <c r="BO7" s="298"/>
      <c r="BP7" s="298"/>
      <c r="BQ7" s="298"/>
      <c r="BR7" s="299"/>
    </row>
    <row r="8" spans="3:80" ht="17.25">
      <c r="C8" s="404"/>
      <c r="D8" s="407"/>
      <c r="E8" s="300">
        <v>2</v>
      </c>
      <c r="F8" s="388" t="s">
        <v>658</v>
      </c>
      <c r="G8" s="388" t="s">
        <v>659</v>
      </c>
      <c r="H8" s="388" t="s">
        <v>659</v>
      </c>
      <c r="I8" s="388" t="s">
        <v>659</v>
      </c>
      <c r="J8" s="388" t="s">
        <v>659</v>
      </c>
      <c r="K8" s="388" t="s">
        <v>659</v>
      </c>
      <c r="L8" s="413"/>
      <c r="M8" s="414"/>
      <c r="N8" s="301" t="b">
        <v>0</v>
      </c>
      <c r="O8" s="389"/>
      <c r="P8" s="396"/>
      <c r="Q8" s="396"/>
      <c r="R8" s="396"/>
      <c r="S8" s="396"/>
      <c r="T8" s="396"/>
      <c r="U8" s="396"/>
      <c r="W8" s="383"/>
      <c r="X8" s="282" t="s">
        <v>636</v>
      </c>
      <c r="Y8" s="283">
        <f t="shared" si="0"/>
        <v>0</v>
      </c>
      <c r="AE8" s="368" t="s">
        <v>12</v>
      </c>
      <c r="AF8" s="361" t="s">
        <v>660</v>
      </c>
      <c r="AG8" s="422"/>
      <c r="AH8" s="422"/>
      <c r="AI8" s="422"/>
      <c r="AJ8" s="422"/>
      <c r="AL8" s="363"/>
      <c r="AM8" s="254" t="s">
        <v>661</v>
      </c>
      <c r="AN8" s="255">
        <f>AJ21</f>
        <v>0</v>
      </c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I8" s="296"/>
      <c r="BJ8" s="364"/>
      <c r="BK8" s="365"/>
      <c r="BL8" s="365"/>
      <c r="BM8" s="365"/>
      <c r="BN8" s="365"/>
      <c r="BO8" s="365"/>
      <c r="BP8" s="365"/>
      <c r="BQ8" s="365"/>
      <c r="BR8" s="366"/>
    </row>
    <row r="9" spans="3:80" s="247" customFormat="1" ht="18" customHeight="1" thickBot="1">
      <c r="C9" s="404"/>
      <c r="D9" s="407"/>
      <c r="E9" s="300">
        <v>3</v>
      </c>
      <c r="F9" s="388" t="s">
        <v>662</v>
      </c>
      <c r="G9" s="388" t="s">
        <v>663</v>
      </c>
      <c r="H9" s="388" t="s">
        <v>663</v>
      </c>
      <c r="I9" s="388" t="s">
        <v>663</v>
      </c>
      <c r="J9" s="388" t="s">
        <v>663</v>
      </c>
      <c r="K9" s="388" t="s">
        <v>663</v>
      </c>
      <c r="L9" s="413"/>
      <c r="M9" s="414"/>
      <c r="N9" s="301" t="b">
        <v>0</v>
      </c>
      <c r="O9" s="389"/>
      <c r="P9" s="389"/>
      <c r="Q9" s="389"/>
      <c r="R9" s="389"/>
      <c r="S9" s="389"/>
      <c r="T9" s="389"/>
      <c r="U9" s="389"/>
      <c r="W9" s="384"/>
      <c r="X9" s="303" t="s">
        <v>648</v>
      </c>
      <c r="Y9" s="304">
        <f t="shared" si="0"/>
        <v>0</v>
      </c>
      <c r="AC9" s="251"/>
      <c r="AD9" s="251"/>
      <c r="AE9" s="421"/>
      <c r="AF9" s="390" t="s">
        <v>664</v>
      </c>
      <c r="AG9" s="391"/>
      <c r="AH9" s="391"/>
      <c r="AI9" s="391"/>
      <c r="AJ9" s="391"/>
      <c r="AK9" s="251"/>
      <c r="AL9" s="363"/>
      <c r="AM9" s="254" t="s">
        <v>665</v>
      </c>
      <c r="AN9" s="255">
        <f>AF22</f>
        <v>0</v>
      </c>
      <c r="AO9" s="251"/>
      <c r="AP9" s="256"/>
      <c r="AQ9" s="257"/>
      <c r="AR9" s="257"/>
      <c r="AS9" s="258"/>
      <c r="AT9" s="259"/>
      <c r="AU9" s="260"/>
      <c r="AV9" s="260"/>
      <c r="AW9" s="261"/>
      <c r="AX9" s="256"/>
      <c r="AY9" s="257"/>
      <c r="AZ9" s="257"/>
      <c r="BA9" s="258"/>
      <c r="BB9" s="259"/>
      <c r="BC9" s="261"/>
      <c r="BD9" s="251"/>
      <c r="BE9" s="251"/>
      <c r="BF9" s="251"/>
      <c r="BG9" s="251"/>
      <c r="BH9" s="251"/>
      <c r="BI9" s="306"/>
      <c r="BJ9" s="392"/>
      <c r="BK9" s="393"/>
      <c r="BL9" s="393"/>
      <c r="BM9" s="393"/>
      <c r="BN9" s="393"/>
      <c r="BO9" s="393"/>
      <c r="BP9" s="393"/>
      <c r="BQ9" s="393"/>
      <c r="BR9" s="394"/>
      <c r="BS9" s="251"/>
      <c r="BT9" s="251"/>
      <c r="BU9" s="251"/>
      <c r="BV9" s="251"/>
      <c r="BW9" s="251"/>
      <c r="BX9" s="251"/>
      <c r="BY9" s="251"/>
      <c r="BZ9" s="251"/>
      <c r="CA9" s="251"/>
      <c r="CB9" s="251"/>
    </row>
    <row r="10" spans="3:80" ht="18" customHeight="1" thickBot="1">
      <c r="C10" s="404"/>
      <c r="D10" s="407"/>
      <c r="E10" s="300">
        <v>4</v>
      </c>
      <c r="F10" s="388" t="s">
        <v>666</v>
      </c>
      <c r="G10" s="388"/>
      <c r="H10" s="388"/>
      <c r="I10" s="388"/>
      <c r="J10" s="388"/>
      <c r="K10" s="388"/>
      <c r="L10" s="413"/>
      <c r="M10" s="414"/>
      <c r="N10" s="301" t="b">
        <v>0</v>
      </c>
      <c r="O10" s="395" t="s">
        <v>667</v>
      </c>
      <c r="P10" s="396"/>
      <c r="Q10" s="396"/>
      <c r="R10" s="396"/>
      <c r="S10" s="396"/>
      <c r="T10" s="396"/>
      <c r="U10" s="396"/>
      <c r="W10" s="307"/>
      <c r="X10" s="308"/>
      <c r="Y10" s="309"/>
      <c r="AE10" s="421"/>
      <c r="AF10" s="390" t="s">
        <v>668</v>
      </c>
      <c r="AG10" s="391"/>
      <c r="AH10" s="391"/>
      <c r="AI10" s="391"/>
      <c r="AJ10" s="391"/>
      <c r="AL10" s="363"/>
      <c r="AM10" s="254" t="s">
        <v>669</v>
      </c>
      <c r="AN10" s="255">
        <f>AJ22</f>
        <v>0</v>
      </c>
      <c r="AP10" s="256"/>
      <c r="AQ10" s="257"/>
      <c r="AR10" s="257"/>
      <c r="AS10" s="258"/>
      <c r="AT10" s="259"/>
      <c r="AU10" s="260"/>
      <c r="AV10" s="260"/>
      <c r="AW10" s="261"/>
      <c r="AX10" s="256"/>
      <c r="AY10" s="257"/>
      <c r="AZ10" s="257"/>
      <c r="BA10" s="258"/>
      <c r="BB10" s="259"/>
      <c r="BC10" s="261"/>
      <c r="BI10" s="277"/>
      <c r="BJ10" s="397"/>
      <c r="BK10" s="398"/>
      <c r="BL10" s="398"/>
      <c r="BM10" s="398"/>
      <c r="BN10" s="398"/>
      <c r="BO10" s="398"/>
      <c r="BP10" s="398"/>
      <c r="BQ10" s="398"/>
      <c r="BR10" s="399"/>
    </row>
    <row r="11" spans="3:80" ht="17.25" customHeight="1">
      <c r="C11" s="404"/>
      <c r="D11" s="407"/>
      <c r="E11" s="423">
        <v>5</v>
      </c>
      <c r="F11" s="426" t="s">
        <v>670</v>
      </c>
      <c r="G11" s="426"/>
      <c r="H11" s="426"/>
      <c r="I11" s="426"/>
      <c r="J11" s="426"/>
      <c r="K11" s="426"/>
      <c r="L11" s="413"/>
      <c r="M11" s="414"/>
      <c r="N11" s="423" t="b">
        <v>0</v>
      </c>
      <c r="O11" s="395" t="s">
        <v>671</v>
      </c>
      <c r="P11" s="396"/>
      <c r="Q11" s="396"/>
      <c r="R11" s="396"/>
      <c r="S11" s="396"/>
      <c r="T11" s="396"/>
      <c r="U11" s="396"/>
      <c r="W11" s="427" t="s">
        <v>656</v>
      </c>
      <c r="X11" s="274" t="s">
        <v>657</v>
      </c>
      <c r="Y11" s="275">
        <f>AN7</f>
        <v>0</v>
      </c>
      <c r="AE11" s="421"/>
      <c r="AF11" s="390" t="s">
        <v>672</v>
      </c>
      <c r="AG11" s="391"/>
      <c r="AH11" s="391"/>
      <c r="AI11" s="391"/>
      <c r="AJ11" s="391"/>
      <c r="AP11" s="310"/>
      <c r="AQ11" s="310"/>
      <c r="AR11" s="310"/>
      <c r="AS11" s="310"/>
      <c r="AT11" s="310"/>
      <c r="AU11" s="310"/>
      <c r="AV11" s="310"/>
      <c r="AW11" s="310"/>
      <c r="AX11" s="310"/>
      <c r="AY11" s="310"/>
      <c r="AZ11" s="310"/>
      <c r="BA11" s="310"/>
      <c r="BB11" s="310"/>
      <c r="BC11" s="310"/>
      <c r="BI11" s="311"/>
      <c r="BJ11" s="400"/>
      <c r="BK11" s="401"/>
      <c r="BL11" s="401"/>
      <c r="BM11" s="401"/>
      <c r="BN11" s="401"/>
      <c r="BO11" s="401"/>
      <c r="BP11" s="401"/>
      <c r="BQ11" s="401"/>
      <c r="BR11" s="402"/>
    </row>
    <row r="12" spans="3:80" ht="17.25" customHeight="1">
      <c r="C12" s="404"/>
      <c r="D12" s="407"/>
      <c r="E12" s="424"/>
      <c r="F12" s="426"/>
      <c r="G12" s="426"/>
      <c r="H12" s="426"/>
      <c r="I12" s="426"/>
      <c r="J12" s="426"/>
      <c r="K12" s="426"/>
      <c r="L12" s="413"/>
      <c r="M12" s="414"/>
      <c r="N12" s="424"/>
      <c r="O12" s="395" t="s">
        <v>673</v>
      </c>
      <c r="P12" s="396"/>
      <c r="Q12" s="396"/>
      <c r="R12" s="396"/>
      <c r="S12" s="396"/>
      <c r="T12" s="396"/>
      <c r="U12" s="396"/>
      <c r="W12" s="428"/>
      <c r="X12" s="282" t="s">
        <v>661</v>
      </c>
      <c r="Y12" s="283">
        <f t="shared" ref="Y12:Y14" si="1">AN8</f>
        <v>0</v>
      </c>
      <c r="AE12" s="421"/>
      <c r="AF12" s="390" t="s">
        <v>674</v>
      </c>
      <c r="AG12" s="391"/>
      <c r="AH12" s="391"/>
      <c r="AI12" s="391"/>
      <c r="AJ12" s="391"/>
      <c r="AP12" s="256"/>
      <c r="AQ12" s="257"/>
      <c r="AR12" s="257"/>
      <c r="AS12" s="258"/>
      <c r="AT12" s="259"/>
      <c r="AU12" s="260"/>
      <c r="AV12" s="260"/>
      <c r="AW12" s="260"/>
      <c r="AX12" s="260"/>
      <c r="AY12" s="260"/>
      <c r="AZ12" s="260"/>
      <c r="BA12" s="260"/>
      <c r="BB12" s="260"/>
      <c r="BC12" s="261"/>
    </row>
    <row r="13" spans="3:80" ht="17.25" customHeight="1">
      <c r="C13" s="404"/>
      <c r="D13" s="407"/>
      <c r="E13" s="424"/>
      <c r="F13" s="426"/>
      <c r="G13" s="426"/>
      <c r="H13" s="426"/>
      <c r="I13" s="426"/>
      <c r="J13" s="426"/>
      <c r="K13" s="426"/>
      <c r="L13" s="413"/>
      <c r="M13" s="414"/>
      <c r="N13" s="424"/>
      <c r="O13" s="395" t="s">
        <v>675</v>
      </c>
      <c r="P13" s="396"/>
      <c r="Q13" s="396"/>
      <c r="R13" s="396"/>
      <c r="S13" s="396"/>
      <c r="T13" s="396"/>
      <c r="U13" s="396"/>
      <c r="W13" s="428"/>
      <c r="X13" s="282" t="s">
        <v>665</v>
      </c>
      <c r="Y13" s="283">
        <f t="shared" si="1"/>
        <v>0</v>
      </c>
      <c r="AE13" s="421"/>
      <c r="AF13" s="390" t="s">
        <v>676</v>
      </c>
      <c r="AG13" s="391"/>
      <c r="AH13" s="391"/>
      <c r="AI13" s="391"/>
      <c r="AJ13" s="391"/>
      <c r="AP13" s="256"/>
      <c r="AQ13" s="257"/>
      <c r="AR13" s="257"/>
      <c r="AS13" s="258"/>
      <c r="AT13" s="259"/>
      <c r="AU13" s="260"/>
      <c r="AV13" s="260"/>
      <c r="AW13" s="260"/>
      <c r="AX13" s="260"/>
      <c r="AY13" s="260"/>
      <c r="AZ13" s="260"/>
      <c r="BA13" s="260"/>
      <c r="BB13" s="260"/>
      <c r="BC13" s="261"/>
    </row>
    <row r="14" spans="3:80" ht="17.25" customHeight="1" thickBot="1">
      <c r="C14" s="404"/>
      <c r="D14" s="407"/>
      <c r="E14" s="425"/>
      <c r="F14" s="426"/>
      <c r="G14" s="426"/>
      <c r="H14" s="426"/>
      <c r="I14" s="426"/>
      <c r="J14" s="426"/>
      <c r="K14" s="426"/>
      <c r="L14" s="415"/>
      <c r="M14" s="416"/>
      <c r="N14" s="425"/>
      <c r="O14" s="395" t="s">
        <v>677</v>
      </c>
      <c r="P14" s="396"/>
      <c r="Q14" s="396"/>
      <c r="R14" s="396"/>
      <c r="S14" s="396"/>
      <c r="T14" s="396"/>
      <c r="U14" s="396"/>
      <c r="W14" s="429"/>
      <c r="X14" s="303" t="s">
        <v>669</v>
      </c>
      <c r="Y14" s="304">
        <f t="shared" si="1"/>
        <v>0</v>
      </c>
      <c r="AE14" s="370"/>
      <c r="AF14" s="362" t="s">
        <v>678</v>
      </c>
      <c r="AG14" s="430"/>
      <c r="AH14" s="430"/>
      <c r="AI14" s="430"/>
      <c r="AJ14" s="430"/>
      <c r="AP14" s="256"/>
      <c r="AQ14" s="257"/>
      <c r="AR14" s="257"/>
      <c r="AS14" s="258"/>
      <c r="AT14" s="259"/>
      <c r="AU14" s="260"/>
      <c r="AV14" s="260"/>
      <c r="AW14" s="260"/>
      <c r="AX14" s="260"/>
      <c r="AY14" s="260"/>
      <c r="AZ14" s="260"/>
      <c r="BA14" s="260"/>
      <c r="BB14" s="260"/>
      <c r="BC14" s="261"/>
    </row>
    <row r="15" spans="3:80" ht="17.25" customHeight="1" thickBot="1">
      <c r="C15" s="404"/>
      <c r="D15" s="407"/>
      <c r="E15" s="300">
        <v>6</v>
      </c>
      <c r="F15" s="388" t="s">
        <v>679</v>
      </c>
      <c r="G15" s="388"/>
      <c r="H15" s="388"/>
      <c r="I15" s="388"/>
      <c r="J15" s="388"/>
      <c r="K15" s="388"/>
      <c r="L15" s="431" t="s">
        <v>680</v>
      </c>
      <c r="M15" s="432"/>
      <c r="N15" s="301" t="b">
        <v>0</v>
      </c>
      <c r="O15" s="395"/>
      <c r="P15" s="396"/>
      <c r="Q15" s="396"/>
      <c r="R15" s="396"/>
      <c r="S15" s="396"/>
      <c r="T15" s="396"/>
      <c r="U15" s="396"/>
      <c r="W15" s="307"/>
      <c r="X15" s="308"/>
      <c r="Y15" s="309"/>
      <c r="AE15" s="267" t="s">
        <v>681</v>
      </c>
      <c r="AF15" s="437" t="s">
        <v>682</v>
      </c>
      <c r="AG15" s="438"/>
      <c r="AH15" s="438"/>
      <c r="AI15" s="438"/>
      <c r="AJ15" s="438"/>
      <c r="AP15" s="256"/>
      <c r="AQ15" s="257"/>
      <c r="AR15" s="257"/>
      <c r="AS15" s="258"/>
      <c r="AT15" s="259"/>
      <c r="AU15" s="260"/>
      <c r="AV15" s="260"/>
      <c r="AW15" s="260"/>
      <c r="AX15" s="260"/>
      <c r="AY15" s="260"/>
      <c r="AZ15" s="260"/>
      <c r="BA15" s="260"/>
      <c r="BB15" s="260"/>
      <c r="BC15" s="261"/>
    </row>
    <row r="16" spans="3:80" ht="17.25" customHeight="1">
      <c r="C16" s="404"/>
      <c r="D16" s="407"/>
      <c r="E16" s="300">
        <v>7</v>
      </c>
      <c r="F16" s="388" t="s">
        <v>683</v>
      </c>
      <c r="G16" s="388"/>
      <c r="H16" s="388"/>
      <c r="I16" s="388"/>
      <c r="J16" s="388"/>
      <c r="K16" s="388"/>
      <c r="L16" s="433"/>
      <c r="M16" s="434"/>
      <c r="N16" s="301" t="b">
        <v>0</v>
      </c>
      <c r="O16" s="395"/>
      <c r="P16" s="396"/>
      <c r="Q16" s="396"/>
      <c r="R16" s="396"/>
      <c r="S16" s="396"/>
      <c r="T16" s="396"/>
      <c r="U16" s="396"/>
      <c r="W16" s="427" t="s">
        <v>616</v>
      </c>
      <c r="X16" s="274" t="s">
        <v>617</v>
      </c>
      <c r="Y16" s="275" t="e">
        <f>#REF!</f>
        <v>#REF!</v>
      </c>
      <c r="AE16" s="272" t="s">
        <v>684</v>
      </c>
      <c r="AF16" s="439"/>
      <c r="AG16" s="440"/>
      <c r="AH16" s="440"/>
      <c r="AI16" s="440"/>
      <c r="AJ16" s="440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</row>
    <row r="17" spans="3:55" ht="17.25" customHeight="1">
      <c r="C17" s="404"/>
      <c r="D17" s="407"/>
      <c r="E17" s="300">
        <v>8</v>
      </c>
      <c r="F17" s="388" t="s">
        <v>685</v>
      </c>
      <c r="G17" s="388"/>
      <c r="H17" s="388"/>
      <c r="I17" s="388"/>
      <c r="J17" s="388"/>
      <c r="K17" s="388"/>
      <c r="L17" s="433"/>
      <c r="M17" s="434"/>
      <c r="N17" s="301" t="b">
        <v>0</v>
      </c>
      <c r="O17" s="395"/>
      <c r="P17" s="396"/>
      <c r="Q17" s="396"/>
      <c r="R17" s="396"/>
      <c r="S17" s="396"/>
      <c r="T17" s="396"/>
      <c r="U17" s="396"/>
      <c r="W17" s="428"/>
      <c r="X17" s="282" t="s">
        <v>263</v>
      </c>
      <c r="Y17" s="283">
        <f t="shared" ref="Y17:Y21" si="2">BG2</f>
        <v>0</v>
      </c>
      <c r="AE17" s="267" t="s">
        <v>686</v>
      </c>
      <c r="AF17" s="312" t="s">
        <v>687</v>
      </c>
      <c r="AG17" s="359" t="s">
        <v>688</v>
      </c>
      <c r="AH17" s="385"/>
      <c r="AI17" s="359" t="s">
        <v>689</v>
      </c>
      <c r="AJ17" s="360"/>
      <c r="AP17" s="313"/>
      <c r="AQ17" s="314"/>
      <c r="AR17" s="315"/>
      <c r="AS17" s="314"/>
      <c r="AT17" s="315"/>
      <c r="AU17" s="314"/>
      <c r="AV17" s="315"/>
      <c r="AW17" s="314"/>
      <c r="AX17" s="316"/>
      <c r="AY17" s="316"/>
      <c r="AZ17" s="315"/>
      <c r="BA17" s="314"/>
      <c r="BB17" s="315"/>
      <c r="BC17" s="313"/>
    </row>
    <row r="18" spans="3:55" ht="17.25" customHeight="1">
      <c r="C18" s="404"/>
      <c r="D18" s="407"/>
      <c r="E18" s="300">
        <v>9</v>
      </c>
      <c r="F18" s="388" t="s">
        <v>690</v>
      </c>
      <c r="G18" s="388"/>
      <c r="H18" s="388"/>
      <c r="I18" s="388"/>
      <c r="J18" s="388"/>
      <c r="K18" s="388"/>
      <c r="L18" s="433"/>
      <c r="M18" s="434"/>
      <c r="N18" s="301" t="b">
        <v>0</v>
      </c>
      <c r="O18" s="395"/>
      <c r="P18" s="396"/>
      <c r="Q18" s="396"/>
      <c r="R18" s="396"/>
      <c r="S18" s="396"/>
      <c r="T18" s="396"/>
      <c r="U18" s="396"/>
      <c r="W18" s="428"/>
      <c r="X18" s="282" t="s">
        <v>691</v>
      </c>
      <c r="Y18" s="283">
        <f t="shared" si="2"/>
        <v>0</v>
      </c>
      <c r="AE18" s="305" t="s">
        <v>692</v>
      </c>
      <c r="AF18" s="317"/>
      <c r="AG18" s="441"/>
      <c r="AH18" s="442"/>
      <c r="AI18" s="441"/>
      <c r="AJ18" s="443"/>
      <c r="AP18" s="318"/>
      <c r="AQ18" s="319"/>
      <c r="AR18" s="320"/>
      <c r="AS18" s="259"/>
      <c r="AT18" s="261"/>
      <c r="AU18" s="259"/>
      <c r="AV18" s="261"/>
      <c r="AW18" s="259"/>
      <c r="AX18" s="260"/>
      <c r="AY18" s="260"/>
      <c r="AZ18" s="261"/>
      <c r="BA18" s="259"/>
      <c r="BB18" s="261"/>
      <c r="BC18" s="321"/>
    </row>
    <row r="19" spans="3:55" ht="17.25" customHeight="1">
      <c r="C19" s="404"/>
      <c r="D19" s="407"/>
      <c r="E19" s="300">
        <v>10</v>
      </c>
      <c r="F19" s="388" t="s">
        <v>693</v>
      </c>
      <c r="G19" s="388"/>
      <c r="H19" s="388"/>
      <c r="I19" s="388"/>
      <c r="J19" s="388"/>
      <c r="K19" s="388"/>
      <c r="L19" s="433"/>
      <c r="M19" s="434"/>
      <c r="N19" s="301" t="b">
        <v>0</v>
      </c>
      <c r="O19" s="395" t="s">
        <v>694</v>
      </c>
      <c r="P19" s="396"/>
      <c r="Q19" s="396"/>
      <c r="R19" s="396"/>
      <c r="S19" s="396"/>
      <c r="T19" s="396"/>
      <c r="U19" s="396"/>
      <c r="W19" s="428"/>
      <c r="X19" s="282" t="s">
        <v>630</v>
      </c>
      <c r="Y19" s="283">
        <f t="shared" si="2"/>
        <v>0</v>
      </c>
      <c r="AE19" s="322"/>
      <c r="AF19" s="317"/>
      <c r="AG19" s="441"/>
      <c r="AH19" s="442"/>
      <c r="AI19" s="441"/>
      <c r="AJ19" s="443"/>
      <c r="AP19" s="323"/>
      <c r="AQ19" s="324"/>
      <c r="AR19" s="325"/>
      <c r="AS19" s="326"/>
      <c r="AT19" s="327"/>
      <c r="AU19" s="328"/>
      <c r="AV19" s="329"/>
      <c r="AW19" s="326"/>
      <c r="AX19" s="327"/>
      <c r="AY19" s="326"/>
      <c r="AZ19" s="327"/>
      <c r="BA19" s="326"/>
      <c r="BB19" s="327"/>
      <c r="BC19" s="330"/>
    </row>
    <row r="20" spans="3:55" ht="17.25" customHeight="1">
      <c r="C20" s="404"/>
      <c r="D20" s="407"/>
      <c r="E20" s="300">
        <v>11</v>
      </c>
      <c r="F20" s="388" t="s">
        <v>695</v>
      </c>
      <c r="G20" s="388"/>
      <c r="H20" s="388"/>
      <c r="I20" s="388"/>
      <c r="J20" s="388"/>
      <c r="K20" s="388"/>
      <c r="L20" s="435"/>
      <c r="M20" s="436"/>
      <c r="N20" s="301" t="b">
        <v>0</v>
      </c>
      <c r="O20" s="395"/>
      <c r="P20" s="396"/>
      <c r="Q20" s="396"/>
      <c r="R20" s="396"/>
      <c r="S20" s="396"/>
      <c r="T20" s="396"/>
      <c r="U20" s="396"/>
      <c r="W20" s="428"/>
      <c r="X20" s="282" t="s">
        <v>637</v>
      </c>
      <c r="Y20" s="283">
        <f t="shared" si="2"/>
        <v>0</v>
      </c>
      <c r="AE20" s="444" t="s">
        <v>696</v>
      </c>
      <c r="AF20" s="444"/>
      <c r="AG20" s="444"/>
      <c r="AH20" s="444"/>
      <c r="AI20" s="444"/>
      <c r="AJ20" s="444"/>
      <c r="AP20" s="331"/>
      <c r="AQ20" s="332"/>
      <c r="AR20" s="333"/>
      <c r="AS20" s="334"/>
      <c r="AT20" s="335"/>
      <c r="AU20" s="336"/>
      <c r="AV20" s="337"/>
      <c r="AW20" s="334"/>
      <c r="AX20" s="335"/>
      <c r="AY20" s="334"/>
      <c r="AZ20" s="335"/>
      <c r="BA20" s="334"/>
      <c r="BB20" s="335"/>
      <c r="BC20" s="338"/>
    </row>
    <row r="21" spans="3:55" ht="17.25" customHeight="1" thickBot="1">
      <c r="C21" s="404"/>
      <c r="D21" s="407"/>
      <c r="E21" s="352">
        <v>12</v>
      </c>
      <c r="F21" s="445" t="s">
        <v>752</v>
      </c>
      <c r="G21" s="445"/>
      <c r="H21" s="445"/>
      <c r="I21" s="445"/>
      <c r="J21" s="445"/>
      <c r="K21" s="445"/>
      <c r="L21" s="446" t="s">
        <v>753</v>
      </c>
      <c r="M21" s="447"/>
      <c r="N21" s="353" t="b">
        <v>0</v>
      </c>
      <c r="O21" s="450"/>
      <c r="P21" s="450"/>
      <c r="Q21" s="450"/>
      <c r="R21" s="450"/>
      <c r="S21" s="450"/>
      <c r="T21" s="450"/>
      <c r="U21" s="450"/>
      <c r="W21" s="429"/>
      <c r="X21" s="303" t="s">
        <v>619</v>
      </c>
      <c r="Y21" s="304">
        <f t="shared" si="2"/>
        <v>0</v>
      </c>
      <c r="AE21" s="252" t="s">
        <v>697</v>
      </c>
      <c r="AF21" s="359"/>
      <c r="AG21" s="385"/>
      <c r="AH21" s="359" t="s">
        <v>698</v>
      </c>
      <c r="AI21" s="385"/>
      <c r="AJ21" s="253"/>
      <c r="AP21" s="331"/>
      <c r="AQ21" s="324"/>
      <c r="AR21" s="325"/>
      <c r="AS21" s="326"/>
      <c r="AT21" s="327"/>
      <c r="AU21" s="326"/>
      <c r="AV21" s="327"/>
      <c r="AW21" s="326"/>
      <c r="AX21" s="339"/>
      <c r="AY21" s="339"/>
      <c r="AZ21" s="327"/>
      <c r="BA21" s="326"/>
      <c r="BB21" s="327"/>
      <c r="BC21" s="330"/>
    </row>
    <row r="22" spans="3:55" ht="19.5" customHeight="1" thickBot="1">
      <c r="C22" s="404"/>
      <c r="D22" s="407"/>
      <c r="E22" s="352">
        <v>13</v>
      </c>
      <c r="F22" s="445" t="s">
        <v>754</v>
      </c>
      <c r="G22" s="445"/>
      <c r="H22" s="445"/>
      <c r="I22" s="445"/>
      <c r="J22" s="445"/>
      <c r="K22" s="445"/>
      <c r="L22" s="448"/>
      <c r="M22" s="449"/>
      <c r="N22" s="353" t="b">
        <v>0</v>
      </c>
      <c r="O22" s="450"/>
      <c r="P22" s="450"/>
      <c r="Q22" s="450"/>
      <c r="R22" s="450"/>
      <c r="S22" s="450"/>
      <c r="T22" s="450"/>
      <c r="U22" s="450"/>
      <c r="W22" s="307"/>
      <c r="X22" s="308"/>
      <c r="Y22" s="309"/>
      <c r="AE22" s="252" t="s">
        <v>699</v>
      </c>
      <c r="AF22" s="359"/>
      <c r="AG22" s="385"/>
      <c r="AH22" s="359" t="s">
        <v>700</v>
      </c>
      <c r="AI22" s="385"/>
      <c r="AJ22" s="340"/>
      <c r="AP22" s="331"/>
      <c r="AQ22" s="332"/>
      <c r="AR22" s="333"/>
      <c r="AS22" s="334"/>
      <c r="AT22" s="335"/>
      <c r="AU22" s="334"/>
      <c r="AV22" s="335"/>
      <c r="AW22" s="334"/>
      <c r="AX22" s="341"/>
      <c r="AY22" s="341"/>
      <c r="AZ22" s="335"/>
      <c r="BA22" s="334"/>
      <c r="BB22" s="335"/>
      <c r="BC22" s="338"/>
    </row>
    <row r="23" spans="3:55" ht="33.75" customHeight="1">
      <c r="C23" s="404"/>
      <c r="D23" s="407"/>
      <c r="E23" s="300">
        <v>14</v>
      </c>
      <c r="F23" s="388" t="s">
        <v>701</v>
      </c>
      <c r="G23" s="388"/>
      <c r="H23" s="388"/>
      <c r="I23" s="388"/>
      <c r="J23" s="388"/>
      <c r="K23" s="388"/>
      <c r="L23" s="451" t="s">
        <v>702</v>
      </c>
      <c r="M23" s="452"/>
      <c r="N23" s="301" t="b">
        <v>0</v>
      </c>
      <c r="O23" s="395"/>
      <c r="P23" s="396"/>
      <c r="Q23" s="396"/>
      <c r="R23" s="396"/>
      <c r="S23" s="396"/>
      <c r="T23" s="396"/>
      <c r="U23" s="396"/>
      <c r="W23" s="427" t="s">
        <v>618</v>
      </c>
      <c r="X23" s="274" t="s">
        <v>619</v>
      </c>
      <c r="Y23" s="275" t="e">
        <f>#REF!</f>
        <v>#REF!</v>
      </c>
      <c r="AP23" s="342"/>
      <c r="AQ23" s="319"/>
      <c r="AR23" s="320"/>
      <c r="AS23" s="259"/>
      <c r="AT23" s="261"/>
      <c r="AU23" s="259"/>
      <c r="AV23" s="261"/>
      <c r="AW23" s="259"/>
      <c r="AX23" s="260"/>
      <c r="AY23" s="260"/>
      <c r="AZ23" s="261"/>
      <c r="BA23" s="259"/>
      <c r="BB23" s="261"/>
      <c r="BC23" s="343"/>
    </row>
    <row r="24" spans="3:55" ht="17.25" customHeight="1">
      <c r="C24" s="404"/>
      <c r="D24" s="407" t="s">
        <v>703</v>
      </c>
      <c r="E24" s="300">
        <v>15</v>
      </c>
      <c r="F24" s="388" t="s">
        <v>704</v>
      </c>
      <c r="G24" s="388"/>
      <c r="H24" s="388"/>
      <c r="I24" s="388"/>
      <c r="J24" s="388"/>
      <c r="K24" s="388"/>
      <c r="L24" s="453" t="s">
        <v>705</v>
      </c>
      <c r="M24" s="454"/>
      <c r="N24" s="301" t="b">
        <v>0</v>
      </c>
      <c r="O24" s="389"/>
      <c r="P24" s="396"/>
      <c r="Q24" s="396"/>
      <c r="R24" s="396"/>
      <c r="S24" s="396"/>
      <c r="T24" s="396"/>
      <c r="U24" s="396"/>
      <c r="W24" s="428"/>
      <c r="X24" s="282" t="s">
        <v>621</v>
      </c>
      <c r="Y24" s="283" t="e">
        <f t="shared" ref="Y24:Y28" si="3">BV2</f>
        <v>#REF!</v>
      </c>
      <c r="AP24" s="318"/>
      <c r="AQ24" s="319"/>
      <c r="AR24" s="320"/>
      <c r="AS24" s="259"/>
      <c r="AT24" s="261"/>
      <c r="AU24" s="259"/>
      <c r="AV24" s="261"/>
      <c r="AW24" s="259"/>
      <c r="AX24" s="260"/>
      <c r="AY24" s="260"/>
      <c r="AZ24" s="261"/>
      <c r="BA24" s="259"/>
      <c r="BB24" s="261"/>
      <c r="BC24" s="321"/>
    </row>
    <row r="25" spans="3:55" ht="17.25" customHeight="1">
      <c r="C25" s="404"/>
      <c r="D25" s="407"/>
      <c r="E25" s="300">
        <v>16</v>
      </c>
      <c r="F25" s="388" t="s">
        <v>706</v>
      </c>
      <c r="G25" s="388"/>
      <c r="H25" s="388"/>
      <c r="I25" s="388"/>
      <c r="J25" s="388"/>
      <c r="K25" s="388"/>
      <c r="L25" s="415"/>
      <c r="M25" s="416"/>
      <c r="N25" s="301" t="b">
        <v>0</v>
      </c>
      <c r="O25" s="389"/>
      <c r="P25" s="396"/>
      <c r="Q25" s="396"/>
      <c r="R25" s="396"/>
      <c r="S25" s="396"/>
      <c r="T25" s="396"/>
      <c r="U25" s="396"/>
      <c r="W25" s="428"/>
      <c r="X25" s="282" t="s">
        <v>626</v>
      </c>
      <c r="Y25" s="283" t="e">
        <f t="shared" si="3"/>
        <v>#REF!</v>
      </c>
      <c r="AP25" s="323"/>
      <c r="AQ25" s="324"/>
      <c r="AR25" s="325"/>
      <c r="AS25" s="326"/>
      <c r="AT25" s="327"/>
      <c r="AU25" s="326"/>
      <c r="AV25" s="327"/>
      <c r="AW25" s="326"/>
      <c r="AX25" s="339"/>
      <c r="AY25" s="339"/>
      <c r="AZ25" s="327"/>
      <c r="BA25" s="326"/>
      <c r="BB25" s="327"/>
      <c r="BC25" s="344"/>
    </row>
    <row r="26" spans="3:55" ht="35.25" customHeight="1">
      <c r="C26" s="404"/>
      <c r="D26" s="407" t="s">
        <v>707</v>
      </c>
      <c r="E26" s="423">
        <v>17</v>
      </c>
      <c r="F26" s="456" t="s">
        <v>708</v>
      </c>
      <c r="G26" s="456"/>
      <c r="H26" s="456"/>
      <c r="I26" s="456"/>
      <c r="J26" s="456"/>
      <c r="K26" s="456"/>
      <c r="L26" s="453" t="s">
        <v>709</v>
      </c>
      <c r="M26" s="454"/>
      <c r="N26" s="301" t="b">
        <v>0</v>
      </c>
      <c r="O26" s="395" t="s">
        <v>710</v>
      </c>
      <c r="P26" s="457"/>
      <c r="Q26" s="457"/>
      <c r="R26" s="457"/>
      <c r="S26" s="457"/>
      <c r="T26" s="457"/>
      <c r="U26" s="457"/>
      <c r="W26" s="428"/>
      <c r="X26" s="282" t="s">
        <v>631</v>
      </c>
      <c r="Y26" s="283" t="str">
        <f t="shared" si="3"/>
        <v>2024. 11. 18 ~ 2025. 01. 10</v>
      </c>
      <c r="AP26" s="331"/>
      <c r="AQ26" s="332"/>
      <c r="AR26" s="333"/>
      <c r="AS26" s="334"/>
      <c r="AT26" s="335"/>
      <c r="AU26" s="334"/>
      <c r="AV26" s="335"/>
      <c r="AW26" s="334"/>
      <c r="AX26" s="341"/>
      <c r="AY26" s="341"/>
      <c r="AZ26" s="335"/>
      <c r="BA26" s="334"/>
      <c r="BB26" s="335"/>
      <c r="BC26" s="345"/>
    </row>
    <row r="27" spans="3:55" ht="17.25" customHeight="1">
      <c r="C27" s="404"/>
      <c r="D27" s="455"/>
      <c r="E27" s="424"/>
      <c r="F27" s="456"/>
      <c r="G27" s="456"/>
      <c r="H27" s="456"/>
      <c r="I27" s="456"/>
      <c r="J27" s="456"/>
      <c r="K27" s="456"/>
      <c r="L27" s="413"/>
      <c r="M27" s="414"/>
      <c r="N27" s="301" t="b">
        <v>0</v>
      </c>
      <c r="O27" s="395" t="s">
        <v>711</v>
      </c>
      <c r="P27" s="457"/>
      <c r="Q27" s="457"/>
      <c r="R27" s="457"/>
      <c r="S27" s="457"/>
      <c r="T27" s="457"/>
      <c r="U27" s="457"/>
      <c r="W27" s="428"/>
      <c r="X27" s="282" t="s">
        <v>638</v>
      </c>
      <c r="Y27" s="283">
        <f t="shared" si="3"/>
        <v>0</v>
      </c>
      <c r="AP27" s="331"/>
      <c r="AQ27" s="324"/>
      <c r="AR27" s="325"/>
      <c r="AS27" s="326"/>
      <c r="AT27" s="327"/>
      <c r="AU27" s="326"/>
      <c r="AV27" s="327"/>
      <c r="AW27" s="326"/>
      <c r="AX27" s="339"/>
      <c r="AY27" s="339"/>
      <c r="AZ27" s="327"/>
      <c r="BA27" s="326"/>
      <c r="BB27" s="327"/>
      <c r="BC27" s="330"/>
    </row>
    <row r="28" spans="3:55" ht="16.5" customHeight="1" thickBot="1">
      <c r="C28" s="404"/>
      <c r="D28" s="455"/>
      <c r="E28" s="425"/>
      <c r="F28" s="456"/>
      <c r="G28" s="456"/>
      <c r="H28" s="456"/>
      <c r="I28" s="456"/>
      <c r="J28" s="456"/>
      <c r="K28" s="456"/>
      <c r="L28" s="413"/>
      <c r="M28" s="414"/>
      <c r="N28" s="301" t="b">
        <v>0</v>
      </c>
      <c r="O28" s="395" t="s">
        <v>712</v>
      </c>
      <c r="P28" s="457"/>
      <c r="Q28" s="457"/>
      <c r="R28" s="457"/>
      <c r="S28" s="457"/>
      <c r="T28" s="457"/>
      <c r="U28" s="457"/>
      <c r="W28" s="429"/>
      <c r="X28" s="303" t="s">
        <v>649</v>
      </c>
      <c r="Y28" s="304">
        <f t="shared" si="3"/>
        <v>0</v>
      </c>
      <c r="AP28" s="331"/>
      <c r="AQ28" s="332"/>
      <c r="AR28" s="333"/>
      <c r="AS28" s="334"/>
      <c r="AT28" s="335"/>
      <c r="AU28" s="334"/>
      <c r="AV28" s="335"/>
      <c r="AW28" s="334"/>
      <c r="AX28" s="341"/>
      <c r="AY28" s="341"/>
      <c r="AZ28" s="335"/>
      <c r="BA28" s="334"/>
      <c r="BB28" s="335"/>
      <c r="BC28" s="338"/>
    </row>
    <row r="29" spans="3:55" ht="17.25" customHeight="1">
      <c r="C29" s="404"/>
      <c r="D29" s="455"/>
      <c r="E29" s="300">
        <v>18</v>
      </c>
      <c r="F29" s="388" t="s">
        <v>713</v>
      </c>
      <c r="G29" s="388"/>
      <c r="H29" s="388"/>
      <c r="I29" s="388"/>
      <c r="J29" s="388"/>
      <c r="K29" s="388"/>
      <c r="L29" s="413"/>
      <c r="M29" s="414"/>
      <c r="N29" s="301" t="b">
        <v>0</v>
      </c>
      <c r="O29" s="389"/>
      <c r="P29" s="396"/>
      <c r="Q29" s="396"/>
      <c r="R29" s="396"/>
      <c r="S29" s="396"/>
      <c r="T29" s="396"/>
      <c r="U29" s="396"/>
      <c r="AP29" s="342"/>
      <c r="AQ29" s="319"/>
      <c r="AR29" s="320"/>
      <c r="AS29" s="259"/>
      <c r="AT29" s="261"/>
      <c r="AU29" s="259"/>
      <c r="AV29" s="261"/>
      <c r="AW29" s="259"/>
      <c r="AX29" s="260"/>
      <c r="AY29" s="260"/>
      <c r="AZ29" s="261"/>
      <c r="BA29" s="259"/>
      <c r="BB29" s="261"/>
      <c r="BC29" s="321"/>
    </row>
    <row r="30" spans="3:55" ht="16.5" customHeight="1">
      <c r="C30" s="404"/>
      <c r="D30" s="455"/>
      <c r="E30" s="300">
        <v>19</v>
      </c>
      <c r="F30" s="388" t="s">
        <v>714</v>
      </c>
      <c r="G30" s="388"/>
      <c r="H30" s="388"/>
      <c r="I30" s="388"/>
      <c r="J30" s="388"/>
      <c r="K30" s="388"/>
      <c r="L30" s="413"/>
      <c r="M30" s="414"/>
      <c r="N30" s="301" t="b">
        <v>0</v>
      </c>
      <c r="O30" s="389"/>
      <c r="P30" s="396"/>
      <c r="Q30" s="396"/>
      <c r="R30" s="396"/>
      <c r="S30" s="396"/>
      <c r="T30" s="396"/>
      <c r="U30" s="396"/>
    </row>
    <row r="31" spans="3:55" ht="16.5" customHeight="1">
      <c r="C31" s="404"/>
      <c r="D31" s="455"/>
      <c r="E31" s="300">
        <v>20</v>
      </c>
      <c r="F31" s="388" t="s">
        <v>715</v>
      </c>
      <c r="G31" s="388"/>
      <c r="H31" s="388"/>
      <c r="I31" s="388"/>
      <c r="J31" s="388"/>
      <c r="K31" s="388"/>
      <c r="L31" s="413"/>
      <c r="M31" s="414"/>
      <c r="N31" s="301" t="b">
        <v>0</v>
      </c>
      <c r="O31" s="389"/>
      <c r="P31" s="396"/>
      <c r="Q31" s="396"/>
      <c r="R31" s="396"/>
      <c r="S31" s="396"/>
      <c r="T31" s="396"/>
      <c r="U31" s="396"/>
    </row>
    <row r="32" spans="3:55" ht="16.5" customHeight="1">
      <c r="C32" s="404"/>
      <c r="D32" s="455"/>
      <c r="E32" s="300">
        <v>21</v>
      </c>
      <c r="F32" s="388" t="s">
        <v>716</v>
      </c>
      <c r="G32" s="388"/>
      <c r="H32" s="388"/>
      <c r="I32" s="388"/>
      <c r="J32" s="388"/>
      <c r="K32" s="388"/>
      <c r="L32" s="415"/>
      <c r="M32" s="416"/>
      <c r="N32" s="301" t="b">
        <v>0</v>
      </c>
      <c r="O32" s="389" t="s">
        <v>717</v>
      </c>
      <c r="P32" s="396"/>
      <c r="Q32" s="396"/>
      <c r="R32" s="396"/>
      <c r="S32" s="396"/>
      <c r="T32" s="396"/>
      <c r="U32" s="396"/>
    </row>
    <row r="33" spans="3:21" ht="16.5" customHeight="1">
      <c r="C33" s="404"/>
      <c r="D33" s="407" t="s">
        <v>718</v>
      </c>
      <c r="E33" s="346">
        <v>22</v>
      </c>
      <c r="F33" s="459" t="s">
        <v>719</v>
      </c>
      <c r="G33" s="459"/>
      <c r="H33" s="459"/>
      <c r="I33" s="459"/>
      <c r="J33" s="459"/>
      <c r="K33" s="459"/>
      <c r="L33" s="460" t="s">
        <v>720</v>
      </c>
      <c r="M33" s="460"/>
      <c r="N33" s="347" t="b">
        <v>0</v>
      </c>
      <c r="O33" s="461" t="s">
        <v>721</v>
      </c>
      <c r="P33" s="461"/>
      <c r="Q33" s="461"/>
      <c r="R33" s="461"/>
      <c r="S33" s="461"/>
      <c r="T33" s="461"/>
      <c r="U33" s="461"/>
    </row>
    <row r="34" spans="3:21" ht="16.5" customHeight="1">
      <c r="C34" s="404"/>
      <c r="D34" s="407"/>
      <c r="E34" s="300">
        <v>23</v>
      </c>
      <c r="F34" s="388" t="s">
        <v>722</v>
      </c>
      <c r="G34" s="388"/>
      <c r="H34" s="388"/>
      <c r="I34" s="388"/>
      <c r="J34" s="388"/>
      <c r="K34" s="388"/>
      <c r="L34" s="453" t="s">
        <v>723</v>
      </c>
      <c r="M34" s="454"/>
      <c r="N34" s="301" t="b">
        <v>1</v>
      </c>
      <c r="O34" s="395" t="s">
        <v>724</v>
      </c>
      <c r="P34" s="457"/>
      <c r="Q34" s="457"/>
      <c r="R34" s="457"/>
      <c r="S34" s="457"/>
      <c r="T34" s="457"/>
      <c r="U34" s="457"/>
    </row>
    <row r="35" spans="3:21" ht="40.5" customHeight="1">
      <c r="C35" s="404"/>
      <c r="D35" s="407"/>
      <c r="E35" s="300">
        <v>24</v>
      </c>
      <c r="F35" s="388" t="s">
        <v>725</v>
      </c>
      <c r="G35" s="388"/>
      <c r="H35" s="388"/>
      <c r="I35" s="388"/>
      <c r="J35" s="388"/>
      <c r="K35" s="388"/>
      <c r="L35" s="415"/>
      <c r="M35" s="416"/>
      <c r="N35" s="301" t="b">
        <v>0</v>
      </c>
      <c r="O35" s="389"/>
      <c r="P35" s="396"/>
      <c r="Q35" s="396"/>
      <c r="R35" s="396"/>
      <c r="S35" s="396"/>
      <c r="T35" s="396"/>
      <c r="U35" s="396"/>
    </row>
    <row r="36" spans="3:21" ht="17.25" customHeight="1">
      <c r="C36" s="404"/>
      <c r="D36" s="407"/>
      <c r="E36" s="300">
        <v>25</v>
      </c>
      <c r="F36" s="388" t="s">
        <v>726</v>
      </c>
      <c r="G36" s="388"/>
      <c r="H36" s="388"/>
      <c r="I36" s="388"/>
      <c r="J36" s="388"/>
      <c r="K36" s="388"/>
      <c r="L36" s="458" t="s">
        <v>727</v>
      </c>
      <c r="M36" s="458"/>
      <c r="N36" s="301" t="b">
        <v>0</v>
      </c>
      <c r="O36" s="389"/>
      <c r="P36" s="396"/>
      <c r="Q36" s="396"/>
      <c r="R36" s="396"/>
      <c r="S36" s="396"/>
      <c r="T36" s="396"/>
      <c r="U36" s="396"/>
    </row>
    <row r="37" spans="3:21" ht="16.5" customHeight="1">
      <c r="C37" s="404"/>
      <c r="D37" s="407"/>
      <c r="E37" s="300">
        <v>26</v>
      </c>
      <c r="F37" s="462" t="s">
        <v>728</v>
      </c>
      <c r="G37" s="463"/>
      <c r="H37" s="463"/>
      <c r="I37" s="463"/>
      <c r="J37" s="463"/>
      <c r="K37" s="464"/>
      <c r="L37" s="465" t="s">
        <v>729</v>
      </c>
      <c r="M37" s="466"/>
      <c r="N37" s="301" t="b">
        <v>0</v>
      </c>
      <c r="O37" s="389"/>
      <c r="P37" s="396"/>
      <c r="Q37" s="396"/>
      <c r="R37" s="396"/>
      <c r="S37" s="396"/>
      <c r="T37" s="396"/>
      <c r="U37" s="396"/>
    </row>
    <row r="38" spans="3:21" ht="16.5" customHeight="1">
      <c r="C38" s="404"/>
      <c r="D38" s="407"/>
      <c r="E38" s="300">
        <v>27</v>
      </c>
      <c r="F38" s="388" t="s">
        <v>730</v>
      </c>
      <c r="G38" s="388"/>
      <c r="H38" s="388"/>
      <c r="I38" s="388"/>
      <c r="J38" s="388"/>
      <c r="K38" s="388"/>
      <c r="L38" s="467"/>
      <c r="M38" s="468"/>
      <c r="N38" s="301" t="b">
        <v>0</v>
      </c>
      <c r="O38" s="389" t="s">
        <v>731</v>
      </c>
      <c r="P38" s="396"/>
      <c r="Q38" s="396"/>
      <c r="R38" s="396"/>
      <c r="S38" s="396"/>
      <c r="T38" s="396"/>
      <c r="U38" s="396"/>
    </row>
    <row r="39" spans="3:21" ht="16.5" customHeight="1">
      <c r="C39" s="404"/>
      <c r="D39" s="407" t="s">
        <v>732</v>
      </c>
      <c r="E39" s="346">
        <v>28</v>
      </c>
      <c r="F39" s="459" t="s">
        <v>733</v>
      </c>
      <c r="G39" s="459"/>
      <c r="H39" s="459"/>
      <c r="I39" s="459"/>
      <c r="J39" s="459"/>
      <c r="K39" s="459"/>
      <c r="L39" s="460" t="s">
        <v>734</v>
      </c>
      <c r="M39" s="460"/>
      <c r="N39" s="347" t="b">
        <v>0</v>
      </c>
      <c r="O39" s="461"/>
      <c r="P39" s="461"/>
      <c r="Q39" s="461"/>
      <c r="R39" s="461"/>
      <c r="S39" s="461"/>
      <c r="T39" s="461"/>
      <c r="U39" s="461"/>
    </row>
    <row r="40" spans="3:21" ht="16.5" customHeight="1">
      <c r="C40" s="404"/>
      <c r="D40" s="407"/>
      <c r="E40" s="300">
        <v>29</v>
      </c>
      <c r="F40" s="388" t="s">
        <v>735</v>
      </c>
      <c r="G40" s="388"/>
      <c r="H40" s="388"/>
      <c r="I40" s="388"/>
      <c r="J40" s="388"/>
      <c r="K40" s="388"/>
      <c r="L40" s="458" t="s">
        <v>736</v>
      </c>
      <c r="M40" s="458"/>
      <c r="N40" s="301" t="b">
        <v>0</v>
      </c>
      <c r="O40" s="389"/>
      <c r="P40" s="396"/>
      <c r="Q40" s="396"/>
      <c r="R40" s="396"/>
      <c r="S40" s="396"/>
      <c r="T40" s="396"/>
      <c r="U40" s="396"/>
    </row>
    <row r="41" spans="3:21" ht="16.5" customHeight="1">
      <c r="C41" s="404"/>
      <c r="D41" s="407"/>
      <c r="E41" s="348">
        <v>30</v>
      </c>
      <c r="F41" s="470" t="s">
        <v>737</v>
      </c>
      <c r="G41" s="470"/>
      <c r="H41" s="470"/>
      <c r="I41" s="470"/>
      <c r="J41" s="470"/>
      <c r="K41" s="470"/>
      <c r="L41" s="471" t="s">
        <v>738</v>
      </c>
      <c r="M41" s="472"/>
      <c r="N41" s="349" t="b">
        <v>0</v>
      </c>
      <c r="O41" s="469" t="s">
        <v>739</v>
      </c>
      <c r="P41" s="469"/>
      <c r="Q41" s="469"/>
      <c r="R41" s="469"/>
      <c r="S41" s="469"/>
      <c r="T41" s="469"/>
      <c r="U41" s="469"/>
    </row>
    <row r="42" spans="3:21" ht="16.5" customHeight="1">
      <c r="C42" s="404"/>
      <c r="D42" s="407"/>
      <c r="E42" s="348">
        <v>31</v>
      </c>
      <c r="F42" s="470" t="s">
        <v>740</v>
      </c>
      <c r="G42" s="470"/>
      <c r="H42" s="470"/>
      <c r="I42" s="470"/>
      <c r="J42" s="470"/>
      <c r="K42" s="470"/>
      <c r="L42" s="473"/>
      <c r="M42" s="474"/>
      <c r="N42" s="349" t="b">
        <v>0</v>
      </c>
      <c r="O42" s="469"/>
      <c r="P42" s="469"/>
      <c r="Q42" s="469"/>
      <c r="R42" s="469"/>
      <c r="S42" s="469"/>
      <c r="T42" s="469"/>
      <c r="U42" s="469"/>
    </row>
    <row r="43" spans="3:21" ht="16.5" customHeight="1">
      <c r="C43" s="404"/>
      <c r="D43" s="407"/>
      <c r="E43" s="348">
        <v>32</v>
      </c>
      <c r="F43" s="470" t="s">
        <v>741</v>
      </c>
      <c r="G43" s="470"/>
      <c r="H43" s="470"/>
      <c r="I43" s="470"/>
      <c r="J43" s="470"/>
      <c r="K43" s="470"/>
      <c r="L43" s="473"/>
      <c r="M43" s="474"/>
      <c r="N43" s="349" t="b">
        <v>0</v>
      </c>
      <c r="O43" s="469"/>
      <c r="P43" s="469"/>
      <c r="Q43" s="469"/>
      <c r="R43" s="469"/>
      <c r="S43" s="469"/>
      <c r="T43" s="469"/>
      <c r="U43" s="469"/>
    </row>
    <row r="44" spans="3:21" ht="16.5" customHeight="1">
      <c r="C44" s="404"/>
      <c r="D44" s="407"/>
      <c r="E44" s="348">
        <v>33</v>
      </c>
      <c r="F44" s="470" t="s">
        <v>742</v>
      </c>
      <c r="G44" s="470"/>
      <c r="H44" s="470"/>
      <c r="I44" s="470"/>
      <c r="J44" s="470"/>
      <c r="K44" s="470"/>
      <c r="L44" s="473"/>
      <c r="M44" s="474"/>
      <c r="N44" s="349" t="b">
        <v>0</v>
      </c>
      <c r="O44" s="469"/>
      <c r="P44" s="469"/>
      <c r="Q44" s="469"/>
      <c r="R44" s="469"/>
      <c r="S44" s="469"/>
      <c r="T44" s="469"/>
      <c r="U44" s="469"/>
    </row>
    <row r="45" spans="3:21" ht="16.5" customHeight="1">
      <c r="C45" s="404"/>
      <c r="D45" s="407"/>
      <c r="E45" s="348">
        <v>34</v>
      </c>
      <c r="F45" s="470" t="s">
        <v>743</v>
      </c>
      <c r="G45" s="470"/>
      <c r="H45" s="470"/>
      <c r="I45" s="470"/>
      <c r="J45" s="470"/>
      <c r="K45" s="470"/>
      <c r="L45" s="475"/>
      <c r="M45" s="476"/>
      <c r="N45" s="349" t="b">
        <v>0</v>
      </c>
      <c r="O45" s="469"/>
      <c r="P45" s="469"/>
      <c r="Q45" s="469"/>
      <c r="R45" s="469"/>
      <c r="S45" s="469"/>
      <c r="T45" s="469"/>
      <c r="U45" s="469"/>
    </row>
    <row r="46" spans="3:21" ht="16.5" customHeight="1">
      <c r="C46" s="404"/>
      <c r="D46" s="407"/>
      <c r="E46" s="300">
        <v>35</v>
      </c>
      <c r="F46" s="388" t="s">
        <v>744</v>
      </c>
      <c r="G46" s="388"/>
      <c r="H46" s="388"/>
      <c r="I46" s="388"/>
      <c r="J46" s="388"/>
      <c r="K46" s="388"/>
      <c r="L46" s="458" t="s">
        <v>745</v>
      </c>
      <c r="M46" s="458"/>
      <c r="N46" s="301" t="b">
        <v>0</v>
      </c>
      <c r="O46" s="389"/>
      <c r="P46" s="396"/>
      <c r="Q46" s="396"/>
      <c r="R46" s="396"/>
      <c r="S46" s="396"/>
      <c r="T46" s="396"/>
      <c r="U46" s="396"/>
    </row>
    <row r="47" spans="3:21" ht="16.5" customHeight="1">
      <c r="C47" s="404"/>
      <c r="D47" s="407"/>
      <c r="E47" s="300">
        <v>36</v>
      </c>
      <c r="F47" s="388" t="s">
        <v>746</v>
      </c>
      <c r="G47" s="388"/>
      <c r="H47" s="388"/>
      <c r="I47" s="388"/>
      <c r="J47" s="388"/>
      <c r="K47" s="388"/>
      <c r="L47" s="458" t="s">
        <v>727</v>
      </c>
      <c r="M47" s="458"/>
      <c r="N47" s="301" t="b">
        <v>0</v>
      </c>
      <c r="O47" s="389"/>
      <c r="P47" s="396"/>
      <c r="Q47" s="396"/>
      <c r="R47" s="396"/>
      <c r="S47" s="396"/>
      <c r="T47" s="396"/>
      <c r="U47" s="396"/>
    </row>
    <row r="48" spans="3:21" ht="16.5" customHeight="1">
      <c r="C48" s="404"/>
      <c r="D48" s="407" t="s">
        <v>747</v>
      </c>
      <c r="E48" s="300">
        <v>37</v>
      </c>
      <c r="F48" s="388" t="s">
        <v>748</v>
      </c>
      <c r="G48" s="388"/>
      <c r="H48" s="388"/>
      <c r="I48" s="388"/>
      <c r="J48" s="388"/>
      <c r="K48" s="388"/>
      <c r="L48" s="453" t="s">
        <v>749</v>
      </c>
      <c r="M48" s="454"/>
      <c r="N48" s="301" t="b">
        <v>0</v>
      </c>
      <c r="O48" s="389"/>
      <c r="P48" s="396"/>
      <c r="Q48" s="396"/>
      <c r="R48" s="396"/>
      <c r="S48" s="396"/>
      <c r="T48" s="396"/>
      <c r="U48" s="396"/>
    </row>
    <row r="49" spans="3:21" ht="16.5" customHeight="1">
      <c r="C49" s="405"/>
      <c r="D49" s="477"/>
      <c r="E49" s="300">
        <v>38</v>
      </c>
      <c r="F49" s="478" t="s">
        <v>750</v>
      </c>
      <c r="G49" s="479"/>
      <c r="H49" s="479"/>
      <c r="I49" s="479"/>
      <c r="J49" s="479"/>
      <c r="K49" s="480"/>
      <c r="L49" s="415"/>
      <c r="M49" s="416"/>
      <c r="N49" s="350" t="b">
        <v>0</v>
      </c>
      <c r="O49" s="481"/>
      <c r="P49" s="482"/>
      <c r="Q49" s="482"/>
      <c r="R49" s="482"/>
      <c r="S49" s="482"/>
      <c r="T49" s="482"/>
      <c r="U49" s="482"/>
    </row>
    <row r="50" spans="3:21" ht="16.5" customHeight="1"/>
    <row r="51" spans="3:21" ht="17.25" customHeight="1"/>
    <row r="52" spans="3:21" ht="16.5" customHeight="1"/>
  </sheetData>
  <mergeCells count="157"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M25"/>
  <sheetViews>
    <sheetView showGridLines="0" workbookViewId="0">
      <selection activeCell="F17" sqref="F17:G17"/>
    </sheetView>
    <sheetView workbookViewId="1"/>
  </sheetViews>
  <sheetFormatPr defaultColWidth="9" defaultRowHeight="12.75"/>
  <cols>
    <col min="1" max="2" width="9" style="120"/>
    <col min="3" max="3" width="73.59765625" style="120" bestFit="1" customWidth="1"/>
    <col min="4" max="16384" width="9" style="120"/>
  </cols>
  <sheetData>
    <row r="1" spans="1:13" ht="16.149999999999999" thickBot="1">
      <c r="A1" s="217"/>
      <c r="B1" s="220">
        <v>17</v>
      </c>
      <c r="C1" s="221" t="s">
        <v>584</v>
      </c>
    </row>
    <row r="2" spans="1:13" ht="13.15" thickTop="1">
      <c r="A2" s="218"/>
      <c r="B2" s="218"/>
    </row>
    <row r="3" spans="1:13" ht="12.75" customHeight="1">
      <c r="A3" s="219"/>
      <c r="B3" s="485" t="s">
        <v>150</v>
      </c>
      <c r="C3" s="485"/>
      <c r="D3" s="122"/>
      <c r="E3" s="122"/>
      <c r="F3" s="122"/>
      <c r="G3" s="122"/>
      <c r="H3" s="122"/>
    </row>
    <row r="4" spans="1:13" ht="12.75" customHeight="1" thickBot="1">
      <c r="A4" s="218"/>
      <c r="B4" s="486"/>
      <c r="C4" s="486"/>
      <c r="D4" s="122"/>
      <c r="E4" s="122"/>
      <c r="F4" s="122"/>
      <c r="G4" s="122"/>
      <c r="H4" s="122"/>
    </row>
    <row r="5" spans="1:13" ht="17.649999999999999" thickTop="1">
      <c r="A5" s="218"/>
      <c r="B5" s="223">
        <v>1</v>
      </c>
      <c r="C5" s="225" t="s">
        <v>588</v>
      </c>
    </row>
    <row r="6" spans="1:13" ht="17.25">
      <c r="B6" s="224">
        <v>2</v>
      </c>
      <c r="C6" s="226" t="s">
        <v>193</v>
      </c>
    </row>
    <row r="7" spans="1:13" ht="17.25">
      <c r="B7" s="224">
        <v>3</v>
      </c>
      <c r="C7" s="226" t="s">
        <v>589</v>
      </c>
      <c r="D7" s="119"/>
    </row>
    <row r="8" spans="1:13" ht="22.9" thickBot="1">
      <c r="B8" s="224">
        <v>4</v>
      </c>
      <c r="C8" s="226" t="s">
        <v>590</v>
      </c>
      <c r="D8" s="121"/>
      <c r="E8" s="483" t="s">
        <v>581</v>
      </c>
      <c r="F8" s="483"/>
      <c r="G8" s="483"/>
      <c r="H8" s="483"/>
      <c r="I8" s="483"/>
      <c r="J8" s="483"/>
      <c r="K8" s="483"/>
      <c r="L8" s="483"/>
      <c r="M8" s="483"/>
    </row>
    <row r="9" spans="1:13" ht="17.649999999999999" thickTop="1">
      <c r="B9" s="224">
        <v>5</v>
      </c>
      <c r="C9" s="226" t="s">
        <v>591</v>
      </c>
      <c r="D9" s="121"/>
      <c r="E9" s="488" t="s">
        <v>578</v>
      </c>
      <c r="F9" s="488"/>
      <c r="G9" s="488"/>
      <c r="H9" s="488"/>
      <c r="I9" s="488"/>
      <c r="J9" s="488"/>
      <c r="K9" s="488"/>
      <c r="L9" s="488"/>
      <c r="M9" s="488"/>
    </row>
    <row r="10" spans="1:13" ht="17.25">
      <c r="B10" s="224">
        <v>6</v>
      </c>
      <c r="C10" s="226" t="s">
        <v>592</v>
      </c>
      <c r="E10" s="489" t="s">
        <v>579</v>
      </c>
      <c r="F10" s="489"/>
      <c r="G10" s="489"/>
      <c r="H10" s="489"/>
      <c r="I10" s="489"/>
      <c r="J10" s="489"/>
      <c r="K10" s="489"/>
      <c r="L10" s="489"/>
      <c r="M10" s="489"/>
    </row>
    <row r="11" spans="1:13" ht="17.25">
      <c r="B11" s="224">
        <v>7</v>
      </c>
      <c r="C11" s="226" t="s">
        <v>593</v>
      </c>
      <c r="E11" s="490" t="s">
        <v>580</v>
      </c>
      <c r="F11" s="490"/>
      <c r="G11" s="490"/>
      <c r="H11" s="490"/>
      <c r="I11" s="490"/>
      <c r="J11" s="490"/>
      <c r="K11" s="490"/>
      <c r="L11" s="490"/>
      <c r="M11" s="490"/>
    </row>
    <row r="12" spans="1:13" ht="17.649999999999999" thickBot="1">
      <c r="B12" s="224">
        <v>8</v>
      </c>
      <c r="C12" s="226" t="s">
        <v>151</v>
      </c>
      <c r="E12" s="487" t="s">
        <v>583</v>
      </c>
      <c r="F12" s="487"/>
      <c r="G12" s="487"/>
      <c r="H12" s="487"/>
      <c r="I12" s="487"/>
      <c r="J12" s="487"/>
      <c r="K12" s="487"/>
      <c r="L12" s="487"/>
      <c r="M12" s="487"/>
    </row>
    <row r="13" spans="1:13" ht="17.649999999999999" thickTop="1">
      <c r="B13" s="224">
        <v>9</v>
      </c>
      <c r="C13" s="226" t="s">
        <v>152</v>
      </c>
      <c r="E13"/>
      <c r="F13"/>
      <c r="G13"/>
      <c r="H13"/>
      <c r="I13"/>
      <c r="J13"/>
      <c r="K13"/>
      <c r="L13"/>
      <c r="M13"/>
    </row>
    <row r="14" spans="1:13" ht="18.75">
      <c r="B14" s="224">
        <v>10</v>
      </c>
      <c r="C14" s="226" t="s">
        <v>153</v>
      </c>
      <c r="E14" s="484" t="s">
        <v>582</v>
      </c>
      <c r="F14" s="484"/>
      <c r="G14" s="484"/>
      <c r="H14" s="484"/>
      <c r="I14" s="484"/>
      <c r="J14" s="484"/>
      <c r="K14" s="484"/>
      <c r="L14" s="484"/>
      <c r="M14" s="484"/>
    </row>
    <row r="15" spans="1:13" ht="17.649999999999999" thickBot="1">
      <c r="B15" s="224">
        <v>11</v>
      </c>
      <c r="C15" s="226" t="s">
        <v>154</v>
      </c>
      <c r="E15" s="222" t="s">
        <v>599</v>
      </c>
      <c r="F15" s="492" t="s">
        <v>598</v>
      </c>
      <c r="G15" s="492"/>
      <c r="H15" s="222" t="s">
        <v>600</v>
      </c>
    </row>
    <row r="16" spans="1:13" ht="17.649999999999999" thickTop="1">
      <c r="B16" s="224">
        <v>12</v>
      </c>
      <c r="C16" s="226" t="s">
        <v>594</v>
      </c>
      <c r="E16" s="228" t="s">
        <v>601</v>
      </c>
      <c r="F16" s="493" t="s">
        <v>602</v>
      </c>
      <c r="G16" s="494"/>
      <c r="H16" s="227">
        <v>20</v>
      </c>
    </row>
    <row r="17" spans="2:13" ht="17.25">
      <c r="B17" s="224">
        <v>13</v>
      </c>
      <c r="C17" s="226" t="s">
        <v>595</v>
      </c>
      <c r="E17" s="230" t="s">
        <v>603</v>
      </c>
      <c r="F17" s="495"/>
      <c r="G17" s="496"/>
      <c r="H17" s="229"/>
    </row>
    <row r="18" spans="2:13" ht="17.25">
      <c r="B18" s="224">
        <v>14</v>
      </c>
      <c r="C18" s="226" t="s">
        <v>596</v>
      </c>
      <c r="E18" s="230" t="s">
        <v>604</v>
      </c>
      <c r="F18" s="495"/>
      <c r="G18" s="496"/>
      <c r="H18" s="229"/>
    </row>
    <row r="19" spans="2:13" ht="17.25">
      <c r="B19" s="224">
        <v>15</v>
      </c>
      <c r="C19" s="226" t="s">
        <v>585</v>
      </c>
      <c r="E19" s="230"/>
      <c r="F19" s="495"/>
      <c r="G19" s="496"/>
      <c r="H19" s="229"/>
    </row>
    <row r="20" spans="2:13" ht="17.649999999999999" thickBot="1">
      <c r="B20" s="224">
        <v>16</v>
      </c>
      <c r="C20" s="226" t="s">
        <v>586</v>
      </c>
      <c r="E20" s="487" t="s">
        <v>583</v>
      </c>
      <c r="F20" s="487"/>
      <c r="G20" s="487"/>
      <c r="H20" s="487"/>
      <c r="I20" s="487"/>
      <c r="J20" s="487"/>
      <c r="K20" s="487"/>
      <c r="L20" s="487"/>
      <c r="M20" s="487"/>
    </row>
    <row r="21" spans="2:13" ht="17.649999999999999" thickTop="1">
      <c r="B21" s="224">
        <v>17</v>
      </c>
      <c r="C21" s="226" t="s">
        <v>587</v>
      </c>
    </row>
    <row r="22" spans="2:13" ht="17.25">
      <c r="B22" s="224">
        <v>18</v>
      </c>
      <c r="C22" s="226" t="s">
        <v>597</v>
      </c>
    </row>
    <row r="23" spans="2:13" ht="13.15" thickBot="1">
      <c r="B23" s="491" t="s">
        <v>583</v>
      </c>
      <c r="C23" s="491"/>
      <c r="D23"/>
    </row>
    <row r="24" spans="2:13" ht="16.149999999999999" thickTop="1">
      <c r="B24" s="119"/>
    </row>
    <row r="25" spans="2:13">
      <c r="E25"/>
      <c r="F25"/>
      <c r="G25"/>
      <c r="H25"/>
      <c r="I25"/>
      <c r="J25"/>
      <c r="K25"/>
    </row>
  </sheetData>
  <mergeCells count="14">
    <mergeCell ref="B23:C23"/>
    <mergeCell ref="F15:G15"/>
    <mergeCell ref="F16:G16"/>
    <mergeCell ref="F17:G17"/>
    <mergeCell ref="F18:G18"/>
    <mergeCell ref="F19:G19"/>
    <mergeCell ref="E8:M8"/>
    <mergeCell ref="E14:M14"/>
    <mergeCell ref="B3:C4"/>
    <mergeCell ref="E12:M12"/>
    <mergeCell ref="E20:M20"/>
    <mergeCell ref="E9:M9"/>
    <mergeCell ref="E10:M10"/>
    <mergeCell ref="E11:M11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7</xdr:col>
                    <xdr:colOff>400050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>
      <selection activeCell="N8" sqref="N8"/>
    </sheetView>
    <sheetView workbookViewId="1"/>
  </sheetViews>
  <sheetFormatPr defaultRowHeight="12.75"/>
  <cols>
    <col min="1" max="1" width="14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workbookViewId="0">
      <selection activeCell="E34" sqref="E34"/>
    </sheetView>
    <sheetView workbookViewId="1"/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3984375" bestFit="1" customWidth="1"/>
    <col min="5" max="5" width="29.59765625" bestFit="1" customWidth="1"/>
    <col min="6" max="6" width="12" customWidth="1"/>
    <col min="7" max="7" width="12.1328125" bestFit="1" customWidth="1"/>
    <col min="8" max="8" width="12.1328125" customWidth="1"/>
    <col min="9" max="9" width="16.3984375" customWidth="1"/>
    <col min="10" max="11" width="18.86328125" customWidth="1"/>
    <col min="12" max="12" width="20.73046875" customWidth="1"/>
    <col min="13" max="13" width="17" customWidth="1"/>
    <col min="14" max="14" width="37.73046875" customWidth="1"/>
    <col min="15" max="15" width="20.73046875" customWidth="1"/>
    <col min="16" max="16" width="21.3984375" bestFit="1" customWidth="1"/>
    <col min="17" max="17" width="35.73046875" bestFit="1" customWidth="1"/>
    <col min="18" max="18" width="34.3984375" customWidth="1"/>
    <col min="19" max="19" width="33.265625" bestFit="1" customWidth="1"/>
    <col min="20" max="20" width="22.73046875" bestFit="1" customWidth="1"/>
    <col min="21" max="21" width="14" bestFit="1" customWidth="1"/>
    <col min="22" max="22" width="22.59765625" bestFit="1" customWidth="1"/>
    <col min="23" max="23" width="8.1328125" bestFit="1" customWidth="1"/>
    <col min="24" max="25" width="9.59765625" bestFit="1" customWidth="1"/>
    <col min="26" max="26" width="8.1328125" bestFit="1" customWidth="1"/>
    <col min="27" max="27" width="5.59765625" customWidth="1"/>
    <col min="28" max="28" width="3.265625" customWidth="1"/>
    <col min="29" max="29" width="16.265625" bestFit="1" customWidth="1"/>
    <col min="30" max="30" width="30.265625" customWidth="1"/>
    <col min="31" max="31" width="5.59765625" customWidth="1"/>
    <col min="32" max="32" width="14" bestFit="1" customWidth="1"/>
    <col min="33" max="33" width="9.59765625" bestFit="1" customWidth="1"/>
    <col min="34" max="34" width="8.1328125" bestFit="1" customWidth="1"/>
    <col min="35" max="38" width="7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  <c r="B2" s="125" t="s">
        <v>171</v>
      </c>
      <c r="C2" s="126" t="s">
        <v>172</v>
      </c>
      <c r="D2" s="126" t="s">
        <v>173</v>
      </c>
      <c r="E2" s="126" t="s">
        <v>174</v>
      </c>
      <c r="F2" s="126" t="s">
        <v>175</v>
      </c>
      <c r="G2" s="126" t="s">
        <v>176</v>
      </c>
      <c r="H2" s="126" t="s">
        <v>177</v>
      </c>
      <c r="I2" s="126" t="s">
        <v>178</v>
      </c>
      <c r="J2" s="126" t="s">
        <v>245</v>
      </c>
      <c r="K2" s="126" t="s">
        <v>179</v>
      </c>
      <c r="L2" s="126" t="s">
        <v>237</v>
      </c>
      <c r="M2" s="126" t="s">
        <v>180</v>
      </c>
      <c r="N2" s="126" t="s">
        <v>181</v>
      </c>
      <c r="O2" s="127" t="s">
        <v>182</v>
      </c>
      <c r="P2" s="127" t="s">
        <v>183</v>
      </c>
      <c r="Q2" s="127" t="s">
        <v>184</v>
      </c>
      <c r="R2" s="161" t="s">
        <v>185</v>
      </c>
      <c r="S2" s="128" t="s">
        <v>186</v>
      </c>
      <c r="T2" s="129" t="s">
        <v>187</v>
      </c>
      <c r="U2" s="129" t="s">
        <v>188</v>
      </c>
      <c r="V2" s="130" t="s">
        <v>189</v>
      </c>
      <c r="W2" s="128" t="s">
        <v>190</v>
      </c>
    </row>
    <row r="3" spans="1:38" ht="16.899999999999999">
      <c r="A3" s="2">
        <v>1</v>
      </c>
      <c r="B3" s="131" t="s">
        <v>381</v>
      </c>
      <c r="C3" s="132"/>
      <c r="D3" s="133">
        <v>1</v>
      </c>
      <c r="E3" s="134" t="s">
        <v>380</v>
      </c>
      <c r="F3" s="134" t="s">
        <v>297</v>
      </c>
      <c r="G3" s="134" t="s">
        <v>365</v>
      </c>
      <c r="H3" s="134" t="s">
        <v>359</v>
      </c>
      <c r="I3" s="134" t="s">
        <v>298</v>
      </c>
      <c r="J3" s="134" t="s">
        <v>299</v>
      </c>
      <c r="K3" s="135">
        <v>3</v>
      </c>
      <c r="L3" s="135" t="s">
        <v>300</v>
      </c>
      <c r="M3" s="135" t="s">
        <v>356</v>
      </c>
      <c r="N3" s="136"/>
      <c r="O3" s="158" t="s">
        <v>358</v>
      </c>
      <c r="P3" s="159" t="s">
        <v>301</v>
      </c>
      <c r="Q3" s="160" t="s">
        <v>302</v>
      </c>
      <c r="R3" s="137" t="str">
        <f t="shared" ref="R3:R17" si="0">P3&amp; "/" &amp;Q3</f>
        <v>신한은행/605-2241-148731</v>
      </c>
      <c r="S3" s="137" t="str">
        <f>IF(OR(MID(G3, 8, 1) = "3", MOD(MID(G3, 8, 1), 2) = 1), "남", "여")</f>
        <v>남</v>
      </c>
      <c r="T3" s="137" t="str">
        <f>LEFT(G3, 6)</f>
        <v>900699</v>
      </c>
      <c r="U3" s="137" t="str">
        <f>IF(VALUE(MID(G3, 8, 1)) &lt;= 2, "19" &amp; LEFT(G3, 2), "20" &amp; LEFT(G3, 2))</f>
        <v>1990</v>
      </c>
      <c r="V3" s="137">
        <f ca="1">YEAR(TODAY()) - VALUE(IF(VALUE(MID(G3, 8, 1)) &lt;= 2, "19" &amp; LEFT(G3, 2), "20" &amp; LEFT(G3, 2)))</f>
        <v>34</v>
      </c>
      <c r="W3" s="137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899999999999999">
      <c r="A4" s="2">
        <v>2</v>
      </c>
      <c r="B4" s="131" t="s">
        <v>381</v>
      </c>
      <c r="C4" s="139"/>
      <c r="D4" s="133">
        <v>2</v>
      </c>
      <c r="E4" s="134" t="s">
        <v>380</v>
      </c>
      <c r="F4" s="138" t="s">
        <v>303</v>
      </c>
      <c r="G4" s="138" t="s">
        <v>366</v>
      </c>
      <c r="H4" s="134" t="s">
        <v>359</v>
      </c>
      <c r="I4" s="138" t="s">
        <v>304</v>
      </c>
      <c r="J4" s="138" t="s">
        <v>299</v>
      </c>
      <c r="K4" s="135">
        <v>3</v>
      </c>
      <c r="L4" s="135" t="s">
        <v>300</v>
      </c>
      <c r="M4" s="135" t="s">
        <v>355</v>
      </c>
      <c r="N4" s="136"/>
      <c r="O4" s="158" t="s">
        <v>305</v>
      </c>
      <c r="P4" s="159" t="s">
        <v>192</v>
      </c>
      <c r="Q4" s="160" t="s">
        <v>306</v>
      </c>
      <c r="R4" s="137" t="str">
        <f t="shared" si="0"/>
        <v>국민은행/296-6536-108357</v>
      </c>
      <c r="S4" s="137" t="str">
        <f t="shared" ref="S4:S17" si="1">IF(OR(MID(G4, 8, 1) = "3", MOD(MID(G4, 8, 1), 2) = 1), "남", "여")</f>
        <v>여</v>
      </c>
      <c r="T4" s="137" t="str">
        <f t="shared" ref="T4:T17" si="2">LEFT(G4, 6)</f>
        <v>950499</v>
      </c>
      <c r="U4" s="137" t="str">
        <f t="shared" ref="U4:U17" si="3">IF(VALUE(MID(G4, 8, 1)) &lt;= 2, "19" &amp; LEFT(G4, 2), "20" &amp; LEFT(G4, 2))</f>
        <v>1995</v>
      </c>
      <c r="V4" s="137">
        <f t="shared" ref="V4:V17" ca="1" si="4">YEAR(TODAY()) - VALUE(IF(VALUE(MID(G4, 8, 1)) &lt;= 2, "19" &amp; LEFT(G4, 2), "20" &amp; LEFT(G4, 2)))</f>
        <v>29</v>
      </c>
      <c r="W4" s="137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899999999999999">
      <c r="A5" s="2">
        <v>3</v>
      </c>
      <c r="B5" s="131" t="s">
        <v>381</v>
      </c>
      <c r="C5" s="139"/>
      <c r="D5" s="133">
        <v>3</v>
      </c>
      <c r="E5" s="134" t="s">
        <v>380</v>
      </c>
      <c r="F5" s="138" t="s">
        <v>307</v>
      </c>
      <c r="G5" s="138" t="s">
        <v>367</v>
      </c>
      <c r="H5" s="134" t="s">
        <v>359</v>
      </c>
      <c r="I5" s="138" t="s">
        <v>308</v>
      </c>
      <c r="J5" s="138" t="s">
        <v>296</v>
      </c>
      <c r="K5" s="135">
        <v>2</v>
      </c>
      <c r="L5" s="135" t="s">
        <v>309</v>
      </c>
      <c r="M5" s="135" t="s">
        <v>310</v>
      </c>
      <c r="N5" s="136" t="s">
        <v>311</v>
      </c>
      <c r="O5" s="158" t="s">
        <v>357</v>
      </c>
      <c r="P5" s="159" t="s">
        <v>301</v>
      </c>
      <c r="Q5" s="160" t="s">
        <v>312</v>
      </c>
      <c r="R5" s="137" t="str">
        <f t="shared" si="0"/>
        <v>신한은행/309-4311-417843</v>
      </c>
      <c r="S5" s="137" t="str">
        <f>IF(OR(MID(G5, 8, 1) = "3", MOD(MID(G5, 8, 1), 2) = 1), "남", "여")</f>
        <v>여</v>
      </c>
      <c r="T5" s="137" t="str">
        <f t="shared" si="2"/>
        <v>960399</v>
      </c>
      <c r="U5" s="137" t="str">
        <f t="shared" si="3"/>
        <v>1996</v>
      </c>
      <c r="V5" s="137">
        <f t="shared" ca="1" si="4"/>
        <v>28</v>
      </c>
      <c r="W5" s="137" t="str">
        <f t="shared" si="5"/>
        <v>경상권</v>
      </c>
    </row>
    <row r="6" spans="1:38" ht="16.899999999999999">
      <c r="A6" s="2">
        <v>4</v>
      </c>
      <c r="B6" s="131" t="s">
        <v>381</v>
      </c>
      <c r="C6" s="139"/>
      <c r="D6" s="133">
        <v>4</v>
      </c>
      <c r="E6" s="134" t="s">
        <v>380</v>
      </c>
      <c r="F6" s="138" t="s">
        <v>313</v>
      </c>
      <c r="G6" s="138" t="s">
        <v>368</v>
      </c>
      <c r="H6" s="134" t="s">
        <v>359</v>
      </c>
      <c r="I6" s="138" t="s">
        <v>314</v>
      </c>
      <c r="J6" s="138" t="s">
        <v>296</v>
      </c>
      <c r="K6" s="135">
        <v>2</v>
      </c>
      <c r="L6" s="135" t="s">
        <v>309</v>
      </c>
      <c r="M6" s="135" t="s">
        <v>310</v>
      </c>
      <c r="N6" s="136" t="s">
        <v>315</v>
      </c>
      <c r="O6" s="158" t="s">
        <v>305</v>
      </c>
      <c r="P6" s="159" t="s">
        <v>301</v>
      </c>
      <c r="Q6" s="160" t="s">
        <v>316</v>
      </c>
      <c r="R6" s="137" t="str">
        <f t="shared" si="0"/>
        <v>신한은행/916-4781-629387</v>
      </c>
      <c r="S6" s="137" t="str">
        <f t="shared" si="1"/>
        <v>남</v>
      </c>
      <c r="T6" s="137" t="str">
        <f t="shared" si="2"/>
        <v>930699</v>
      </c>
      <c r="U6" s="137" t="str">
        <f t="shared" si="3"/>
        <v>1993</v>
      </c>
      <c r="V6" s="137">
        <f t="shared" ca="1" si="4"/>
        <v>31</v>
      </c>
      <c r="W6" s="137" t="str">
        <f t="shared" si="5"/>
        <v>경상권</v>
      </c>
    </row>
    <row r="7" spans="1:38" ht="16.899999999999999">
      <c r="A7" s="2">
        <v>5</v>
      </c>
      <c r="B7" s="131" t="s">
        <v>381</v>
      </c>
      <c r="C7" s="139"/>
      <c r="D7" s="133">
        <v>5</v>
      </c>
      <c r="E7" s="134" t="s">
        <v>380</v>
      </c>
      <c r="F7" s="138" t="s">
        <v>297</v>
      </c>
      <c r="G7" s="138" t="s">
        <v>379</v>
      </c>
      <c r="H7" s="134" t="s">
        <v>359</v>
      </c>
      <c r="I7" s="138" t="s">
        <v>298</v>
      </c>
      <c r="J7" s="138" t="s">
        <v>317</v>
      </c>
      <c r="K7" s="135">
        <v>4</v>
      </c>
      <c r="L7" s="135" t="s">
        <v>300</v>
      </c>
      <c r="M7" s="135" t="s">
        <v>318</v>
      </c>
      <c r="N7" s="136" t="s">
        <v>319</v>
      </c>
      <c r="O7" s="158" t="s">
        <v>358</v>
      </c>
      <c r="P7" s="159" t="s">
        <v>320</v>
      </c>
      <c r="Q7" s="160" t="s">
        <v>321</v>
      </c>
      <c r="R7" s="137" t="str">
        <f t="shared" si="0"/>
        <v>우리은행/165-6075-449479</v>
      </c>
      <c r="S7" s="137" t="str">
        <f t="shared" si="1"/>
        <v>남</v>
      </c>
      <c r="T7" s="137" t="str">
        <f t="shared" si="2"/>
        <v>020699</v>
      </c>
      <c r="U7" s="137" t="str">
        <f t="shared" si="3"/>
        <v>2002</v>
      </c>
      <c r="V7" s="137">
        <f t="shared" ca="1" si="4"/>
        <v>22</v>
      </c>
      <c r="W7" s="137" t="str">
        <f t="shared" si="5"/>
        <v>경상권</v>
      </c>
    </row>
    <row r="8" spans="1:38" ht="16.899999999999999">
      <c r="A8" s="2">
        <v>6</v>
      </c>
      <c r="B8" s="131" t="s">
        <v>381</v>
      </c>
      <c r="C8" s="139"/>
      <c r="D8" s="133">
        <v>6</v>
      </c>
      <c r="E8" s="134" t="s">
        <v>380</v>
      </c>
      <c r="F8" s="138" t="s">
        <v>322</v>
      </c>
      <c r="G8" s="138" t="s">
        <v>369</v>
      </c>
      <c r="H8" s="134" t="s">
        <v>359</v>
      </c>
      <c r="I8" s="138" t="s">
        <v>323</v>
      </c>
      <c r="J8" s="138" t="s">
        <v>296</v>
      </c>
      <c r="K8" s="135">
        <v>1</v>
      </c>
      <c r="L8" s="135" t="s">
        <v>324</v>
      </c>
      <c r="M8" s="135" t="s">
        <v>310</v>
      </c>
      <c r="N8" s="136" t="s">
        <v>325</v>
      </c>
      <c r="O8" s="158" t="s">
        <v>305</v>
      </c>
      <c r="P8" s="159" t="s">
        <v>326</v>
      </c>
      <c r="Q8" s="160" t="s">
        <v>327</v>
      </c>
      <c r="R8" s="137" t="str">
        <f t="shared" si="0"/>
        <v>농협/894-4629-468857</v>
      </c>
      <c r="S8" s="137" t="str">
        <f t="shared" si="1"/>
        <v>남</v>
      </c>
      <c r="T8" s="137" t="str">
        <f t="shared" si="2"/>
        <v>930899</v>
      </c>
      <c r="U8" s="137" t="str">
        <f t="shared" si="3"/>
        <v>1993</v>
      </c>
      <c r="V8" s="137">
        <f t="shared" ca="1" si="4"/>
        <v>31</v>
      </c>
      <c r="W8" s="137" t="str">
        <f t="shared" si="5"/>
        <v>경상권</v>
      </c>
    </row>
    <row r="9" spans="1:38" ht="16.899999999999999">
      <c r="A9" s="2">
        <v>7</v>
      </c>
      <c r="B9" s="131" t="s">
        <v>381</v>
      </c>
      <c r="C9" s="139"/>
      <c r="D9" s="133">
        <v>7</v>
      </c>
      <c r="E9" s="134" t="s">
        <v>380</v>
      </c>
      <c r="F9" s="138" t="s">
        <v>328</v>
      </c>
      <c r="G9" s="138" t="s">
        <v>378</v>
      </c>
      <c r="H9" s="134" t="s">
        <v>359</v>
      </c>
      <c r="I9" s="138" t="s">
        <v>329</v>
      </c>
      <c r="J9" s="138" t="s">
        <v>330</v>
      </c>
      <c r="K9" s="135">
        <v>2</v>
      </c>
      <c r="L9" s="135" t="s">
        <v>324</v>
      </c>
      <c r="M9" s="135" t="s">
        <v>310</v>
      </c>
      <c r="N9" s="136" t="s">
        <v>331</v>
      </c>
      <c r="O9" s="158" t="s">
        <v>358</v>
      </c>
      <c r="P9" s="159" t="s">
        <v>326</v>
      </c>
      <c r="Q9" s="160" t="s">
        <v>332</v>
      </c>
      <c r="R9" s="137" t="str">
        <f t="shared" si="0"/>
        <v>농협/273-7528-862196</v>
      </c>
      <c r="S9" s="137" t="str">
        <f t="shared" si="1"/>
        <v>남</v>
      </c>
      <c r="T9" s="137" t="str">
        <f t="shared" si="2"/>
        <v>001199</v>
      </c>
      <c r="U9" s="137" t="str">
        <f t="shared" si="3"/>
        <v>2000</v>
      </c>
      <c r="V9" s="137">
        <f t="shared" ca="1" si="4"/>
        <v>24</v>
      </c>
      <c r="W9" s="137" t="str">
        <f t="shared" si="5"/>
        <v>경상권</v>
      </c>
    </row>
    <row r="10" spans="1:38" ht="16.899999999999999">
      <c r="A10" s="2">
        <v>8</v>
      </c>
      <c r="B10" s="131" t="s">
        <v>381</v>
      </c>
      <c r="C10" s="139"/>
      <c r="D10" s="133">
        <v>8</v>
      </c>
      <c r="E10" s="134" t="s">
        <v>380</v>
      </c>
      <c r="F10" s="138" t="s">
        <v>333</v>
      </c>
      <c r="G10" s="138" t="s">
        <v>370</v>
      </c>
      <c r="H10" s="134" t="s">
        <v>359</v>
      </c>
      <c r="I10" s="138" t="s">
        <v>334</v>
      </c>
      <c r="J10" s="138" t="s">
        <v>317</v>
      </c>
      <c r="K10" s="135">
        <v>4</v>
      </c>
      <c r="L10" s="135" t="s">
        <v>309</v>
      </c>
      <c r="M10" s="135" t="s">
        <v>318</v>
      </c>
      <c r="N10" s="136" t="s">
        <v>325</v>
      </c>
      <c r="O10" s="158" t="s">
        <v>357</v>
      </c>
      <c r="P10" s="159" t="s">
        <v>320</v>
      </c>
      <c r="Q10" s="160" t="s">
        <v>335</v>
      </c>
      <c r="R10" s="137" t="str">
        <f t="shared" si="0"/>
        <v>우리은행/295-1855-371274</v>
      </c>
      <c r="S10" s="137" t="str">
        <f t="shared" si="1"/>
        <v>남</v>
      </c>
      <c r="T10" s="137" t="str">
        <f t="shared" si="2"/>
        <v>920699</v>
      </c>
      <c r="U10" s="137" t="str">
        <f t="shared" si="3"/>
        <v>1992</v>
      </c>
      <c r="V10" s="137">
        <f t="shared" ca="1" si="4"/>
        <v>32</v>
      </c>
      <c r="W10" s="137" t="str">
        <f t="shared" si="5"/>
        <v>경상권</v>
      </c>
    </row>
    <row r="11" spans="1:38" ht="16.899999999999999">
      <c r="A11" s="2">
        <v>9</v>
      </c>
      <c r="B11" s="131" t="s">
        <v>381</v>
      </c>
      <c r="C11" s="139"/>
      <c r="D11" s="133">
        <v>9</v>
      </c>
      <c r="E11" s="134" t="s">
        <v>380</v>
      </c>
      <c r="F11" s="138" t="s">
        <v>322</v>
      </c>
      <c r="G11" s="138" t="s">
        <v>371</v>
      </c>
      <c r="H11" s="134" t="s">
        <v>359</v>
      </c>
      <c r="I11" s="138" t="s">
        <v>336</v>
      </c>
      <c r="J11" s="138" t="s">
        <v>330</v>
      </c>
      <c r="K11" s="135">
        <v>2</v>
      </c>
      <c r="L11" s="135" t="s">
        <v>309</v>
      </c>
      <c r="M11" s="135" t="s">
        <v>318</v>
      </c>
      <c r="N11" s="136" t="s">
        <v>325</v>
      </c>
      <c r="O11" s="158" t="s">
        <v>358</v>
      </c>
      <c r="P11" s="159" t="s">
        <v>337</v>
      </c>
      <c r="Q11" s="160" t="s">
        <v>338</v>
      </c>
      <c r="R11" s="137" t="str">
        <f t="shared" si="0"/>
        <v>하나은행/869-2828-526225</v>
      </c>
      <c r="S11" s="137" t="str">
        <f t="shared" si="1"/>
        <v>여</v>
      </c>
      <c r="T11" s="137" t="str">
        <f t="shared" si="2"/>
        <v>900699</v>
      </c>
      <c r="U11" s="137" t="str">
        <f t="shared" si="3"/>
        <v>1990</v>
      </c>
      <c r="V11" s="137">
        <f t="shared" ca="1" si="4"/>
        <v>34</v>
      </c>
      <c r="W11" s="137" t="str">
        <f t="shared" si="5"/>
        <v>경상권</v>
      </c>
    </row>
    <row r="12" spans="1:38" ht="16.899999999999999">
      <c r="A12" s="2">
        <v>10</v>
      </c>
      <c r="B12" s="131" t="s">
        <v>381</v>
      </c>
      <c r="C12" s="139"/>
      <c r="D12" s="133">
        <v>10</v>
      </c>
      <c r="E12" s="134" t="s">
        <v>380</v>
      </c>
      <c r="F12" s="138" t="s">
        <v>339</v>
      </c>
      <c r="G12" s="138" t="s">
        <v>372</v>
      </c>
      <c r="H12" s="134" t="s">
        <v>359</v>
      </c>
      <c r="I12" s="138" t="s">
        <v>340</v>
      </c>
      <c r="J12" s="138" t="s">
        <v>317</v>
      </c>
      <c r="K12" s="135">
        <v>3</v>
      </c>
      <c r="L12" s="135" t="s">
        <v>309</v>
      </c>
      <c r="M12" s="135" t="s">
        <v>341</v>
      </c>
      <c r="N12" s="136" t="s">
        <v>311</v>
      </c>
      <c r="O12" s="158" t="s">
        <v>305</v>
      </c>
      <c r="P12" s="159" t="s">
        <v>326</v>
      </c>
      <c r="Q12" s="160" t="s">
        <v>342</v>
      </c>
      <c r="R12" s="137" t="str">
        <f t="shared" si="0"/>
        <v>농협/954-9797-760181</v>
      </c>
      <c r="S12" s="137" t="str">
        <f t="shared" si="1"/>
        <v>남</v>
      </c>
      <c r="T12" s="137" t="str">
        <f t="shared" si="2"/>
        <v>900799</v>
      </c>
      <c r="U12" s="137" t="str">
        <f t="shared" si="3"/>
        <v>1990</v>
      </c>
      <c r="V12" s="137">
        <f t="shared" ca="1" si="4"/>
        <v>34</v>
      </c>
      <c r="W12" s="137" t="str">
        <f t="shared" si="5"/>
        <v>경상권</v>
      </c>
    </row>
    <row r="13" spans="1:38" ht="16.899999999999999">
      <c r="A13" s="2">
        <v>11</v>
      </c>
      <c r="B13" s="131" t="s">
        <v>381</v>
      </c>
      <c r="C13" s="139"/>
      <c r="D13" s="133">
        <v>11</v>
      </c>
      <c r="E13" s="134" t="s">
        <v>380</v>
      </c>
      <c r="F13" s="138" t="s">
        <v>303</v>
      </c>
      <c r="G13" s="138" t="s">
        <v>373</v>
      </c>
      <c r="H13" s="134" t="s">
        <v>359</v>
      </c>
      <c r="I13" s="138" t="s">
        <v>304</v>
      </c>
      <c r="J13" s="138" t="s">
        <v>296</v>
      </c>
      <c r="K13" s="135">
        <v>2</v>
      </c>
      <c r="L13" s="135" t="s">
        <v>300</v>
      </c>
      <c r="M13" s="135" t="s">
        <v>343</v>
      </c>
      <c r="N13" s="136" t="s">
        <v>319</v>
      </c>
      <c r="O13" s="159" t="s">
        <v>364</v>
      </c>
      <c r="P13" s="159" t="s">
        <v>301</v>
      </c>
      <c r="Q13" s="160" t="s">
        <v>344</v>
      </c>
      <c r="R13" s="137" t="str">
        <f t="shared" si="0"/>
        <v>신한은행/129-2235-418768</v>
      </c>
      <c r="S13" s="137" t="str">
        <f t="shared" si="1"/>
        <v>남</v>
      </c>
      <c r="T13" s="137" t="str">
        <f t="shared" si="2"/>
        <v>910699</v>
      </c>
      <c r="U13" s="137" t="str">
        <f t="shared" si="3"/>
        <v>1991</v>
      </c>
      <c r="V13" s="137">
        <f t="shared" ca="1" si="4"/>
        <v>33</v>
      </c>
      <c r="W13" s="137" t="str">
        <f t="shared" si="5"/>
        <v>제주</v>
      </c>
    </row>
    <row r="14" spans="1:38" ht="16.899999999999999">
      <c r="A14" s="2">
        <v>12</v>
      </c>
      <c r="B14" s="131" t="s">
        <v>381</v>
      </c>
      <c r="C14" s="139"/>
      <c r="D14" s="133">
        <v>12</v>
      </c>
      <c r="E14" s="134" t="s">
        <v>380</v>
      </c>
      <c r="F14" s="138" t="s">
        <v>345</v>
      </c>
      <c r="G14" s="138" t="s">
        <v>377</v>
      </c>
      <c r="H14" s="134" t="s">
        <v>359</v>
      </c>
      <c r="I14" s="138" t="s">
        <v>346</v>
      </c>
      <c r="J14" s="138" t="s">
        <v>296</v>
      </c>
      <c r="K14" s="135">
        <v>1</v>
      </c>
      <c r="L14" s="135" t="s">
        <v>324</v>
      </c>
      <c r="M14" s="135" t="s">
        <v>310</v>
      </c>
      <c r="N14" s="136" t="s">
        <v>331</v>
      </c>
      <c r="O14" s="163" t="s">
        <v>363</v>
      </c>
      <c r="P14" s="159" t="s">
        <v>320</v>
      </c>
      <c r="Q14" s="160" t="s">
        <v>347</v>
      </c>
      <c r="R14" s="137" t="str">
        <f t="shared" si="0"/>
        <v>우리은행/404-5984-950896</v>
      </c>
      <c r="S14" s="137" t="str">
        <f t="shared" si="1"/>
        <v>여</v>
      </c>
      <c r="T14" s="137" t="str">
        <f t="shared" si="2"/>
        <v>000899</v>
      </c>
      <c r="U14" s="137" t="str">
        <f t="shared" si="3"/>
        <v>2000</v>
      </c>
      <c r="V14" s="137">
        <f ca="1">YEAR(TODAY()) - VALUE(IF(VALUE(MID(G14, 8, 1)) &lt;= 2, "19" &amp; LEFT(G14, 2), "20" &amp; LEFT(G14, 2)))</f>
        <v>24</v>
      </c>
      <c r="W14" s="137" t="str">
        <f t="shared" si="5"/>
        <v>충청권</v>
      </c>
    </row>
    <row r="15" spans="1:38" ht="16.899999999999999">
      <c r="A15" s="2">
        <v>13</v>
      </c>
      <c r="B15" s="131" t="s">
        <v>381</v>
      </c>
      <c r="C15" s="139"/>
      <c r="D15" s="133">
        <v>13</v>
      </c>
      <c r="E15" s="134" t="s">
        <v>380</v>
      </c>
      <c r="F15" s="138" t="s">
        <v>348</v>
      </c>
      <c r="G15" s="138" t="s">
        <v>374</v>
      </c>
      <c r="H15" s="134" t="s">
        <v>359</v>
      </c>
      <c r="I15" s="138" t="s">
        <v>349</v>
      </c>
      <c r="J15" s="138" t="s">
        <v>296</v>
      </c>
      <c r="K15" s="135">
        <v>2</v>
      </c>
      <c r="L15" s="135" t="s">
        <v>309</v>
      </c>
      <c r="M15" s="135" t="s">
        <v>310</v>
      </c>
      <c r="N15" s="136" t="s">
        <v>319</v>
      </c>
      <c r="O15" s="159" t="s">
        <v>362</v>
      </c>
      <c r="P15" s="159" t="s">
        <v>326</v>
      </c>
      <c r="Q15" s="160" t="s">
        <v>350</v>
      </c>
      <c r="R15" s="137" t="str">
        <f t="shared" si="0"/>
        <v>농협/756-6616-606584</v>
      </c>
      <c r="S15" s="137" t="str">
        <f t="shared" si="1"/>
        <v>여</v>
      </c>
      <c r="T15" s="137" t="str">
        <f t="shared" si="2"/>
        <v>921299</v>
      </c>
      <c r="U15" s="137" t="str">
        <f t="shared" si="3"/>
        <v>1992</v>
      </c>
      <c r="V15" s="137">
        <f t="shared" ca="1" si="4"/>
        <v>32</v>
      </c>
      <c r="W15" s="137" t="str">
        <f t="shared" si="5"/>
        <v>경상권</v>
      </c>
    </row>
    <row r="16" spans="1:38" ht="16.899999999999999">
      <c r="A16" s="2">
        <v>14</v>
      </c>
      <c r="B16" s="131" t="s">
        <v>381</v>
      </c>
      <c r="C16" s="139"/>
      <c r="D16" s="133">
        <v>14</v>
      </c>
      <c r="E16" s="134" t="s">
        <v>380</v>
      </c>
      <c r="F16" s="138" t="s">
        <v>328</v>
      </c>
      <c r="G16" s="138" t="s">
        <v>375</v>
      </c>
      <c r="H16" s="134" t="s">
        <v>359</v>
      </c>
      <c r="I16" s="138" t="s">
        <v>329</v>
      </c>
      <c r="J16" s="138" t="s">
        <v>330</v>
      </c>
      <c r="K16" s="135">
        <v>2</v>
      </c>
      <c r="L16" s="135" t="s">
        <v>309</v>
      </c>
      <c r="M16" s="135" t="s">
        <v>318</v>
      </c>
      <c r="N16" s="136" t="s">
        <v>315</v>
      </c>
      <c r="O16" s="158" t="s">
        <v>361</v>
      </c>
      <c r="P16" s="159" t="s">
        <v>337</v>
      </c>
      <c r="Q16" s="160" t="s">
        <v>351</v>
      </c>
      <c r="R16" s="137" t="str">
        <f t="shared" si="0"/>
        <v>하나은행/588-1300-685386</v>
      </c>
      <c r="S16" s="137" t="str">
        <f t="shared" si="1"/>
        <v>남</v>
      </c>
      <c r="T16" s="137" t="str">
        <f t="shared" si="2"/>
        <v>901199</v>
      </c>
      <c r="U16" s="137" t="str">
        <f t="shared" si="3"/>
        <v>1990</v>
      </c>
      <c r="V16" s="137">
        <f t="shared" ca="1" si="4"/>
        <v>34</v>
      </c>
      <c r="W16" s="137" t="str">
        <f t="shared" si="5"/>
        <v>호남권</v>
      </c>
    </row>
    <row r="17" spans="1:23" ht="16.899999999999999">
      <c r="A17" s="2">
        <v>15</v>
      </c>
      <c r="B17" s="131" t="s">
        <v>381</v>
      </c>
      <c r="C17" s="139"/>
      <c r="D17" s="133">
        <v>15</v>
      </c>
      <c r="E17" s="134" t="s">
        <v>380</v>
      </c>
      <c r="F17" s="138" t="s">
        <v>352</v>
      </c>
      <c r="G17" s="138" t="s">
        <v>376</v>
      </c>
      <c r="H17" s="165" t="s">
        <v>359</v>
      </c>
      <c r="I17" s="138" t="s">
        <v>353</v>
      </c>
      <c r="J17" s="138" t="s">
        <v>317</v>
      </c>
      <c r="K17" s="164">
        <v>1</v>
      </c>
      <c r="L17" s="135" t="s">
        <v>324</v>
      </c>
      <c r="M17" s="135" t="s">
        <v>341</v>
      </c>
      <c r="N17" s="136" t="s">
        <v>331</v>
      </c>
      <c r="O17" s="158" t="s">
        <v>360</v>
      </c>
      <c r="P17" s="159" t="s">
        <v>337</v>
      </c>
      <c r="Q17" s="160" t="s">
        <v>354</v>
      </c>
      <c r="R17" s="137" t="str">
        <f t="shared" si="0"/>
        <v>하나은행/694-9043-121446</v>
      </c>
      <c r="S17" s="137" t="str">
        <f t="shared" si="1"/>
        <v>남</v>
      </c>
      <c r="T17" s="137" t="str">
        <f t="shared" si="2"/>
        <v>941099</v>
      </c>
      <c r="U17" s="137" t="str">
        <f t="shared" si="3"/>
        <v>1994</v>
      </c>
      <c r="V17" s="137">
        <f t="shared" ca="1" si="4"/>
        <v>30</v>
      </c>
      <c r="W17" s="137" t="str">
        <f t="shared" si="5"/>
        <v>수도권</v>
      </c>
    </row>
    <row r="18" spans="1:23" ht="16.899999999999999">
      <c r="A18" s="2">
        <v>16</v>
      </c>
    </row>
    <row r="19" spans="1:23" ht="16.899999999999999">
      <c r="A19" s="2">
        <v>17</v>
      </c>
    </row>
    <row r="20" spans="1:23" ht="16.899999999999999">
      <c r="A20" s="2">
        <v>18</v>
      </c>
    </row>
    <row r="21" spans="1:23" ht="16.899999999999999">
      <c r="A21" s="2">
        <v>19</v>
      </c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1:23" ht="16.899999999999999">
      <c r="A22" s="2">
        <v>20</v>
      </c>
      <c r="G22" s="162"/>
      <c r="J22" s="162"/>
      <c r="K22" s="162"/>
      <c r="M22" s="162"/>
      <c r="P22" s="162"/>
      <c r="Q22" s="162"/>
    </row>
    <row r="23" spans="1:23" ht="16.899999999999999">
      <c r="A23" s="2">
        <v>21</v>
      </c>
      <c r="G23" s="162"/>
      <c r="J23" s="162"/>
      <c r="K23" s="162"/>
      <c r="M23" s="162"/>
      <c r="P23" s="162"/>
      <c r="Q23" s="162"/>
    </row>
    <row r="24" spans="1:23" ht="16.899999999999999">
      <c r="A24" s="2">
        <v>22</v>
      </c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</row>
    <row r="25" spans="1:23" ht="16.899999999999999">
      <c r="A25" s="2">
        <v>23</v>
      </c>
      <c r="E25" s="162"/>
      <c r="G25" s="162"/>
      <c r="H25" s="162"/>
      <c r="I25" s="162"/>
      <c r="J25" s="162"/>
      <c r="K25" s="162"/>
      <c r="L25" s="148"/>
      <c r="M25" s="162"/>
      <c r="N25" s="162"/>
      <c r="O25" s="162"/>
      <c r="P25" s="162"/>
      <c r="Q25" s="162"/>
    </row>
    <row r="26" spans="1:23" ht="16.899999999999999">
      <c r="A26" s="2">
        <v>24</v>
      </c>
      <c r="E26" s="162"/>
      <c r="G26" s="162"/>
      <c r="H26" s="162"/>
      <c r="I26" s="162"/>
      <c r="J26" s="162"/>
      <c r="K26" s="162"/>
      <c r="L26" s="157"/>
      <c r="M26" s="162"/>
      <c r="N26" s="162"/>
      <c r="O26" s="162"/>
      <c r="P26" s="162"/>
      <c r="Q26" s="162"/>
    </row>
    <row r="27" spans="1:23" ht="16.899999999999999">
      <c r="A27" s="2">
        <v>25</v>
      </c>
      <c r="E27" s="162"/>
      <c r="G27" s="162"/>
      <c r="H27" s="162"/>
      <c r="I27" s="162"/>
      <c r="J27" s="162"/>
      <c r="K27" s="162"/>
      <c r="L27" s="162"/>
      <c r="M27" s="162"/>
      <c r="N27" s="148"/>
      <c r="O27" s="162"/>
      <c r="P27" s="162"/>
      <c r="Q27" s="162"/>
    </row>
    <row r="28" spans="1:23" ht="16.899999999999999">
      <c r="A28" s="2">
        <v>26</v>
      </c>
      <c r="E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</row>
    <row r="29" spans="1:23" ht="16.899999999999999">
      <c r="A29" s="2">
        <v>27</v>
      </c>
      <c r="E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</row>
    <row r="30" spans="1:23" ht="16.899999999999999">
      <c r="A30" s="2">
        <v>28</v>
      </c>
      <c r="E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</row>
    <row r="31" spans="1:23" ht="16.899999999999999">
      <c r="A31" s="2">
        <v>29</v>
      </c>
      <c r="E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</row>
    <row r="32" spans="1:23" ht="16.899999999999999">
      <c r="A32" s="2">
        <v>30</v>
      </c>
      <c r="E32" s="162"/>
      <c r="G32" s="162"/>
      <c r="H32" s="162"/>
      <c r="I32" s="162"/>
      <c r="J32" s="162"/>
      <c r="K32" s="162"/>
      <c r="L32" s="162"/>
      <c r="M32" s="162"/>
      <c r="N32" s="148"/>
      <c r="O32" s="162"/>
      <c r="P32" s="162"/>
      <c r="Q32" s="162"/>
    </row>
    <row r="33" spans="1:17" ht="16.899999999999999">
      <c r="A33" s="2">
        <v>31</v>
      </c>
      <c r="E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</row>
    <row r="34" spans="1:17" ht="16.899999999999999">
      <c r="A34" s="2">
        <v>32</v>
      </c>
      <c r="E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</row>
    <row r="35" spans="1:17" ht="16.899999999999999">
      <c r="A35" s="2">
        <v>33</v>
      </c>
      <c r="E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</row>
    <row r="36" spans="1:17" ht="16.899999999999999">
      <c r="A36" s="2">
        <v>34</v>
      </c>
      <c r="E36" s="162"/>
      <c r="G36" s="162"/>
      <c r="H36" s="162"/>
      <c r="I36" s="162"/>
      <c r="J36" s="162"/>
      <c r="K36" s="162"/>
      <c r="L36" s="162"/>
      <c r="M36" s="162"/>
      <c r="N36" s="148"/>
      <c r="O36" s="162"/>
      <c r="P36" s="162"/>
      <c r="Q36" s="162"/>
    </row>
    <row r="37" spans="1:17" ht="16.899999999999999">
      <c r="A37" s="2">
        <v>35</v>
      </c>
      <c r="E37" s="162"/>
      <c r="H37" s="162"/>
      <c r="I37" s="162"/>
      <c r="K37" s="162"/>
      <c r="L37" s="162"/>
      <c r="M37" s="162"/>
      <c r="N37" s="162"/>
      <c r="O37" s="162"/>
    </row>
    <row r="38" spans="1:17" ht="16.899999999999999">
      <c r="A38" s="2">
        <v>36</v>
      </c>
      <c r="E38" s="162"/>
      <c r="H38" s="162"/>
      <c r="I38" s="162"/>
      <c r="K38" s="162"/>
      <c r="L38" s="162"/>
      <c r="M38" s="162"/>
      <c r="N38" s="148"/>
      <c r="O38" s="162"/>
    </row>
    <row r="39" spans="1:17" ht="16.899999999999999">
      <c r="A39" s="2">
        <v>37</v>
      </c>
      <c r="E39" s="162"/>
      <c r="H39" s="162"/>
      <c r="I39" s="162"/>
      <c r="K39" s="162"/>
      <c r="L39" s="162"/>
      <c r="M39" s="162"/>
      <c r="N39" s="162"/>
      <c r="O39" s="162"/>
    </row>
    <row r="40" spans="1:17" ht="16.899999999999999">
      <c r="A40" s="2">
        <v>38</v>
      </c>
    </row>
    <row r="41" spans="1:17" ht="16.899999999999999">
      <c r="A41" s="2">
        <v>39</v>
      </c>
    </row>
    <row r="42" spans="1:17" ht="16.899999999999999">
      <c r="A42" s="2">
        <v>40</v>
      </c>
    </row>
    <row r="43" spans="1:17" ht="16.899999999999999">
      <c r="A43" s="2">
        <v>41</v>
      </c>
    </row>
    <row r="44" spans="1:17" ht="16.899999999999999">
      <c r="A44" s="2">
        <v>42</v>
      </c>
    </row>
    <row r="45" spans="1:17" ht="16.899999999999999">
      <c r="A45" s="2">
        <v>43</v>
      </c>
    </row>
    <row r="46" spans="1:17" ht="16.899999999999999">
      <c r="A46" s="2">
        <v>44</v>
      </c>
    </row>
    <row r="47" spans="1:17" ht="16.899999999999999">
      <c r="A47" s="2">
        <v>45</v>
      </c>
    </row>
    <row r="48" spans="1:17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42"/>
  <sheetViews>
    <sheetView showGridLines="0" tabSelected="1" zoomScaleNormal="100" workbookViewId="0">
      <selection activeCell="B3" sqref="B3:F3"/>
    </sheetView>
    <sheetView workbookViewId="1">
      <selection activeCell="F25" sqref="F25"/>
    </sheetView>
  </sheetViews>
  <sheetFormatPr defaultColWidth="9.1328125" defaultRowHeight="12.75"/>
  <cols>
    <col min="1" max="1" width="14" style="120" customWidth="1"/>
    <col min="2" max="2" width="26.59765625" style="214" customWidth="1"/>
    <col min="3" max="3" width="30.86328125" style="120" bestFit="1" customWidth="1"/>
    <col min="4" max="5" width="28.3984375" style="120" bestFit="1" customWidth="1"/>
    <col min="6" max="6" width="29.3984375" style="238" bestFit="1" customWidth="1"/>
    <col min="7" max="16384" width="9.1328125" style="120"/>
  </cols>
  <sheetData>
    <row r="1" spans="1:9" ht="26.25">
      <c r="A1" s="1" t="s">
        <v>78</v>
      </c>
      <c r="B1" s="213">
        <v>1</v>
      </c>
      <c r="C1" s="184">
        <v>2</v>
      </c>
      <c r="D1" s="184">
        <v>3</v>
      </c>
      <c r="E1" s="184">
        <v>4</v>
      </c>
      <c r="F1" s="234">
        <v>5</v>
      </c>
      <c r="G1" s="184">
        <v>6</v>
      </c>
      <c r="H1" s="184">
        <v>7</v>
      </c>
      <c r="I1" s="184">
        <v>8</v>
      </c>
    </row>
    <row r="2" spans="1:9" ht="25.5">
      <c r="A2" s="3">
        <v>0</v>
      </c>
      <c r="B2" s="497" t="s">
        <v>411</v>
      </c>
      <c r="C2" s="498"/>
      <c r="D2" s="498"/>
      <c r="E2" s="498"/>
      <c r="F2" s="498"/>
    </row>
    <row r="3" spans="1:9" ht="18" thickBot="1">
      <c r="A3" s="2">
        <v>1</v>
      </c>
      <c r="B3" s="171" t="s">
        <v>389</v>
      </c>
      <c r="C3" s="171" t="s">
        <v>390</v>
      </c>
      <c r="D3" s="171" t="s">
        <v>391</v>
      </c>
      <c r="E3" s="171" t="s">
        <v>390</v>
      </c>
      <c r="F3" s="245" t="s">
        <v>391</v>
      </c>
    </row>
    <row r="4" spans="1:9" ht="17.25" customHeight="1" thickTop="1">
      <c r="A4" s="2">
        <v>2</v>
      </c>
      <c r="B4" s="781" t="s">
        <v>465</v>
      </c>
      <c r="C4" s="172" t="s">
        <v>392</v>
      </c>
      <c r="D4" s="770" t="s">
        <v>292</v>
      </c>
      <c r="E4" s="172" t="s">
        <v>412</v>
      </c>
      <c r="F4" s="173">
        <v>45455</v>
      </c>
    </row>
    <row r="5" spans="1:9" ht="16.5" customHeight="1">
      <c r="A5" s="2">
        <v>3</v>
      </c>
      <c r="B5" s="782"/>
      <c r="C5" s="169" t="s">
        <v>393</v>
      </c>
      <c r="D5" s="8" t="s">
        <v>3</v>
      </c>
      <c r="E5" s="5"/>
      <c r="F5" s="235"/>
    </row>
    <row r="6" spans="1:9" ht="16.5" customHeight="1">
      <c r="A6" s="2">
        <v>4</v>
      </c>
      <c r="B6" s="782"/>
      <c r="C6" s="212" t="s">
        <v>577</v>
      </c>
      <c r="D6" s="8" t="s">
        <v>386</v>
      </c>
      <c r="E6" s="170" t="s">
        <v>387</v>
      </c>
      <c r="F6" s="235">
        <v>222222222</v>
      </c>
    </row>
    <row r="7" spans="1:9" ht="16.5" customHeight="1">
      <c r="A7" s="2">
        <v>5</v>
      </c>
      <c r="B7" s="782"/>
      <c r="C7" s="169" t="s">
        <v>394</v>
      </c>
      <c r="D7" s="8" t="s">
        <v>7</v>
      </c>
      <c r="E7" s="233" t="s">
        <v>610</v>
      </c>
      <c r="F7" s="235" t="s">
        <v>611</v>
      </c>
    </row>
    <row r="8" spans="1:9" ht="16.5" customHeight="1">
      <c r="A8" s="2">
        <v>6</v>
      </c>
      <c r="B8" s="782"/>
      <c r="C8" s="169" t="s">
        <v>395</v>
      </c>
      <c r="D8" s="8" t="s">
        <v>9</v>
      </c>
      <c r="E8" s="5"/>
      <c r="F8" s="235"/>
    </row>
    <row r="9" spans="1:9" ht="17.25" customHeight="1">
      <c r="A9" s="2">
        <v>7</v>
      </c>
      <c r="B9" s="782"/>
      <c r="C9" s="246" t="s">
        <v>613</v>
      </c>
      <c r="D9" s="166" t="s">
        <v>382</v>
      </c>
      <c r="E9" s="5"/>
      <c r="F9" s="235"/>
    </row>
    <row r="10" spans="1:9" ht="16.5" customHeight="1">
      <c r="A10" s="2">
        <v>8</v>
      </c>
      <c r="B10" s="782"/>
      <c r="C10" s="212" t="s">
        <v>614</v>
      </c>
      <c r="D10" s="166" t="s">
        <v>382</v>
      </c>
      <c r="E10" s="5"/>
      <c r="F10" s="235"/>
    </row>
    <row r="11" spans="1:9" ht="17.25" customHeight="1">
      <c r="A11" s="2">
        <v>9</v>
      </c>
      <c r="B11" s="782"/>
      <c r="C11" s="169" t="s">
        <v>396</v>
      </c>
      <c r="D11" s="8" t="s">
        <v>13</v>
      </c>
      <c r="E11" s="170" t="s">
        <v>388</v>
      </c>
      <c r="F11" s="235"/>
    </row>
    <row r="12" spans="1:9" ht="17.25" customHeight="1">
      <c r="A12" s="2">
        <v>10</v>
      </c>
      <c r="B12" s="782"/>
      <c r="C12" s="212" t="s">
        <v>612</v>
      </c>
      <c r="D12" s="8" t="s">
        <v>16</v>
      </c>
      <c r="E12" s="5"/>
      <c r="F12" s="235"/>
    </row>
    <row r="13" spans="1:9" ht="18" customHeight="1" thickBot="1">
      <c r="A13" s="2">
        <v>11</v>
      </c>
      <c r="B13" s="783"/>
      <c r="C13" s="241" t="s">
        <v>397</v>
      </c>
      <c r="D13" s="242" t="s">
        <v>16</v>
      </c>
      <c r="E13" s="243"/>
      <c r="F13" s="244"/>
    </row>
    <row r="14" spans="1:9" ht="16.5" customHeight="1">
      <c r="A14" s="2">
        <v>12</v>
      </c>
      <c r="B14" s="240"/>
      <c r="F14" s="237"/>
    </row>
    <row r="15" spans="1:9" ht="16.5" customHeight="1">
      <c r="A15" s="2">
        <v>13</v>
      </c>
      <c r="B15" s="784" t="s">
        <v>466</v>
      </c>
      <c r="C15" s="169" t="s">
        <v>398</v>
      </c>
      <c r="D15" s="167" t="s">
        <v>383</v>
      </c>
      <c r="E15" s="5"/>
      <c r="F15" s="235"/>
    </row>
    <row r="16" spans="1:9" ht="16.5" customHeight="1">
      <c r="A16" s="2">
        <v>14</v>
      </c>
      <c r="B16" s="785"/>
      <c r="C16" s="212" t="s">
        <v>576</v>
      </c>
      <c r="D16" s="8" t="s">
        <v>22</v>
      </c>
      <c r="E16" s="170" t="s">
        <v>413</v>
      </c>
      <c r="F16" s="235" t="s">
        <v>23</v>
      </c>
    </row>
    <row r="17" spans="1:6" ht="16.5" customHeight="1">
      <c r="A17" s="2">
        <v>15</v>
      </c>
      <c r="B17" s="785"/>
      <c r="C17" s="211" t="s">
        <v>575</v>
      </c>
      <c r="D17" s="771" t="s">
        <v>755</v>
      </c>
      <c r="E17" s="5"/>
      <c r="F17" s="235"/>
    </row>
    <row r="18" spans="1:6" ht="16.5" customHeight="1">
      <c r="A18" s="2">
        <v>16</v>
      </c>
      <c r="B18" s="785"/>
      <c r="C18" s="169" t="s">
        <v>399</v>
      </c>
      <c r="D18" s="9" t="s">
        <v>26</v>
      </c>
      <c r="E18" s="5"/>
      <c r="F18" s="235"/>
    </row>
    <row r="19" spans="1:6" ht="17.25" customHeight="1">
      <c r="A19" s="2">
        <v>17</v>
      </c>
      <c r="B19" s="785"/>
      <c r="C19" s="211" t="s">
        <v>574</v>
      </c>
      <c r="D19" s="9" t="s">
        <v>28</v>
      </c>
      <c r="E19" s="5"/>
      <c r="F19" s="235"/>
    </row>
    <row r="20" spans="1:6" ht="17.25" customHeight="1">
      <c r="A20" s="2">
        <v>18</v>
      </c>
      <c r="B20" s="785"/>
      <c r="C20" s="169" t="s">
        <v>400</v>
      </c>
      <c r="D20" s="9" t="s">
        <v>30</v>
      </c>
      <c r="E20" s="5"/>
      <c r="F20" s="235"/>
    </row>
    <row r="21" spans="1:6" ht="16.899999999999999" customHeight="1">
      <c r="A21" s="2">
        <v>19</v>
      </c>
      <c r="B21" s="785"/>
      <c r="C21" s="772" t="s">
        <v>401</v>
      </c>
      <c r="D21" s="773" t="s">
        <v>32</v>
      </c>
      <c r="E21" s="774"/>
      <c r="F21" s="775"/>
    </row>
    <row r="22" spans="1:6" ht="17.25" customHeight="1">
      <c r="A22" s="2">
        <v>20</v>
      </c>
      <c r="B22" s="786"/>
      <c r="C22" s="169" t="s">
        <v>757</v>
      </c>
      <c r="D22" s="9"/>
      <c r="E22" s="5"/>
      <c r="F22" s="776"/>
    </row>
    <row r="23" spans="1:6" ht="16.899999999999999">
      <c r="A23" s="2">
        <v>21</v>
      </c>
    </row>
    <row r="24" spans="1:6" ht="16.899999999999999">
      <c r="A24" s="2">
        <v>22</v>
      </c>
      <c r="B24" s="784" t="s">
        <v>467</v>
      </c>
      <c r="C24" s="211" t="s">
        <v>761</v>
      </c>
      <c r="D24" s="771" t="s">
        <v>756</v>
      </c>
      <c r="E24" s="211" t="s">
        <v>762</v>
      </c>
      <c r="F24" s="771" t="s">
        <v>763</v>
      </c>
    </row>
    <row r="25" spans="1:6" ht="16.899999999999999">
      <c r="A25" s="2">
        <v>23</v>
      </c>
      <c r="B25" s="782"/>
      <c r="C25" s="211" t="s">
        <v>573</v>
      </c>
      <c r="D25" s="9" t="s">
        <v>35</v>
      </c>
      <c r="E25" s="5"/>
      <c r="F25" s="235"/>
    </row>
    <row r="26" spans="1:6" ht="16.899999999999999">
      <c r="A26" s="2">
        <v>24</v>
      </c>
      <c r="B26" s="782"/>
      <c r="C26" s="169" t="s">
        <v>402</v>
      </c>
      <c r="D26" s="9" t="s">
        <v>26</v>
      </c>
      <c r="E26" s="5"/>
      <c r="F26" s="235"/>
    </row>
    <row r="27" spans="1:6" ht="16.5" customHeight="1">
      <c r="A27" s="2">
        <v>25</v>
      </c>
      <c r="B27" s="782"/>
      <c r="C27" s="169" t="s">
        <v>403</v>
      </c>
      <c r="D27" s="9" t="s">
        <v>30</v>
      </c>
      <c r="E27" s="5"/>
      <c r="F27" s="235"/>
    </row>
    <row r="28" spans="1:6" ht="16.5" customHeight="1" thickBot="1">
      <c r="A28" s="2">
        <v>26</v>
      </c>
      <c r="B28" s="783"/>
      <c r="C28" s="174" t="s">
        <v>404</v>
      </c>
      <c r="D28" s="176" t="s">
        <v>32</v>
      </c>
      <c r="E28" s="175"/>
      <c r="F28" s="236"/>
    </row>
    <row r="29" spans="1:6" ht="16.5" customHeight="1">
      <c r="A29" s="2">
        <v>27</v>
      </c>
    </row>
    <row r="30" spans="1:6" ht="16.899999999999999">
      <c r="A30" s="2">
        <v>28</v>
      </c>
      <c r="B30" s="215" t="s">
        <v>609</v>
      </c>
      <c r="C30" s="169" t="s">
        <v>406</v>
      </c>
      <c r="D30" s="9" t="s">
        <v>39</v>
      </c>
      <c r="E30" s="185"/>
      <c r="F30" s="239"/>
    </row>
    <row r="31" spans="1:6" ht="16.899999999999999">
      <c r="A31" s="2">
        <v>29</v>
      </c>
      <c r="B31" s="215"/>
      <c r="C31" s="169" t="s">
        <v>407</v>
      </c>
      <c r="D31" s="9" t="s">
        <v>41</v>
      </c>
      <c r="E31" s="185"/>
      <c r="F31" s="239"/>
    </row>
    <row r="32" spans="1:6" ht="45">
      <c r="A32" s="2">
        <v>30</v>
      </c>
      <c r="B32" s="215"/>
      <c r="C32" s="169" t="s">
        <v>408</v>
      </c>
      <c r="D32" s="231" t="s">
        <v>42</v>
      </c>
      <c r="E32" s="185"/>
      <c r="F32" s="239"/>
    </row>
    <row r="33" spans="1:6" ht="16.899999999999999">
      <c r="A33" s="2">
        <v>31</v>
      </c>
      <c r="B33" s="215"/>
      <c r="C33" s="169"/>
      <c r="D33" s="9"/>
      <c r="E33" s="185"/>
      <c r="F33" s="239"/>
    </row>
    <row r="34" spans="1:6" ht="16.899999999999999">
      <c r="A34" s="2">
        <v>32</v>
      </c>
      <c r="B34" s="215"/>
      <c r="C34" s="169"/>
      <c r="D34" s="9"/>
      <c r="E34" s="185"/>
      <c r="F34" s="239"/>
    </row>
    <row r="35" spans="1:6" ht="16.899999999999999">
      <c r="A35" s="2">
        <v>33</v>
      </c>
      <c r="B35" s="215"/>
      <c r="C35" s="169" t="s">
        <v>405</v>
      </c>
      <c r="D35" s="9" t="s">
        <v>107</v>
      </c>
      <c r="E35" s="169" t="s">
        <v>409</v>
      </c>
      <c r="F35" s="9" t="s">
        <v>293</v>
      </c>
    </row>
    <row r="36" spans="1:6" ht="16.899999999999999">
      <c r="A36" s="2">
        <v>34</v>
      </c>
      <c r="B36" s="215"/>
      <c r="C36" s="185"/>
      <c r="D36" s="185"/>
      <c r="E36" s="169" t="s">
        <v>410</v>
      </c>
      <c r="F36" s="9" t="s">
        <v>294</v>
      </c>
    </row>
    <row r="37" spans="1:6" ht="16.899999999999999">
      <c r="A37" s="2">
        <v>35</v>
      </c>
      <c r="B37" s="216"/>
      <c r="C37" s="185"/>
      <c r="D37" s="185"/>
      <c r="E37" s="778" t="s">
        <v>758</v>
      </c>
      <c r="F37" s="780" t="str">
        <f>LEFT(F35, FIND("~", F35) - 2)</f>
        <v>2024.11.18</v>
      </c>
    </row>
    <row r="38" spans="1:6" ht="17.649999999999999">
      <c r="A38" s="2">
        <v>36</v>
      </c>
      <c r="C38" s="168"/>
      <c r="D38" s="9"/>
      <c r="E38" s="778" t="s">
        <v>759</v>
      </c>
      <c r="F38" s="777" t="str">
        <f>LEFT(F36, FIND("~", F36) - 2)</f>
        <v>2024.12.16</v>
      </c>
    </row>
    <row r="39" spans="1:6" ht="16.899999999999999">
      <c r="A39" s="2">
        <v>37</v>
      </c>
      <c r="C39" s="186" t="s">
        <v>384</v>
      </c>
    </row>
    <row r="40" spans="1:6" ht="16.899999999999999">
      <c r="A40" s="2">
        <v>38</v>
      </c>
      <c r="C40" s="187" t="s">
        <v>385</v>
      </c>
    </row>
    <row r="41" spans="1:6" ht="16.899999999999999">
      <c r="A41" s="2">
        <v>39</v>
      </c>
    </row>
    <row r="42" spans="1:6" ht="16.899999999999999">
      <c r="A42" s="2">
        <v>40</v>
      </c>
    </row>
  </sheetData>
  <mergeCells count="4">
    <mergeCell ref="B2:F2"/>
    <mergeCell ref="B24:B28"/>
    <mergeCell ref="B15:B22"/>
    <mergeCell ref="B4:B13"/>
  </mergeCells>
  <phoneticPr fontId="16" type="noConversion"/>
  <dataValidations count="3">
    <dataValidation type="list" allowBlank="1" showErrorMessage="1" sqref="D16" xr:uid="{B1C39882-0A20-49F2-82BF-F7CFE28AFBA5}">
      <formula1>"없음,있음"</formula1>
    </dataValidation>
    <dataValidation type="list" allowBlank="1" showErrorMessage="1" sqref="F11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1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12</xdr:col>
                    <xdr:colOff>419100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63"/>
  <sheetViews>
    <sheetView workbookViewId="0">
      <selection activeCell="B3" sqref="B3:B12"/>
    </sheetView>
    <sheetView tabSelected="1" workbookViewId="1">
      <selection activeCell="C3" sqref="C3:D12"/>
    </sheetView>
  </sheetViews>
  <sheetFormatPr defaultRowHeight="12.75"/>
  <cols>
    <col min="1" max="1" width="14" customWidth="1"/>
    <col min="2" max="2" width="34.59765625" customWidth="1"/>
    <col min="3" max="3" width="34.265625" customWidth="1"/>
    <col min="4" max="4" width="35.59765625" customWidth="1"/>
    <col min="5" max="5" width="17.1328125" customWidth="1"/>
    <col min="6" max="6" width="5.3984375" bestFit="1" customWidth="1"/>
    <col min="7" max="10" width="2.73046875" bestFit="1" customWidth="1"/>
    <col min="11" max="28" width="3.7304687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628" t="s">
        <v>765</v>
      </c>
      <c r="C2" s="622"/>
      <c r="F2" s="629" t="s">
        <v>414</v>
      </c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</row>
    <row r="3" spans="1:38" ht="19.5">
      <c r="A3" s="2">
        <v>1</v>
      </c>
      <c r="C3" s="789" t="s">
        <v>278</v>
      </c>
      <c r="D3" s="153" t="str">
        <f>'참여기업 정보'!D4</f>
        <v>㈜노마드</v>
      </c>
      <c r="F3" s="630" t="s">
        <v>415</v>
      </c>
      <c r="G3" s="630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2"/>
      <c r="S3" s="633" t="s">
        <v>416</v>
      </c>
      <c r="T3" s="630"/>
      <c r="U3" s="630"/>
      <c r="V3" s="630"/>
      <c r="W3" s="630"/>
      <c r="X3" s="630"/>
      <c r="Y3" s="630"/>
      <c r="Z3" s="634"/>
      <c r="AA3" s="634"/>
      <c r="AB3" s="634"/>
      <c r="AC3" s="634"/>
    </row>
    <row r="4" spans="1:38" ht="19.5">
      <c r="A4" s="2">
        <v>2</v>
      </c>
      <c r="C4" s="789" t="s">
        <v>279</v>
      </c>
      <c r="D4" s="151" t="str">
        <f>'참여기업 정보'!D5</f>
        <v>홍길동</v>
      </c>
      <c r="F4" s="638"/>
      <c r="G4" s="638"/>
      <c r="H4" s="638"/>
      <c r="I4" s="638"/>
      <c r="J4" s="638"/>
      <c r="K4" s="638"/>
      <c r="L4" s="638"/>
      <c r="M4" s="638"/>
      <c r="N4" s="638"/>
      <c r="O4" s="638"/>
      <c r="P4" s="638"/>
      <c r="Q4" s="638"/>
      <c r="R4" s="638"/>
      <c r="S4" s="638"/>
      <c r="T4" s="638"/>
      <c r="U4" s="638"/>
      <c r="V4" s="638"/>
      <c r="W4" s="638"/>
      <c r="X4" s="638"/>
      <c r="Y4" s="638"/>
      <c r="Z4" s="638"/>
      <c r="AA4" s="638"/>
      <c r="AB4" s="638"/>
      <c r="AC4" s="638"/>
    </row>
    <row r="5" spans="1:38" ht="39">
      <c r="A5" s="2">
        <v>3</v>
      </c>
      <c r="C5" s="790" t="s">
        <v>281</v>
      </c>
      <c r="D5" s="151" t="str">
        <f>'참여기업 정보'!D6 &amp; "("&amp; '참여기업 정보'!F6 &amp; ")"</f>
        <v>111-11-11111(222222222)</v>
      </c>
      <c r="F5" s="639" t="s">
        <v>1</v>
      </c>
      <c r="G5" s="639"/>
      <c r="H5" s="639"/>
      <c r="I5" s="639"/>
      <c r="J5" s="640"/>
      <c r="K5" s="641" t="str">
        <f>D3</f>
        <v>㈜노마드</v>
      </c>
      <c r="L5" s="642"/>
      <c r="M5" s="642"/>
      <c r="N5" s="642"/>
      <c r="O5" s="642"/>
      <c r="P5" s="642"/>
      <c r="Q5" s="642"/>
      <c r="R5" s="643"/>
      <c r="S5" s="644" t="s">
        <v>2</v>
      </c>
      <c r="T5" s="639"/>
      <c r="U5" s="639"/>
      <c r="V5" s="639"/>
      <c r="W5" s="639"/>
      <c r="X5" s="639"/>
      <c r="Y5" s="640"/>
      <c r="Z5" s="641" t="str">
        <f>D4</f>
        <v>홍길동</v>
      </c>
      <c r="AA5" s="642"/>
      <c r="AB5" s="642"/>
      <c r="AC5" s="642"/>
    </row>
    <row r="6" spans="1:38" ht="19.5">
      <c r="A6" s="2">
        <v>4</v>
      </c>
      <c r="C6" s="789" t="s">
        <v>280</v>
      </c>
      <c r="D6" s="10" t="str">
        <f>'참여기업 정보'!D7</f>
        <v>222-22-22222-2</v>
      </c>
      <c r="F6" s="653" t="s">
        <v>417</v>
      </c>
      <c r="G6" s="653"/>
      <c r="H6" s="653"/>
      <c r="I6" s="653"/>
      <c r="J6" s="654"/>
      <c r="K6" s="645" t="str">
        <f>D5</f>
        <v>111-11-11111(222222222)</v>
      </c>
      <c r="L6" s="646"/>
      <c r="M6" s="646"/>
      <c r="N6" s="646"/>
      <c r="O6" s="646"/>
      <c r="P6" s="646"/>
      <c r="Q6" s="646"/>
      <c r="R6" s="669"/>
      <c r="S6" s="671" t="s">
        <v>419</v>
      </c>
      <c r="T6" s="653"/>
      <c r="U6" s="653"/>
      <c r="V6" s="653"/>
      <c r="W6" s="653"/>
      <c r="X6" s="653"/>
      <c r="Y6" s="654"/>
      <c r="Z6" s="645" t="str">
        <f>D6</f>
        <v>222-22-22222-2</v>
      </c>
      <c r="AA6" s="646"/>
      <c r="AB6" s="646"/>
      <c r="AC6" s="646"/>
    </row>
    <row r="7" spans="1:38" ht="19.5">
      <c r="A7" s="2">
        <v>5</v>
      </c>
      <c r="C7" s="789" t="s">
        <v>282</v>
      </c>
      <c r="D7" s="10" t="str">
        <f>'참여기업 정보'!D9</f>
        <v>부산광역시 연제구</v>
      </c>
      <c r="F7" s="636" t="s">
        <v>418</v>
      </c>
      <c r="G7" s="636"/>
      <c r="H7" s="636"/>
      <c r="I7" s="636"/>
      <c r="J7" s="637"/>
      <c r="K7" s="647"/>
      <c r="L7" s="648"/>
      <c r="M7" s="648"/>
      <c r="N7" s="648"/>
      <c r="O7" s="648"/>
      <c r="P7" s="648"/>
      <c r="Q7" s="648"/>
      <c r="R7" s="670"/>
      <c r="S7" s="635" t="s">
        <v>420</v>
      </c>
      <c r="T7" s="636"/>
      <c r="U7" s="636"/>
      <c r="V7" s="636"/>
      <c r="W7" s="636"/>
      <c r="X7" s="636"/>
      <c r="Y7" s="637"/>
      <c r="Z7" s="647"/>
      <c r="AA7" s="648"/>
      <c r="AB7" s="648"/>
      <c r="AC7" s="648"/>
    </row>
    <row r="8" spans="1:38" ht="19.5">
      <c r="A8" s="2">
        <v>6</v>
      </c>
      <c r="C8" s="789" t="s">
        <v>283</v>
      </c>
      <c r="D8" s="10" t="str">
        <f>'참여기업 정보'!D17</f>
        <v>이순신</v>
      </c>
      <c r="F8" s="649" t="s">
        <v>10</v>
      </c>
      <c r="G8" s="649"/>
      <c r="H8" s="649"/>
      <c r="I8" s="649"/>
      <c r="J8" s="650"/>
      <c r="K8" s="651" t="str">
        <f>D7</f>
        <v>부산광역시 연제구</v>
      </c>
      <c r="L8" s="652"/>
      <c r="M8" s="652"/>
      <c r="N8" s="652"/>
      <c r="O8" s="652"/>
      <c r="P8" s="652"/>
      <c r="Q8" s="652"/>
      <c r="R8" s="652"/>
      <c r="S8" s="652"/>
      <c r="T8" s="652"/>
      <c r="U8" s="652"/>
      <c r="V8" s="652"/>
      <c r="W8" s="652"/>
      <c r="X8" s="652"/>
      <c r="Y8" s="652"/>
      <c r="Z8" s="652"/>
      <c r="AA8" s="652"/>
      <c r="AB8" s="652"/>
      <c r="AC8" s="652"/>
    </row>
    <row r="9" spans="1:38" ht="19.5">
      <c r="A9" s="2">
        <v>7</v>
      </c>
      <c r="C9" s="789" t="s">
        <v>284</v>
      </c>
      <c r="D9" s="151" t="str">
        <f>'참여기업 정보'!D20</f>
        <v>010-0000-0000</v>
      </c>
      <c r="F9" s="653" t="s">
        <v>421</v>
      </c>
      <c r="G9" s="653"/>
      <c r="H9" s="653"/>
      <c r="I9" s="653"/>
      <c r="J9" s="654"/>
      <c r="K9" s="657" t="s">
        <v>175</v>
      </c>
      <c r="L9" s="650"/>
      <c r="M9" s="658" t="str">
        <f>D8</f>
        <v>이순신</v>
      </c>
      <c r="N9" s="659"/>
      <c r="O9" s="659"/>
      <c r="P9" s="659"/>
      <c r="Q9" s="659"/>
      <c r="R9" s="659"/>
      <c r="S9" s="659"/>
      <c r="T9" s="659"/>
      <c r="U9" s="660"/>
      <c r="V9" s="657" t="s">
        <v>422</v>
      </c>
      <c r="W9" s="649"/>
      <c r="X9" s="649"/>
      <c r="Y9" s="649"/>
      <c r="Z9" s="650"/>
      <c r="AA9" s="658" t="str">
        <f>D9</f>
        <v>010-0000-0000</v>
      </c>
      <c r="AB9" s="659"/>
      <c r="AC9" s="659"/>
      <c r="AD9" s="140" t="s">
        <v>764</v>
      </c>
    </row>
    <row r="10" spans="1:38" ht="19.5">
      <c r="A10" s="2">
        <v>8</v>
      </c>
      <c r="C10" s="789" t="s">
        <v>285</v>
      </c>
      <c r="D10" s="10" t="str">
        <f>'참여기업 정보'!D21</f>
        <v>work@kseta.or.kr</v>
      </c>
      <c r="E10" s="140"/>
      <c r="F10" s="655"/>
      <c r="G10" s="655"/>
      <c r="H10" s="655"/>
      <c r="I10" s="655"/>
      <c r="J10" s="656"/>
      <c r="K10" s="661" t="s">
        <v>20</v>
      </c>
      <c r="L10" s="662"/>
      <c r="M10" s="663" t="str">
        <f>D10</f>
        <v>work@kseta.or.kr</v>
      </c>
      <c r="N10" s="664"/>
      <c r="O10" s="664"/>
      <c r="P10" s="664"/>
      <c r="Q10" s="664"/>
      <c r="R10" s="664"/>
      <c r="S10" s="664"/>
      <c r="T10" s="664"/>
      <c r="U10" s="665"/>
      <c r="V10" s="661" t="s">
        <v>423</v>
      </c>
      <c r="W10" s="666"/>
      <c r="X10" s="666"/>
      <c r="Y10" s="666"/>
      <c r="Z10" s="662"/>
      <c r="AA10" s="667">
        <f>D11</f>
        <v>0</v>
      </c>
      <c r="AB10" s="668"/>
      <c r="AC10" s="668"/>
    </row>
    <row r="11" spans="1:38" ht="19.5">
      <c r="A11" s="2">
        <v>9</v>
      </c>
      <c r="C11" s="789" t="s">
        <v>286</v>
      </c>
      <c r="D11" s="10">
        <f>'참여기업 정보'!D22</f>
        <v>0</v>
      </c>
      <c r="F11" s="672"/>
      <c r="G11" s="672"/>
      <c r="H11" s="672"/>
      <c r="I11" s="672"/>
      <c r="J11" s="672"/>
      <c r="K11" s="672"/>
      <c r="L11" s="672"/>
      <c r="M11" s="672"/>
      <c r="N11" s="672"/>
      <c r="O11" s="672"/>
      <c r="P11" s="672"/>
      <c r="Q11" s="672"/>
      <c r="R11" s="672"/>
      <c r="S11" s="672"/>
      <c r="T11" s="672"/>
      <c r="U11" s="672"/>
      <c r="V11" s="672"/>
      <c r="W11" s="672"/>
      <c r="X11" s="672"/>
      <c r="Y11" s="672"/>
      <c r="Z11" s="672"/>
      <c r="AA11" s="672"/>
      <c r="AB11" s="672"/>
      <c r="AC11" s="672"/>
    </row>
    <row r="12" spans="1:38" ht="19.5">
      <c r="A12" s="2">
        <v>10</v>
      </c>
      <c r="C12" s="789" t="s">
        <v>247</v>
      </c>
      <c r="D12" s="123">
        <f>'참여기업 정보'!F4</f>
        <v>45455</v>
      </c>
      <c r="F12" s="673" t="s">
        <v>424</v>
      </c>
      <c r="G12" s="673"/>
      <c r="H12" s="673"/>
      <c r="I12" s="673"/>
      <c r="J12" s="674"/>
      <c r="K12" s="675"/>
      <c r="L12" s="676"/>
      <c r="M12" s="676"/>
      <c r="N12" s="676"/>
      <c r="O12" s="676"/>
      <c r="P12" s="676"/>
      <c r="Q12" s="676"/>
      <c r="R12" s="676"/>
      <c r="S12" s="676"/>
      <c r="T12" s="676"/>
      <c r="U12" s="676"/>
      <c r="V12" s="676"/>
      <c r="W12" s="676"/>
      <c r="X12" s="676"/>
      <c r="Y12" s="676"/>
      <c r="Z12" s="676"/>
      <c r="AA12" s="676"/>
      <c r="AB12" s="676"/>
      <c r="AC12" s="676"/>
    </row>
    <row r="13" spans="1:38" ht="16.899999999999999">
      <c r="A13" s="2">
        <v>11</v>
      </c>
      <c r="F13" s="677" t="s">
        <v>425</v>
      </c>
      <c r="G13" s="677"/>
      <c r="H13" s="677"/>
      <c r="I13" s="677"/>
      <c r="J13" s="678"/>
      <c r="K13" s="682" t="s">
        <v>427</v>
      </c>
      <c r="L13" s="677"/>
      <c r="M13" s="677"/>
      <c r="N13" s="678"/>
      <c r="O13" s="682" t="s">
        <v>429</v>
      </c>
      <c r="P13" s="677"/>
      <c r="Q13" s="677"/>
      <c r="R13" s="677"/>
      <c r="S13" s="677"/>
      <c r="T13" s="677"/>
      <c r="U13" s="677"/>
      <c r="V13" s="677"/>
      <c r="W13" s="677"/>
      <c r="X13" s="677"/>
      <c r="Y13" s="677"/>
      <c r="Z13" s="677"/>
      <c r="AA13" s="677"/>
      <c r="AB13" s="678"/>
      <c r="AC13" s="177" t="s">
        <v>431</v>
      </c>
    </row>
    <row r="14" spans="1:38" ht="39">
      <c r="A14" s="2">
        <v>12</v>
      </c>
      <c r="B14" s="791" t="s">
        <v>290</v>
      </c>
      <c r="C14" s="791" t="s">
        <v>289</v>
      </c>
      <c r="D14" s="791" t="s">
        <v>288</v>
      </c>
      <c r="E14" s="791" t="s">
        <v>287</v>
      </c>
      <c r="F14" s="679" t="s">
        <v>426</v>
      </c>
      <c r="G14" s="680"/>
      <c r="H14" s="680"/>
      <c r="I14" s="680"/>
      <c r="J14" s="681"/>
      <c r="K14" s="683" t="s">
        <v>428</v>
      </c>
      <c r="L14" s="680"/>
      <c r="M14" s="680"/>
      <c r="N14" s="681"/>
      <c r="O14" s="683" t="s">
        <v>430</v>
      </c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0"/>
      <c r="AA14" s="680"/>
      <c r="AB14" s="681"/>
      <c r="AC14" s="178" t="s">
        <v>432</v>
      </c>
    </row>
    <row r="15" spans="1:38" ht="16.899999999999999">
      <c r="A15" s="2">
        <v>13</v>
      </c>
      <c r="B15" s="58" t="str">
        <f>참여자명단!F3 &amp; "(" &amp;참여자명단!G3 &amp; ")"</f>
        <v>이민수(900699-1254973)</v>
      </c>
      <c r="C15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15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15" s="58"/>
      <c r="F15" s="787" t="str">
        <f>B15</f>
        <v>이민수(900699-1254973)</v>
      </c>
      <c r="G15" s="787"/>
      <c r="H15" s="787"/>
      <c r="I15" s="787"/>
      <c r="J15" s="788"/>
      <c r="K15" s="658"/>
      <c r="L15" s="659"/>
      <c r="M15" s="659"/>
      <c r="N15" s="660"/>
      <c r="O15" s="658" t="str">
        <f>D15</f>
        <v>2024년 11월 18일 ~ 2024년 12월 13일</v>
      </c>
      <c r="P15" s="659"/>
      <c r="Q15" s="659"/>
      <c r="R15" s="659"/>
      <c r="S15" s="659"/>
      <c r="T15" s="659"/>
      <c r="U15" s="659"/>
      <c r="V15" s="659"/>
      <c r="W15" s="659"/>
      <c r="X15" s="659"/>
      <c r="Y15" s="659"/>
      <c r="Z15" s="659"/>
      <c r="AA15" s="659"/>
      <c r="AB15" s="660"/>
      <c r="AC15" s="232"/>
    </row>
    <row r="16" spans="1:38" ht="16.899999999999999" customHeight="1">
      <c r="A16" s="2">
        <v>14</v>
      </c>
      <c r="B16" s="58" t="str">
        <f>참여자명단!F4 &amp; "(" &amp;참여자명단!G4 &amp; ")"</f>
        <v>정지우(950499-2978157)</v>
      </c>
      <c r="C16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16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16" s="58"/>
      <c r="F16" s="684"/>
      <c r="G16" s="684"/>
      <c r="H16" s="684"/>
      <c r="I16" s="684"/>
      <c r="J16" s="685"/>
      <c r="K16" s="686"/>
      <c r="L16" s="684"/>
      <c r="M16" s="684"/>
      <c r="N16" s="685"/>
      <c r="O16" s="686"/>
      <c r="P16" s="684"/>
      <c r="Q16" s="684"/>
      <c r="R16" s="684"/>
      <c r="S16" s="684"/>
      <c r="T16" s="684"/>
      <c r="U16" s="684"/>
      <c r="V16" s="684"/>
      <c r="W16" s="684"/>
      <c r="X16" s="684"/>
      <c r="Y16" s="684"/>
      <c r="Z16" s="684"/>
      <c r="AA16" s="684"/>
      <c r="AB16" s="685"/>
      <c r="AC16" s="179"/>
    </row>
    <row r="17" spans="1:29" ht="16.899999999999999" customHeight="1">
      <c r="A17" s="2">
        <v>15</v>
      </c>
      <c r="B17" s="58" t="str">
        <f>참여자명단!F5 &amp; "(" &amp;참여자명단!G5 &amp; ")"</f>
        <v>박지우(960399-2963832)</v>
      </c>
      <c r="C17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17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17" s="684"/>
      <c r="G17" s="684"/>
      <c r="H17" s="684"/>
      <c r="I17" s="684"/>
      <c r="J17" s="685"/>
      <c r="K17" s="686"/>
      <c r="L17" s="684"/>
      <c r="M17" s="684"/>
      <c r="N17" s="685"/>
      <c r="O17" s="686"/>
      <c r="P17" s="684"/>
      <c r="Q17" s="684"/>
      <c r="R17" s="684"/>
      <c r="S17" s="684"/>
      <c r="T17" s="684"/>
      <c r="U17" s="684"/>
      <c r="V17" s="684"/>
      <c r="W17" s="684"/>
      <c r="X17" s="684"/>
      <c r="Y17" s="684"/>
      <c r="Z17" s="684"/>
      <c r="AA17" s="684"/>
      <c r="AB17" s="685"/>
      <c r="AC17" s="179"/>
    </row>
    <row r="18" spans="1:29" ht="16.899999999999999" customHeight="1">
      <c r="A18" s="2">
        <v>16</v>
      </c>
      <c r="B18" s="58" t="str">
        <f>참여자명단!F6 &amp; "(" &amp;참여자명단!G6 &amp; ")"</f>
        <v>김예은(930699-1258129)</v>
      </c>
      <c r="C18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18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18" s="684"/>
      <c r="G18" s="684"/>
      <c r="H18" s="684"/>
      <c r="I18" s="684"/>
      <c r="J18" s="685"/>
      <c r="K18" s="686"/>
      <c r="L18" s="684"/>
      <c r="M18" s="684"/>
      <c r="N18" s="685"/>
      <c r="O18" s="686"/>
      <c r="P18" s="684"/>
      <c r="Q18" s="684"/>
      <c r="R18" s="684"/>
      <c r="S18" s="684"/>
      <c r="T18" s="684"/>
      <c r="U18" s="684"/>
      <c r="V18" s="684"/>
      <c r="W18" s="684"/>
      <c r="X18" s="684"/>
      <c r="Y18" s="684"/>
      <c r="Z18" s="684"/>
      <c r="AA18" s="684"/>
      <c r="AB18" s="685"/>
      <c r="AC18" s="179"/>
    </row>
    <row r="19" spans="1:29" ht="16.899999999999999" customHeight="1">
      <c r="A19" s="2">
        <v>17</v>
      </c>
      <c r="B19" s="58" t="str">
        <f>참여자명단!F7 &amp; "(" &amp;참여자명단!G7 &amp; ")"</f>
        <v>이민수(020699-3626178)</v>
      </c>
      <c r="C19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19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19" s="684"/>
      <c r="G19" s="684"/>
      <c r="H19" s="684"/>
      <c r="I19" s="684"/>
      <c r="J19" s="685"/>
      <c r="K19" s="686"/>
      <c r="L19" s="684"/>
      <c r="M19" s="684"/>
      <c r="N19" s="685"/>
      <c r="O19" s="686"/>
      <c r="P19" s="684"/>
      <c r="Q19" s="684"/>
      <c r="R19" s="684"/>
      <c r="S19" s="684"/>
      <c r="T19" s="684"/>
      <c r="U19" s="684"/>
      <c r="V19" s="684"/>
      <c r="W19" s="684"/>
      <c r="X19" s="684"/>
      <c r="Y19" s="684"/>
      <c r="Z19" s="684"/>
      <c r="AA19" s="684"/>
      <c r="AB19" s="685"/>
      <c r="AC19" s="179"/>
    </row>
    <row r="20" spans="1:29" ht="16.899999999999999" customHeight="1">
      <c r="A20" s="2">
        <v>18</v>
      </c>
      <c r="B20" s="58" t="str">
        <f>참여자명단!F8 &amp; "(" &amp;참여자명단!G8 &amp; ")"</f>
        <v>박현우(930899-1736570)</v>
      </c>
      <c r="C20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0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20" s="684"/>
      <c r="G20" s="684"/>
      <c r="H20" s="684"/>
      <c r="I20" s="684"/>
      <c r="J20" s="685"/>
      <c r="K20" s="686"/>
      <c r="L20" s="684"/>
      <c r="M20" s="684"/>
      <c r="N20" s="685"/>
      <c r="O20" s="686"/>
      <c r="P20" s="684"/>
      <c r="Q20" s="684"/>
      <c r="R20" s="684"/>
      <c r="S20" s="684"/>
      <c r="T20" s="684"/>
      <c r="U20" s="684"/>
      <c r="V20" s="684"/>
      <c r="W20" s="684"/>
      <c r="X20" s="684"/>
      <c r="Y20" s="684"/>
      <c r="Z20" s="684"/>
      <c r="AA20" s="684"/>
      <c r="AB20" s="685"/>
      <c r="AC20" s="179"/>
    </row>
    <row r="21" spans="1:29" ht="16.899999999999999" customHeight="1">
      <c r="A21" s="2">
        <v>19</v>
      </c>
      <c r="B21" s="58" t="str">
        <f>참여자명단!F9 &amp; "(" &amp;참여자명단!G9 &amp; ")"</f>
        <v>이현우(001199-3301932)</v>
      </c>
      <c r="C21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1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21" s="684"/>
      <c r="G21" s="684"/>
      <c r="H21" s="684"/>
      <c r="I21" s="684"/>
      <c r="J21" s="685"/>
      <c r="K21" s="686"/>
      <c r="L21" s="684"/>
      <c r="M21" s="684"/>
      <c r="N21" s="685"/>
      <c r="O21" s="686"/>
      <c r="P21" s="684"/>
      <c r="Q21" s="684"/>
      <c r="R21" s="684"/>
      <c r="S21" s="684"/>
      <c r="T21" s="684"/>
      <c r="U21" s="684"/>
      <c r="V21" s="684"/>
      <c r="W21" s="684"/>
      <c r="X21" s="684"/>
      <c r="Y21" s="684"/>
      <c r="Z21" s="684"/>
      <c r="AA21" s="684"/>
      <c r="AB21" s="685"/>
      <c r="AC21" s="179"/>
    </row>
    <row r="22" spans="1:29" ht="16.899999999999999" customHeight="1">
      <c r="A22" s="2">
        <v>20</v>
      </c>
      <c r="B22" s="58" t="str">
        <f>참여자명단!F10 &amp; "(" &amp;참여자명단!G10 &amp; ")"</f>
        <v>김지우(920699-1184953)</v>
      </c>
      <c r="C22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2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22" s="684"/>
      <c r="G22" s="684"/>
      <c r="H22" s="684"/>
      <c r="I22" s="684"/>
      <c r="J22" s="685"/>
      <c r="K22" s="686"/>
      <c r="L22" s="684"/>
      <c r="M22" s="684"/>
      <c r="N22" s="685"/>
      <c r="O22" s="686"/>
      <c r="P22" s="684"/>
      <c r="Q22" s="684"/>
      <c r="R22" s="684"/>
      <c r="S22" s="684"/>
      <c r="T22" s="684"/>
      <c r="U22" s="684"/>
      <c r="V22" s="684"/>
      <c r="W22" s="684"/>
      <c r="X22" s="684"/>
      <c r="Y22" s="684"/>
      <c r="Z22" s="684"/>
      <c r="AA22" s="684"/>
      <c r="AB22" s="685"/>
      <c r="AC22" s="179"/>
    </row>
    <row r="23" spans="1:29" ht="16.899999999999999">
      <c r="A23" s="2">
        <v>21</v>
      </c>
      <c r="B23" s="58" t="str">
        <f>참여자명단!F11 &amp; "(" &amp;참여자명단!G11 &amp; ")"</f>
        <v>박현우(900699-2193659)</v>
      </c>
      <c r="C23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3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23" s="687" t="s">
        <v>433</v>
      </c>
      <c r="G23" s="687"/>
      <c r="H23" s="687"/>
      <c r="I23" s="687"/>
      <c r="J23" s="687"/>
      <c r="K23" s="687"/>
      <c r="L23" s="687"/>
      <c r="M23" s="687"/>
      <c r="N23" s="687" t="s">
        <v>434</v>
      </c>
      <c r="O23" s="687"/>
      <c r="P23" s="687"/>
      <c r="Q23" s="687"/>
      <c r="R23" s="687"/>
      <c r="S23" s="687"/>
      <c r="T23" s="687"/>
      <c r="U23" s="687" t="s">
        <v>431</v>
      </c>
      <c r="V23" s="687"/>
      <c r="W23" s="687"/>
      <c r="X23" s="687"/>
      <c r="Y23" s="687" t="s">
        <v>435</v>
      </c>
      <c r="Z23" s="687"/>
      <c r="AA23" s="687"/>
      <c r="AB23" s="687"/>
      <c r="AC23" s="687"/>
    </row>
    <row r="24" spans="1:29" ht="16.899999999999999">
      <c r="A24" s="2">
        <v>22</v>
      </c>
      <c r="B24" s="58" t="str">
        <f>참여자명단!F12 &amp; "(" &amp;참여자명단!G12 &amp; ")"</f>
        <v>김현우(900799-1246303)</v>
      </c>
      <c r="C24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4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24" s="688"/>
      <c r="G24" s="688"/>
      <c r="H24" s="688"/>
      <c r="I24" s="688"/>
      <c r="J24" s="688"/>
      <c r="K24" s="688"/>
      <c r="L24" s="688"/>
      <c r="M24" s="688"/>
      <c r="N24" s="688"/>
      <c r="O24" s="688"/>
      <c r="P24" s="688"/>
      <c r="Q24" s="688"/>
      <c r="R24" s="688"/>
      <c r="S24" s="688"/>
      <c r="T24" s="688"/>
      <c r="U24" s="688"/>
      <c r="V24" s="688"/>
      <c r="W24" s="688"/>
      <c r="X24" s="688"/>
      <c r="Y24" s="688"/>
      <c r="Z24" s="688"/>
      <c r="AA24" s="688"/>
      <c r="AB24" s="688"/>
      <c r="AC24" s="688"/>
    </row>
    <row r="25" spans="1:29" ht="16.899999999999999">
      <c r="A25" s="2">
        <v>23</v>
      </c>
      <c r="B25" s="58" t="str">
        <f>참여자명단!F13 &amp; "(" &amp;참여자명단!G13 &amp; ")"</f>
        <v>정지우(910699-1891360)</v>
      </c>
      <c r="C25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5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25" s="689" t="s">
        <v>436</v>
      </c>
      <c r="G25" s="689"/>
      <c r="H25" s="689"/>
      <c r="I25" s="689"/>
      <c r="J25" s="690"/>
      <c r="K25" s="691" t="s">
        <v>607</v>
      </c>
      <c r="L25" s="692"/>
      <c r="M25" s="692"/>
      <c r="N25" s="692"/>
      <c r="O25" s="692"/>
      <c r="P25" s="692"/>
      <c r="Q25" s="693"/>
      <c r="R25" s="693"/>
      <c r="S25" s="693"/>
      <c r="T25" s="693"/>
      <c r="U25" s="693"/>
      <c r="V25" s="693"/>
      <c r="W25" s="693"/>
      <c r="X25" s="693"/>
      <c r="Y25" s="693"/>
      <c r="Z25" s="693"/>
      <c r="AA25" s="689" t="s">
        <v>608</v>
      </c>
      <c r="AB25" s="689"/>
      <c r="AC25" s="689"/>
    </row>
    <row r="26" spans="1:29" ht="16.899999999999999">
      <c r="A26" s="2">
        <v>24</v>
      </c>
      <c r="B26" s="58" t="str">
        <f>참여자명단!F14 &amp; "(" &amp;참여자명단!G14 &amp; ")"</f>
        <v>박예은(000899-4865061)</v>
      </c>
      <c r="C26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6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26" s="694"/>
      <c r="G26" s="694"/>
      <c r="H26" s="694"/>
      <c r="I26" s="694"/>
      <c r="J26" s="694"/>
      <c r="K26" s="694"/>
      <c r="L26" s="694"/>
      <c r="M26" s="694"/>
      <c r="N26" s="694"/>
      <c r="O26" s="694"/>
      <c r="P26" s="694"/>
      <c r="Q26" s="694"/>
      <c r="R26" s="694"/>
      <c r="S26" s="694"/>
      <c r="T26" s="694"/>
      <c r="U26" s="694"/>
      <c r="V26" s="694"/>
      <c r="W26" s="694"/>
      <c r="X26" s="694"/>
      <c r="Y26" s="694"/>
      <c r="Z26" s="694"/>
      <c r="AA26" s="694"/>
      <c r="AB26" s="694"/>
      <c r="AC26" s="694"/>
    </row>
    <row r="27" spans="1:29" ht="16.899999999999999">
      <c r="A27" s="2">
        <v>25</v>
      </c>
      <c r="B27" s="58" t="str">
        <f>참여자명단!F15 &amp; "(" &amp;참여자명단!G15 &amp; ")"</f>
        <v>최현우(921299-2639872)</v>
      </c>
      <c r="C27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7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27" s="695" t="s">
        <v>439</v>
      </c>
      <c r="G27" s="695"/>
      <c r="H27" s="695"/>
      <c r="I27" s="695"/>
      <c r="J27" s="695"/>
      <c r="K27" s="695"/>
      <c r="L27" s="695"/>
      <c r="M27" s="695"/>
      <c r="N27" s="695"/>
      <c r="O27" s="695"/>
      <c r="P27" s="695"/>
      <c r="Q27" s="695"/>
      <c r="R27" s="695"/>
      <c r="S27" s="695"/>
      <c r="T27" s="695"/>
      <c r="U27" s="695"/>
      <c r="V27" s="695"/>
      <c r="W27" s="695"/>
      <c r="X27" s="695"/>
      <c r="Y27" s="695"/>
      <c r="Z27" s="695"/>
      <c r="AA27" s="695"/>
      <c r="AB27" s="695"/>
      <c r="AC27" s="695"/>
    </row>
    <row r="28" spans="1:29" ht="16.899999999999999">
      <c r="A28" s="2">
        <v>26</v>
      </c>
      <c r="B28" s="58" t="str">
        <f>참여자명단!F16 &amp; "(" &amp;참여자명단!G16 &amp; ")"</f>
        <v>이현우(901199-1109002)</v>
      </c>
      <c r="C28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8" s="58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28" s="696" t="s">
        <v>440</v>
      </c>
      <c r="G28" s="696"/>
      <c r="H28" s="696"/>
      <c r="I28" s="696"/>
      <c r="J28" s="696"/>
      <c r="K28" s="696"/>
      <c r="L28" s="696"/>
      <c r="M28" s="696"/>
      <c r="N28" s="696"/>
      <c r="O28" s="696"/>
      <c r="P28" s="696"/>
      <c r="Q28" s="696"/>
      <c r="R28" s="696"/>
      <c r="S28" s="696"/>
      <c r="T28" s="696"/>
      <c r="U28" s="696"/>
      <c r="V28" s="696"/>
      <c r="W28" s="696"/>
      <c r="X28" s="696"/>
      <c r="Y28" s="696"/>
      <c r="Z28" s="696"/>
      <c r="AA28" s="696"/>
      <c r="AB28" s="696"/>
      <c r="AC28" s="696"/>
    </row>
    <row r="29" spans="1:29" ht="17.25" customHeight="1">
      <c r="A29" s="2">
        <v>27</v>
      </c>
      <c r="B29" s="58" t="str">
        <f>참여자명단!F17 &amp; "(" &amp;참여자명단!G17 &amp; ")"</f>
        <v>최예은(941099-1190164)</v>
      </c>
      <c r="C29" s="77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9" s="58" t="str">
        <f>TEXT(LEFT('참여기업 정보'!$F$35, 4), "0")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F29" s="697"/>
      <c r="G29" s="697"/>
      <c r="H29" s="697"/>
      <c r="I29" s="697"/>
      <c r="J29" s="697"/>
      <c r="K29" s="697"/>
      <c r="L29" s="697"/>
      <c r="M29" s="697"/>
      <c r="N29" s="697"/>
      <c r="O29" s="697"/>
      <c r="P29" s="697"/>
      <c r="Q29" s="697"/>
      <c r="R29" s="698" t="s">
        <v>441</v>
      </c>
      <c r="S29" s="698"/>
      <c r="T29" s="698"/>
      <c r="U29" s="698"/>
      <c r="V29" s="698"/>
      <c r="W29" s="698"/>
      <c r="X29" s="699"/>
      <c r="Y29" s="699"/>
      <c r="Z29" s="699"/>
      <c r="AA29" s="699"/>
      <c r="AB29" s="699"/>
      <c r="AC29" s="180" t="s">
        <v>442</v>
      </c>
    </row>
    <row r="30" spans="1:29" ht="17.25" thickBot="1">
      <c r="A30" s="2">
        <v>28</v>
      </c>
      <c r="B30" s="58"/>
      <c r="F30" s="700" t="s">
        <v>443</v>
      </c>
      <c r="G30" s="700"/>
      <c r="H30" s="700"/>
      <c r="I30" s="700"/>
      <c r="J30" s="700"/>
      <c r="K30" s="700"/>
      <c r="L30" s="700"/>
      <c r="M30" s="700"/>
      <c r="N30" s="700"/>
      <c r="O30" s="700"/>
      <c r="P30" s="700"/>
      <c r="Q30" s="700"/>
      <c r="R30" s="700"/>
      <c r="S30" s="700"/>
      <c r="T30" s="700"/>
      <c r="U30" s="700"/>
      <c r="V30" s="700"/>
      <c r="W30" s="700"/>
      <c r="X30" s="700"/>
      <c r="Y30" s="701" t="s">
        <v>444</v>
      </c>
      <c r="Z30" s="701"/>
      <c r="AA30" s="701"/>
      <c r="AB30" s="701"/>
      <c r="AC30" s="701"/>
    </row>
    <row r="31" spans="1:29" ht="17.25" thickTop="1">
      <c r="A31" s="2">
        <v>29</v>
      </c>
      <c r="B31" s="58"/>
      <c r="F31" s="702"/>
      <c r="G31" s="702"/>
      <c r="H31" s="702"/>
      <c r="I31" s="702"/>
      <c r="J31" s="702"/>
      <c r="K31" s="702"/>
      <c r="L31" s="702"/>
      <c r="M31" s="702"/>
      <c r="N31" s="702"/>
      <c r="O31" s="702"/>
      <c r="P31" s="702"/>
      <c r="Q31" s="702"/>
      <c r="R31" s="702"/>
      <c r="S31" s="702"/>
      <c r="T31" s="702"/>
      <c r="U31" s="702"/>
      <c r="V31" s="702"/>
      <c r="W31" s="702"/>
      <c r="X31" s="702"/>
      <c r="Y31" s="702"/>
      <c r="Z31" s="702"/>
      <c r="AA31" s="702"/>
      <c r="AB31" s="702"/>
      <c r="AC31" s="702"/>
    </row>
    <row r="32" spans="1:29" ht="16.899999999999999">
      <c r="A32" s="2">
        <v>30</v>
      </c>
      <c r="B32" s="58"/>
      <c r="F32" s="703" t="s">
        <v>445</v>
      </c>
      <c r="G32" s="703"/>
      <c r="H32" s="704"/>
      <c r="I32" s="707" t="s">
        <v>446</v>
      </c>
      <c r="J32" s="708"/>
      <c r="K32" s="708"/>
      <c r="L32" s="708"/>
      <c r="M32" s="708"/>
      <c r="N32" s="708"/>
      <c r="O32" s="708"/>
      <c r="P32" s="708"/>
      <c r="Q32" s="708"/>
      <c r="R32" s="708"/>
      <c r="S32" s="708"/>
      <c r="T32" s="708"/>
      <c r="U32" s="708"/>
      <c r="V32" s="708"/>
      <c r="W32" s="708"/>
      <c r="X32" s="708"/>
      <c r="Y32" s="708"/>
      <c r="Z32" s="708"/>
      <c r="AA32" s="708"/>
      <c r="AB32" s="708"/>
      <c r="AC32" s="708"/>
    </row>
    <row r="33" spans="1:29" ht="17.25" thickBot="1">
      <c r="A33" s="2">
        <v>31</v>
      </c>
      <c r="B33" s="58"/>
      <c r="F33" s="705"/>
      <c r="G33" s="705"/>
      <c r="H33" s="706"/>
      <c r="I33" s="709" t="s">
        <v>447</v>
      </c>
      <c r="J33" s="710"/>
      <c r="K33" s="710"/>
      <c r="L33" s="710"/>
      <c r="M33" s="710"/>
      <c r="N33" s="710"/>
      <c r="O33" s="710"/>
      <c r="P33" s="710"/>
      <c r="Q33" s="710"/>
      <c r="R33" s="710"/>
      <c r="S33" s="710"/>
      <c r="T33" s="710"/>
      <c r="U33" s="710"/>
      <c r="V33" s="710"/>
      <c r="W33" s="710"/>
      <c r="X33" s="710"/>
      <c r="Y33" s="710"/>
      <c r="Z33" s="710"/>
      <c r="AA33" s="710"/>
      <c r="AB33" s="710"/>
      <c r="AC33" s="710"/>
    </row>
    <row r="34" spans="1:29" ht="17.25" thickBot="1">
      <c r="A34" s="2">
        <v>32</v>
      </c>
      <c r="B34" s="58"/>
      <c r="F34" s="711" t="s">
        <v>448</v>
      </c>
      <c r="G34" s="711"/>
      <c r="H34" s="711"/>
      <c r="I34" s="711"/>
      <c r="J34" s="711"/>
      <c r="K34" s="711"/>
      <c r="L34" s="711"/>
      <c r="M34" s="711"/>
      <c r="N34" s="711"/>
      <c r="O34" s="711"/>
      <c r="P34" s="711"/>
      <c r="Q34" s="711"/>
      <c r="R34" s="711"/>
      <c r="S34" s="711"/>
      <c r="T34" s="711"/>
      <c r="U34" s="711"/>
      <c r="V34" s="711"/>
      <c r="W34" s="711"/>
      <c r="X34" s="711"/>
      <c r="Y34" s="711"/>
      <c r="Z34" s="711"/>
      <c r="AA34" s="711"/>
      <c r="AB34" s="711"/>
      <c r="AC34" s="711"/>
    </row>
    <row r="35" spans="1:29" ht="16.899999999999999">
      <c r="A35" s="2">
        <v>33</v>
      </c>
      <c r="B35" s="58"/>
      <c r="F35" s="712" t="s">
        <v>449</v>
      </c>
      <c r="G35" s="714" t="s">
        <v>450</v>
      </c>
      <c r="H35" s="715"/>
      <c r="I35" s="715"/>
      <c r="J35" s="715"/>
      <c r="K35" s="715"/>
      <c r="L35" s="715"/>
      <c r="M35" s="715"/>
      <c r="N35" s="715"/>
      <c r="O35" s="716"/>
      <c r="P35" s="714" t="s">
        <v>415</v>
      </c>
      <c r="Q35" s="715"/>
      <c r="R35" s="715"/>
      <c r="S35" s="715"/>
      <c r="T35" s="715"/>
      <c r="U35" s="715"/>
      <c r="V35" s="716"/>
      <c r="W35" s="714" t="s">
        <v>451</v>
      </c>
      <c r="X35" s="715"/>
      <c r="Y35" s="715"/>
      <c r="Z35" s="715"/>
      <c r="AA35" s="715"/>
      <c r="AB35" s="715"/>
      <c r="AC35" s="715"/>
    </row>
    <row r="36" spans="1:29" ht="17.25">
      <c r="A36" s="2">
        <v>34</v>
      </c>
      <c r="B36" s="58"/>
      <c r="F36" s="713"/>
      <c r="G36" s="717"/>
      <c r="H36" s="718"/>
      <c r="I36" s="718"/>
      <c r="J36" s="718"/>
      <c r="K36" s="718"/>
      <c r="L36" s="718"/>
      <c r="M36" s="718"/>
      <c r="N36" s="718"/>
      <c r="O36" s="719"/>
      <c r="P36" s="720"/>
      <c r="Q36" s="721"/>
      <c r="R36" s="721"/>
      <c r="S36" s="721"/>
      <c r="T36" s="721"/>
      <c r="U36" s="721"/>
      <c r="V36" s="722"/>
      <c r="W36" s="717"/>
      <c r="X36" s="718"/>
      <c r="Y36" s="718"/>
      <c r="Z36" s="718"/>
      <c r="AA36" s="718"/>
      <c r="AB36" s="718"/>
      <c r="AC36" s="718"/>
    </row>
    <row r="37" spans="1:29" ht="16.899999999999999">
      <c r="A37" s="2">
        <v>35</v>
      </c>
      <c r="B37" s="58"/>
      <c r="F37" s="740" t="s">
        <v>452</v>
      </c>
      <c r="G37" s="723" t="s">
        <v>453</v>
      </c>
      <c r="H37" s="724"/>
      <c r="I37" s="725"/>
      <c r="J37" s="742"/>
      <c r="K37" s="743"/>
      <c r="L37" s="723" t="s">
        <v>454</v>
      </c>
      <c r="M37" s="724"/>
      <c r="N37" s="724"/>
      <c r="O37" s="725"/>
      <c r="P37" s="742"/>
      <c r="Q37" s="746"/>
      <c r="R37" s="746"/>
      <c r="S37" s="743"/>
      <c r="T37" s="723" t="s">
        <v>455</v>
      </c>
      <c r="U37" s="724"/>
      <c r="V37" s="725"/>
      <c r="W37" s="729"/>
      <c r="X37" s="730"/>
      <c r="Y37" s="730"/>
      <c r="Z37" s="730"/>
      <c r="AA37" s="731"/>
      <c r="AB37" s="735" t="s">
        <v>456</v>
      </c>
      <c r="AC37" s="736"/>
    </row>
    <row r="38" spans="1:29" ht="17.25" thickBot="1">
      <c r="A38" s="2">
        <v>36</v>
      </c>
      <c r="B38" s="58"/>
      <c r="F38" s="741"/>
      <c r="G38" s="726"/>
      <c r="H38" s="727"/>
      <c r="I38" s="728"/>
      <c r="J38" s="744"/>
      <c r="K38" s="745"/>
      <c r="L38" s="726"/>
      <c r="M38" s="727"/>
      <c r="N38" s="727"/>
      <c r="O38" s="728"/>
      <c r="P38" s="744"/>
      <c r="Q38" s="747"/>
      <c r="R38" s="747"/>
      <c r="S38" s="745"/>
      <c r="T38" s="726"/>
      <c r="U38" s="727"/>
      <c r="V38" s="728"/>
      <c r="W38" s="732"/>
      <c r="X38" s="733"/>
      <c r="Y38" s="733"/>
      <c r="Z38" s="733"/>
      <c r="AA38" s="734"/>
      <c r="AB38" s="737" t="s">
        <v>457</v>
      </c>
      <c r="AC38" s="738"/>
    </row>
    <row r="39" spans="1:29" ht="16.899999999999999">
      <c r="A39" s="2">
        <v>37</v>
      </c>
      <c r="B39" s="58"/>
      <c r="F39" s="739"/>
      <c r="G39" s="739"/>
      <c r="H39" s="739"/>
      <c r="I39" s="739"/>
      <c r="J39" s="739"/>
      <c r="K39" s="739"/>
      <c r="L39" s="739"/>
      <c r="M39" s="739"/>
      <c r="N39" s="739"/>
      <c r="O39" s="739"/>
      <c r="P39" s="739"/>
      <c r="Q39" s="739"/>
      <c r="R39" s="739"/>
      <c r="S39" s="739"/>
      <c r="T39" s="739"/>
      <c r="U39" s="739"/>
      <c r="V39" s="739"/>
      <c r="W39" s="739"/>
      <c r="X39" s="739"/>
      <c r="Y39" s="739"/>
      <c r="Z39" s="739"/>
      <c r="AA39" s="739"/>
      <c r="AB39" s="739"/>
      <c r="AC39" s="739"/>
    </row>
    <row r="40" spans="1:29" ht="16.899999999999999">
      <c r="A40" s="2">
        <v>38</v>
      </c>
      <c r="B40" s="58"/>
    </row>
    <row r="41" spans="1:29" ht="16.899999999999999">
      <c r="A41" s="2">
        <v>39</v>
      </c>
      <c r="B41" s="58"/>
    </row>
    <row r="42" spans="1:29" ht="16.899999999999999">
      <c r="A42" s="2">
        <v>40</v>
      </c>
      <c r="B42" s="58"/>
    </row>
    <row r="43" spans="1:29" ht="16.899999999999999">
      <c r="A43" s="2">
        <v>41</v>
      </c>
      <c r="B43" s="58"/>
    </row>
    <row r="44" spans="1:29" ht="16.899999999999999">
      <c r="A44" s="2">
        <v>42</v>
      </c>
      <c r="B44" s="58"/>
    </row>
    <row r="45" spans="1:29" ht="16.899999999999999">
      <c r="A45" s="2">
        <v>43</v>
      </c>
      <c r="B45" s="58"/>
    </row>
    <row r="46" spans="1:29" ht="16.899999999999999">
      <c r="A46" s="2">
        <v>44</v>
      </c>
      <c r="B46" s="58"/>
    </row>
    <row r="47" spans="1:29" ht="16.899999999999999">
      <c r="A47" s="2">
        <v>45</v>
      </c>
      <c r="B47" s="58"/>
    </row>
    <row r="48" spans="1:29" ht="16.899999999999999">
      <c r="A48" s="2">
        <v>46</v>
      </c>
      <c r="B48" s="58"/>
    </row>
    <row r="49" spans="1:2" ht="16.899999999999999">
      <c r="A49" s="2">
        <v>47</v>
      </c>
      <c r="B49" s="58"/>
    </row>
    <row r="50" spans="1:2" ht="16.899999999999999">
      <c r="A50" s="2">
        <v>48</v>
      </c>
      <c r="B50" s="58"/>
    </row>
    <row r="51" spans="1:2" ht="16.899999999999999">
      <c r="A51" s="2">
        <v>49</v>
      </c>
      <c r="B51" s="58"/>
    </row>
    <row r="52" spans="1:2" ht="16.899999999999999">
      <c r="A52" s="2">
        <v>50</v>
      </c>
      <c r="B52" s="58"/>
    </row>
    <row r="53" spans="1:2" ht="16.899999999999999">
      <c r="A53" s="2">
        <v>51</v>
      </c>
      <c r="B53" s="58"/>
    </row>
    <row r="54" spans="1:2" ht="16.899999999999999">
      <c r="A54" s="2">
        <v>52</v>
      </c>
      <c r="B54" s="58"/>
    </row>
    <row r="55" spans="1:2" ht="16.899999999999999">
      <c r="A55" s="2">
        <v>53</v>
      </c>
      <c r="B55" s="58"/>
    </row>
    <row r="56" spans="1:2" ht="16.899999999999999">
      <c r="A56" s="2">
        <v>54</v>
      </c>
      <c r="B56" s="58"/>
    </row>
    <row r="57" spans="1:2" ht="16.899999999999999">
      <c r="A57" s="2">
        <v>55</v>
      </c>
      <c r="B57" s="58"/>
    </row>
    <row r="58" spans="1:2" ht="16.899999999999999">
      <c r="A58" s="2">
        <v>56</v>
      </c>
      <c r="B58" s="58"/>
    </row>
    <row r="59" spans="1:2" ht="16.899999999999999">
      <c r="A59" s="2">
        <v>57</v>
      </c>
      <c r="B59" s="58"/>
    </row>
    <row r="60" spans="1:2" ht="16.899999999999999">
      <c r="A60" s="2">
        <v>58</v>
      </c>
      <c r="B60" s="58"/>
    </row>
    <row r="61" spans="1:2" ht="16.899999999999999">
      <c r="A61" s="2">
        <v>59</v>
      </c>
      <c r="B61" s="58"/>
    </row>
    <row r="62" spans="1:2" ht="16.899999999999999">
      <c r="A62" s="2">
        <v>60</v>
      </c>
      <c r="B62" s="58"/>
    </row>
    <row r="63" spans="1:2" ht="16.899999999999999">
      <c r="A63" s="2">
        <v>61</v>
      </c>
      <c r="B63" s="58"/>
    </row>
  </sheetData>
  <mergeCells count="100">
    <mergeCell ref="T37:V38"/>
    <mergeCell ref="W37:AA38"/>
    <mergeCell ref="AB37:AC37"/>
    <mergeCell ref="AB38:AC38"/>
    <mergeCell ref="F39:AC39"/>
    <mergeCell ref="F37:F38"/>
    <mergeCell ref="G37:I38"/>
    <mergeCell ref="J37:K38"/>
    <mergeCell ref="L37:O38"/>
    <mergeCell ref="P37:S38"/>
    <mergeCell ref="F34:AC34"/>
    <mergeCell ref="F35:F36"/>
    <mergeCell ref="G35:O35"/>
    <mergeCell ref="P35:V35"/>
    <mergeCell ref="W35:AC35"/>
    <mergeCell ref="G36:O36"/>
    <mergeCell ref="P36:V36"/>
    <mergeCell ref="W36:AC36"/>
    <mergeCell ref="F30:X30"/>
    <mergeCell ref="Y30:AC30"/>
    <mergeCell ref="F31:AC31"/>
    <mergeCell ref="F32:H33"/>
    <mergeCell ref="I32:AC32"/>
    <mergeCell ref="I33:AC33"/>
    <mergeCell ref="F27:AC27"/>
    <mergeCell ref="F28:AC28"/>
    <mergeCell ref="F29:Q29"/>
    <mergeCell ref="R29:W29"/>
    <mergeCell ref="X29:AB29"/>
    <mergeCell ref="F25:J25"/>
    <mergeCell ref="K25:P25"/>
    <mergeCell ref="Q25:Z25"/>
    <mergeCell ref="AA25:AC25"/>
    <mergeCell ref="F26:AC26"/>
    <mergeCell ref="F23:M23"/>
    <mergeCell ref="N23:T23"/>
    <mergeCell ref="U23:X23"/>
    <mergeCell ref="Y23:AC23"/>
    <mergeCell ref="F24:AC24"/>
    <mergeCell ref="F21:J21"/>
    <mergeCell ref="K21:N21"/>
    <mergeCell ref="O21:AB21"/>
    <mergeCell ref="F22:J22"/>
    <mergeCell ref="K22:N22"/>
    <mergeCell ref="O22:AB22"/>
    <mergeCell ref="F19:J19"/>
    <mergeCell ref="K19:N19"/>
    <mergeCell ref="O19:AB19"/>
    <mergeCell ref="F20:J20"/>
    <mergeCell ref="K20:N20"/>
    <mergeCell ref="O20:AB20"/>
    <mergeCell ref="F17:J17"/>
    <mergeCell ref="K17:N17"/>
    <mergeCell ref="O17:AB17"/>
    <mergeCell ref="F18:J18"/>
    <mergeCell ref="K18:N18"/>
    <mergeCell ref="O18:AB18"/>
    <mergeCell ref="F15:J15"/>
    <mergeCell ref="K15:N15"/>
    <mergeCell ref="O15:AB15"/>
    <mergeCell ref="F16:J16"/>
    <mergeCell ref="K16:N16"/>
    <mergeCell ref="O16:AB16"/>
    <mergeCell ref="F11:AC11"/>
    <mergeCell ref="F12:J12"/>
    <mergeCell ref="K12:AC12"/>
    <mergeCell ref="F13:J13"/>
    <mergeCell ref="F14:J14"/>
    <mergeCell ref="K13:N13"/>
    <mergeCell ref="K14:N14"/>
    <mergeCell ref="O13:AB13"/>
    <mergeCell ref="O14:AB14"/>
    <mergeCell ref="F8:J8"/>
    <mergeCell ref="K8:AC8"/>
    <mergeCell ref="F9:J10"/>
    <mergeCell ref="K9:L9"/>
    <mergeCell ref="M9:U9"/>
    <mergeCell ref="V9:Z9"/>
    <mergeCell ref="AA9:AC9"/>
    <mergeCell ref="K10:L10"/>
    <mergeCell ref="M10:U10"/>
    <mergeCell ref="V10:Z10"/>
    <mergeCell ref="AA10:AC10"/>
    <mergeCell ref="S7:Y7"/>
    <mergeCell ref="F4:AC4"/>
    <mergeCell ref="F5:J5"/>
    <mergeCell ref="K5:R5"/>
    <mergeCell ref="S5:Y5"/>
    <mergeCell ref="Z5:AC5"/>
    <mergeCell ref="Z6:AC7"/>
    <mergeCell ref="F6:J6"/>
    <mergeCell ref="F7:J7"/>
    <mergeCell ref="K6:R7"/>
    <mergeCell ref="S6:Y6"/>
    <mergeCell ref="B2:C2"/>
    <mergeCell ref="F2:AC2"/>
    <mergeCell ref="F3:G3"/>
    <mergeCell ref="H3:R3"/>
    <mergeCell ref="S3:Y3"/>
    <mergeCell ref="Z3:AC3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</xdr:col>
                    <xdr:colOff>1143000</xdr:colOff>
                    <xdr:row>2</xdr:row>
                    <xdr:rowOff>0</xdr:rowOff>
                  </from>
                  <to>
                    <xdr:col>4</xdr:col>
                    <xdr:colOff>938213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topLeftCell="A9" workbookViewId="0">
      <selection activeCell="G7" sqref="G7:O7"/>
    </sheetView>
    <sheetView workbookViewId="1">
      <selection activeCell="F10" sqref="F10:O11"/>
    </sheetView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 ht="13.15">
      <c r="A1" s="1" t="s">
        <v>468</v>
      </c>
      <c r="B1" s="4">
        <v>1</v>
      </c>
      <c r="C1" s="4">
        <v>2</v>
      </c>
      <c r="D1" s="33">
        <v>3</v>
      </c>
      <c r="E1" s="4">
        <v>4</v>
      </c>
      <c r="F1" s="33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501" t="s">
        <v>128</v>
      </c>
      <c r="C2" s="502"/>
      <c r="D2" s="37"/>
      <c r="E2" s="34"/>
      <c r="F2" s="38"/>
      <c r="G2" s="35"/>
    </row>
    <row r="3" spans="1:38" ht="22.5" customHeight="1">
      <c r="A3" s="3">
        <v>1</v>
      </c>
      <c r="B3" s="499" t="s">
        <v>96</v>
      </c>
      <c r="C3" s="500"/>
      <c r="D3" s="36"/>
      <c r="E3" s="503" t="s">
        <v>478</v>
      </c>
      <c r="F3" s="504"/>
      <c r="G3" s="504"/>
      <c r="H3" s="504"/>
      <c r="I3" s="504"/>
      <c r="J3" s="504"/>
      <c r="K3" s="504"/>
      <c r="L3" s="504"/>
      <c r="M3" s="504"/>
      <c r="N3" s="504"/>
      <c r="O3" s="505"/>
    </row>
    <row r="4" spans="1:38" ht="17.25" thickBot="1">
      <c r="A4" s="3">
        <v>2</v>
      </c>
      <c r="B4" s="39" t="s">
        <v>83</v>
      </c>
      <c r="C4" s="23" t="s">
        <v>109</v>
      </c>
      <c r="D4" s="26"/>
      <c r="E4" s="506" t="s">
        <v>479</v>
      </c>
      <c r="F4" s="507"/>
      <c r="G4" s="507"/>
      <c r="H4" s="507"/>
      <c r="I4" s="507"/>
      <c r="J4" s="507"/>
      <c r="K4" s="507"/>
      <c r="L4" s="507"/>
      <c r="M4" s="507"/>
      <c r="N4" s="507"/>
      <c r="O4" s="507"/>
    </row>
    <row r="5" spans="1:38" ht="17.25" thickTop="1">
      <c r="A5" s="3">
        <v>3</v>
      </c>
      <c r="B5" s="7" t="s">
        <v>84</v>
      </c>
      <c r="C5" s="16" t="s">
        <v>103</v>
      </c>
      <c r="D5" s="26"/>
      <c r="E5" s="190" t="s">
        <v>480</v>
      </c>
      <c r="F5" s="508" t="s">
        <v>480</v>
      </c>
      <c r="G5" s="509"/>
      <c r="H5" s="509"/>
      <c r="I5" s="510"/>
      <c r="J5" s="511" t="s">
        <v>417</v>
      </c>
      <c r="K5" s="512"/>
      <c r="L5" s="513"/>
      <c r="M5" s="514" t="s">
        <v>417</v>
      </c>
      <c r="N5" s="515"/>
      <c r="O5" s="516"/>
    </row>
    <row r="6" spans="1:38" ht="16.899999999999999">
      <c r="A6" s="3">
        <v>4</v>
      </c>
      <c r="B6" s="7" t="s">
        <v>85</v>
      </c>
      <c r="C6" s="10" t="s">
        <v>110</v>
      </c>
      <c r="D6" s="27"/>
      <c r="E6" s="191" t="s">
        <v>2</v>
      </c>
      <c r="F6" s="517" t="s">
        <v>2</v>
      </c>
      <c r="G6" s="518"/>
      <c r="H6" s="518"/>
      <c r="I6" s="519"/>
      <c r="J6" s="520" t="s">
        <v>481</v>
      </c>
      <c r="K6" s="521"/>
      <c r="L6" s="522"/>
      <c r="M6" s="523" t="s">
        <v>481</v>
      </c>
      <c r="N6" s="524"/>
      <c r="O6" s="525"/>
    </row>
    <row r="7" spans="1:38" ht="16.899999999999999">
      <c r="A7" s="3">
        <v>5</v>
      </c>
      <c r="B7" s="7" t="s">
        <v>86</v>
      </c>
      <c r="C7" s="16" t="s">
        <v>111</v>
      </c>
      <c r="D7" s="26"/>
      <c r="E7" s="526" t="s">
        <v>482</v>
      </c>
      <c r="F7" s="193" t="s">
        <v>483</v>
      </c>
      <c r="G7" s="528" t="s">
        <v>484</v>
      </c>
      <c r="H7" s="528"/>
      <c r="I7" s="528"/>
      <c r="J7" s="528"/>
      <c r="K7" s="528"/>
      <c r="L7" s="528"/>
      <c r="M7" s="528"/>
      <c r="N7" s="528"/>
      <c r="O7" s="529"/>
    </row>
    <row r="8" spans="1:38" ht="16.899999999999999">
      <c r="A8" s="3">
        <v>6</v>
      </c>
      <c r="B8" s="7" t="s">
        <v>87</v>
      </c>
      <c r="C8" s="16" t="s">
        <v>112</v>
      </c>
      <c r="D8" s="26"/>
      <c r="E8" s="527"/>
      <c r="F8" s="194" t="s">
        <v>485</v>
      </c>
      <c r="G8" s="530" t="s">
        <v>486</v>
      </c>
      <c r="H8" s="530"/>
      <c r="I8" s="530"/>
      <c r="J8" s="530"/>
      <c r="K8" s="530"/>
      <c r="L8" s="530"/>
      <c r="M8" s="530"/>
      <c r="N8" s="530"/>
      <c r="O8" s="531"/>
    </row>
    <row r="9" spans="1:38" ht="16.899999999999999">
      <c r="A9" s="3">
        <v>7</v>
      </c>
      <c r="B9" s="7" t="s">
        <v>88</v>
      </c>
      <c r="C9" s="16" t="s">
        <v>112</v>
      </c>
      <c r="D9" s="26"/>
      <c r="E9" s="191" t="s">
        <v>487</v>
      </c>
      <c r="F9" s="517" t="s">
        <v>487</v>
      </c>
      <c r="G9" s="518"/>
      <c r="H9" s="518"/>
      <c r="I9" s="518"/>
      <c r="J9" s="518"/>
      <c r="K9" s="518"/>
      <c r="L9" s="518"/>
      <c r="M9" s="518"/>
      <c r="N9" s="518"/>
      <c r="O9" s="532"/>
    </row>
    <row r="10" spans="1:38" ht="25.5">
      <c r="A10" s="3">
        <v>8</v>
      </c>
      <c r="B10" s="7" t="s">
        <v>89</v>
      </c>
      <c r="C10" s="53" t="s">
        <v>104</v>
      </c>
      <c r="D10" s="26"/>
      <c r="E10" s="192" t="s">
        <v>488</v>
      </c>
      <c r="F10" s="533" t="s">
        <v>490</v>
      </c>
      <c r="G10" s="534"/>
      <c r="H10" s="534"/>
      <c r="I10" s="534"/>
      <c r="J10" s="534"/>
      <c r="K10" s="534"/>
      <c r="L10" s="534"/>
      <c r="M10" s="534"/>
      <c r="N10" s="534"/>
      <c r="O10" s="535"/>
    </row>
    <row r="11" spans="1:38" ht="19.149999999999999" thickBot="1">
      <c r="A11" s="3">
        <v>9</v>
      </c>
      <c r="B11" s="7" t="s">
        <v>90</v>
      </c>
      <c r="C11" s="16" t="s">
        <v>113</v>
      </c>
      <c r="D11" s="28"/>
      <c r="E11" s="195" t="s">
        <v>489</v>
      </c>
      <c r="F11" s="536"/>
      <c r="G11" s="537"/>
      <c r="H11" s="537"/>
      <c r="I11" s="537"/>
      <c r="J11" s="537"/>
      <c r="K11" s="537"/>
      <c r="L11" s="537"/>
      <c r="M11" s="537"/>
      <c r="N11" s="537"/>
      <c r="O11" s="538"/>
    </row>
    <row r="12" spans="1:38" ht="19.5" thickTop="1" thickBot="1">
      <c r="A12" s="3">
        <v>10</v>
      </c>
      <c r="B12" s="25"/>
      <c r="C12" s="67"/>
      <c r="D12" s="68"/>
      <c r="E12" s="539"/>
      <c r="F12" s="540"/>
      <c r="G12" s="540"/>
      <c r="H12" s="540"/>
      <c r="I12" s="540"/>
      <c r="J12" s="540"/>
      <c r="K12" s="540"/>
      <c r="L12" s="540"/>
      <c r="M12" s="540"/>
      <c r="N12" s="540"/>
      <c r="O12" s="540"/>
    </row>
    <row r="13" spans="1:38" ht="25.9" thickTop="1">
      <c r="A13" s="3">
        <v>11</v>
      </c>
      <c r="B13" s="7" t="s">
        <v>91</v>
      </c>
      <c r="C13" s="40" t="s">
        <v>114</v>
      </c>
      <c r="D13" s="29"/>
      <c r="E13" s="541" t="s">
        <v>421</v>
      </c>
      <c r="F13" s="511" t="s">
        <v>491</v>
      </c>
      <c r="G13" s="513"/>
      <c r="H13" s="508" t="s">
        <v>492</v>
      </c>
      <c r="I13" s="509"/>
      <c r="J13" s="510"/>
      <c r="K13" s="196" t="s">
        <v>175</v>
      </c>
      <c r="L13" s="508" t="s">
        <v>493</v>
      </c>
      <c r="M13" s="510"/>
      <c r="N13" s="196" t="s">
        <v>494</v>
      </c>
      <c r="O13" s="197" t="s">
        <v>495</v>
      </c>
    </row>
    <row r="14" spans="1:38" ht="17.25" thickBot="1">
      <c r="A14" s="3">
        <v>12</v>
      </c>
      <c r="B14" s="7" t="s">
        <v>92</v>
      </c>
      <c r="C14" s="41" t="s">
        <v>115</v>
      </c>
      <c r="D14" s="31"/>
      <c r="E14" s="542"/>
      <c r="F14" s="543" t="s">
        <v>422</v>
      </c>
      <c r="G14" s="544"/>
      <c r="H14" s="545" t="s">
        <v>496</v>
      </c>
      <c r="I14" s="546"/>
      <c r="J14" s="547"/>
      <c r="K14" s="198" t="s">
        <v>20</v>
      </c>
      <c r="L14" s="548" t="s">
        <v>497</v>
      </c>
      <c r="M14" s="549"/>
      <c r="N14" s="549"/>
      <c r="O14" s="550"/>
    </row>
    <row r="15" spans="1:38" ht="17.649999999999999" thickTop="1" thickBot="1">
      <c r="A15" s="3">
        <v>13</v>
      </c>
      <c r="B15" s="7" t="s">
        <v>93</v>
      </c>
      <c r="C15" s="42" t="s">
        <v>116</v>
      </c>
      <c r="D15" s="30"/>
      <c r="E15" s="551" t="s">
        <v>498</v>
      </c>
      <c r="F15" s="551"/>
      <c r="G15" s="551"/>
      <c r="H15" s="551"/>
      <c r="I15" s="551"/>
      <c r="J15" s="551"/>
      <c r="K15" s="551"/>
      <c r="L15" s="551"/>
      <c r="M15" s="551"/>
      <c r="N15" s="551"/>
      <c r="O15" s="551"/>
    </row>
    <row r="16" spans="1:38" ht="17.25" thickTop="1">
      <c r="A16" s="3">
        <v>14</v>
      </c>
      <c r="B16" s="7" t="s">
        <v>94</v>
      </c>
      <c r="C16" s="41" t="s">
        <v>105</v>
      </c>
      <c r="D16" s="30"/>
      <c r="E16" s="190" t="s">
        <v>499</v>
      </c>
      <c r="F16" s="552" t="s">
        <v>500</v>
      </c>
      <c r="G16" s="553"/>
      <c r="H16" s="553"/>
      <c r="I16" s="553"/>
      <c r="J16" s="553"/>
      <c r="K16" s="553"/>
      <c r="L16" s="553"/>
      <c r="M16" s="553"/>
      <c r="N16" s="553"/>
      <c r="O16" s="554"/>
    </row>
    <row r="17" spans="1:15" ht="16.899999999999999">
      <c r="A17" s="3">
        <v>15</v>
      </c>
      <c r="B17" s="7" t="s">
        <v>95</v>
      </c>
      <c r="C17" s="54" t="s">
        <v>106</v>
      </c>
      <c r="D17" s="30"/>
      <c r="E17" s="526" t="s">
        <v>501</v>
      </c>
      <c r="F17" s="556" t="s">
        <v>502</v>
      </c>
      <c r="G17" s="557"/>
      <c r="H17" s="558"/>
      <c r="I17" s="559" t="s">
        <v>503</v>
      </c>
      <c r="J17" s="560"/>
      <c r="K17" s="560"/>
      <c r="L17" s="560"/>
      <c r="M17" s="560"/>
      <c r="N17" s="560"/>
      <c r="O17" s="561"/>
    </row>
    <row r="18" spans="1:15" ht="18.75">
      <c r="A18" s="3">
        <v>16</v>
      </c>
      <c r="B18" s="499" t="s">
        <v>117</v>
      </c>
      <c r="C18" s="500"/>
      <c r="D18" s="32"/>
      <c r="E18" s="555"/>
      <c r="F18" s="556" t="s">
        <v>504</v>
      </c>
      <c r="G18" s="557"/>
      <c r="H18" s="558"/>
      <c r="I18" s="559" t="s">
        <v>505</v>
      </c>
      <c r="J18" s="560"/>
      <c r="K18" s="560"/>
      <c r="L18" s="560"/>
      <c r="M18" s="560"/>
      <c r="N18" s="560"/>
      <c r="O18" s="561"/>
    </row>
    <row r="19" spans="1:15" ht="19.149999999999999">
      <c r="A19" s="3">
        <v>17</v>
      </c>
      <c r="B19" s="188" t="s">
        <v>469</v>
      </c>
      <c r="D19" s="30"/>
      <c r="E19" s="555"/>
      <c r="F19" s="562" t="s">
        <v>506</v>
      </c>
      <c r="G19" s="563"/>
      <c r="H19" s="564"/>
      <c r="I19" s="568" t="s">
        <v>507</v>
      </c>
      <c r="J19" s="569"/>
      <c r="K19" s="569"/>
      <c r="L19" s="569"/>
      <c r="M19" s="569"/>
      <c r="N19" s="569"/>
      <c r="O19" s="570"/>
    </row>
    <row r="20" spans="1:15" ht="16.899999999999999">
      <c r="A20" s="3">
        <v>18</v>
      </c>
      <c r="B20" s="7" t="s">
        <v>97</v>
      </c>
      <c r="C20" s="41" t="s">
        <v>108</v>
      </c>
      <c r="D20" s="30"/>
      <c r="E20" s="555"/>
      <c r="F20" s="565"/>
      <c r="G20" s="566"/>
      <c r="H20" s="567"/>
      <c r="I20" s="571" t="s">
        <v>508</v>
      </c>
      <c r="J20" s="572"/>
      <c r="K20" s="572"/>
      <c r="L20" s="572"/>
      <c r="M20" s="572"/>
      <c r="N20" s="572"/>
      <c r="O20" s="573"/>
    </row>
    <row r="21" spans="1:15" ht="16.899999999999999">
      <c r="A21" s="3">
        <v>19</v>
      </c>
      <c r="B21" s="7" t="s">
        <v>98</v>
      </c>
      <c r="C21" s="41" t="s">
        <v>118</v>
      </c>
      <c r="D21" s="30"/>
      <c r="E21" s="527"/>
      <c r="F21" s="556" t="s">
        <v>509</v>
      </c>
      <c r="G21" s="557"/>
      <c r="H21" s="558"/>
      <c r="I21" s="559" t="s">
        <v>510</v>
      </c>
      <c r="J21" s="560"/>
      <c r="K21" s="560"/>
      <c r="L21" s="560"/>
      <c r="M21" s="560"/>
      <c r="N21" s="560"/>
      <c r="O21" s="561"/>
    </row>
    <row r="22" spans="1:15" ht="17.25" thickBot="1">
      <c r="A22" s="3">
        <v>20</v>
      </c>
      <c r="B22" s="7" t="s">
        <v>99</v>
      </c>
      <c r="C22" s="42" t="s">
        <v>119</v>
      </c>
      <c r="D22" s="30"/>
      <c r="E22" s="199" t="s">
        <v>511</v>
      </c>
      <c r="F22" s="574"/>
      <c r="G22" s="575"/>
      <c r="H22" s="575"/>
      <c r="I22" s="575"/>
      <c r="J22" s="575"/>
      <c r="K22" s="575"/>
      <c r="L22" s="575"/>
      <c r="M22" s="575"/>
      <c r="N22" s="575"/>
      <c r="O22" s="576"/>
    </row>
    <row r="23" spans="1:15" ht="17.25" thickTop="1">
      <c r="A23" s="3">
        <v>21</v>
      </c>
      <c r="B23" s="7" t="s">
        <v>100</v>
      </c>
      <c r="C23" s="41" t="s">
        <v>120</v>
      </c>
      <c r="D23" s="30"/>
      <c r="E23" s="30"/>
      <c r="F23" s="30"/>
    </row>
    <row r="24" spans="1:15" ht="19.899999999999999" thickBot="1">
      <c r="A24" s="3">
        <v>22</v>
      </c>
      <c r="B24" s="7" t="s">
        <v>470</v>
      </c>
      <c r="C24" s="55" t="s">
        <v>45</v>
      </c>
      <c r="D24" s="30"/>
      <c r="E24" s="577" t="s">
        <v>512</v>
      </c>
      <c r="F24" s="577"/>
      <c r="G24" s="577"/>
      <c r="H24" s="577"/>
      <c r="I24" s="577"/>
      <c r="J24" s="577"/>
      <c r="K24" s="577"/>
      <c r="L24" s="577"/>
      <c r="M24" s="577"/>
      <c r="N24" s="577"/>
    </row>
    <row r="25" spans="1:15" ht="19.899999999999999" thickTop="1">
      <c r="A25" s="3">
        <v>23</v>
      </c>
      <c r="B25" s="7" t="s">
        <v>472</v>
      </c>
      <c r="C25" s="56" t="s">
        <v>47</v>
      </c>
      <c r="D25" s="30"/>
      <c r="E25" s="190" t="s">
        <v>513</v>
      </c>
      <c r="F25" s="578" t="s">
        <v>514</v>
      </c>
      <c r="G25" s="579"/>
      <c r="H25" s="579"/>
      <c r="I25" s="579"/>
      <c r="J25" s="579"/>
      <c r="K25" s="579"/>
      <c r="L25" s="579"/>
      <c r="M25" s="579"/>
      <c r="N25" s="580"/>
    </row>
    <row r="26" spans="1:15" ht="19.5">
      <c r="A26" s="3">
        <v>24</v>
      </c>
      <c r="B26" s="7" t="s">
        <v>471</v>
      </c>
      <c r="C26" s="57" t="s">
        <v>49</v>
      </c>
      <c r="D26" s="30"/>
      <c r="E26" s="191" t="s">
        <v>515</v>
      </c>
      <c r="F26" s="581" t="s">
        <v>516</v>
      </c>
      <c r="G26" s="582"/>
      <c r="H26" s="582"/>
      <c r="I26" s="582"/>
      <c r="J26" s="582"/>
      <c r="K26" s="582"/>
      <c r="L26" s="582"/>
      <c r="M26" s="582"/>
      <c r="N26" s="583"/>
    </row>
    <row r="27" spans="1:15" ht="19.5">
      <c r="A27" s="3">
        <v>25</v>
      </c>
      <c r="B27" s="7" t="s">
        <v>473</v>
      </c>
      <c r="C27" s="56" t="s">
        <v>51</v>
      </c>
      <c r="D27" s="30"/>
      <c r="E27" s="191" t="s">
        <v>517</v>
      </c>
      <c r="F27" s="517" t="s">
        <v>517</v>
      </c>
      <c r="G27" s="518"/>
      <c r="H27" s="518"/>
      <c r="I27" s="518"/>
      <c r="J27" s="518"/>
      <c r="K27" s="518"/>
      <c r="L27" s="518"/>
      <c r="M27" s="518"/>
      <c r="N27" s="532"/>
    </row>
    <row r="28" spans="1:15" ht="19.5">
      <c r="A28" s="3">
        <v>26</v>
      </c>
      <c r="B28" s="189" t="s">
        <v>476</v>
      </c>
      <c r="C28" s="55" t="s">
        <v>53</v>
      </c>
      <c r="D28" s="30"/>
      <c r="E28" s="192" t="s">
        <v>518</v>
      </c>
      <c r="F28" s="584" t="s">
        <v>520</v>
      </c>
      <c r="G28" s="585"/>
      <c r="H28" s="585"/>
      <c r="I28" s="585"/>
      <c r="J28" s="585"/>
      <c r="K28" s="585"/>
      <c r="L28" s="585"/>
      <c r="M28" s="585"/>
      <c r="N28" s="586"/>
    </row>
    <row r="29" spans="1:15" ht="19.5">
      <c r="A29" s="3">
        <v>27</v>
      </c>
      <c r="B29" s="7" t="s">
        <v>474</v>
      </c>
      <c r="C29" s="56" t="s">
        <v>55</v>
      </c>
      <c r="D29" s="30"/>
      <c r="E29" s="200" t="s">
        <v>519</v>
      </c>
      <c r="F29" s="203" t="s">
        <v>521</v>
      </c>
      <c r="G29" s="203" t="s">
        <v>522</v>
      </c>
      <c r="H29" s="203" t="s">
        <v>523</v>
      </c>
      <c r="I29" s="203" t="s">
        <v>524</v>
      </c>
      <c r="J29" s="203" t="s">
        <v>525</v>
      </c>
      <c r="K29" s="203" t="s">
        <v>526</v>
      </c>
      <c r="L29" s="203" t="s">
        <v>527</v>
      </c>
      <c r="M29" s="203" t="s">
        <v>528</v>
      </c>
      <c r="N29" s="206" t="s">
        <v>529</v>
      </c>
    </row>
    <row r="30" spans="1:15" ht="19.5">
      <c r="A30" s="3">
        <v>28</v>
      </c>
      <c r="B30" s="7" t="s">
        <v>477</v>
      </c>
      <c r="C30" s="57" t="s">
        <v>57</v>
      </c>
      <c r="D30" s="30"/>
      <c r="E30" s="201"/>
      <c r="F30" s="204" t="s">
        <v>530</v>
      </c>
      <c r="G30" s="205" t="s">
        <v>531</v>
      </c>
      <c r="H30" s="205" t="s">
        <v>532</v>
      </c>
      <c r="I30" s="205" t="s">
        <v>532</v>
      </c>
      <c r="J30" s="205" t="s">
        <v>532</v>
      </c>
      <c r="K30" s="205" t="s">
        <v>532</v>
      </c>
      <c r="L30" s="205" t="s">
        <v>532</v>
      </c>
      <c r="M30" s="205" t="s">
        <v>531</v>
      </c>
      <c r="N30" s="207" t="s">
        <v>533</v>
      </c>
    </row>
    <row r="31" spans="1:15" ht="19.5">
      <c r="A31" s="3">
        <v>29</v>
      </c>
      <c r="B31" s="7" t="s">
        <v>475</v>
      </c>
      <c r="C31" s="56" t="s">
        <v>59</v>
      </c>
      <c r="E31" s="201"/>
      <c r="F31" s="204" t="s">
        <v>534</v>
      </c>
      <c r="G31" s="205">
        <v>0</v>
      </c>
      <c r="H31" s="205">
        <v>5</v>
      </c>
      <c r="I31" s="205">
        <v>5</v>
      </c>
      <c r="J31" s="205">
        <v>5</v>
      </c>
      <c r="K31" s="205">
        <v>5</v>
      </c>
      <c r="L31" s="205">
        <v>5</v>
      </c>
      <c r="M31" s="205">
        <v>0</v>
      </c>
      <c r="N31" s="207" t="s">
        <v>535</v>
      </c>
    </row>
    <row r="32" spans="1:15" ht="16.899999999999999">
      <c r="A32" s="3">
        <v>30</v>
      </c>
      <c r="B32" s="7" t="s">
        <v>101</v>
      </c>
      <c r="C32" s="41" t="s">
        <v>121</v>
      </c>
      <c r="E32" s="201"/>
      <c r="F32" s="587" t="s">
        <v>536</v>
      </c>
      <c r="G32" s="588"/>
      <c r="H32" s="588"/>
      <c r="I32" s="588"/>
      <c r="J32" s="588"/>
      <c r="K32" s="588"/>
      <c r="L32" s="588"/>
      <c r="M32" s="588"/>
      <c r="N32" s="589"/>
    </row>
    <row r="33" spans="1:14" ht="19.5">
      <c r="A33" s="3">
        <v>31</v>
      </c>
      <c r="B33" s="146" t="s">
        <v>571</v>
      </c>
      <c r="C33" s="41" t="s">
        <v>122</v>
      </c>
      <c r="E33" s="202"/>
      <c r="F33" s="590" t="s">
        <v>537</v>
      </c>
      <c r="G33" s="591"/>
      <c r="H33" s="591"/>
      <c r="I33" s="591"/>
      <c r="J33" s="591"/>
      <c r="K33" s="591"/>
      <c r="L33" s="591"/>
      <c r="M33" s="591"/>
      <c r="N33" s="592"/>
    </row>
    <row r="34" spans="1:14" ht="16.899999999999999">
      <c r="A34" s="3">
        <v>32</v>
      </c>
      <c r="B34" s="7" t="s">
        <v>102</v>
      </c>
      <c r="C34" s="41" t="s">
        <v>123</v>
      </c>
      <c r="E34" s="192" t="s">
        <v>538</v>
      </c>
      <c r="F34" s="593" t="s">
        <v>540</v>
      </c>
      <c r="G34" s="594"/>
      <c r="H34" s="594"/>
      <c r="I34" s="594"/>
      <c r="J34" s="594"/>
      <c r="K34" s="594"/>
      <c r="L34" s="594"/>
      <c r="M34" s="594"/>
      <c r="N34" s="595"/>
    </row>
    <row r="35" spans="1:14" ht="16.899999999999999">
      <c r="A35" s="3">
        <v>33</v>
      </c>
      <c r="E35" s="195" t="s">
        <v>539</v>
      </c>
      <c r="F35" s="596"/>
      <c r="G35" s="597"/>
      <c r="H35" s="597"/>
      <c r="I35" s="597"/>
      <c r="J35" s="597"/>
      <c r="K35" s="597"/>
      <c r="L35" s="597"/>
      <c r="M35" s="597"/>
      <c r="N35" s="598"/>
    </row>
    <row r="36" spans="1:14" ht="16.899999999999999">
      <c r="A36" s="3">
        <v>34</v>
      </c>
      <c r="E36" s="192" t="s">
        <v>541</v>
      </c>
      <c r="F36" s="599" t="s">
        <v>542</v>
      </c>
      <c r="G36" s="600"/>
      <c r="H36" s="600"/>
      <c r="I36" s="601"/>
      <c r="J36" s="602" t="s">
        <v>543</v>
      </c>
      <c r="K36" s="603"/>
      <c r="L36" s="603"/>
      <c r="M36" s="603"/>
      <c r="N36" s="604"/>
    </row>
    <row r="37" spans="1:14" ht="16.899999999999999">
      <c r="A37" s="3">
        <v>35</v>
      </c>
      <c r="E37" s="200" t="s">
        <v>572</v>
      </c>
      <c r="F37" s="599" t="s">
        <v>544</v>
      </c>
      <c r="G37" s="600"/>
      <c r="H37" s="600"/>
      <c r="I37" s="601"/>
      <c r="J37" s="602" t="s">
        <v>545</v>
      </c>
      <c r="K37" s="603"/>
      <c r="L37" s="603"/>
      <c r="M37" s="603"/>
      <c r="N37" s="604"/>
    </row>
    <row r="38" spans="1:14" ht="16.899999999999999">
      <c r="A38" s="3">
        <v>36</v>
      </c>
      <c r="E38" s="201"/>
      <c r="F38" s="599" t="s">
        <v>546</v>
      </c>
      <c r="G38" s="600"/>
      <c r="H38" s="600"/>
      <c r="I38" s="601"/>
      <c r="J38" s="602" t="s">
        <v>547</v>
      </c>
      <c r="K38" s="603"/>
      <c r="L38" s="603"/>
      <c r="M38" s="603"/>
      <c r="N38" s="604"/>
    </row>
    <row r="39" spans="1:14" ht="16.899999999999999">
      <c r="A39" s="3">
        <v>37</v>
      </c>
      <c r="E39" s="201"/>
      <c r="F39" s="599" t="s">
        <v>548</v>
      </c>
      <c r="G39" s="600"/>
      <c r="H39" s="600"/>
      <c r="I39" s="601"/>
      <c r="J39" s="602" t="s">
        <v>549</v>
      </c>
      <c r="K39" s="603"/>
      <c r="L39" s="603"/>
      <c r="M39" s="603"/>
      <c r="N39" s="604"/>
    </row>
    <row r="40" spans="1:14" ht="16.899999999999999">
      <c r="A40" s="3">
        <v>38</v>
      </c>
      <c r="E40" s="201"/>
      <c r="F40" s="599" t="s">
        <v>550</v>
      </c>
      <c r="G40" s="600"/>
      <c r="H40" s="600"/>
      <c r="I40" s="601"/>
      <c r="J40" s="602" t="s">
        <v>551</v>
      </c>
      <c r="K40" s="603"/>
      <c r="L40" s="603"/>
      <c r="M40" s="603"/>
      <c r="N40" s="604"/>
    </row>
    <row r="41" spans="1:14" ht="16.899999999999999">
      <c r="A41" s="3">
        <v>39</v>
      </c>
      <c r="E41" s="201"/>
      <c r="F41" s="599" t="s">
        <v>552</v>
      </c>
      <c r="G41" s="600"/>
      <c r="H41" s="600"/>
      <c r="I41" s="601"/>
      <c r="J41" s="602" t="s">
        <v>553</v>
      </c>
      <c r="K41" s="603"/>
      <c r="L41" s="603"/>
      <c r="M41" s="603"/>
      <c r="N41" s="604"/>
    </row>
    <row r="42" spans="1:14" ht="16.899999999999999">
      <c r="A42" s="3">
        <v>40</v>
      </c>
      <c r="E42" s="201"/>
      <c r="F42" s="599" t="s">
        <v>554</v>
      </c>
      <c r="G42" s="600"/>
      <c r="H42" s="600"/>
      <c r="I42" s="601"/>
      <c r="J42" s="602" t="s">
        <v>555</v>
      </c>
      <c r="K42" s="603"/>
      <c r="L42" s="603"/>
      <c r="M42" s="603"/>
      <c r="N42" s="604"/>
    </row>
    <row r="43" spans="1:14" ht="16.899999999999999">
      <c r="A43" s="3">
        <v>41</v>
      </c>
      <c r="E43" s="201"/>
      <c r="F43" s="599" t="s">
        <v>556</v>
      </c>
      <c r="G43" s="600"/>
      <c r="H43" s="600"/>
      <c r="I43" s="601"/>
      <c r="J43" s="602" t="s">
        <v>557</v>
      </c>
      <c r="K43" s="603"/>
      <c r="L43" s="603"/>
      <c r="M43" s="603"/>
      <c r="N43" s="604"/>
    </row>
    <row r="44" spans="1:14" ht="16.899999999999999">
      <c r="A44" s="3">
        <v>42</v>
      </c>
      <c r="E44" s="201"/>
      <c r="F44" s="599" t="s">
        <v>558</v>
      </c>
      <c r="G44" s="600"/>
      <c r="H44" s="600"/>
      <c r="I44" s="601"/>
      <c r="J44" s="556" t="s">
        <v>559</v>
      </c>
      <c r="K44" s="557"/>
      <c r="L44" s="557"/>
      <c r="M44" s="557"/>
      <c r="N44" s="605"/>
    </row>
    <row r="45" spans="1:14" ht="16.899999999999999">
      <c r="A45" s="3">
        <v>43</v>
      </c>
      <c r="E45" s="201"/>
      <c r="F45" s="599" t="s">
        <v>560</v>
      </c>
      <c r="G45" s="600"/>
      <c r="H45" s="600"/>
      <c r="I45" s="601"/>
      <c r="J45" s="556" t="s">
        <v>559</v>
      </c>
      <c r="K45" s="557"/>
      <c r="L45" s="557"/>
      <c r="M45" s="557"/>
      <c r="N45" s="605"/>
    </row>
    <row r="46" spans="1:14" ht="16.899999999999999">
      <c r="A46" s="3">
        <v>44</v>
      </c>
      <c r="E46" s="201"/>
      <c r="F46" s="599" t="s">
        <v>561</v>
      </c>
      <c r="G46" s="600"/>
      <c r="H46" s="600"/>
      <c r="I46" s="601"/>
      <c r="J46" s="556" t="s">
        <v>559</v>
      </c>
      <c r="K46" s="557"/>
      <c r="L46" s="557"/>
      <c r="M46" s="557"/>
      <c r="N46" s="605"/>
    </row>
    <row r="47" spans="1:14" ht="16.899999999999999">
      <c r="A47" s="3">
        <v>45</v>
      </c>
      <c r="E47" s="201"/>
      <c r="F47" s="599" t="s">
        <v>562</v>
      </c>
      <c r="G47" s="600"/>
      <c r="H47" s="600"/>
      <c r="I47" s="601"/>
      <c r="J47" s="556" t="s">
        <v>559</v>
      </c>
      <c r="K47" s="557"/>
      <c r="L47" s="557"/>
      <c r="M47" s="557"/>
      <c r="N47" s="605"/>
    </row>
    <row r="48" spans="1:14" ht="16.899999999999999">
      <c r="A48" s="3">
        <v>46</v>
      </c>
      <c r="E48" s="201"/>
      <c r="F48" s="599" t="s">
        <v>563</v>
      </c>
      <c r="G48" s="600"/>
      <c r="H48" s="600"/>
      <c r="I48" s="601"/>
      <c r="J48" s="556" t="s">
        <v>559</v>
      </c>
      <c r="K48" s="557"/>
      <c r="L48" s="557"/>
      <c r="M48" s="557"/>
      <c r="N48" s="605"/>
    </row>
    <row r="49" spans="1:14" ht="16.899999999999999">
      <c r="A49" s="3">
        <v>47</v>
      </c>
      <c r="E49" s="201"/>
      <c r="F49" s="599" t="s">
        <v>564</v>
      </c>
      <c r="G49" s="600"/>
      <c r="H49" s="600"/>
      <c r="I49" s="601"/>
      <c r="J49" s="556" t="s">
        <v>559</v>
      </c>
      <c r="K49" s="557"/>
      <c r="L49" s="557"/>
      <c r="M49" s="557"/>
      <c r="N49" s="605"/>
    </row>
    <row r="50" spans="1:14" ht="16.899999999999999">
      <c r="A50" s="3">
        <v>48</v>
      </c>
      <c r="E50" s="202"/>
      <c r="F50" s="599" t="s">
        <v>565</v>
      </c>
      <c r="G50" s="600"/>
      <c r="H50" s="600"/>
      <c r="I50" s="601"/>
      <c r="J50" s="556" t="s">
        <v>559</v>
      </c>
      <c r="K50" s="557"/>
      <c r="L50" s="557"/>
      <c r="M50" s="557"/>
      <c r="N50" s="605"/>
    </row>
    <row r="51" spans="1:14" ht="25.9" thickBot="1">
      <c r="A51" s="3">
        <v>49</v>
      </c>
      <c r="E51" s="199" t="s">
        <v>566</v>
      </c>
      <c r="F51" s="606" t="s">
        <v>491</v>
      </c>
      <c r="G51" s="607"/>
      <c r="H51" s="607"/>
      <c r="I51" s="608"/>
      <c r="J51" s="208" t="s">
        <v>567</v>
      </c>
      <c r="K51" s="209" t="s">
        <v>570</v>
      </c>
      <c r="L51" s="208" t="s">
        <v>568</v>
      </c>
      <c r="M51" s="209" t="s">
        <v>494</v>
      </c>
      <c r="N51" s="210" t="s">
        <v>569</v>
      </c>
    </row>
    <row r="52" spans="1:14" ht="17.25" thickTop="1">
      <c r="A52" s="3">
        <v>50</v>
      </c>
    </row>
    <row r="53" spans="1:14" ht="16.899999999999999">
      <c r="A53" s="3">
        <v>51</v>
      </c>
    </row>
    <row r="54" spans="1:14" ht="16.899999999999999">
      <c r="A54" s="3">
        <v>52</v>
      </c>
    </row>
    <row r="55" spans="1:14" ht="16.899999999999999">
      <c r="A55" s="3">
        <v>53</v>
      </c>
    </row>
    <row r="56" spans="1:14" ht="16.899999999999999">
      <c r="A56" s="3">
        <v>54</v>
      </c>
    </row>
    <row r="57" spans="1:14" ht="16.899999999999999">
      <c r="A57" s="3">
        <v>55</v>
      </c>
    </row>
    <row r="58" spans="1:14" ht="16.899999999999999">
      <c r="A58" s="3">
        <v>56</v>
      </c>
    </row>
    <row r="59" spans="1:14" ht="16.899999999999999">
      <c r="A59" s="3">
        <v>57</v>
      </c>
    </row>
    <row r="60" spans="1:14" ht="16.899999999999999">
      <c r="A60" s="3">
        <v>58</v>
      </c>
    </row>
    <row r="61" spans="1:14" ht="16.899999999999999">
      <c r="A61" s="3">
        <v>59</v>
      </c>
    </row>
    <row r="62" spans="1:14" ht="16.899999999999999">
      <c r="A62" s="3">
        <v>60</v>
      </c>
    </row>
    <row r="63" spans="1:14" ht="16.899999999999999">
      <c r="A63" s="3">
        <v>61</v>
      </c>
    </row>
    <row r="64" spans="1:14" ht="16.899999999999999">
      <c r="A64" s="3">
        <v>62</v>
      </c>
    </row>
    <row r="65" spans="1:1" ht="16.899999999999999">
      <c r="A65" s="3">
        <v>63</v>
      </c>
    </row>
  </sheetData>
  <mergeCells count="76">
    <mergeCell ref="F49:I49"/>
    <mergeCell ref="J49:N49"/>
    <mergeCell ref="F50:I50"/>
    <mergeCell ref="J50:N50"/>
    <mergeCell ref="F51:I51"/>
    <mergeCell ref="F46:I46"/>
    <mergeCell ref="J46:N46"/>
    <mergeCell ref="F47:I47"/>
    <mergeCell ref="J47:N47"/>
    <mergeCell ref="F48:I48"/>
    <mergeCell ref="J48:N48"/>
    <mergeCell ref="F43:I43"/>
    <mergeCell ref="J43:N43"/>
    <mergeCell ref="F44:I44"/>
    <mergeCell ref="J44:N44"/>
    <mergeCell ref="F45:I45"/>
    <mergeCell ref="J45:N45"/>
    <mergeCell ref="F40:I40"/>
    <mergeCell ref="J40:N40"/>
    <mergeCell ref="F41:I41"/>
    <mergeCell ref="J41:N41"/>
    <mergeCell ref="F42:I42"/>
    <mergeCell ref="J42:N42"/>
    <mergeCell ref="F37:I37"/>
    <mergeCell ref="J37:N37"/>
    <mergeCell ref="F38:I38"/>
    <mergeCell ref="J38:N38"/>
    <mergeCell ref="F39:I39"/>
    <mergeCell ref="J39:N39"/>
    <mergeCell ref="F28:N28"/>
    <mergeCell ref="F32:N32"/>
    <mergeCell ref="F33:N33"/>
    <mergeCell ref="F34:N35"/>
    <mergeCell ref="F36:I36"/>
    <mergeCell ref="J36:N36"/>
    <mergeCell ref="F22:O22"/>
    <mergeCell ref="E24:N24"/>
    <mergeCell ref="F25:N25"/>
    <mergeCell ref="F26:N26"/>
    <mergeCell ref="F27:N27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E12:O12"/>
    <mergeCell ref="E13:E14"/>
    <mergeCell ref="F13:G13"/>
    <mergeCell ref="H13:J13"/>
    <mergeCell ref="L13:M13"/>
    <mergeCell ref="F14:G14"/>
    <mergeCell ref="H14:J14"/>
    <mergeCell ref="L14:O14"/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</mergeCells>
  <phoneticPr fontId="16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>
      <selection activeCell="L17" sqref="L17"/>
    </sheetView>
    <sheetView workbookViewId="1"/>
  </sheetViews>
  <sheetFormatPr defaultRowHeight="12.75"/>
  <cols>
    <col min="1" max="1" width="14" customWidth="1"/>
    <col min="2" max="2" width="23.73046875" customWidth="1"/>
    <col min="3" max="3" width="28.3984375" bestFit="1" customWidth="1"/>
    <col min="4" max="4" width="30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613" t="s">
        <v>60</v>
      </c>
      <c r="C2" s="610"/>
      <c r="D2" s="610"/>
      <c r="E2" s="610"/>
      <c r="F2" s="610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 t="str">
        <f>'참여기업 정보'!D28</f>
        <v>work@kseta.or.kr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정보'!D35</f>
        <v>2024.11.18 ~ 2025.01.10</v>
      </c>
      <c r="D9" s="5"/>
      <c r="E9" s="5"/>
      <c r="F9" s="5"/>
    </row>
    <row r="10" spans="1:9" ht="16.899999999999999">
      <c r="A10" s="2">
        <v>8</v>
      </c>
      <c r="B10" s="6"/>
      <c r="C10" s="6"/>
      <c r="D10" s="6"/>
      <c r="E10" s="6"/>
      <c r="F10" s="6"/>
    </row>
    <row r="11" spans="1:9" ht="16.899999999999999">
      <c r="A11" s="2">
        <v>9</v>
      </c>
      <c r="B11" s="11" t="s">
        <v>62</v>
      </c>
      <c r="C11" s="6"/>
      <c r="D11" s="6"/>
      <c r="E11" s="6"/>
      <c r="F11" s="6"/>
    </row>
    <row r="12" spans="1:9" ht="16.899999999999999">
      <c r="A12" s="2">
        <v>10</v>
      </c>
      <c r="B12" s="11" t="s">
        <v>63</v>
      </c>
      <c r="C12" s="6"/>
      <c r="D12" s="6"/>
      <c r="E12" s="6"/>
      <c r="F12" s="6"/>
    </row>
    <row r="13" spans="1:9" ht="18.75">
      <c r="A13" s="2">
        <v>11</v>
      </c>
      <c r="B13" s="613" t="s">
        <v>64</v>
      </c>
      <c r="C13" s="610"/>
      <c r="D13" s="610"/>
      <c r="E13" s="610"/>
      <c r="F13" s="610"/>
    </row>
    <row r="14" spans="1:9" ht="19.5">
      <c r="A14" s="2">
        <v>12</v>
      </c>
      <c r="B14" s="609" t="s">
        <v>44</v>
      </c>
      <c r="C14" s="12" t="s">
        <v>65</v>
      </c>
      <c r="D14" s="614">
        <v>45618</v>
      </c>
      <c r="E14" s="615"/>
      <c r="F14" s="615"/>
    </row>
    <row r="15" spans="1:9" ht="63.75" customHeight="1">
      <c r="A15" s="2">
        <v>13</v>
      </c>
      <c r="B15" s="610"/>
      <c r="C15" s="12" t="s">
        <v>66</v>
      </c>
      <c r="D15" s="612" t="s">
        <v>79</v>
      </c>
      <c r="E15" s="610"/>
      <c r="F15" s="610"/>
    </row>
    <row r="16" spans="1:9" ht="19.5">
      <c r="A16" s="2">
        <v>14</v>
      </c>
      <c r="B16" s="609" t="s">
        <v>46</v>
      </c>
      <c r="C16" s="12" t="s">
        <v>65</v>
      </c>
      <c r="D16" s="611">
        <v>45625</v>
      </c>
      <c r="E16" s="610"/>
      <c r="F16" s="610"/>
    </row>
    <row r="17" spans="1:6" ht="77.25" customHeight="1">
      <c r="A17" s="2">
        <v>15</v>
      </c>
      <c r="B17" s="610"/>
      <c r="C17" s="12" t="s">
        <v>66</v>
      </c>
      <c r="D17" s="612" t="s">
        <v>79</v>
      </c>
      <c r="E17" s="610"/>
      <c r="F17" s="610"/>
    </row>
    <row r="18" spans="1:6" ht="19.5">
      <c r="A18" s="2">
        <v>16</v>
      </c>
      <c r="B18" s="609" t="s">
        <v>48</v>
      </c>
      <c r="C18" s="12" t="s">
        <v>65</v>
      </c>
      <c r="D18" s="611">
        <v>45632</v>
      </c>
      <c r="E18" s="610"/>
      <c r="F18" s="610"/>
    </row>
    <row r="19" spans="1:6" ht="16.899999999999999">
      <c r="A19" s="2">
        <v>17</v>
      </c>
      <c r="B19" s="610"/>
      <c r="C19" s="12" t="s">
        <v>66</v>
      </c>
      <c r="D19" s="616" t="s">
        <v>67</v>
      </c>
      <c r="E19" s="610"/>
      <c r="F19" s="610"/>
    </row>
    <row r="20" spans="1:6" ht="19.5">
      <c r="A20" s="2">
        <v>18</v>
      </c>
      <c r="B20" s="609" t="s">
        <v>50</v>
      </c>
      <c r="C20" s="12" t="s">
        <v>65</v>
      </c>
      <c r="D20" s="611">
        <v>45639</v>
      </c>
      <c r="E20" s="610"/>
      <c r="F20" s="610"/>
    </row>
    <row r="21" spans="1:6" ht="16.899999999999999">
      <c r="A21" s="2">
        <v>19</v>
      </c>
      <c r="B21" s="610"/>
      <c r="C21" s="12" t="s">
        <v>66</v>
      </c>
      <c r="D21" s="616" t="s">
        <v>67</v>
      </c>
      <c r="E21" s="610"/>
      <c r="F21" s="610"/>
    </row>
    <row r="22" spans="1:6" ht="19.5">
      <c r="A22" s="2">
        <v>20</v>
      </c>
      <c r="B22" s="609" t="s">
        <v>52</v>
      </c>
      <c r="C22" s="12" t="s">
        <v>65</v>
      </c>
      <c r="D22" s="611">
        <v>45646</v>
      </c>
      <c r="E22" s="610"/>
      <c r="F22" s="610"/>
    </row>
    <row r="23" spans="1:6" ht="16.899999999999999">
      <c r="A23" s="2">
        <v>21</v>
      </c>
      <c r="B23" s="610"/>
      <c r="C23" s="12" t="s">
        <v>66</v>
      </c>
      <c r="D23" s="616" t="s">
        <v>67</v>
      </c>
      <c r="E23" s="610"/>
      <c r="F23" s="610"/>
    </row>
    <row r="24" spans="1:6" ht="19.5">
      <c r="A24" s="2">
        <v>22</v>
      </c>
      <c r="B24" s="609" t="s">
        <v>54</v>
      </c>
      <c r="C24" s="12" t="s">
        <v>65</v>
      </c>
      <c r="D24" s="611">
        <v>45653</v>
      </c>
      <c r="E24" s="610"/>
      <c r="F24" s="610"/>
    </row>
    <row r="25" spans="1:6" ht="16.899999999999999">
      <c r="A25" s="2">
        <v>23</v>
      </c>
      <c r="B25" s="610"/>
      <c r="C25" s="12" t="s">
        <v>66</v>
      </c>
      <c r="D25" s="616" t="s">
        <v>67</v>
      </c>
      <c r="E25" s="610"/>
      <c r="F25" s="610"/>
    </row>
    <row r="26" spans="1:6" ht="19.5">
      <c r="A26" s="2">
        <v>24</v>
      </c>
      <c r="B26" s="609" t="s">
        <v>56</v>
      </c>
      <c r="C26" s="12" t="s">
        <v>65</v>
      </c>
      <c r="D26" s="611">
        <v>45660</v>
      </c>
      <c r="E26" s="610"/>
      <c r="F26" s="610"/>
    </row>
    <row r="27" spans="1:6" ht="16.899999999999999">
      <c r="A27" s="2">
        <v>25</v>
      </c>
      <c r="B27" s="610"/>
      <c r="C27" s="12" t="s">
        <v>66</v>
      </c>
      <c r="D27" s="616" t="s">
        <v>67</v>
      </c>
      <c r="E27" s="610"/>
      <c r="F27" s="610"/>
    </row>
    <row r="28" spans="1:6" ht="19.5">
      <c r="A28" s="2">
        <v>26</v>
      </c>
      <c r="B28" s="609" t="s">
        <v>58</v>
      </c>
      <c r="C28" s="12" t="s">
        <v>65</v>
      </c>
      <c r="D28" s="611">
        <v>45667</v>
      </c>
      <c r="E28" s="610"/>
      <c r="F28" s="610"/>
    </row>
    <row r="29" spans="1:6" ht="16.899999999999999">
      <c r="A29" s="2">
        <v>27</v>
      </c>
      <c r="B29" s="610"/>
      <c r="C29" s="12" t="s">
        <v>66</v>
      </c>
      <c r="D29" s="616" t="s">
        <v>67</v>
      </c>
      <c r="E29" s="610"/>
      <c r="F29" s="610"/>
    </row>
    <row r="30" spans="1:6" ht="16.899999999999999">
      <c r="A30" s="2">
        <v>28</v>
      </c>
    </row>
    <row r="31" spans="1:6" ht="16.899999999999999">
      <c r="A31" s="2">
        <v>29</v>
      </c>
    </row>
    <row r="32" spans="1:6" ht="16.899999999999999">
      <c r="A32" s="2">
        <v>30</v>
      </c>
    </row>
  </sheetData>
  <mergeCells count="26">
    <mergeCell ref="B26:B27"/>
    <mergeCell ref="D26:F26"/>
    <mergeCell ref="D27:F27"/>
    <mergeCell ref="B28:B29"/>
    <mergeCell ref="D28:F28"/>
    <mergeCell ref="D29:F29"/>
    <mergeCell ref="B22:B23"/>
    <mergeCell ref="D22:F22"/>
    <mergeCell ref="D23:F23"/>
    <mergeCell ref="B24:B25"/>
    <mergeCell ref="D24:F24"/>
    <mergeCell ref="D25:F25"/>
    <mergeCell ref="B18:B19"/>
    <mergeCell ref="D18:F18"/>
    <mergeCell ref="D19:F19"/>
    <mergeCell ref="B20:B21"/>
    <mergeCell ref="D20:F20"/>
    <mergeCell ref="D21:F21"/>
    <mergeCell ref="B16:B17"/>
    <mergeCell ref="D16:F16"/>
    <mergeCell ref="D17:F17"/>
    <mergeCell ref="B2:F2"/>
    <mergeCell ref="B13:F13"/>
    <mergeCell ref="B14:B15"/>
    <mergeCell ref="D14:F14"/>
    <mergeCell ref="D15:F15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/>
    <sheetView workbookViewId="1"/>
  </sheetViews>
  <sheetFormatPr defaultRowHeight="12.75"/>
  <cols>
    <col min="1" max="1" width="14" customWidth="1"/>
    <col min="2" max="2" width="11.265625" bestFit="1" customWidth="1"/>
    <col min="3" max="3" width="30.59765625" bestFit="1" customWidth="1"/>
    <col min="4" max="4" width="34.265625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5.5" customHeight="1">
      <c r="A2" s="3">
        <v>0</v>
      </c>
      <c r="B2" s="613" t="s">
        <v>60</v>
      </c>
      <c r="C2" s="610"/>
      <c r="D2" s="610"/>
      <c r="E2" s="610"/>
      <c r="F2" s="610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 t="str">
        <f>'참여기업 정보'!D28</f>
        <v>work@kseta.or.kr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정보'!D35</f>
        <v>2024.11.18 ~ 2025.01.10</v>
      </c>
      <c r="D9" s="5"/>
      <c r="E9" s="5"/>
      <c r="F9" s="5"/>
    </row>
    <row r="10" spans="1:9" ht="18.75">
      <c r="A10" s="2">
        <v>8</v>
      </c>
      <c r="B10" s="13"/>
      <c r="C10" s="14"/>
      <c r="D10" s="14"/>
      <c r="E10" s="14"/>
      <c r="F10" s="14"/>
    </row>
    <row r="11" spans="1:9" ht="18.75">
      <c r="A11" s="2">
        <v>9</v>
      </c>
      <c r="B11" s="617" t="s">
        <v>68</v>
      </c>
      <c r="C11" s="618"/>
      <c r="D11" s="618"/>
      <c r="E11" s="618"/>
      <c r="F11" s="618"/>
    </row>
    <row r="12" spans="1:9" ht="18.75">
      <c r="A12" s="2">
        <v>10</v>
      </c>
      <c r="B12" s="613" t="s">
        <v>69</v>
      </c>
      <c r="C12" s="610"/>
      <c r="D12" s="610"/>
      <c r="E12" s="610"/>
      <c r="F12" s="610"/>
    </row>
    <row r="13" spans="1:9" ht="16.899999999999999">
      <c r="A13" s="2">
        <v>11</v>
      </c>
      <c r="B13" s="609" t="s">
        <v>44</v>
      </c>
      <c r="C13" s="12" t="s">
        <v>70</v>
      </c>
      <c r="D13" s="619" t="e">
        <f>#REF!</f>
        <v>#REF!</v>
      </c>
      <c r="E13" s="610"/>
      <c r="F13" s="610"/>
    </row>
    <row r="14" spans="1:9" ht="16.899999999999999">
      <c r="A14" s="2">
        <v>12</v>
      </c>
      <c r="B14" s="610"/>
      <c r="C14" s="12" t="s">
        <v>71</v>
      </c>
      <c r="D14" s="620"/>
      <c r="E14" s="610"/>
      <c r="F14" s="610"/>
    </row>
    <row r="15" spans="1:9" ht="16.899999999999999">
      <c r="A15" s="2">
        <v>13</v>
      </c>
      <c r="B15" s="610"/>
      <c r="C15" s="12" t="s">
        <v>72</v>
      </c>
      <c r="D15" s="620"/>
      <c r="E15" s="610"/>
      <c r="F15" s="610"/>
    </row>
    <row r="16" spans="1:9" ht="16.899999999999999">
      <c r="A16" s="2">
        <v>14</v>
      </c>
      <c r="B16" s="609" t="s">
        <v>46</v>
      </c>
      <c r="C16" s="12" t="s">
        <v>70</v>
      </c>
      <c r="D16" s="619" t="e">
        <f>#REF!</f>
        <v>#REF!</v>
      </c>
      <c r="E16" s="610"/>
      <c r="F16" s="610"/>
    </row>
    <row r="17" spans="1:6" ht="16.899999999999999">
      <c r="A17" s="2">
        <v>15</v>
      </c>
      <c r="B17" s="610"/>
      <c r="C17" s="12" t="s">
        <v>71</v>
      </c>
      <c r="D17" s="620"/>
      <c r="E17" s="620"/>
      <c r="F17" s="620"/>
    </row>
    <row r="18" spans="1:6" ht="16.899999999999999">
      <c r="A18" s="2">
        <v>16</v>
      </c>
      <c r="B18" s="610"/>
      <c r="C18" s="12" t="s">
        <v>72</v>
      </c>
      <c r="D18" s="620"/>
      <c r="E18" s="620"/>
      <c r="F18" s="620"/>
    </row>
    <row r="19" spans="1:6" ht="16.899999999999999">
      <c r="A19" s="2">
        <v>17</v>
      </c>
      <c r="B19" s="609" t="s">
        <v>48</v>
      </c>
      <c r="C19" s="12" t="s">
        <v>70</v>
      </c>
      <c r="D19" s="619" t="e">
        <f>#REF!</f>
        <v>#REF!</v>
      </c>
      <c r="E19" s="619"/>
      <c r="F19" s="619"/>
    </row>
    <row r="20" spans="1:6" ht="16.899999999999999">
      <c r="A20" s="2">
        <v>18</v>
      </c>
      <c r="B20" s="610"/>
      <c r="C20" s="12" t="s">
        <v>71</v>
      </c>
      <c r="D20" s="620"/>
      <c r="E20" s="620"/>
      <c r="F20" s="620"/>
    </row>
    <row r="21" spans="1:6" ht="16.899999999999999">
      <c r="A21" s="2">
        <v>19</v>
      </c>
      <c r="B21" s="610"/>
      <c r="C21" s="12" t="s">
        <v>72</v>
      </c>
      <c r="D21" s="620"/>
      <c r="E21" s="620"/>
      <c r="F21" s="620"/>
    </row>
    <row r="22" spans="1:6" ht="16.899999999999999">
      <c r="A22" s="2">
        <v>20</v>
      </c>
      <c r="B22" s="609" t="s">
        <v>50</v>
      </c>
      <c r="C22" s="12" t="s">
        <v>70</v>
      </c>
      <c r="D22" s="619" t="e">
        <f>#REF!</f>
        <v>#REF!</v>
      </c>
      <c r="E22" s="619"/>
      <c r="F22" s="619"/>
    </row>
    <row r="23" spans="1:6" ht="16.899999999999999">
      <c r="A23" s="2">
        <v>21</v>
      </c>
      <c r="B23" s="610"/>
      <c r="C23" s="12" t="s">
        <v>71</v>
      </c>
      <c r="D23" s="619"/>
      <c r="E23" s="619"/>
      <c r="F23" s="619"/>
    </row>
    <row r="24" spans="1:6" ht="16.899999999999999">
      <c r="A24" s="2">
        <v>22</v>
      </c>
      <c r="B24" s="610"/>
      <c r="C24" s="12" t="s">
        <v>72</v>
      </c>
      <c r="D24" s="619"/>
      <c r="E24" s="619"/>
      <c r="F24" s="619"/>
    </row>
    <row r="25" spans="1:6" ht="16.899999999999999">
      <c r="A25" s="2">
        <v>23</v>
      </c>
      <c r="B25" s="609" t="s">
        <v>52</v>
      </c>
      <c r="C25" s="12" t="s">
        <v>70</v>
      </c>
      <c r="D25" s="619" t="e">
        <f>#REF!</f>
        <v>#REF!</v>
      </c>
      <c r="E25" s="619"/>
      <c r="F25" s="619"/>
    </row>
    <row r="26" spans="1:6" ht="16.899999999999999">
      <c r="A26" s="2">
        <v>24</v>
      </c>
      <c r="B26" s="610"/>
      <c r="C26" s="12" t="s">
        <v>71</v>
      </c>
      <c r="D26" s="619"/>
      <c r="E26" s="610"/>
      <c r="F26" s="610"/>
    </row>
    <row r="27" spans="1:6" ht="16.899999999999999">
      <c r="A27" s="2">
        <v>25</v>
      </c>
      <c r="B27" s="610"/>
      <c r="C27" s="12" t="s">
        <v>72</v>
      </c>
      <c r="D27" s="619"/>
      <c r="E27" s="610"/>
      <c r="F27" s="610"/>
    </row>
    <row r="28" spans="1:6" ht="16.899999999999999">
      <c r="A28" s="2">
        <v>26</v>
      </c>
      <c r="B28" s="609" t="s">
        <v>54</v>
      </c>
      <c r="C28" s="12" t="s">
        <v>70</v>
      </c>
      <c r="D28" s="619" t="e">
        <f>#REF!</f>
        <v>#REF!</v>
      </c>
      <c r="E28" s="610"/>
      <c r="F28" s="610"/>
    </row>
    <row r="29" spans="1:6" ht="16.899999999999999">
      <c r="A29" s="2">
        <v>27</v>
      </c>
      <c r="B29" s="610"/>
      <c r="C29" s="12" t="s">
        <v>71</v>
      </c>
      <c r="D29" s="620"/>
      <c r="E29" s="610"/>
      <c r="F29" s="610"/>
    </row>
    <row r="30" spans="1:6" ht="16.899999999999999">
      <c r="A30" s="2">
        <v>28</v>
      </c>
      <c r="B30" s="610"/>
      <c r="C30" s="12" t="s">
        <v>72</v>
      </c>
      <c r="D30" s="620"/>
      <c r="E30" s="610"/>
      <c r="F30" s="610"/>
    </row>
    <row r="31" spans="1:6" ht="16.899999999999999">
      <c r="A31" s="2">
        <v>29</v>
      </c>
      <c r="B31" s="609" t="s">
        <v>56</v>
      </c>
      <c r="C31" s="12" t="s">
        <v>70</v>
      </c>
      <c r="D31" s="619" t="e">
        <f>#REF!</f>
        <v>#REF!</v>
      </c>
      <c r="E31" s="610"/>
      <c r="F31" s="610"/>
    </row>
    <row r="32" spans="1:6" ht="16.899999999999999">
      <c r="A32" s="2">
        <v>30</v>
      </c>
      <c r="B32" s="610"/>
      <c r="C32" s="12" t="s">
        <v>71</v>
      </c>
      <c r="D32" s="620"/>
      <c r="E32" s="610"/>
      <c r="F32" s="610"/>
    </row>
    <row r="33" spans="1:6" ht="16.899999999999999">
      <c r="A33" s="2">
        <v>31</v>
      </c>
      <c r="B33" s="610"/>
      <c r="C33" s="12" t="s">
        <v>72</v>
      </c>
      <c r="D33" s="620"/>
      <c r="E33" s="610"/>
      <c r="F33" s="610"/>
    </row>
    <row r="34" spans="1:6" ht="16.899999999999999">
      <c r="A34" s="2">
        <v>32</v>
      </c>
      <c r="B34" s="609" t="s">
        <v>58</v>
      </c>
      <c r="C34" s="12" t="s">
        <v>70</v>
      </c>
      <c r="D34" s="619" t="e">
        <f>#REF!</f>
        <v>#REF!</v>
      </c>
      <c r="E34" s="610"/>
      <c r="F34" s="610"/>
    </row>
    <row r="35" spans="1:6" ht="16.899999999999999">
      <c r="A35" s="2">
        <v>33</v>
      </c>
      <c r="B35" s="610"/>
      <c r="C35" s="12" t="s">
        <v>71</v>
      </c>
      <c r="D35" s="620"/>
      <c r="E35" s="610"/>
      <c r="F35" s="610"/>
    </row>
    <row r="36" spans="1:6" ht="16.899999999999999">
      <c r="A36" s="2">
        <v>34</v>
      </c>
      <c r="B36" s="610"/>
      <c r="C36" s="12" t="s">
        <v>72</v>
      </c>
      <c r="D36" s="620"/>
      <c r="E36" s="610"/>
      <c r="F36" s="610"/>
    </row>
    <row r="37" spans="1:6" ht="16.899999999999999">
      <c r="A37" s="2">
        <v>35</v>
      </c>
    </row>
    <row r="38" spans="1:6" ht="16.899999999999999">
      <c r="A38" s="2">
        <v>36</v>
      </c>
    </row>
    <row r="39" spans="1:6" ht="16.899999999999999">
      <c r="A39" s="2">
        <v>37</v>
      </c>
    </row>
  </sheetData>
  <mergeCells count="35"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  <mergeCell ref="B22:B24"/>
    <mergeCell ref="D22:F22"/>
    <mergeCell ref="D23:F23"/>
    <mergeCell ref="D24:F24"/>
    <mergeCell ref="B25:B27"/>
    <mergeCell ref="D25:F25"/>
    <mergeCell ref="D26:F26"/>
    <mergeCell ref="D27:F27"/>
    <mergeCell ref="B16:B18"/>
    <mergeCell ref="D16:F16"/>
    <mergeCell ref="D17:F17"/>
    <mergeCell ref="D18:F18"/>
    <mergeCell ref="B19:B21"/>
    <mergeCell ref="D19:F19"/>
    <mergeCell ref="D20:F20"/>
    <mergeCell ref="D21:F21"/>
    <mergeCell ref="B2:F2"/>
    <mergeCell ref="B11:F11"/>
    <mergeCell ref="B12:F12"/>
    <mergeCell ref="B13:B15"/>
    <mergeCell ref="D13:F13"/>
    <mergeCell ref="D14:F14"/>
    <mergeCell ref="D15:F15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647700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/>
    <sheetView workbookViewId="1"/>
  </sheetViews>
  <sheetFormatPr defaultRowHeight="12.75"/>
  <cols>
    <col min="1" max="1" width="14" customWidth="1"/>
    <col min="2" max="2" width="16.265625" bestFit="1" customWidth="1"/>
  </cols>
  <sheetData>
    <row r="1" spans="1:7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613" t="s">
        <v>60</v>
      </c>
      <c r="C2" s="610"/>
      <c r="D2" s="610"/>
      <c r="E2" s="610"/>
      <c r="F2" s="610"/>
    </row>
    <row r="3" spans="1:7" ht="16.899999999999999">
      <c r="A3" s="2">
        <v>1</v>
      </c>
      <c r="B3" s="7" t="s">
        <v>43</v>
      </c>
      <c r="C3" s="10" t="str">
        <f>'참여기업 정보'!D4</f>
        <v>㈜노마드</v>
      </c>
      <c r="D3" s="5"/>
      <c r="E3" s="5"/>
      <c r="F3" s="5"/>
    </row>
    <row r="4" spans="1:7" ht="16.899999999999999">
      <c r="A4" s="2">
        <v>2</v>
      </c>
      <c r="B4" s="7" t="s">
        <v>24</v>
      </c>
      <c r="C4" s="10" t="str">
        <f>'참여기업 정보'!D17</f>
        <v>이순신</v>
      </c>
      <c r="D4" s="5"/>
      <c r="E4" s="5"/>
      <c r="F4" s="5"/>
    </row>
    <row r="5" spans="1:7" ht="16.899999999999999">
      <c r="A5" s="2">
        <v>3</v>
      </c>
      <c r="B5" s="7" t="s">
        <v>25</v>
      </c>
      <c r="C5" s="10" t="str">
        <f>'참여기업 정보'!D18</f>
        <v>프로</v>
      </c>
      <c r="D5" s="5"/>
      <c r="E5" s="5"/>
      <c r="F5" s="5"/>
    </row>
    <row r="6" spans="1:7" ht="16.899999999999999">
      <c r="A6" s="2">
        <v>4</v>
      </c>
      <c r="B6" s="7" t="s">
        <v>27</v>
      </c>
      <c r="C6" s="10" t="str">
        <f>'참여기업 정보'!D19</f>
        <v>마케팅팀</v>
      </c>
      <c r="D6" s="5"/>
      <c r="E6" s="5"/>
      <c r="F6" s="5"/>
    </row>
    <row r="7" spans="1:7" ht="16.899999999999999">
      <c r="A7" s="2">
        <v>5</v>
      </c>
      <c r="B7" s="7" t="s">
        <v>29</v>
      </c>
      <c r="C7" s="10" t="str">
        <f>'참여기업 정보'!D20</f>
        <v>010-0000-0000</v>
      </c>
      <c r="D7" s="5"/>
      <c r="E7" s="5"/>
      <c r="F7" s="5"/>
    </row>
    <row r="8" spans="1:7" ht="16.899999999999999">
      <c r="A8" s="2">
        <v>6</v>
      </c>
      <c r="B8" s="7" t="s">
        <v>31</v>
      </c>
      <c r="C8" s="10" t="str">
        <f>'참여기업 정보'!D21</f>
        <v>work@kseta.or.kr</v>
      </c>
      <c r="D8" s="5"/>
      <c r="E8" s="5"/>
      <c r="F8" s="5"/>
    </row>
    <row r="9" spans="1:7" ht="16.899999999999999">
      <c r="A9" s="2">
        <v>7</v>
      </c>
      <c r="B9" s="7" t="s">
        <v>61</v>
      </c>
      <c r="C9" s="10" t="str">
        <f>'참여기업 정보'!D35</f>
        <v>2024.11.18 ~ 2025.01.10</v>
      </c>
      <c r="D9" s="5"/>
      <c r="E9" s="5"/>
      <c r="F9" s="5"/>
    </row>
    <row r="10" spans="1:7" ht="18.75">
      <c r="A10" s="2">
        <v>8</v>
      </c>
      <c r="B10" s="7" t="s">
        <v>40</v>
      </c>
      <c r="C10" s="10" t="str">
        <f>'참여기업 정보'!D31</f>
        <v>개발팀</v>
      </c>
      <c r="D10" s="14"/>
      <c r="E10" s="14"/>
      <c r="F10" s="14"/>
    </row>
    <row r="11" spans="1:7" ht="18.75">
      <c r="A11" s="2">
        <v>9</v>
      </c>
      <c r="B11" s="15"/>
      <c r="C11" s="14"/>
      <c r="D11" s="14"/>
      <c r="E11" s="14"/>
      <c r="F11" s="14"/>
    </row>
    <row r="12" spans="1:7" ht="18.75">
      <c r="A12" s="2">
        <v>10</v>
      </c>
      <c r="B12" s="617" t="s">
        <v>73</v>
      </c>
      <c r="C12" s="618"/>
      <c r="D12" s="618"/>
      <c r="E12" s="618"/>
      <c r="F12" s="618"/>
    </row>
    <row r="13" spans="1:7" ht="18.75">
      <c r="A13" s="2">
        <v>11</v>
      </c>
      <c r="B13" s="613" t="s">
        <v>74</v>
      </c>
      <c r="C13" s="610"/>
      <c r="D13" s="610"/>
      <c r="E13" s="610"/>
      <c r="F13" s="610"/>
    </row>
    <row r="14" spans="1:7" ht="16.899999999999999">
      <c r="A14" s="2">
        <v>12</v>
      </c>
      <c r="B14" s="609" t="s">
        <v>75</v>
      </c>
      <c r="C14" s="616"/>
      <c r="D14" s="618"/>
      <c r="E14" s="618"/>
      <c r="F14" s="610"/>
    </row>
    <row r="15" spans="1:7" ht="16.899999999999999">
      <c r="A15" s="2">
        <v>13</v>
      </c>
      <c r="B15" s="610"/>
      <c r="C15" s="618"/>
      <c r="D15" s="618"/>
      <c r="E15" s="618"/>
      <c r="F15" s="610"/>
    </row>
    <row r="16" spans="1:7" ht="16.899999999999999">
      <c r="A16" s="2">
        <v>14</v>
      </c>
      <c r="B16" s="610"/>
      <c r="C16" s="610"/>
      <c r="D16" s="610"/>
      <c r="E16" s="610"/>
      <c r="F16" s="610"/>
    </row>
    <row r="17" spans="1:6" ht="16.899999999999999">
      <c r="A17" s="2">
        <v>15</v>
      </c>
      <c r="B17" s="609" t="s">
        <v>76</v>
      </c>
      <c r="C17" s="616"/>
      <c r="D17" s="618"/>
      <c r="E17" s="618"/>
      <c r="F17" s="610"/>
    </row>
    <row r="18" spans="1:6" ht="16.899999999999999">
      <c r="A18" s="2">
        <v>16</v>
      </c>
      <c r="B18" s="610"/>
      <c r="C18" s="618"/>
      <c r="D18" s="618"/>
      <c r="E18" s="618"/>
      <c r="F18" s="610"/>
    </row>
    <row r="19" spans="1:6" ht="16.899999999999999">
      <c r="A19" s="2">
        <v>17</v>
      </c>
      <c r="B19" s="610"/>
      <c r="C19" s="610"/>
      <c r="D19" s="610"/>
      <c r="E19" s="610"/>
      <c r="F19" s="610"/>
    </row>
    <row r="20" spans="1:6" ht="16.899999999999999">
      <c r="A20" s="2">
        <v>18</v>
      </c>
      <c r="B20" s="609" t="s">
        <v>77</v>
      </c>
      <c r="C20" s="616"/>
      <c r="D20" s="618"/>
      <c r="E20" s="618"/>
      <c r="F20" s="610"/>
    </row>
    <row r="21" spans="1:6" ht="16.899999999999999">
      <c r="A21" s="2">
        <v>19</v>
      </c>
      <c r="B21" s="610"/>
      <c r="C21" s="618"/>
      <c r="D21" s="618"/>
      <c r="E21" s="618"/>
      <c r="F21" s="610"/>
    </row>
    <row r="22" spans="1:6" ht="16.899999999999999">
      <c r="A22" s="2">
        <v>20</v>
      </c>
      <c r="B22" s="610"/>
      <c r="C22" s="610"/>
      <c r="D22" s="610"/>
      <c r="E22" s="610"/>
      <c r="F22" s="610"/>
    </row>
    <row r="23" spans="1:6" ht="16.899999999999999">
      <c r="A23" s="2">
        <v>21</v>
      </c>
    </row>
    <row r="24" spans="1:6" ht="16.899999999999999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>
      <selection activeCell="K29" sqref="K29"/>
    </sheetView>
    <sheetView workbookViewId="1"/>
  </sheetViews>
  <sheetFormatPr defaultRowHeight="12.75"/>
  <cols>
    <col min="1" max="1" width="14" customWidth="1"/>
    <col min="2" max="2" width="19.59765625" customWidth="1"/>
    <col min="3" max="3" width="29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621" t="s">
        <v>127</v>
      </c>
      <c r="C2" s="622"/>
      <c r="D2" s="50"/>
      <c r="E2" s="51"/>
      <c r="F2" s="52"/>
      <c r="G2" s="35"/>
    </row>
    <row r="3" spans="1:38" ht="16.899999999999999">
      <c r="A3" s="2">
        <v>1</v>
      </c>
      <c r="B3" s="7" t="s">
        <v>80</v>
      </c>
      <c r="C3" s="16" t="s">
        <v>124</v>
      </c>
      <c r="D3" s="22"/>
      <c r="E3" s="20"/>
      <c r="F3" s="19"/>
    </row>
    <row r="4" spans="1:38" ht="16.899999999999999">
      <c r="A4" s="2">
        <v>2</v>
      </c>
      <c r="B4" s="7" t="s">
        <v>81</v>
      </c>
      <c r="C4" s="16" t="s">
        <v>125</v>
      </c>
      <c r="D4" s="22"/>
      <c r="E4" s="43"/>
      <c r="F4" s="24"/>
    </row>
    <row r="5" spans="1:38" ht="16.899999999999999">
      <c r="A5" s="2">
        <v>3</v>
      </c>
      <c r="B5" s="58"/>
      <c r="C5" s="59"/>
      <c r="D5" s="45"/>
      <c r="E5" s="45"/>
      <c r="F5" s="47"/>
    </row>
    <row r="6" spans="1:38" ht="16.899999999999999">
      <c r="A6" s="2">
        <v>4</v>
      </c>
      <c r="B6" s="7" t="s">
        <v>82</v>
      </c>
      <c r="C6" s="10" t="s">
        <v>126</v>
      </c>
      <c r="D6" s="22"/>
      <c r="E6" s="45"/>
      <c r="F6" s="19"/>
    </row>
    <row r="7" spans="1:38" ht="16.899999999999999">
      <c r="A7" s="2">
        <v>5</v>
      </c>
      <c r="B7" s="63"/>
      <c r="C7" s="64"/>
      <c r="D7" s="19"/>
      <c r="E7" s="20"/>
      <c r="F7" s="19"/>
    </row>
    <row r="8" spans="1:38" ht="16.899999999999999">
      <c r="A8" s="60">
        <v>6</v>
      </c>
      <c r="B8" s="65"/>
      <c r="C8" s="61"/>
      <c r="D8" s="44"/>
      <c r="E8" s="43"/>
      <c r="F8" s="24"/>
    </row>
    <row r="9" spans="1:38" ht="16.899999999999999">
      <c r="A9" s="2">
        <v>7</v>
      </c>
      <c r="B9" s="66"/>
      <c r="C9" s="61"/>
      <c r="D9" s="46"/>
      <c r="E9" s="17"/>
      <c r="F9" s="19"/>
    </row>
    <row r="10" spans="1:38" ht="18.75">
      <c r="A10" s="60">
        <v>8</v>
      </c>
      <c r="B10" s="65"/>
      <c r="C10" s="62"/>
      <c r="D10" s="49"/>
      <c r="E10" s="49"/>
      <c r="F10" s="48"/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1</xdr:row>
                    <xdr:rowOff>285750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>
      <selection activeCell="C9" sqref="C9"/>
    </sheetView>
    <sheetView workbookViewId="1"/>
  </sheetViews>
  <sheetFormatPr defaultRowHeight="12.75"/>
  <cols>
    <col min="1" max="1" width="14" customWidth="1"/>
    <col min="2" max="2" width="29" customWidth="1"/>
    <col min="3" max="3" width="26.73046875" customWidth="1"/>
    <col min="4" max="4" width="19.265625" bestFit="1" customWidth="1"/>
    <col min="5" max="5" width="8.2656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2.5">
      <c r="A2" s="3">
        <v>0</v>
      </c>
      <c r="B2" s="623" t="s">
        <v>0</v>
      </c>
      <c r="C2" s="624"/>
      <c r="D2" s="624"/>
      <c r="E2" s="107"/>
    </row>
    <row r="3" spans="1:38" ht="17.649999999999999">
      <c r="A3" s="2">
        <v>1</v>
      </c>
      <c r="B3" s="108" t="s">
        <v>1</v>
      </c>
      <c r="C3" s="109" t="s">
        <v>130</v>
      </c>
      <c r="D3" s="110"/>
      <c r="E3" s="22"/>
    </row>
    <row r="4" spans="1:38" ht="17.649999999999999">
      <c r="A4" s="2">
        <v>2</v>
      </c>
      <c r="B4" s="108" t="s">
        <v>2</v>
      </c>
      <c r="C4" s="109" t="s">
        <v>3</v>
      </c>
      <c r="D4" s="110"/>
      <c r="E4" s="22"/>
    </row>
    <row r="5" spans="1:38" ht="17.649999999999999">
      <c r="A5" s="2">
        <v>3</v>
      </c>
      <c r="B5" s="108" t="s">
        <v>4</v>
      </c>
      <c r="C5" s="109" t="s">
        <v>5</v>
      </c>
      <c r="D5" s="110"/>
      <c r="E5" s="22"/>
    </row>
    <row r="6" spans="1:38" ht="17.649999999999999">
      <c r="A6" s="2">
        <v>4</v>
      </c>
      <c r="B6" s="108" t="s">
        <v>6</v>
      </c>
      <c r="C6" s="109" t="s">
        <v>7</v>
      </c>
      <c r="D6" s="110"/>
      <c r="E6" s="22"/>
    </row>
    <row r="7" spans="1:38" ht="17.649999999999999">
      <c r="A7" s="2">
        <v>5</v>
      </c>
      <c r="B7" s="108" t="s">
        <v>8</v>
      </c>
      <c r="C7" s="109" t="s">
        <v>9</v>
      </c>
      <c r="D7" s="110"/>
      <c r="E7" s="22"/>
    </row>
    <row r="8" spans="1:38" ht="17.649999999999999">
      <c r="A8" s="2">
        <v>6</v>
      </c>
      <c r="B8" s="108" t="s">
        <v>10</v>
      </c>
      <c r="C8" s="109" t="s">
        <v>11</v>
      </c>
      <c r="D8" s="110"/>
      <c r="E8" s="22"/>
    </row>
    <row r="9" spans="1:38" ht="17.649999999999999">
      <c r="A9" s="2">
        <v>7</v>
      </c>
      <c r="B9" s="108" t="s">
        <v>131</v>
      </c>
      <c r="C9" s="109" t="s">
        <v>132</v>
      </c>
      <c r="D9" s="110"/>
      <c r="E9" s="22"/>
    </row>
    <row r="10" spans="1:38" ht="17.649999999999999">
      <c r="A10" s="2">
        <v>8</v>
      </c>
      <c r="B10" s="108" t="s">
        <v>133</v>
      </c>
      <c r="C10" s="109" t="s">
        <v>134</v>
      </c>
      <c r="D10" s="110"/>
      <c r="E10" s="22"/>
    </row>
    <row r="11" spans="1:38" ht="17.649999999999999">
      <c r="A11" s="2">
        <v>9</v>
      </c>
      <c r="B11" s="108" t="s">
        <v>12</v>
      </c>
      <c r="C11" s="109" t="s">
        <v>13</v>
      </c>
      <c r="D11" s="111" t="s">
        <v>14</v>
      </c>
      <c r="E11" s="22"/>
    </row>
    <row r="12" spans="1:38" ht="17.649999999999999">
      <c r="A12" s="2">
        <v>10</v>
      </c>
      <c r="B12" s="108" t="s">
        <v>15</v>
      </c>
      <c r="C12" s="109" t="s">
        <v>16</v>
      </c>
      <c r="D12" s="110"/>
      <c r="E12" s="22"/>
    </row>
    <row r="13" spans="1:38" ht="17.649999999999999">
      <c r="A13" s="2">
        <v>11</v>
      </c>
      <c r="B13" s="112"/>
      <c r="C13" s="113"/>
      <c r="D13" s="114"/>
      <c r="E13" s="19"/>
    </row>
    <row r="14" spans="1:38" ht="17.649999999999999">
      <c r="A14" s="2">
        <v>12</v>
      </c>
      <c r="B14" s="108" t="s">
        <v>17</v>
      </c>
      <c r="C14" s="109" t="s">
        <v>18</v>
      </c>
      <c r="D14" s="110"/>
      <c r="E14" s="22"/>
    </row>
    <row r="15" spans="1:38" ht="17.649999999999999">
      <c r="A15" s="2">
        <v>13</v>
      </c>
      <c r="B15" s="108" t="s">
        <v>19</v>
      </c>
      <c r="C15" s="109" t="s">
        <v>3</v>
      </c>
      <c r="D15" s="110"/>
      <c r="E15" s="22"/>
    </row>
    <row r="16" spans="1:38" ht="17.649999999999999">
      <c r="A16" s="2">
        <v>14</v>
      </c>
      <c r="B16" s="108" t="s">
        <v>135</v>
      </c>
      <c r="C16" s="109" t="s">
        <v>129</v>
      </c>
      <c r="D16" s="110"/>
      <c r="E16" s="105"/>
    </row>
    <row r="17" spans="1:6" ht="17.649999999999999">
      <c r="A17" s="2">
        <v>15</v>
      </c>
      <c r="B17" s="108" t="s">
        <v>20</v>
      </c>
      <c r="C17" s="109" t="s">
        <v>21</v>
      </c>
      <c r="D17" s="110"/>
      <c r="E17" s="105"/>
    </row>
    <row r="18" spans="1:6" ht="17.649999999999999">
      <c r="A18" s="2">
        <v>16</v>
      </c>
      <c r="B18" s="115"/>
      <c r="C18" s="116"/>
      <c r="D18" s="117"/>
      <c r="E18" s="19"/>
    </row>
    <row r="19" spans="1:6" ht="17.649999999999999">
      <c r="A19" s="2">
        <v>17</v>
      </c>
      <c r="B19" s="108" t="s">
        <v>136</v>
      </c>
      <c r="C19" s="118">
        <v>45455</v>
      </c>
      <c r="D19" s="110"/>
      <c r="E19" s="105"/>
    </row>
    <row r="20" spans="1:6" ht="17.649999999999999">
      <c r="A20" s="2">
        <v>18</v>
      </c>
      <c r="B20" s="104"/>
      <c r="C20" s="102"/>
      <c r="D20" s="103"/>
      <c r="E20" s="24"/>
    </row>
    <row r="21" spans="1:6" ht="17.649999999999999">
      <c r="A21" s="2">
        <v>19</v>
      </c>
      <c r="B21" s="76" t="s">
        <v>605</v>
      </c>
      <c r="C21" s="79">
        <f>'참여기업 정보'!D33</f>
        <v>0</v>
      </c>
      <c r="D21" s="77"/>
      <c r="E21" s="75"/>
      <c r="F21" s="18"/>
    </row>
    <row r="22" spans="1:6" ht="17.649999999999999">
      <c r="A22" s="2">
        <v>20</v>
      </c>
      <c r="B22" s="101" t="s">
        <v>606</v>
      </c>
      <c r="C22" s="79"/>
      <c r="D22" s="77"/>
      <c r="E22" s="77"/>
    </row>
    <row r="23" spans="1:6" ht="17.649999999999999">
      <c r="A23" s="2">
        <v>21</v>
      </c>
      <c r="B23" s="69"/>
      <c r="C23" s="80"/>
      <c r="D23" s="70"/>
      <c r="E23" s="70"/>
    </row>
    <row r="24" spans="1:6" ht="17.649999999999999">
      <c r="A24" s="60">
        <v>22</v>
      </c>
      <c r="B24" s="106"/>
      <c r="C24" s="79"/>
      <c r="D24" s="77"/>
      <c r="E24" s="77"/>
    </row>
    <row r="25" spans="1:6" ht="17.649999999999999">
      <c r="A25" s="2">
        <v>23</v>
      </c>
      <c r="B25" s="69"/>
      <c r="C25" s="81"/>
      <c r="D25" s="70"/>
      <c r="E25" s="70"/>
    </row>
    <row r="26" spans="1:6" ht="17.649999999999999">
      <c r="A26" s="60">
        <v>24</v>
      </c>
      <c r="B26" s="106"/>
      <c r="C26" s="79"/>
      <c r="D26" s="77"/>
      <c r="E26" s="77"/>
      <c r="F26" s="100"/>
    </row>
    <row r="27" spans="1:6" ht="17.649999999999999">
      <c r="A27" s="2">
        <v>25</v>
      </c>
      <c r="B27" s="95"/>
      <c r="C27" s="99"/>
      <c r="D27" s="71"/>
      <c r="E27" s="71"/>
    </row>
    <row r="28" spans="1:6" ht="17.649999999999999">
      <c r="A28" s="2">
        <v>26</v>
      </c>
      <c r="B28" s="91"/>
      <c r="C28" s="92"/>
      <c r="D28" s="77"/>
      <c r="E28" s="77"/>
    </row>
    <row r="29" spans="1:6" ht="17.649999999999999">
      <c r="A29" s="60">
        <v>27</v>
      </c>
      <c r="B29" s="106"/>
      <c r="C29" s="92"/>
      <c r="D29" s="77"/>
      <c r="E29" s="77"/>
    </row>
    <row r="30" spans="1:6" ht="17.649999999999999">
      <c r="A30" s="2">
        <v>28</v>
      </c>
      <c r="B30" s="91"/>
      <c r="C30" s="92"/>
      <c r="D30" s="77"/>
      <c r="E30" s="93"/>
    </row>
    <row r="31" spans="1:6" ht="17.649999999999999">
      <c r="A31" s="2">
        <v>29</v>
      </c>
      <c r="B31" s="69"/>
      <c r="C31" s="81"/>
      <c r="D31" s="70"/>
      <c r="E31" s="73"/>
    </row>
    <row r="32" spans="1:6" ht="17.649999999999999">
      <c r="A32" s="2">
        <v>30</v>
      </c>
      <c r="B32" s="91"/>
      <c r="C32" s="79"/>
      <c r="D32" s="77"/>
      <c r="E32" s="72"/>
    </row>
    <row r="33" spans="1:5" ht="17.649999999999999">
      <c r="A33" s="2">
        <v>31</v>
      </c>
      <c r="B33" s="69"/>
      <c r="C33" s="81"/>
      <c r="D33" s="70"/>
      <c r="E33" s="72"/>
    </row>
    <row r="34" spans="1:5" ht="17.649999999999999">
      <c r="A34" s="2">
        <v>32</v>
      </c>
      <c r="B34" s="91"/>
      <c r="C34" s="79"/>
      <c r="D34" s="77"/>
      <c r="E34" s="93"/>
    </row>
    <row r="35" spans="1:5" ht="17.649999999999999">
      <c r="A35" s="2">
        <v>33</v>
      </c>
      <c r="B35" s="69"/>
      <c r="C35" s="82"/>
      <c r="D35" s="70"/>
      <c r="E35" s="73"/>
    </row>
    <row r="36" spans="1:5" ht="17.649999999999999">
      <c r="A36" s="2">
        <v>34</v>
      </c>
      <c r="B36" s="91"/>
      <c r="C36" s="79"/>
      <c r="D36" s="77"/>
      <c r="E36" s="93"/>
    </row>
    <row r="37" spans="1:5" ht="17.649999999999999">
      <c r="A37" s="96">
        <v>35</v>
      </c>
      <c r="B37" s="69"/>
      <c r="C37" s="81"/>
      <c r="D37" s="70"/>
      <c r="E37" s="73"/>
    </row>
    <row r="38" spans="1:5" ht="17.649999999999999">
      <c r="A38" s="97">
        <v>36</v>
      </c>
      <c r="B38" s="76"/>
      <c r="C38" s="85"/>
      <c r="D38" s="86"/>
      <c r="E38" s="94"/>
    </row>
    <row r="39" spans="1:5" ht="17.649999999999999">
      <c r="A39" s="98">
        <v>37</v>
      </c>
      <c r="B39" s="91"/>
      <c r="C39" s="89"/>
      <c r="D39" s="90"/>
      <c r="E39" s="83"/>
    </row>
    <row r="40" spans="1:5" ht="17.649999999999999">
      <c r="A40" s="98">
        <v>38</v>
      </c>
      <c r="B40" s="95"/>
      <c r="C40" s="87"/>
      <c r="D40" s="74"/>
      <c r="E40" s="88"/>
    </row>
    <row r="41" spans="1:5" ht="16.899999999999999">
      <c r="A41" s="2">
        <v>39</v>
      </c>
      <c r="C41" s="21"/>
      <c r="D41" s="78"/>
      <c r="E41" s="84"/>
    </row>
    <row r="42" spans="1:5" ht="16.899999999999999">
      <c r="A42" s="2">
        <v>40</v>
      </c>
    </row>
    <row r="43" spans="1:5" ht="16.899999999999999">
      <c r="A43" s="2">
        <v>41</v>
      </c>
    </row>
    <row r="44" spans="1:5" ht="16.899999999999999">
      <c r="A44" s="2">
        <v>42</v>
      </c>
    </row>
    <row r="45" spans="1:5" ht="16.899999999999999">
      <c r="A45" s="2">
        <v>43</v>
      </c>
    </row>
    <row r="46" spans="1:5" ht="16.899999999999999">
      <c r="A46" s="2">
        <v>44</v>
      </c>
    </row>
    <row r="47" spans="1:5" ht="16.899999999999999">
      <c r="A47" s="2">
        <v>45</v>
      </c>
    </row>
    <row r="48" spans="1:5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  <row r="65" spans="1:1" ht="16.899999999999999">
      <c r="A65" s="2">
        <v>63</v>
      </c>
    </row>
    <row r="66" spans="1:1" ht="16.899999999999999">
      <c r="A66" s="2">
        <v>64</v>
      </c>
    </row>
  </sheetData>
  <mergeCells count="1">
    <mergeCell ref="B2:D2"/>
  </mergeCells>
  <phoneticPr fontId="16" type="noConversion"/>
  <dataValidations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285750</xdr:rowOff>
                  </from>
                  <to>
                    <xdr:col>8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>
      <selection activeCell="C6" sqref="C6"/>
    </sheetView>
    <sheetView workbookViewId="1"/>
  </sheetViews>
  <sheetFormatPr defaultRowHeight="12.75"/>
  <cols>
    <col min="1" max="1" width="14" customWidth="1"/>
    <col min="2" max="2" width="31.86328125" customWidth="1"/>
    <col min="3" max="3" width="49.73046875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621" t="s">
        <v>137</v>
      </c>
      <c r="C2" s="622"/>
    </row>
    <row r="3" spans="1:38" ht="19.5">
      <c r="A3" s="2">
        <v>1</v>
      </c>
      <c r="B3" s="7" t="s">
        <v>140</v>
      </c>
      <c r="C3" s="151" t="s">
        <v>292</v>
      </c>
    </row>
    <row r="4" spans="1:38" ht="16.899999999999999">
      <c r="A4" s="2">
        <v>2</v>
      </c>
      <c r="B4" s="7" t="s">
        <v>84</v>
      </c>
      <c r="C4" s="10" t="s">
        <v>138</v>
      </c>
    </row>
    <row r="5" spans="1:38" ht="16.899999999999999">
      <c r="A5" s="2">
        <v>3</v>
      </c>
      <c r="B5" s="7" t="s">
        <v>85</v>
      </c>
      <c r="C5" s="10" t="s">
        <v>110</v>
      </c>
    </row>
    <row r="6" spans="1:38" ht="16.899999999999999">
      <c r="A6" s="2">
        <v>4</v>
      </c>
      <c r="B6" s="7" t="s">
        <v>141</v>
      </c>
      <c r="C6" s="10" t="s">
        <v>142</v>
      </c>
    </row>
    <row r="7" spans="1:38" ht="16.899999999999999">
      <c r="A7" s="2">
        <v>5</v>
      </c>
      <c r="B7" s="7" t="s">
        <v>143</v>
      </c>
      <c r="C7" s="10" t="s">
        <v>144</v>
      </c>
    </row>
    <row r="8" spans="1:38" ht="16.899999999999999">
      <c r="A8" s="2">
        <v>6</v>
      </c>
      <c r="B8" s="7" t="s">
        <v>93</v>
      </c>
      <c r="C8" s="10" t="s">
        <v>145</v>
      </c>
    </row>
    <row r="9" spans="1:38" ht="16.899999999999999">
      <c r="A9" s="2">
        <v>7</v>
      </c>
      <c r="B9" s="7" t="s">
        <v>92</v>
      </c>
      <c r="C9" s="10" t="s">
        <v>146</v>
      </c>
    </row>
    <row r="10" spans="1:38" ht="16.899999999999999">
      <c r="A10" s="2">
        <v>8</v>
      </c>
      <c r="B10" s="7" t="s">
        <v>147</v>
      </c>
      <c r="C10" s="10" t="s">
        <v>139</v>
      </c>
    </row>
    <row r="11" spans="1:38" ht="16.899999999999999">
      <c r="A11" s="2">
        <v>9</v>
      </c>
      <c r="B11" s="25"/>
      <c r="C11" s="67"/>
      <c r="D11" s="18"/>
    </row>
    <row r="12" spans="1:38" ht="16.899999999999999">
      <c r="A12" s="2">
        <v>10</v>
      </c>
      <c r="B12" s="7" t="s">
        <v>148</v>
      </c>
      <c r="C12" s="10" t="s">
        <v>149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/>
    <sheetView workbookViewId="1"/>
  </sheetViews>
  <sheetFormatPr defaultRowHeight="12.75"/>
  <cols>
    <col min="1" max="1" width="14" customWidth="1"/>
    <col min="2" max="2" width="25.59765625" bestFit="1" customWidth="1"/>
    <col min="3" max="3" width="44.1328125" customWidth="1"/>
    <col min="4" max="4" width="6.265625" bestFit="1" customWidth="1"/>
    <col min="5" max="5" width="13.3984375" bestFit="1" customWidth="1"/>
    <col min="6" max="6" width="21.86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625" t="s">
        <v>295</v>
      </c>
      <c r="C2" s="626"/>
      <c r="E2" s="627" t="s">
        <v>194</v>
      </c>
      <c r="F2" s="622"/>
    </row>
    <row r="3" spans="1:38" ht="19.5">
      <c r="A3" s="2">
        <v>1</v>
      </c>
      <c r="B3" s="154" t="s">
        <v>262</v>
      </c>
      <c r="C3" s="10" t="s">
        <v>160</v>
      </c>
    </row>
    <row r="4" spans="1:38" ht="19.5">
      <c r="A4" s="2">
        <v>2</v>
      </c>
      <c r="B4" s="146" t="s">
        <v>263</v>
      </c>
      <c r="C4" s="10" t="s">
        <v>162</v>
      </c>
    </row>
    <row r="5" spans="1:38" ht="19.5">
      <c r="A5" s="2">
        <v>3</v>
      </c>
      <c r="B5" s="146" t="s">
        <v>264</v>
      </c>
      <c r="C5" s="10" t="s">
        <v>163</v>
      </c>
    </row>
    <row r="6" spans="1:38" ht="19.5">
      <c r="A6" s="2">
        <v>4</v>
      </c>
      <c r="B6" s="146" t="s">
        <v>260</v>
      </c>
      <c r="C6" s="10" t="s">
        <v>164</v>
      </c>
    </row>
    <row r="7" spans="1:38" ht="19.5">
      <c r="A7" s="2">
        <v>5</v>
      </c>
      <c r="B7" s="146" t="s">
        <v>265</v>
      </c>
      <c r="C7" s="10" t="s">
        <v>165</v>
      </c>
    </row>
    <row r="8" spans="1:38" ht="19.5">
      <c r="A8" s="2">
        <v>6</v>
      </c>
      <c r="B8" s="146" t="s">
        <v>263</v>
      </c>
      <c r="C8" s="10" t="s">
        <v>161</v>
      </c>
    </row>
    <row r="9" spans="1:38" ht="19.5">
      <c r="A9" s="2">
        <v>7</v>
      </c>
      <c r="B9" s="146" t="s">
        <v>266</v>
      </c>
      <c r="C9" s="10" t="s">
        <v>166</v>
      </c>
    </row>
    <row r="10" spans="1:38" ht="19.5">
      <c r="A10" s="2">
        <v>8</v>
      </c>
      <c r="B10" s="146" t="s">
        <v>268</v>
      </c>
      <c r="C10" s="10" t="s">
        <v>155</v>
      </c>
      <c r="E10" s="140"/>
    </row>
    <row r="11" spans="1:38" ht="19.5">
      <c r="A11" s="2">
        <v>9</v>
      </c>
      <c r="B11" s="154" t="s">
        <v>267</v>
      </c>
      <c r="C11" s="10" t="s">
        <v>112</v>
      </c>
    </row>
    <row r="12" spans="1:38" ht="19.5">
      <c r="A12" s="2">
        <v>10</v>
      </c>
      <c r="B12" s="146" t="s">
        <v>260</v>
      </c>
      <c r="C12" s="10" t="s">
        <v>261</v>
      </c>
    </row>
    <row r="13" spans="1:38" ht="19.5">
      <c r="A13" s="2">
        <v>11</v>
      </c>
      <c r="B13" s="146" t="s">
        <v>247</v>
      </c>
      <c r="C13" s="123">
        <v>45518</v>
      </c>
    </row>
    <row r="14" spans="1:38" ht="16.899999999999999">
      <c r="A14" s="2">
        <v>12</v>
      </c>
      <c r="D14" s="18"/>
    </row>
    <row r="15" spans="1:38" ht="16.899999999999999">
      <c r="A15" s="2">
        <v>13</v>
      </c>
      <c r="B15" s="7" t="s">
        <v>156</v>
      </c>
      <c r="C15" s="7" t="s">
        <v>157</v>
      </c>
      <c r="D15" s="7" t="s">
        <v>158</v>
      </c>
      <c r="E15" s="7" t="s">
        <v>159</v>
      </c>
      <c r="F15" s="7" t="s">
        <v>271</v>
      </c>
    </row>
    <row r="16" spans="1:38" ht="16.899999999999999">
      <c r="A16" s="2">
        <v>14</v>
      </c>
      <c r="B16" s="58" t="s">
        <v>272</v>
      </c>
      <c r="C16" s="58">
        <v>501111</v>
      </c>
      <c r="D16" s="58" t="s">
        <v>269</v>
      </c>
      <c r="E16" s="58" t="s">
        <v>105</v>
      </c>
      <c r="F16" s="58" t="s">
        <v>273</v>
      </c>
    </row>
    <row r="17" spans="1:7" ht="16.899999999999999">
      <c r="A17" s="2">
        <v>15</v>
      </c>
      <c r="B17" s="58" t="s">
        <v>274</v>
      </c>
      <c r="C17" s="58">
        <v>111111</v>
      </c>
      <c r="D17" s="58" t="s">
        <v>275</v>
      </c>
      <c r="E17" s="58" t="s">
        <v>270</v>
      </c>
      <c r="F17" s="58" t="s">
        <v>276</v>
      </c>
    </row>
    <row r="18" spans="1:7" ht="16.899999999999999">
      <c r="A18" s="2">
        <v>16</v>
      </c>
    </row>
    <row r="19" spans="1:7" ht="16.899999999999999">
      <c r="A19" s="2">
        <v>17</v>
      </c>
    </row>
    <row r="20" spans="1:7" ht="16.899999999999999">
      <c r="A20" s="2">
        <v>18</v>
      </c>
    </row>
    <row r="21" spans="1:7" ht="16.899999999999999">
      <c r="A21" s="2">
        <v>19</v>
      </c>
    </row>
    <row r="22" spans="1:7" ht="16.899999999999999">
      <c r="A22" s="2">
        <v>20</v>
      </c>
    </row>
    <row r="23" spans="1:7" ht="16.899999999999999">
      <c r="A23" s="2">
        <v>21</v>
      </c>
      <c r="G23" s="58"/>
    </row>
    <row r="24" spans="1:7" ht="16.899999999999999">
      <c r="A24" s="2">
        <v>22</v>
      </c>
    </row>
    <row r="25" spans="1:7" ht="16.899999999999999">
      <c r="A25" s="2">
        <v>23</v>
      </c>
      <c r="B25" s="58"/>
    </row>
    <row r="26" spans="1:7" ht="16.899999999999999">
      <c r="A26" s="2">
        <v>24</v>
      </c>
      <c r="B26" s="58"/>
    </row>
    <row r="27" spans="1:7" ht="16.899999999999999">
      <c r="A27" s="2">
        <v>25</v>
      </c>
      <c r="B27" s="58"/>
    </row>
    <row r="28" spans="1:7" ht="16.899999999999999">
      <c r="A28" s="2">
        <v>26</v>
      </c>
      <c r="B28" s="58"/>
    </row>
    <row r="29" spans="1:7" ht="16.899999999999999">
      <c r="A29" s="2">
        <v>27</v>
      </c>
      <c r="B29" s="58"/>
    </row>
    <row r="30" spans="1:7" ht="16.899999999999999">
      <c r="A30" s="2">
        <v>28</v>
      </c>
      <c r="B30" s="58"/>
    </row>
    <row r="31" spans="1:7" ht="16.899999999999999">
      <c r="A31" s="2">
        <v>29</v>
      </c>
      <c r="B31" s="58"/>
    </row>
    <row r="32" spans="1:7" ht="16.899999999999999">
      <c r="A32" s="2">
        <v>30</v>
      </c>
      <c r="B32" s="58"/>
    </row>
    <row r="33" spans="1:2" ht="16.899999999999999">
      <c r="A33" s="2">
        <v>31</v>
      </c>
      <c r="B33" s="58"/>
    </row>
    <row r="34" spans="1:2" ht="16.899999999999999">
      <c r="A34" s="2">
        <v>32</v>
      </c>
      <c r="B34" s="58"/>
    </row>
    <row r="35" spans="1:2" ht="16.899999999999999">
      <c r="A35" s="2">
        <v>33</v>
      </c>
      <c r="B35" s="58"/>
    </row>
    <row r="36" spans="1:2" ht="16.899999999999999">
      <c r="A36" s="2">
        <v>34</v>
      </c>
      <c r="B36" s="58"/>
    </row>
    <row r="37" spans="1:2" ht="16.899999999999999">
      <c r="A37" s="2">
        <v>35</v>
      </c>
      <c r="B37" s="58"/>
    </row>
    <row r="38" spans="1:2" ht="16.899999999999999">
      <c r="A38" s="2">
        <v>36</v>
      </c>
      <c r="B38" s="58"/>
    </row>
    <row r="39" spans="1:2" ht="16.899999999999999">
      <c r="A39" s="2">
        <v>37</v>
      </c>
      <c r="B39" s="58"/>
    </row>
    <row r="40" spans="1:2" ht="16.899999999999999">
      <c r="A40" s="2">
        <v>38</v>
      </c>
      <c r="B40" s="58"/>
    </row>
    <row r="41" spans="1:2" ht="16.899999999999999">
      <c r="A41" s="2">
        <v>39</v>
      </c>
      <c r="B41" s="58"/>
    </row>
    <row r="42" spans="1:2" ht="16.899999999999999">
      <c r="A42" s="2">
        <v>40</v>
      </c>
      <c r="B42" s="58"/>
    </row>
    <row r="43" spans="1:2" ht="16.899999999999999">
      <c r="A43" s="2">
        <v>41</v>
      </c>
      <c r="B43" s="58"/>
    </row>
    <row r="44" spans="1:2" ht="16.899999999999999">
      <c r="A44" s="2">
        <v>42</v>
      </c>
      <c r="B44" s="58"/>
    </row>
    <row r="45" spans="1:2" ht="16.899999999999999">
      <c r="A45" s="2">
        <v>43</v>
      </c>
      <c r="B45" s="58"/>
    </row>
    <row r="46" spans="1:2" ht="16.899999999999999">
      <c r="A46" s="2">
        <v>44</v>
      </c>
      <c r="B46" s="58"/>
    </row>
    <row r="47" spans="1:2" ht="16.899999999999999">
      <c r="A47" s="2">
        <v>45</v>
      </c>
      <c r="B47" s="58"/>
    </row>
    <row r="48" spans="1:2" ht="16.899999999999999">
      <c r="A48" s="2">
        <v>46</v>
      </c>
      <c r="B48" s="58"/>
    </row>
    <row r="49" spans="1:2" ht="16.899999999999999">
      <c r="A49" s="2">
        <v>47</v>
      </c>
      <c r="B49" s="58"/>
    </row>
    <row r="50" spans="1:2" ht="16.899999999999999">
      <c r="A50" s="2">
        <v>48</v>
      </c>
      <c r="B50" s="58"/>
    </row>
    <row r="51" spans="1:2" ht="16.899999999999999">
      <c r="A51" s="2">
        <v>49</v>
      </c>
      <c r="B51" s="58"/>
    </row>
    <row r="52" spans="1:2" ht="16.899999999999999">
      <c r="A52" s="2">
        <v>50</v>
      </c>
      <c r="B52" s="58"/>
    </row>
    <row r="53" spans="1:2" ht="16.899999999999999">
      <c r="A53" s="2">
        <v>51</v>
      </c>
      <c r="B53" s="58"/>
    </row>
    <row r="54" spans="1:2" ht="16.899999999999999">
      <c r="A54" s="2">
        <v>52</v>
      </c>
      <c r="B54" s="58"/>
    </row>
    <row r="55" spans="1:2" ht="16.899999999999999">
      <c r="A55" s="2">
        <v>53</v>
      </c>
      <c r="B55" s="58"/>
    </row>
    <row r="56" spans="1:2" ht="16.899999999999999">
      <c r="A56" s="2">
        <v>54</v>
      </c>
      <c r="B56" s="58"/>
    </row>
    <row r="57" spans="1:2" ht="16.899999999999999">
      <c r="A57" s="2">
        <v>55</v>
      </c>
      <c r="B57" s="58"/>
    </row>
    <row r="58" spans="1:2" ht="16.899999999999999">
      <c r="A58" s="2">
        <v>56</v>
      </c>
      <c r="B58" s="58"/>
    </row>
    <row r="59" spans="1:2" ht="16.899999999999999">
      <c r="A59" s="2">
        <v>57</v>
      </c>
      <c r="B59" s="58"/>
    </row>
    <row r="60" spans="1:2" ht="16.899999999999999">
      <c r="A60" s="2">
        <v>58</v>
      </c>
      <c r="B60" s="58"/>
    </row>
    <row r="61" spans="1:2" ht="16.899999999999999">
      <c r="A61" s="2">
        <v>59</v>
      </c>
      <c r="B61" s="58"/>
    </row>
    <row r="62" spans="1:2" ht="16.899999999999999">
      <c r="A62" s="2">
        <v>60</v>
      </c>
      <c r="B62" s="58"/>
    </row>
    <row r="63" spans="1:2" ht="16.899999999999999">
      <c r="A63" s="2">
        <v>61</v>
      </c>
      <c r="B63" s="58"/>
    </row>
  </sheetData>
  <mergeCells count="2">
    <mergeCell ref="B2:C2"/>
    <mergeCell ref="E2:F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647700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/>
    <sheetView workbookViewId="1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627" t="s">
        <v>228</v>
      </c>
      <c r="C2" s="622"/>
    </row>
    <row r="3" spans="1:38" ht="16.5">
      <c r="A3" s="144">
        <v>1</v>
      </c>
      <c r="B3" s="7" t="s">
        <v>227</v>
      </c>
      <c r="C3" s="10" t="s">
        <v>201</v>
      </c>
    </row>
    <row r="4" spans="1:38" ht="16.5">
      <c r="A4" s="144">
        <v>2</v>
      </c>
      <c r="B4" s="7" t="s">
        <v>85</v>
      </c>
      <c r="C4" s="10" t="s">
        <v>110</v>
      </c>
    </row>
    <row r="5" spans="1:38" ht="16.5">
      <c r="A5" s="144">
        <v>3</v>
      </c>
      <c r="B5" s="7" t="s">
        <v>202</v>
      </c>
      <c r="C5" s="10" t="s">
        <v>203</v>
      </c>
    </row>
    <row r="6" spans="1:38" ht="16.5">
      <c r="A6" s="144">
        <v>4</v>
      </c>
      <c r="B6" s="7" t="s">
        <v>204</v>
      </c>
      <c r="C6" s="10" t="s">
        <v>205</v>
      </c>
    </row>
    <row r="7" spans="1:38" ht="16.5">
      <c r="A7" s="144">
        <v>5</v>
      </c>
      <c r="B7" s="7" t="s">
        <v>206</v>
      </c>
      <c r="C7" s="10" t="s">
        <v>164</v>
      </c>
    </row>
    <row r="8" spans="1:38" ht="16.5">
      <c r="A8" s="144">
        <v>6</v>
      </c>
      <c r="B8" s="7" t="s">
        <v>207</v>
      </c>
      <c r="C8" s="10" t="s">
        <v>208</v>
      </c>
    </row>
    <row r="9" spans="1:38" ht="16.5">
      <c r="A9" s="144">
        <v>7</v>
      </c>
      <c r="B9" s="7" t="s">
        <v>209</v>
      </c>
      <c r="C9" s="10" t="s">
        <v>210</v>
      </c>
    </row>
    <row r="10" spans="1:38" ht="16.5">
      <c r="A10" s="144">
        <v>8</v>
      </c>
      <c r="B10" s="7" t="s">
        <v>211</v>
      </c>
      <c r="C10" s="10" t="s">
        <v>195</v>
      </c>
    </row>
    <row r="11" spans="1:38" ht="16.5">
      <c r="A11" s="144">
        <v>9</v>
      </c>
      <c r="B11" s="7" t="s">
        <v>212</v>
      </c>
      <c r="C11" s="145" t="s">
        <v>196</v>
      </c>
    </row>
    <row r="12" spans="1:38" ht="13.5">
      <c r="A12" s="144">
        <v>10</v>
      </c>
    </row>
    <row r="13" spans="1:38" ht="16.5">
      <c r="A13" s="144">
        <v>11</v>
      </c>
      <c r="B13" s="7" t="s">
        <v>160</v>
      </c>
      <c r="C13" s="10" t="s">
        <v>213</v>
      </c>
    </row>
    <row r="14" spans="1:38" ht="16.5">
      <c r="A14" s="144">
        <v>12</v>
      </c>
      <c r="B14" s="7" t="s">
        <v>161</v>
      </c>
      <c r="C14" s="10" t="s">
        <v>213</v>
      </c>
    </row>
    <row r="15" spans="1:38" ht="16.5">
      <c r="A15" s="144">
        <v>13</v>
      </c>
      <c r="B15" s="7" t="s">
        <v>214</v>
      </c>
      <c r="C15" s="10" t="s">
        <v>213</v>
      </c>
    </row>
    <row r="16" spans="1:38" ht="16.5">
      <c r="A16" s="144">
        <v>14</v>
      </c>
      <c r="B16" s="7" t="s">
        <v>215</v>
      </c>
      <c r="C16" s="10" t="s">
        <v>197</v>
      </c>
    </row>
    <row r="17" spans="1:6" ht="16.5">
      <c r="A17" s="144">
        <v>15</v>
      </c>
      <c r="B17" s="7" t="s">
        <v>216</v>
      </c>
      <c r="C17" s="10" t="s">
        <v>203</v>
      </c>
    </row>
    <row r="18" spans="1:6" ht="16.5">
      <c r="A18" s="144">
        <v>16</v>
      </c>
      <c r="B18" s="7" t="s">
        <v>217</v>
      </c>
      <c r="C18" s="10" t="s">
        <v>167</v>
      </c>
    </row>
    <row r="19" spans="1:6" ht="13.5">
      <c r="A19" s="144">
        <v>17</v>
      </c>
    </row>
    <row r="20" spans="1:6" ht="16.5">
      <c r="A20" s="144">
        <v>18</v>
      </c>
      <c r="B20" s="7" t="s">
        <v>168</v>
      </c>
      <c r="C20" s="10" t="s">
        <v>218</v>
      </c>
    </row>
    <row r="21" spans="1:6" ht="13.5">
      <c r="A21" s="144">
        <v>19</v>
      </c>
    </row>
    <row r="22" spans="1:6" ht="16.5">
      <c r="A22" s="144">
        <v>20</v>
      </c>
      <c r="B22" s="7" t="s">
        <v>219</v>
      </c>
      <c r="C22" s="7" t="s">
        <v>157</v>
      </c>
      <c r="D22" s="7" t="s">
        <v>158</v>
      </c>
      <c r="E22" s="7" t="s">
        <v>220</v>
      </c>
      <c r="F22" s="7" t="s">
        <v>169</v>
      </c>
    </row>
    <row r="23" spans="1:6" ht="13.5">
      <c r="A23" s="144">
        <v>21</v>
      </c>
      <c r="B23" s="58" t="s">
        <v>221</v>
      </c>
      <c r="C23" s="58">
        <v>121212</v>
      </c>
      <c r="D23" s="58" t="s">
        <v>222</v>
      </c>
      <c r="E23" s="58" t="s">
        <v>223</v>
      </c>
      <c r="F23" s="58" t="s">
        <v>198</v>
      </c>
    </row>
    <row r="24" spans="1:6" ht="13.5">
      <c r="A24" s="144">
        <v>22</v>
      </c>
      <c r="B24" s="58" t="s">
        <v>224</v>
      </c>
      <c r="C24" s="58">
        <v>212121</v>
      </c>
      <c r="D24" s="58" t="s">
        <v>225</v>
      </c>
      <c r="E24" s="58" t="s">
        <v>226</v>
      </c>
      <c r="F24" s="58" t="s">
        <v>199</v>
      </c>
    </row>
    <row r="25" spans="1:6" ht="13.5">
      <c r="A25" s="144">
        <v>23</v>
      </c>
    </row>
    <row r="26" spans="1:6" ht="13.5">
      <c r="A26" s="144">
        <v>24</v>
      </c>
    </row>
    <row r="27" spans="1:6" ht="13.5">
      <c r="A27" s="144">
        <v>25</v>
      </c>
    </row>
    <row r="28" spans="1:6" ht="13.5">
      <c r="A28" s="144">
        <v>26</v>
      </c>
    </row>
    <row r="29" spans="1:6" ht="13.5">
      <c r="A29" s="144">
        <v>27</v>
      </c>
    </row>
    <row r="30" spans="1:6" ht="13.5">
      <c r="A30" s="144">
        <v>28</v>
      </c>
    </row>
    <row r="31" spans="1:6" ht="13.5">
      <c r="A31" s="144">
        <v>29</v>
      </c>
    </row>
    <row r="32" spans="1:6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hyperlinks>
    <hyperlink ref="C11" r:id="rId1" xr:uid="{694FA870-8D8E-4790-B77E-F471C440482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  <sheetView workbookViewId="1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628" t="s">
        <v>229</v>
      </c>
      <c r="C2" s="622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231</v>
      </c>
      <c r="C4" s="151" t="s">
        <v>242</v>
      </c>
    </row>
    <row r="5" spans="1:38" ht="19.5">
      <c r="A5" s="144">
        <v>3</v>
      </c>
      <c r="B5" s="146" t="s">
        <v>232</v>
      </c>
      <c r="C5" s="10" t="s">
        <v>203</v>
      </c>
    </row>
    <row r="6" spans="1:38" ht="19.5">
      <c r="A6" s="144">
        <v>4</v>
      </c>
      <c r="B6" s="147" t="s">
        <v>234</v>
      </c>
      <c r="C6" s="10" t="s">
        <v>243</v>
      </c>
    </row>
    <row r="7" spans="1:38" ht="19.5">
      <c r="A7" s="144">
        <v>5</v>
      </c>
      <c r="B7" s="147" t="s">
        <v>233</v>
      </c>
      <c r="C7" s="145" t="s">
        <v>244</v>
      </c>
    </row>
    <row r="8" spans="1:38" ht="13.5">
      <c r="A8" s="144">
        <v>6</v>
      </c>
    </row>
    <row r="9" spans="1:38" ht="19.5">
      <c r="A9" s="144">
        <v>7</v>
      </c>
      <c r="B9" s="146" t="s">
        <v>247</v>
      </c>
      <c r="C9" s="10" t="s">
        <v>248</v>
      </c>
    </row>
    <row r="10" spans="1:38" ht="13.5">
      <c r="A10" s="144">
        <v>8</v>
      </c>
    </row>
    <row r="11" spans="1:38" ht="19.5">
      <c r="A11" s="144">
        <v>9</v>
      </c>
      <c r="B11" s="146" t="s">
        <v>235</v>
      </c>
      <c r="C11" s="146" t="s">
        <v>236</v>
      </c>
      <c r="D11" s="146" t="s">
        <v>237</v>
      </c>
      <c r="E11" s="146" t="s">
        <v>238</v>
      </c>
      <c r="F11" s="146" t="s">
        <v>239</v>
      </c>
    </row>
    <row r="12" spans="1:38" ht="15.75">
      <c r="A12" s="144">
        <v>10</v>
      </c>
      <c r="B12" s="149" t="s">
        <v>246</v>
      </c>
      <c r="D12" s="148" t="s">
        <v>191</v>
      </c>
      <c r="E12" s="124" t="s">
        <v>240</v>
      </c>
      <c r="F12" s="150" t="s">
        <v>241</v>
      </c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/>
    <sheetView workbookViewId="1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628" t="s">
        <v>249</v>
      </c>
      <c r="C2" s="622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231</v>
      </c>
      <c r="C4" s="151" t="s">
        <v>242</v>
      </c>
    </row>
    <row r="5" spans="1:38" ht="13.5">
      <c r="A5" s="144">
        <v>3</v>
      </c>
    </row>
    <row r="6" spans="1:38" ht="19.5">
      <c r="A6" s="144">
        <v>4</v>
      </c>
      <c r="B6" s="146" t="s">
        <v>247</v>
      </c>
      <c r="C6" s="10" t="s">
        <v>248</v>
      </c>
    </row>
    <row r="7" spans="1:38" ht="13.5">
      <c r="A7" s="144">
        <v>5</v>
      </c>
    </row>
    <row r="8" spans="1:38" ht="13.5">
      <c r="A8" s="144">
        <v>6</v>
      </c>
    </row>
    <row r="9" spans="1:38" ht="13.5">
      <c r="A9" s="144">
        <v>7</v>
      </c>
    </row>
    <row r="10" spans="1:38" ht="13.5">
      <c r="A10" s="144">
        <v>8</v>
      </c>
    </row>
    <row r="11" spans="1:38" ht="13.5">
      <c r="A11" s="144">
        <v>9</v>
      </c>
    </row>
    <row r="12" spans="1:38" ht="15.75">
      <c r="A12" s="144">
        <v>10</v>
      </c>
      <c r="B12" s="149"/>
      <c r="D12" s="148"/>
      <c r="E12" s="124"/>
      <c r="F12" s="150"/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>
      <selection activeCell="B6" sqref="B6"/>
    </sheetView>
    <sheetView workbookViewId="1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628" t="s">
        <v>250</v>
      </c>
      <c r="C2" s="622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157</v>
      </c>
      <c r="C4" s="152">
        <v>123412</v>
      </c>
    </row>
    <row r="5" spans="1:38" ht="13.5">
      <c r="A5" s="144">
        <v>3</v>
      </c>
    </row>
    <row r="6" spans="1:38" ht="19.5">
      <c r="A6" s="144">
        <v>4</v>
      </c>
      <c r="B6" s="146" t="s">
        <v>247</v>
      </c>
      <c r="C6" s="10" t="s">
        <v>248</v>
      </c>
    </row>
    <row r="7" spans="1:38" ht="13.5">
      <c r="A7" s="144">
        <v>5</v>
      </c>
    </row>
    <row r="8" spans="1:38" ht="13.5">
      <c r="A8" s="144">
        <v>6</v>
      </c>
    </row>
    <row r="9" spans="1:38" ht="13.5">
      <c r="A9" s="144">
        <v>7</v>
      </c>
    </row>
    <row r="10" spans="1:38" ht="13.5">
      <c r="A10" s="144">
        <v>8</v>
      </c>
    </row>
    <row r="11" spans="1:38" ht="13.5">
      <c r="A11" s="144">
        <v>9</v>
      </c>
    </row>
    <row r="12" spans="1:38" ht="15.75">
      <c r="A12" s="144">
        <v>10</v>
      </c>
      <c r="B12" s="149"/>
      <c r="D12" s="148"/>
      <c r="E12" s="124"/>
      <c r="F12" s="150"/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/>
    <sheetView workbookViewId="1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628" t="s">
        <v>250</v>
      </c>
      <c r="C2" s="622"/>
    </row>
    <row r="3" spans="1:38" ht="19.5">
      <c r="A3" s="144">
        <v>1</v>
      </c>
      <c r="B3" s="146" t="s">
        <v>230</v>
      </c>
      <c r="C3" s="151"/>
    </row>
    <row r="4" spans="1:38" ht="19.5">
      <c r="A4" s="144">
        <v>2</v>
      </c>
      <c r="B4" s="146" t="s">
        <v>157</v>
      </c>
      <c r="C4" s="152"/>
    </row>
    <row r="5" spans="1:38" ht="13.5">
      <c r="A5" s="144">
        <v>3</v>
      </c>
    </row>
    <row r="6" spans="1:38" ht="19.5">
      <c r="A6" s="144">
        <v>4</v>
      </c>
      <c r="B6" s="146" t="s">
        <v>251</v>
      </c>
      <c r="C6" s="123" t="s">
        <v>258</v>
      </c>
    </row>
    <row r="7" spans="1:38" ht="19.5">
      <c r="A7" s="144">
        <v>5</v>
      </c>
      <c r="B7" s="146" t="s">
        <v>252</v>
      </c>
      <c r="C7" s="123" t="s">
        <v>259</v>
      </c>
    </row>
    <row r="8" spans="1:38" ht="19.5">
      <c r="A8" s="144">
        <v>6</v>
      </c>
      <c r="B8" s="146" t="s">
        <v>253</v>
      </c>
      <c r="C8" s="153" t="s">
        <v>254</v>
      </c>
    </row>
    <row r="9" spans="1:38" ht="19.5">
      <c r="A9" s="144">
        <v>7</v>
      </c>
      <c r="B9" s="146" t="s">
        <v>232</v>
      </c>
      <c r="C9" s="153" t="s">
        <v>255</v>
      </c>
    </row>
    <row r="10" spans="1:38" ht="19.5">
      <c r="A10" s="144">
        <v>8</v>
      </c>
      <c r="B10" s="146" t="s">
        <v>256</v>
      </c>
      <c r="C10" s="10" t="s">
        <v>257</v>
      </c>
    </row>
    <row r="11" spans="1:38" ht="13.5">
      <c r="A11" s="144">
        <v>9</v>
      </c>
    </row>
    <row r="12" spans="1:38" ht="15.75">
      <c r="A12" s="144">
        <v>10</v>
      </c>
      <c r="B12" s="149"/>
      <c r="D12" s="148"/>
      <c r="E12" s="124"/>
      <c r="F12" s="150"/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6F95-63F2-400C-8EDD-C6945A92C58B}">
  <sheetPr codeName="Sheet20"/>
  <dimension ref="A1:AL63"/>
  <sheetViews>
    <sheetView workbookViewId="0">
      <selection activeCell="D13" sqref="D13"/>
    </sheetView>
    <sheetView workbookViewId="1"/>
  </sheetViews>
  <sheetFormatPr defaultRowHeight="12.75"/>
  <cols>
    <col min="1" max="1" width="14" customWidth="1"/>
    <col min="2" max="2" width="31" bestFit="1" customWidth="1"/>
    <col min="3" max="3" width="33.73046875" bestFit="1" customWidth="1"/>
    <col min="4" max="4" width="33.73046875" customWidth="1"/>
    <col min="5" max="5" width="13.1328125" bestFit="1" customWidth="1"/>
    <col min="8" max="8" width="5.3984375" bestFit="1" customWidth="1"/>
    <col min="9" max="10" width="2.73046875" bestFit="1" customWidth="1"/>
    <col min="11" max="30" width="3.73046875" bestFit="1" customWidth="1"/>
    <col min="31" max="31" width="14.1328125" bestFit="1" customWidth="1"/>
    <col min="32" max="35" width="3.73046875" bestFit="1" customWidth="1"/>
    <col min="36" max="36" width="14.1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8.5">
      <c r="A2" s="3">
        <v>0</v>
      </c>
      <c r="B2" s="628" t="s">
        <v>277</v>
      </c>
      <c r="C2" s="622"/>
      <c r="H2" s="748" t="s">
        <v>458</v>
      </c>
      <c r="I2" s="749"/>
      <c r="J2" s="749"/>
      <c r="K2" s="749"/>
      <c r="L2" s="749"/>
      <c r="M2" s="749"/>
      <c r="N2" s="749"/>
      <c r="O2" s="749"/>
      <c r="P2" s="749"/>
      <c r="Q2" s="749"/>
      <c r="R2" s="749"/>
      <c r="S2" s="749"/>
      <c r="T2" s="749"/>
      <c r="U2" s="749"/>
      <c r="V2" s="749"/>
      <c r="W2" s="749"/>
      <c r="X2" s="749"/>
      <c r="Y2" s="749"/>
      <c r="Z2" s="749"/>
      <c r="AA2" s="749"/>
      <c r="AB2" s="749"/>
      <c r="AC2" s="749"/>
      <c r="AD2" s="749"/>
      <c r="AE2" s="749"/>
    </row>
    <row r="3" spans="1:38" ht="19.5">
      <c r="A3" s="2">
        <v>1</v>
      </c>
      <c r="B3" s="146" t="s">
        <v>278</v>
      </c>
      <c r="C3" s="153" t="s">
        <v>291</v>
      </c>
      <c r="H3" s="750"/>
      <c r="I3" s="750"/>
      <c r="J3" s="750"/>
      <c r="K3" s="750"/>
      <c r="L3" s="750"/>
      <c r="M3" s="750"/>
      <c r="N3" s="750"/>
      <c r="O3" s="750"/>
      <c r="P3" s="750"/>
      <c r="Q3" s="750"/>
      <c r="R3" s="750"/>
      <c r="S3" s="750"/>
      <c r="T3" s="750"/>
      <c r="U3" s="750"/>
      <c r="V3" s="750"/>
      <c r="W3" s="750"/>
      <c r="X3" s="750"/>
      <c r="Y3" s="750"/>
      <c r="Z3" s="750"/>
      <c r="AA3" s="750"/>
      <c r="AB3" s="750"/>
      <c r="AC3" s="750"/>
      <c r="AD3" s="750"/>
      <c r="AE3" s="750"/>
    </row>
    <row r="4" spans="1:38" ht="20.25" customHeight="1">
      <c r="A4" s="2">
        <v>2</v>
      </c>
      <c r="B4" s="146" t="s">
        <v>279</v>
      </c>
      <c r="C4" s="151" t="s">
        <v>170</v>
      </c>
      <c r="H4" s="750"/>
      <c r="I4" s="750"/>
      <c r="J4" s="750"/>
      <c r="K4" s="750"/>
      <c r="L4" s="750"/>
      <c r="M4" s="750"/>
      <c r="N4" s="750"/>
      <c r="O4" s="750"/>
      <c r="P4" s="750"/>
      <c r="Q4" s="750"/>
      <c r="R4" s="750"/>
      <c r="S4" s="750"/>
      <c r="T4" s="750"/>
      <c r="U4" s="750"/>
      <c r="V4" s="750"/>
      <c r="W4" s="750"/>
      <c r="X4" s="750"/>
      <c r="Y4" s="750"/>
      <c r="Z4" s="750"/>
      <c r="AA4" s="750"/>
      <c r="AB4" s="750"/>
      <c r="AC4" s="750"/>
      <c r="AD4" s="750"/>
      <c r="AE4" s="750"/>
    </row>
    <row r="5" spans="1:38" ht="39">
      <c r="A5" s="2">
        <v>3</v>
      </c>
      <c r="B5" s="155" t="s">
        <v>281</v>
      </c>
      <c r="C5" s="181" t="s">
        <v>461</v>
      </c>
      <c r="H5" s="756" t="s">
        <v>414</v>
      </c>
      <c r="I5" s="756"/>
      <c r="J5" s="756"/>
      <c r="K5" s="756"/>
      <c r="L5" s="756"/>
      <c r="M5" s="756"/>
      <c r="N5" s="756"/>
      <c r="O5" s="756"/>
      <c r="P5" s="756"/>
      <c r="Q5" s="756"/>
      <c r="R5" s="756"/>
      <c r="S5" s="756"/>
      <c r="T5" s="756"/>
      <c r="U5" s="756"/>
      <c r="V5" s="756"/>
      <c r="W5" s="756"/>
      <c r="X5" s="756"/>
      <c r="Y5" s="756"/>
      <c r="Z5" s="756"/>
      <c r="AA5" s="756"/>
      <c r="AB5" s="756"/>
      <c r="AC5" s="756"/>
      <c r="AD5" s="756"/>
      <c r="AE5" s="756"/>
    </row>
    <row r="6" spans="1:38" ht="19.5">
      <c r="A6" s="2">
        <v>4</v>
      </c>
      <c r="B6" s="146" t="s">
        <v>280</v>
      </c>
      <c r="C6" s="10">
        <v>121212121</v>
      </c>
      <c r="H6" s="630" t="s">
        <v>415</v>
      </c>
      <c r="I6" s="630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2"/>
      <c r="U6" s="633" t="s">
        <v>416</v>
      </c>
      <c r="V6" s="630"/>
      <c r="W6" s="630"/>
      <c r="X6" s="630"/>
      <c r="Y6" s="630"/>
      <c r="Z6" s="630"/>
      <c r="AA6" s="630"/>
      <c r="AB6" s="634"/>
      <c r="AC6" s="634"/>
      <c r="AD6" s="634"/>
      <c r="AE6" s="634"/>
    </row>
    <row r="7" spans="1:38" ht="19.5">
      <c r="A7" s="2">
        <v>5</v>
      </c>
      <c r="B7" s="146" t="s">
        <v>282</v>
      </c>
      <c r="C7" s="182" t="s">
        <v>462</v>
      </c>
      <c r="H7" s="638"/>
      <c r="I7" s="638"/>
      <c r="J7" s="638"/>
      <c r="K7" s="638"/>
      <c r="L7" s="638"/>
      <c r="M7" s="638"/>
      <c r="N7" s="638"/>
      <c r="O7" s="638"/>
      <c r="P7" s="638"/>
      <c r="Q7" s="638"/>
      <c r="R7" s="638"/>
      <c r="S7" s="638"/>
      <c r="T7" s="638"/>
      <c r="U7" s="638"/>
      <c r="V7" s="638"/>
      <c r="W7" s="638"/>
      <c r="X7" s="638"/>
      <c r="Y7" s="638"/>
      <c r="Z7" s="638"/>
      <c r="AA7" s="638"/>
      <c r="AB7" s="638"/>
      <c r="AC7" s="638"/>
      <c r="AD7" s="638"/>
      <c r="AE7" s="638"/>
    </row>
    <row r="8" spans="1:38" ht="16.5" customHeight="1">
      <c r="A8" s="2">
        <v>6</v>
      </c>
      <c r="B8" s="146" t="s">
        <v>283</v>
      </c>
      <c r="C8" s="183" t="s">
        <v>463</v>
      </c>
      <c r="H8" s="639" t="s">
        <v>459</v>
      </c>
      <c r="I8" s="639"/>
      <c r="J8" s="639"/>
      <c r="K8" s="639"/>
      <c r="L8" s="640"/>
      <c r="M8" s="757" t="str">
        <f>C3</f>
        <v>㈜노마드랩</v>
      </c>
      <c r="N8" s="758"/>
      <c r="O8" s="758"/>
      <c r="P8" s="758"/>
      <c r="Q8" s="758"/>
      <c r="R8" s="758"/>
      <c r="S8" s="758"/>
      <c r="T8" s="759"/>
      <c r="U8" s="644" t="s">
        <v>460</v>
      </c>
      <c r="V8" s="639"/>
      <c r="W8" s="639"/>
      <c r="X8" s="639"/>
      <c r="Y8" s="639"/>
      <c r="Z8" s="639"/>
      <c r="AA8" s="640"/>
      <c r="AB8" s="760" t="str">
        <f>C4</f>
        <v>홍길동</v>
      </c>
      <c r="AC8" s="761"/>
      <c r="AD8" s="761"/>
      <c r="AE8" s="761"/>
    </row>
    <row r="9" spans="1:38" ht="16.5" customHeight="1">
      <c r="A9" s="2">
        <v>7</v>
      </c>
      <c r="B9" s="146" t="s">
        <v>284</v>
      </c>
      <c r="C9" s="10">
        <v>123</v>
      </c>
      <c r="H9" s="653" t="s">
        <v>417</v>
      </c>
      <c r="I9" s="653"/>
      <c r="J9" s="653"/>
      <c r="K9" s="653"/>
      <c r="L9" s="654"/>
      <c r="M9" s="764" t="str">
        <f>C5</f>
        <v>11111-1111-111
(121212121)</v>
      </c>
      <c r="N9" s="765"/>
      <c r="O9" s="765"/>
      <c r="P9" s="765"/>
      <c r="Q9" s="765"/>
      <c r="R9" s="765"/>
      <c r="S9" s="765"/>
      <c r="T9" s="766"/>
      <c r="U9" s="671" t="s">
        <v>419</v>
      </c>
      <c r="V9" s="653"/>
      <c r="W9" s="653"/>
      <c r="X9" s="653"/>
      <c r="Y9" s="653"/>
      <c r="Z9" s="653"/>
      <c r="AA9" s="654"/>
      <c r="AB9" s="764">
        <f>C6</f>
        <v>121212121</v>
      </c>
      <c r="AC9" s="765"/>
      <c r="AD9" s="765"/>
      <c r="AE9" s="765"/>
    </row>
    <row r="10" spans="1:38" ht="16.5" customHeight="1">
      <c r="A10" s="2">
        <v>8</v>
      </c>
      <c r="B10" s="146" t="s">
        <v>285</v>
      </c>
      <c r="C10" s="145" t="s">
        <v>464</v>
      </c>
      <c r="E10" s="140"/>
      <c r="H10" s="636" t="s">
        <v>418</v>
      </c>
      <c r="I10" s="636"/>
      <c r="J10" s="636"/>
      <c r="K10" s="636"/>
      <c r="L10" s="637"/>
      <c r="M10" s="767"/>
      <c r="N10" s="768"/>
      <c r="O10" s="768"/>
      <c r="P10" s="768"/>
      <c r="Q10" s="768"/>
      <c r="R10" s="768"/>
      <c r="S10" s="768"/>
      <c r="T10" s="769"/>
      <c r="U10" s="635" t="s">
        <v>420</v>
      </c>
      <c r="V10" s="636"/>
      <c r="W10" s="636"/>
      <c r="X10" s="636"/>
      <c r="Y10" s="636"/>
      <c r="Z10" s="636"/>
      <c r="AA10" s="637"/>
      <c r="AB10" s="767"/>
      <c r="AC10" s="768"/>
      <c r="AD10" s="768"/>
      <c r="AE10" s="768"/>
    </row>
    <row r="11" spans="1:38" ht="19.5">
      <c r="A11" s="2">
        <v>9</v>
      </c>
      <c r="B11" s="146" t="s">
        <v>286</v>
      </c>
      <c r="C11" s="10"/>
      <c r="H11" s="649" t="s">
        <v>10</v>
      </c>
      <c r="I11" s="649"/>
      <c r="J11" s="649"/>
      <c r="K11" s="649"/>
      <c r="L11" s="650"/>
      <c r="M11" s="751" t="str">
        <f>C7</f>
        <v>부산광역시 부산진구</v>
      </c>
      <c r="N11" s="752"/>
      <c r="O11" s="752"/>
      <c r="P11" s="752"/>
      <c r="Q11" s="752"/>
      <c r="R11" s="752"/>
      <c r="S11" s="752"/>
      <c r="T11" s="752"/>
      <c r="U11" s="752"/>
      <c r="V11" s="752"/>
      <c r="W11" s="752"/>
      <c r="X11" s="752"/>
      <c r="Y11" s="752"/>
      <c r="Z11" s="752"/>
      <c r="AA11" s="752"/>
      <c r="AB11" s="752"/>
      <c r="AC11" s="752"/>
      <c r="AD11" s="752"/>
      <c r="AE11" s="752"/>
    </row>
    <row r="12" spans="1:38" ht="19.5">
      <c r="A12" s="2">
        <v>10</v>
      </c>
      <c r="B12" s="146" t="s">
        <v>247</v>
      </c>
      <c r="C12" s="123">
        <v>45518</v>
      </c>
      <c r="H12" s="653" t="s">
        <v>421</v>
      </c>
      <c r="I12" s="653"/>
      <c r="J12" s="653"/>
      <c r="K12" s="653"/>
      <c r="L12" s="654"/>
      <c r="M12" s="657" t="s">
        <v>175</v>
      </c>
      <c r="N12" s="650"/>
      <c r="O12" s="686" t="str">
        <f>C8</f>
        <v>이순신</v>
      </c>
      <c r="P12" s="684"/>
      <c r="Q12" s="684"/>
      <c r="R12" s="684"/>
      <c r="S12" s="684"/>
      <c r="T12" s="684"/>
      <c r="U12" s="684"/>
      <c r="V12" s="684"/>
      <c r="W12" s="685"/>
      <c r="X12" s="657" t="s">
        <v>422</v>
      </c>
      <c r="Y12" s="649"/>
      <c r="Z12" s="649"/>
      <c r="AA12" s="649"/>
      <c r="AB12" s="650"/>
      <c r="AC12" s="686">
        <f>C9</f>
        <v>123</v>
      </c>
      <c r="AD12" s="684"/>
      <c r="AE12" s="684"/>
    </row>
    <row r="13" spans="1:38" ht="16.899999999999999">
      <c r="A13" s="2">
        <v>11</v>
      </c>
      <c r="H13" s="655"/>
      <c r="I13" s="655"/>
      <c r="J13" s="655"/>
      <c r="K13" s="655"/>
      <c r="L13" s="656"/>
      <c r="M13" s="661" t="s">
        <v>20</v>
      </c>
      <c r="N13" s="662"/>
      <c r="O13" s="753" t="str">
        <f>C10</f>
        <v>KJH5848@GMAIL.COM</v>
      </c>
      <c r="P13" s="754"/>
      <c r="Q13" s="754"/>
      <c r="R13" s="754"/>
      <c r="S13" s="754"/>
      <c r="T13" s="754"/>
      <c r="U13" s="754"/>
      <c r="V13" s="754"/>
      <c r="W13" s="755"/>
      <c r="X13" s="661" t="s">
        <v>423</v>
      </c>
      <c r="Y13" s="666"/>
      <c r="Z13" s="666"/>
      <c r="AA13" s="666"/>
      <c r="AB13" s="662"/>
      <c r="AC13" s="667">
        <f>C11</f>
        <v>0</v>
      </c>
      <c r="AD13" s="668"/>
      <c r="AE13" s="668"/>
    </row>
    <row r="14" spans="1:38" ht="16.5" customHeight="1">
      <c r="A14" s="2">
        <v>12</v>
      </c>
      <c r="B14" s="156" t="s">
        <v>290</v>
      </c>
      <c r="C14" s="156" t="s">
        <v>289</v>
      </c>
      <c r="D14" s="156" t="s">
        <v>288</v>
      </c>
      <c r="E14" s="156" t="s">
        <v>287</v>
      </c>
      <c r="H14" s="672"/>
      <c r="I14" s="672"/>
      <c r="J14" s="672"/>
      <c r="K14" s="672"/>
      <c r="L14" s="672"/>
      <c r="M14" s="672"/>
      <c r="N14" s="672"/>
      <c r="O14" s="672"/>
      <c r="P14" s="672"/>
      <c r="Q14" s="672"/>
      <c r="R14" s="672"/>
      <c r="S14" s="672"/>
      <c r="T14" s="672"/>
      <c r="U14" s="672"/>
      <c r="V14" s="672"/>
      <c r="W14" s="672"/>
      <c r="X14" s="672"/>
      <c r="Y14" s="672"/>
      <c r="Z14" s="672"/>
      <c r="AA14" s="672"/>
      <c r="AB14" s="672"/>
      <c r="AC14" s="672"/>
      <c r="AD14" s="672"/>
      <c r="AE14" s="672"/>
    </row>
    <row r="15" spans="1:38" ht="16.5" customHeight="1">
      <c r="A15" s="2">
        <v>13</v>
      </c>
      <c r="B15" s="58" t="s">
        <v>272</v>
      </c>
      <c r="C15" s="58">
        <v>501111</v>
      </c>
      <c r="D15" s="58" t="s">
        <v>269</v>
      </c>
      <c r="E15" s="58">
        <v>140</v>
      </c>
      <c r="H15" s="673" t="s">
        <v>424</v>
      </c>
      <c r="I15" s="673"/>
      <c r="J15" s="673"/>
      <c r="K15" s="673"/>
      <c r="L15" s="674"/>
      <c r="M15" s="675"/>
      <c r="N15" s="676"/>
      <c r="O15" s="676"/>
      <c r="P15" s="676"/>
      <c r="Q15" s="676"/>
      <c r="R15" s="676"/>
      <c r="S15" s="676"/>
      <c r="T15" s="676"/>
      <c r="U15" s="676"/>
      <c r="V15" s="676"/>
      <c r="W15" s="676"/>
      <c r="X15" s="676"/>
      <c r="Y15" s="676"/>
      <c r="Z15" s="676"/>
      <c r="AA15" s="676"/>
      <c r="AB15" s="676"/>
      <c r="AC15" s="676"/>
      <c r="AD15" s="676"/>
      <c r="AE15" s="676"/>
    </row>
    <row r="16" spans="1:38" ht="16.5" customHeight="1">
      <c r="A16" s="2">
        <v>14</v>
      </c>
      <c r="B16" s="58" t="s">
        <v>274</v>
      </c>
      <c r="C16" s="58">
        <v>111111</v>
      </c>
      <c r="D16" s="58" t="s">
        <v>225</v>
      </c>
      <c r="E16" s="58">
        <v>140</v>
      </c>
      <c r="H16" s="677" t="s">
        <v>425</v>
      </c>
      <c r="I16" s="677"/>
      <c r="J16" s="677"/>
      <c r="K16" s="677"/>
      <c r="L16" s="678"/>
      <c r="M16" s="682" t="s">
        <v>427</v>
      </c>
      <c r="N16" s="677"/>
      <c r="O16" s="677"/>
      <c r="P16" s="678"/>
      <c r="Q16" s="682" t="s">
        <v>429</v>
      </c>
      <c r="R16" s="677"/>
      <c r="S16" s="677"/>
      <c r="T16" s="677"/>
      <c r="U16" s="677"/>
      <c r="V16" s="677"/>
      <c r="W16" s="677"/>
      <c r="X16" s="677"/>
      <c r="Y16" s="677"/>
      <c r="Z16" s="677"/>
      <c r="AA16" s="677"/>
      <c r="AB16" s="677"/>
      <c r="AC16" s="677"/>
      <c r="AD16" s="678"/>
      <c r="AE16" s="177" t="s">
        <v>431</v>
      </c>
    </row>
    <row r="17" spans="1:31" ht="16.5" customHeight="1">
      <c r="A17" s="2">
        <v>15</v>
      </c>
      <c r="H17" s="680" t="s">
        <v>426</v>
      </c>
      <c r="I17" s="680"/>
      <c r="J17" s="680"/>
      <c r="K17" s="680"/>
      <c r="L17" s="681"/>
      <c r="M17" s="683" t="s">
        <v>428</v>
      </c>
      <c r="N17" s="680"/>
      <c r="O17" s="680"/>
      <c r="P17" s="681"/>
      <c r="Q17" s="683" t="s">
        <v>430</v>
      </c>
      <c r="R17" s="680"/>
      <c r="S17" s="680"/>
      <c r="T17" s="680"/>
      <c r="U17" s="680"/>
      <c r="V17" s="680"/>
      <c r="W17" s="680"/>
      <c r="X17" s="680"/>
      <c r="Y17" s="680"/>
      <c r="Z17" s="680"/>
      <c r="AA17" s="680"/>
      <c r="AB17" s="680"/>
      <c r="AC17" s="680"/>
      <c r="AD17" s="681"/>
      <c r="AE17" s="178" t="s">
        <v>432</v>
      </c>
    </row>
    <row r="18" spans="1:31" ht="16.899999999999999">
      <c r="A18" s="2">
        <v>16</v>
      </c>
      <c r="H18" s="684" t="str">
        <f>B15</f>
        <v>홍길동</v>
      </c>
      <c r="I18" s="684"/>
      <c r="J18" s="684"/>
      <c r="K18" s="684"/>
      <c r="L18" s="685"/>
      <c r="M18" s="686">
        <f>C15</f>
        <v>501111</v>
      </c>
      <c r="N18" s="684"/>
      <c r="O18" s="684"/>
      <c r="P18" s="685"/>
      <c r="Q18" s="686" t="str">
        <f>D15</f>
        <v>남</v>
      </c>
      <c r="R18" s="684"/>
      <c r="S18" s="684"/>
      <c r="T18" s="684"/>
      <c r="U18" s="684"/>
      <c r="V18" s="684"/>
      <c r="W18" s="684"/>
      <c r="X18" s="684"/>
      <c r="Y18" s="684"/>
      <c r="Z18" s="684"/>
      <c r="AA18" s="684"/>
      <c r="AB18" s="684"/>
      <c r="AC18" s="684"/>
      <c r="AD18" s="685"/>
      <c r="AE18" s="179">
        <f>E15</f>
        <v>140</v>
      </c>
    </row>
    <row r="19" spans="1:31" ht="16.899999999999999">
      <c r="A19" s="2">
        <v>17</v>
      </c>
      <c r="H19" s="684" t="str">
        <f t="shared" ref="H19:H25" si="0">B16</f>
        <v>수지</v>
      </c>
      <c r="I19" s="684"/>
      <c r="J19" s="684"/>
      <c r="K19" s="684"/>
      <c r="L19" s="685"/>
      <c r="M19" s="686">
        <f t="shared" ref="M19:M25" si="1">C16</f>
        <v>111111</v>
      </c>
      <c r="N19" s="684"/>
      <c r="O19" s="684"/>
      <c r="P19" s="685"/>
      <c r="Q19" s="686"/>
      <c r="R19" s="684"/>
      <c r="S19" s="684"/>
      <c r="T19" s="684"/>
      <c r="U19" s="684"/>
      <c r="V19" s="684"/>
      <c r="W19" s="684"/>
      <c r="X19" s="684"/>
      <c r="Y19" s="684"/>
      <c r="Z19" s="684"/>
      <c r="AA19" s="684"/>
      <c r="AB19" s="684"/>
      <c r="AC19" s="684"/>
      <c r="AD19" s="685"/>
      <c r="AE19" s="179"/>
    </row>
    <row r="20" spans="1:31" ht="16.899999999999999">
      <c r="A20" s="2">
        <v>18</v>
      </c>
      <c r="H20" s="684">
        <f t="shared" si="0"/>
        <v>0</v>
      </c>
      <c r="I20" s="684"/>
      <c r="J20" s="684"/>
      <c r="K20" s="684"/>
      <c r="L20" s="685"/>
      <c r="M20" s="686">
        <f t="shared" si="1"/>
        <v>0</v>
      </c>
      <c r="N20" s="684"/>
      <c r="O20" s="684"/>
      <c r="P20" s="685"/>
      <c r="Q20" s="686"/>
      <c r="R20" s="684"/>
      <c r="S20" s="684"/>
      <c r="T20" s="684"/>
      <c r="U20" s="684"/>
      <c r="V20" s="684"/>
      <c r="W20" s="684"/>
      <c r="X20" s="684"/>
      <c r="Y20" s="684"/>
      <c r="Z20" s="684"/>
      <c r="AA20" s="684"/>
      <c r="AB20" s="684"/>
      <c r="AC20" s="684"/>
      <c r="AD20" s="685"/>
      <c r="AE20" s="179"/>
    </row>
    <row r="21" spans="1:31" ht="16.899999999999999">
      <c r="A21" s="2">
        <v>19</v>
      </c>
      <c r="H21" s="684">
        <f t="shared" si="0"/>
        <v>0</v>
      </c>
      <c r="I21" s="684"/>
      <c r="J21" s="684"/>
      <c r="K21" s="684"/>
      <c r="L21" s="685"/>
      <c r="M21" s="686">
        <f t="shared" si="1"/>
        <v>0</v>
      </c>
      <c r="N21" s="684"/>
      <c r="O21" s="684"/>
      <c r="P21" s="685"/>
      <c r="Q21" s="686"/>
      <c r="R21" s="684"/>
      <c r="S21" s="684"/>
      <c r="T21" s="684"/>
      <c r="U21" s="684"/>
      <c r="V21" s="684"/>
      <c r="W21" s="684"/>
      <c r="X21" s="684"/>
      <c r="Y21" s="684"/>
      <c r="Z21" s="684"/>
      <c r="AA21" s="684"/>
      <c r="AB21" s="684"/>
      <c r="AC21" s="684"/>
      <c r="AD21" s="685"/>
      <c r="AE21" s="179"/>
    </row>
    <row r="22" spans="1:31" ht="16.899999999999999">
      <c r="A22" s="2">
        <v>20</v>
      </c>
      <c r="H22" s="684">
        <f t="shared" si="0"/>
        <v>0</v>
      </c>
      <c r="I22" s="684"/>
      <c r="J22" s="684"/>
      <c r="K22" s="684"/>
      <c r="L22" s="685"/>
      <c r="M22" s="686">
        <f t="shared" si="1"/>
        <v>0</v>
      </c>
      <c r="N22" s="684"/>
      <c r="O22" s="684"/>
      <c r="P22" s="685"/>
      <c r="Q22" s="686"/>
      <c r="R22" s="684"/>
      <c r="S22" s="684"/>
      <c r="T22" s="684"/>
      <c r="U22" s="684"/>
      <c r="V22" s="684"/>
      <c r="W22" s="684"/>
      <c r="X22" s="684"/>
      <c r="Y22" s="684"/>
      <c r="Z22" s="684"/>
      <c r="AA22" s="684"/>
      <c r="AB22" s="684"/>
      <c r="AC22" s="684"/>
      <c r="AD22" s="685"/>
      <c r="AE22" s="179"/>
    </row>
    <row r="23" spans="1:31" ht="16.899999999999999">
      <c r="A23" s="2">
        <v>21</v>
      </c>
      <c r="H23" s="684">
        <f t="shared" si="0"/>
        <v>0</v>
      </c>
      <c r="I23" s="684"/>
      <c r="J23" s="684"/>
      <c r="K23" s="684"/>
      <c r="L23" s="685"/>
      <c r="M23" s="686">
        <f t="shared" si="1"/>
        <v>0</v>
      </c>
      <c r="N23" s="684"/>
      <c r="O23" s="684"/>
      <c r="P23" s="685"/>
      <c r="Q23" s="686"/>
      <c r="R23" s="684"/>
      <c r="S23" s="684"/>
      <c r="T23" s="684"/>
      <c r="U23" s="684"/>
      <c r="V23" s="684"/>
      <c r="W23" s="684"/>
      <c r="X23" s="684"/>
      <c r="Y23" s="684"/>
      <c r="Z23" s="684"/>
      <c r="AA23" s="684"/>
      <c r="AB23" s="684"/>
      <c r="AC23" s="684"/>
      <c r="AD23" s="685"/>
      <c r="AE23" s="179"/>
    </row>
    <row r="24" spans="1:31" ht="16.899999999999999">
      <c r="A24" s="2">
        <v>22</v>
      </c>
      <c r="H24" s="684">
        <f t="shared" si="0"/>
        <v>0</v>
      </c>
      <c r="I24" s="684"/>
      <c r="J24" s="684"/>
      <c r="K24" s="684"/>
      <c r="L24" s="685"/>
      <c r="M24" s="686">
        <f t="shared" si="1"/>
        <v>0</v>
      </c>
      <c r="N24" s="684"/>
      <c r="O24" s="684"/>
      <c r="P24" s="685"/>
      <c r="Q24" s="686"/>
      <c r="R24" s="684"/>
      <c r="S24" s="684"/>
      <c r="T24" s="684"/>
      <c r="U24" s="684"/>
      <c r="V24" s="684"/>
      <c r="W24" s="684"/>
      <c r="X24" s="684"/>
      <c r="Y24" s="684"/>
      <c r="Z24" s="684"/>
      <c r="AA24" s="684"/>
      <c r="AB24" s="684"/>
      <c r="AC24" s="684"/>
      <c r="AD24" s="685"/>
      <c r="AE24" s="179"/>
    </row>
    <row r="25" spans="1:31" ht="16.5" customHeight="1">
      <c r="A25" s="2">
        <v>23</v>
      </c>
      <c r="B25" s="58"/>
      <c r="H25" s="684">
        <f t="shared" si="0"/>
        <v>0</v>
      </c>
      <c r="I25" s="684"/>
      <c r="J25" s="684"/>
      <c r="K25" s="684"/>
      <c r="L25" s="685"/>
      <c r="M25" s="686">
        <f t="shared" si="1"/>
        <v>0</v>
      </c>
      <c r="N25" s="684"/>
      <c r="O25" s="684"/>
      <c r="P25" s="685"/>
      <c r="Q25" s="686"/>
      <c r="R25" s="684"/>
      <c r="S25" s="684"/>
      <c r="T25" s="684"/>
      <c r="U25" s="684"/>
      <c r="V25" s="684"/>
      <c r="W25" s="684"/>
      <c r="X25" s="684"/>
      <c r="Y25" s="684"/>
      <c r="Z25" s="684"/>
      <c r="AA25" s="684"/>
      <c r="AB25" s="684"/>
      <c r="AC25" s="684"/>
      <c r="AD25" s="685"/>
      <c r="AE25" s="179"/>
    </row>
    <row r="26" spans="1:31" ht="16.5" customHeight="1">
      <c r="A26" s="2">
        <v>24</v>
      </c>
      <c r="B26" s="58"/>
      <c r="H26" s="687" t="s">
        <v>433</v>
      </c>
      <c r="I26" s="687"/>
      <c r="J26" s="687"/>
      <c r="K26" s="687"/>
      <c r="L26" s="687"/>
      <c r="M26" s="687"/>
      <c r="N26" s="687"/>
      <c r="O26" s="687"/>
      <c r="P26" s="687" t="s">
        <v>434</v>
      </c>
      <c r="Q26" s="687"/>
      <c r="R26" s="687"/>
      <c r="S26" s="687"/>
      <c r="T26" s="687"/>
      <c r="U26" s="687"/>
      <c r="V26" s="687"/>
      <c r="W26" s="687" t="s">
        <v>431</v>
      </c>
      <c r="X26" s="687"/>
      <c r="Y26" s="687"/>
      <c r="Z26" s="687"/>
      <c r="AA26" s="687" t="s">
        <v>435</v>
      </c>
      <c r="AB26" s="687"/>
      <c r="AC26" s="687"/>
      <c r="AD26" s="687"/>
      <c r="AE26" s="687"/>
    </row>
    <row r="27" spans="1:31" ht="16.5" customHeight="1">
      <c r="A27" s="2">
        <v>25</v>
      </c>
      <c r="B27" s="58"/>
      <c r="H27" s="688"/>
      <c r="I27" s="688"/>
      <c r="J27" s="688"/>
      <c r="K27" s="688"/>
      <c r="L27" s="688"/>
      <c r="M27" s="688"/>
      <c r="N27" s="688"/>
      <c r="O27" s="688"/>
      <c r="P27" s="688"/>
      <c r="Q27" s="688"/>
      <c r="R27" s="688"/>
      <c r="S27" s="688"/>
      <c r="T27" s="688"/>
      <c r="U27" s="688"/>
      <c r="V27" s="688"/>
      <c r="W27" s="688"/>
      <c r="X27" s="688"/>
      <c r="Y27" s="688"/>
      <c r="Z27" s="688"/>
      <c r="AA27" s="688"/>
      <c r="AB27" s="688"/>
      <c r="AC27" s="688"/>
      <c r="AD27" s="688"/>
      <c r="AE27" s="688"/>
    </row>
    <row r="28" spans="1:31" ht="16.5" customHeight="1">
      <c r="A28" s="2">
        <v>26</v>
      </c>
      <c r="H28" s="689" t="s">
        <v>436</v>
      </c>
      <c r="I28" s="689"/>
      <c r="J28" s="689"/>
      <c r="K28" s="689"/>
      <c r="L28" s="690"/>
      <c r="M28" s="691" t="s">
        <v>437</v>
      </c>
      <c r="N28" s="692"/>
      <c r="O28" s="692"/>
      <c r="P28" s="692"/>
      <c r="Q28" s="692"/>
      <c r="R28" s="692"/>
      <c r="S28" s="763"/>
      <c r="T28" s="763"/>
      <c r="U28" s="763"/>
      <c r="V28" s="763"/>
      <c r="W28" s="763"/>
      <c r="X28" s="763"/>
      <c r="Y28" s="763"/>
      <c r="Z28" s="763"/>
      <c r="AA28" s="763"/>
      <c r="AB28" s="763"/>
      <c r="AC28" s="689" t="s">
        <v>438</v>
      </c>
      <c r="AD28" s="689"/>
      <c r="AE28" s="689"/>
    </row>
    <row r="29" spans="1:31" ht="16.5" customHeight="1">
      <c r="A29" s="2">
        <v>27</v>
      </c>
      <c r="H29" s="694"/>
      <c r="I29" s="694"/>
      <c r="J29" s="694"/>
      <c r="K29" s="694"/>
      <c r="L29" s="694"/>
      <c r="M29" s="694"/>
      <c r="N29" s="694"/>
      <c r="O29" s="694"/>
      <c r="P29" s="694"/>
      <c r="Q29" s="694"/>
      <c r="R29" s="694"/>
      <c r="S29" s="694"/>
      <c r="T29" s="694"/>
      <c r="U29" s="694"/>
      <c r="V29" s="694"/>
      <c r="W29" s="694"/>
      <c r="X29" s="694"/>
      <c r="Y29" s="694"/>
      <c r="Z29" s="694"/>
      <c r="AA29" s="694"/>
      <c r="AB29" s="694"/>
      <c r="AC29" s="694"/>
      <c r="AD29" s="694"/>
      <c r="AE29" s="694"/>
    </row>
    <row r="30" spans="1:31" ht="16.5" customHeight="1">
      <c r="A30" s="2">
        <v>28</v>
      </c>
      <c r="H30" s="695" t="s">
        <v>439</v>
      </c>
      <c r="I30" s="695"/>
      <c r="J30" s="695"/>
      <c r="K30" s="695"/>
      <c r="L30" s="695"/>
      <c r="M30" s="695"/>
      <c r="N30" s="695"/>
      <c r="O30" s="695"/>
      <c r="P30" s="695"/>
      <c r="Q30" s="695"/>
      <c r="R30" s="695"/>
      <c r="S30" s="695"/>
      <c r="T30" s="695"/>
      <c r="U30" s="695"/>
      <c r="V30" s="695"/>
      <c r="W30" s="695"/>
      <c r="X30" s="695"/>
      <c r="Y30" s="695"/>
      <c r="Z30" s="695"/>
      <c r="AA30" s="695"/>
      <c r="AB30" s="695"/>
      <c r="AC30" s="695"/>
      <c r="AD30" s="695"/>
      <c r="AE30" s="695"/>
    </row>
    <row r="31" spans="1:31" ht="22.5" customHeight="1">
      <c r="A31" s="2">
        <v>29</v>
      </c>
      <c r="H31" s="696" t="s">
        <v>440</v>
      </c>
      <c r="I31" s="696"/>
      <c r="J31" s="696"/>
      <c r="K31" s="696"/>
      <c r="L31" s="696"/>
      <c r="M31" s="696"/>
      <c r="N31" s="696"/>
      <c r="O31" s="696"/>
      <c r="P31" s="696"/>
      <c r="Q31" s="696"/>
      <c r="R31" s="696"/>
      <c r="S31" s="696"/>
      <c r="T31" s="696"/>
      <c r="U31" s="696"/>
      <c r="V31" s="696"/>
      <c r="W31" s="696"/>
      <c r="X31" s="696"/>
      <c r="Y31" s="696"/>
      <c r="Z31" s="696"/>
      <c r="AA31" s="696"/>
      <c r="AB31" s="696"/>
      <c r="AC31" s="696"/>
      <c r="AD31" s="696"/>
      <c r="AE31" s="696"/>
    </row>
    <row r="32" spans="1:31" ht="17.25" customHeight="1">
      <c r="A32" s="2">
        <v>30</v>
      </c>
      <c r="H32" s="697"/>
      <c r="I32" s="697"/>
      <c r="J32" s="697"/>
      <c r="K32" s="697"/>
      <c r="L32" s="697"/>
      <c r="M32" s="697"/>
      <c r="N32" s="697"/>
      <c r="O32" s="697"/>
      <c r="P32" s="697"/>
      <c r="Q32" s="697"/>
      <c r="R32" s="697"/>
      <c r="S32" s="697"/>
      <c r="T32" s="698" t="s">
        <v>441</v>
      </c>
      <c r="U32" s="698"/>
      <c r="V32" s="698"/>
      <c r="W32" s="698"/>
      <c r="X32" s="698"/>
      <c r="Y32" s="698"/>
      <c r="Z32" s="762"/>
      <c r="AA32" s="762"/>
      <c r="AB32" s="762"/>
      <c r="AC32" s="762"/>
      <c r="AD32" s="762"/>
      <c r="AE32" s="180" t="s">
        <v>442</v>
      </c>
    </row>
    <row r="33" spans="1:31" ht="17.25" customHeight="1" thickBot="1">
      <c r="A33" s="2">
        <v>31</v>
      </c>
      <c r="H33" s="700" t="s">
        <v>443</v>
      </c>
      <c r="I33" s="700"/>
      <c r="J33" s="700"/>
      <c r="K33" s="700"/>
      <c r="L33" s="700"/>
      <c r="M33" s="700"/>
      <c r="N33" s="700"/>
      <c r="O33" s="700"/>
      <c r="P33" s="700"/>
      <c r="Q33" s="700"/>
      <c r="R33" s="700"/>
      <c r="S33" s="700"/>
      <c r="T33" s="700"/>
      <c r="U33" s="700"/>
      <c r="V33" s="700"/>
      <c r="W33" s="700"/>
      <c r="X33" s="700"/>
      <c r="Y33" s="700"/>
      <c r="Z33" s="700"/>
      <c r="AA33" s="701" t="s">
        <v>444</v>
      </c>
      <c r="AB33" s="701"/>
      <c r="AC33" s="701"/>
      <c r="AD33" s="701"/>
      <c r="AE33" s="701"/>
    </row>
    <row r="34" spans="1:31" ht="16.5" customHeight="1" thickTop="1">
      <c r="A34" s="2">
        <v>32</v>
      </c>
      <c r="H34" s="702"/>
      <c r="I34" s="702"/>
      <c r="J34" s="702"/>
      <c r="K34" s="702"/>
      <c r="L34" s="702"/>
      <c r="M34" s="702"/>
      <c r="N34" s="702"/>
      <c r="O34" s="702"/>
      <c r="P34" s="702"/>
      <c r="Q34" s="702"/>
      <c r="R34" s="702"/>
      <c r="S34" s="702"/>
      <c r="T34" s="702"/>
      <c r="U34" s="702"/>
      <c r="V34" s="702"/>
      <c r="W34" s="702"/>
      <c r="X34" s="702"/>
      <c r="Y34" s="702"/>
      <c r="Z34" s="702"/>
      <c r="AA34" s="702"/>
      <c r="AB34" s="702"/>
      <c r="AC34" s="702"/>
      <c r="AD34" s="702"/>
      <c r="AE34" s="702"/>
    </row>
    <row r="35" spans="1:31" ht="16.5" customHeight="1">
      <c r="A35" s="2">
        <v>33</v>
      </c>
      <c r="H35" s="703" t="s">
        <v>445</v>
      </c>
      <c r="I35" s="703"/>
      <c r="J35" s="704"/>
      <c r="K35" s="707" t="s">
        <v>446</v>
      </c>
      <c r="L35" s="708"/>
      <c r="M35" s="708"/>
      <c r="N35" s="708"/>
      <c r="O35" s="708"/>
      <c r="P35" s="708"/>
      <c r="Q35" s="708"/>
      <c r="R35" s="708"/>
      <c r="S35" s="708"/>
      <c r="T35" s="708"/>
      <c r="U35" s="708"/>
      <c r="V35" s="708"/>
      <c r="W35" s="708"/>
      <c r="X35" s="708"/>
      <c r="Y35" s="708"/>
      <c r="Z35" s="708"/>
      <c r="AA35" s="708"/>
      <c r="AB35" s="708"/>
      <c r="AC35" s="708"/>
      <c r="AD35" s="708"/>
      <c r="AE35" s="708"/>
    </row>
    <row r="36" spans="1:31" ht="17.25" customHeight="1" thickBot="1">
      <c r="A36" s="2">
        <v>34</v>
      </c>
      <c r="H36" s="705"/>
      <c r="I36" s="705"/>
      <c r="J36" s="706"/>
      <c r="K36" s="709" t="s">
        <v>447</v>
      </c>
      <c r="L36" s="710"/>
      <c r="M36" s="710"/>
      <c r="N36" s="710"/>
      <c r="O36" s="710"/>
      <c r="P36" s="710"/>
      <c r="Q36" s="710"/>
      <c r="R36" s="710"/>
      <c r="S36" s="710"/>
      <c r="T36" s="710"/>
      <c r="U36" s="710"/>
      <c r="V36" s="710"/>
      <c r="W36" s="710"/>
      <c r="X36" s="710"/>
      <c r="Y36" s="710"/>
      <c r="Z36" s="710"/>
      <c r="AA36" s="710"/>
      <c r="AB36" s="710"/>
      <c r="AC36" s="710"/>
      <c r="AD36" s="710"/>
      <c r="AE36" s="710"/>
    </row>
    <row r="37" spans="1:31" ht="17.25" customHeight="1" thickBot="1">
      <c r="A37" s="2">
        <v>35</v>
      </c>
      <c r="H37" s="711" t="s">
        <v>448</v>
      </c>
      <c r="I37" s="711"/>
      <c r="J37" s="711"/>
      <c r="K37" s="711"/>
      <c r="L37" s="711"/>
      <c r="M37" s="711"/>
      <c r="N37" s="711"/>
      <c r="O37" s="711"/>
      <c r="P37" s="711"/>
      <c r="Q37" s="711"/>
      <c r="R37" s="711"/>
      <c r="S37" s="711"/>
      <c r="T37" s="711"/>
      <c r="U37" s="711"/>
      <c r="V37" s="711"/>
      <c r="W37" s="711"/>
      <c r="X37" s="711"/>
      <c r="Y37" s="711"/>
      <c r="Z37" s="711"/>
      <c r="AA37" s="711"/>
      <c r="AB37" s="711"/>
      <c r="AC37" s="711"/>
      <c r="AD37" s="711"/>
      <c r="AE37" s="711"/>
    </row>
    <row r="38" spans="1:31" ht="16.5" customHeight="1">
      <c r="A38" s="2">
        <v>36</v>
      </c>
      <c r="H38" s="712" t="s">
        <v>449</v>
      </c>
      <c r="I38" s="714" t="s">
        <v>450</v>
      </c>
      <c r="J38" s="715"/>
      <c r="K38" s="715"/>
      <c r="L38" s="715"/>
      <c r="M38" s="715"/>
      <c r="N38" s="715"/>
      <c r="O38" s="715"/>
      <c r="P38" s="715"/>
      <c r="Q38" s="716"/>
      <c r="R38" s="714" t="s">
        <v>415</v>
      </c>
      <c r="S38" s="715"/>
      <c r="T38" s="715"/>
      <c r="U38" s="715"/>
      <c r="V38" s="715"/>
      <c r="W38" s="715"/>
      <c r="X38" s="716"/>
      <c r="Y38" s="714" t="s">
        <v>451</v>
      </c>
      <c r="Z38" s="715"/>
      <c r="AA38" s="715"/>
      <c r="AB38" s="715"/>
      <c r="AC38" s="715"/>
      <c r="AD38" s="715"/>
      <c r="AE38" s="715"/>
    </row>
    <row r="39" spans="1:31" ht="16.5" customHeight="1">
      <c r="A39" s="2">
        <v>37</v>
      </c>
      <c r="H39" s="713"/>
      <c r="I39" s="717"/>
      <c r="J39" s="718"/>
      <c r="K39" s="718"/>
      <c r="L39" s="718"/>
      <c r="M39" s="718"/>
      <c r="N39" s="718"/>
      <c r="O39" s="718"/>
      <c r="P39" s="718"/>
      <c r="Q39" s="719"/>
      <c r="R39" s="720"/>
      <c r="S39" s="721"/>
      <c r="T39" s="721"/>
      <c r="U39" s="721"/>
      <c r="V39" s="721"/>
      <c r="W39" s="721"/>
      <c r="X39" s="722"/>
      <c r="Y39" s="717"/>
      <c r="Z39" s="718"/>
      <c r="AA39" s="718"/>
      <c r="AB39" s="718"/>
      <c r="AC39" s="718"/>
      <c r="AD39" s="718"/>
      <c r="AE39" s="718"/>
    </row>
    <row r="40" spans="1:31" ht="16.5" customHeight="1">
      <c r="A40" s="2">
        <v>38</v>
      </c>
      <c r="H40" s="740" t="s">
        <v>452</v>
      </c>
      <c r="I40" s="723" t="s">
        <v>453</v>
      </c>
      <c r="J40" s="724"/>
      <c r="K40" s="725"/>
      <c r="L40" s="742"/>
      <c r="M40" s="743"/>
      <c r="N40" s="723" t="s">
        <v>454</v>
      </c>
      <c r="O40" s="724"/>
      <c r="P40" s="724"/>
      <c r="Q40" s="725"/>
      <c r="R40" s="742"/>
      <c r="S40" s="746"/>
      <c r="T40" s="746"/>
      <c r="U40" s="743"/>
      <c r="V40" s="723" t="s">
        <v>455</v>
      </c>
      <c r="W40" s="724"/>
      <c r="X40" s="725"/>
      <c r="Y40" s="729"/>
      <c r="Z40" s="730"/>
      <c r="AA40" s="730"/>
      <c r="AB40" s="730"/>
      <c r="AC40" s="731"/>
      <c r="AD40" s="735" t="s">
        <v>456</v>
      </c>
      <c r="AE40" s="736"/>
    </row>
    <row r="41" spans="1:31" ht="17.25" customHeight="1" thickBot="1">
      <c r="A41" s="2">
        <v>39</v>
      </c>
      <c r="H41" s="741"/>
      <c r="I41" s="726"/>
      <c r="J41" s="727"/>
      <c r="K41" s="728"/>
      <c r="L41" s="744"/>
      <c r="M41" s="745"/>
      <c r="N41" s="726"/>
      <c r="O41" s="727"/>
      <c r="P41" s="727"/>
      <c r="Q41" s="728"/>
      <c r="R41" s="744"/>
      <c r="S41" s="747"/>
      <c r="T41" s="747"/>
      <c r="U41" s="745"/>
      <c r="V41" s="726"/>
      <c r="W41" s="727"/>
      <c r="X41" s="728"/>
      <c r="Y41" s="732"/>
      <c r="Z41" s="733"/>
      <c r="AA41" s="733"/>
      <c r="AB41" s="733"/>
      <c r="AC41" s="734"/>
      <c r="AD41" s="737" t="s">
        <v>457</v>
      </c>
      <c r="AE41" s="738"/>
    </row>
    <row r="42" spans="1:31" ht="16.899999999999999">
      <c r="A42" s="2">
        <v>40</v>
      </c>
    </row>
    <row r="43" spans="1:31" ht="16.899999999999999">
      <c r="A43" s="2">
        <v>41</v>
      </c>
    </row>
    <row r="44" spans="1:31" ht="16.899999999999999">
      <c r="A44" s="2">
        <v>42</v>
      </c>
    </row>
    <row r="45" spans="1:31" ht="16.899999999999999">
      <c r="A45" s="2">
        <v>43</v>
      </c>
    </row>
    <row r="46" spans="1:31" ht="16.899999999999999">
      <c r="A46" s="2">
        <v>44</v>
      </c>
    </row>
    <row r="47" spans="1:31" ht="16.899999999999999">
      <c r="A47" s="2">
        <v>45</v>
      </c>
    </row>
    <row r="48" spans="1:3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00">
    <mergeCell ref="H17:L17"/>
    <mergeCell ref="M17:P17"/>
    <mergeCell ref="Q17:AD17"/>
    <mergeCell ref="H7:AE7"/>
    <mergeCell ref="H18:L18"/>
    <mergeCell ref="M18:P18"/>
    <mergeCell ref="Q18:AD18"/>
    <mergeCell ref="M9:T10"/>
    <mergeCell ref="U10:AA10"/>
    <mergeCell ref="AB9:AE10"/>
    <mergeCell ref="H8:L8"/>
    <mergeCell ref="H9:L9"/>
    <mergeCell ref="H15:L15"/>
    <mergeCell ref="H16:L16"/>
    <mergeCell ref="M16:P16"/>
    <mergeCell ref="Q16:AD16"/>
    <mergeCell ref="H19:L19"/>
    <mergeCell ref="M19:P19"/>
    <mergeCell ref="Q19:AD19"/>
    <mergeCell ref="H20:L20"/>
    <mergeCell ref="M20:P20"/>
    <mergeCell ref="Q20:AD20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24:L24"/>
    <mergeCell ref="M24:P24"/>
    <mergeCell ref="Q24:AD24"/>
    <mergeCell ref="H25:L25"/>
    <mergeCell ref="M25:P25"/>
    <mergeCell ref="Q25:AD25"/>
    <mergeCell ref="H26:O26"/>
    <mergeCell ref="P26:V26"/>
    <mergeCell ref="W26:Z26"/>
    <mergeCell ref="AA26:AE26"/>
    <mergeCell ref="H27:AE27"/>
    <mergeCell ref="H29:AE29"/>
    <mergeCell ref="H28:L28"/>
    <mergeCell ref="M28:R28"/>
    <mergeCell ref="S28:AB28"/>
    <mergeCell ref="AC28:AE28"/>
    <mergeCell ref="H14:AE14"/>
    <mergeCell ref="M15:AE15"/>
    <mergeCell ref="I38:Q38"/>
    <mergeCell ref="R38:X38"/>
    <mergeCell ref="Y38:AE38"/>
    <mergeCell ref="K35:AE35"/>
    <mergeCell ref="H33:Z33"/>
    <mergeCell ref="AA33:AE33"/>
    <mergeCell ref="H34:AE34"/>
    <mergeCell ref="H35:J36"/>
    <mergeCell ref="K36:AE36"/>
    <mergeCell ref="H30:AE30"/>
    <mergeCell ref="H31:AE31"/>
    <mergeCell ref="H32:S32"/>
    <mergeCell ref="T32:Y32"/>
    <mergeCell ref="Z32:AD32"/>
    <mergeCell ref="AD40:AE40"/>
    <mergeCell ref="H37:AE37"/>
    <mergeCell ref="H38:H39"/>
    <mergeCell ref="I39:Q39"/>
    <mergeCell ref="R39:X39"/>
    <mergeCell ref="X13:AB13"/>
    <mergeCell ref="AC13:AE13"/>
    <mergeCell ref="H5:AE5"/>
    <mergeCell ref="H6:I6"/>
    <mergeCell ref="J6:T6"/>
    <mergeCell ref="U6:AA6"/>
    <mergeCell ref="AB6:AE6"/>
    <mergeCell ref="M12:N12"/>
    <mergeCell ref="O12:W12"/>
    <mergeCell ref="X12:AB12"/>
    <mergeCell ref="AC12:AE12"/>
    <mergeCell ref="U8:AA8"/>
    <mergeCell ref="U9:AA9"/>
    <mergeCell ref="H10:L10"/>
    <mergeCell ref="M8:T8"/>
    <mergeCell ref="AB8:AE8"/>
    <mergeCell ref="H2:AE4"/>
    <mergeCell ref="B2:C2"/>
    <mergeCell ref="Y39:AE39"/>
    <mergeCell ref="H40:H41"/>
    <mergeCell ref="I40:K41"/>
    <mergeCell ref="L40:M41"/>
    <mergeCell ref="N40:Q41"/>
    <mergeCell ref="R40:U41"/>
    <mergeCell ref="V40:X41"/>
    <mergeCell ref="Y40:AC41"/>
    <mergeCell ref="AD41:AE41"/>
    <mergeCell ref="H11:L11"/>
    <mergeCell ref="M11:AE11"/>
    <mergeCell ref="H12:L13"/>
    <mergeCell ref="M13:N13"/>
    <mergeCell ref="O13:W13"/>
  </mergeCells>
  <phoneticPr fontId="16" type="noConversion"/>
  <hyperlinks>
    <hyperlink ref="C10" r:id="rId1" xr:uid="{EC903CE3-7DC3-4F26-9899-6C75C2FB79B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Drop Down 1">
              <controlPr defaultSize="0" autoLine="0" autoPict="0" macro="[0]!목차드롭다운">
                <anchor moveWithCells="1">
                  <from>
                    <xdr:col>31</xdr:col>
                    <xdr:colOff>95250</xdr:colOff>
                    <xdr:row>1</xdr:row>
                    <xdr:rowOff>38100</xdr:rowOff>
                  </from>
                  <to>
                    <xdr:col>36</xdr:col>
                    <xdr:colOff>390525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체크리스트</vt:lpstr>
      <vt:lpstr>목차</vt:lpstr>
      <vt:lpstr>기본양식</vt:lpstr>
      <vt:lpstr>참여자명단</vt:lpstr>
      <vt:lpstr>참여기업 정보</vt:lpstr>
      <vt:lpstr>13. 참여기업 지원금 지급 신청서</vt:lpstr>
      <vt:lpstr>108. 일경험 운영 계획서</vt:lpstr>
      <vt:lpstr>멘토일지</vt:lpstr>
      <vt:lpstr>종합보고서</vt:lpstr>
      <vt:lpstr>중간점검일지</vt:lpstr>
      <vt:lpstr>102. 사전직무교육 운영 계획서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2024-12-06T08:55:55Z</dcterms:modified>
</cp:coreProperties>
</file>