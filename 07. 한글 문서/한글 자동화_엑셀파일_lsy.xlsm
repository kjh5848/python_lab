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ctrlProps/ctrlProp49.xml" ContentType="application/vnd.ms-excel.controlproperties+xml"/>
  <Override PartName="/xl/drawings/drawing7.xml" ContentType="application/vnd.openxmlformats-officedocument.drawing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drawings/drawing9.xml" ContentType="application/vnd.openxmlformats-officedocument.drawing+xml"/>
  <Override PartName="/xl/ctrlProps/ctrlProp52.xml" ContentType="application/vnd.ms-excel.controlproperties+xml"/>
  <Override PartName="/xl/drawings/drawing10.xml" ContentType="application/vnd.openxmlformats-officedocument.drawing+xml"/>
  <Override PartName="/xl/ctrlProps/ctrlProp53.xml" ContentType="application/vnd.ms-excel.controlproperties+xml"/>
  <Override PartName="/xl/drawings/drawing11.xml" ContentType="application/vnd.openxmlformats-officedocument.drawing+xml"/>
  <Override PartName="/xl/ctrlProps/ctrlProp54.xml" ContentType="application/vnd.ms-excel.controlproperties+xml"/>
  <Override PartName="/xl/drawings/drawing12.xml" ContentType="application/vnd.openxmlformats-officedocument.drawing+xml"/>
  <Override PartName="/xl/ctrlProps/ctrlProp55.xml" ContentType="application/vnd.ms-excel.controlproperties+xml"/>
  <Override PartName="/xl/drawings/drawing13.xml" ContentType="application/vnd.openxmlformats-officedocument.drawing+xml"/>
  <Override PartName="/xl/ctrlProps/ctrlProp56.xml" ContentType="application/vnd.ms-excel.controlproperties+xml"/>
  <Override PartName="/xl/drawings/drawing14.xml" ContentType="application/vnd.openxmlformats-officedocument.drawing+xml"/>
  <Override PartName="/xl/ctrlProps/ctrlProp57.xml" ContentType="application/vnd.ms-excel.controlproperties+xml"/>
  <Override PartName="/xl/drawings/drawing15.xml" ContentType="application/vnd.openxmlformats-officedocument.drawing+xml"/>
  <Override PartName="/xl/ctrlProps/ctrlProp58.xml" ContentType="application/vnd.ms-excel.controlproperties+xml"/>
  <Override PartName="/xl/drawings/drawing16.xml" ContentType="application/vnd.openxmlformats-officedocument.drawing+xml"/>
  <Override PartName="/xl/ctrlProps/ctrlProp59.xml" ContentType="application/vnd.ms-excel.controlproperties+xml"/>
  <Override PartName="/xl/drawings/drawing17.xml" ContentType="application/vnd.openxmlformats-officedocument.drawing+xml"/>
  <Override PartName="/xl/ctrlProps/ctrlProp60.xml" ContentType="application/vnd.ms-excel.controlproperties+xml"/>
  <Override PartName="/xl/drawings/drawing18.xml" ContentType="application/vnd.openxmlformats-officedocument.drawing+xml"/>
  <Override PartName="/xl/ctrlProps/ctrlProp61.xml" ContentType="application/vnd.ms-excel.controlproperties+xml"/>
  <Override PartName="/xl/drawings/drawing19.xml" ContentType="application/vnd.openxmlformats-officedocument.drawing+xml"/>
  <Override PartName="/xl/ctrlProps/ctrlProp62.xml" ContentType="application/vnd.ms-excel.controlproperties+xml"/>
  <Override PartName="/xl/drawings/drawing20.xml" ContentType="application/vnd.openxmlformats-officedocument.drawing+xml"/>
  <Override PartName="/xl/ctrlProps/ctrlProp6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hdus\Desktop\미래내일일경험\07. 한글 문서\"/>
    </mc:Choice>
  </mc:AlternateContent>
  <xr:revisionPtr revIDLastSave="0" documentId="13_ncr:1_{6D349847-2665-4DD1-BF6E-3B579E5EC96D}" xr6:coauthVersionLast="47" xr6:coauthVersionMax="47" xr10:uidLastSave="{00000000-0000-0000-0000-000000000000}"/>
  <bookViews>
    <workbookView xWindow="-28905" yWindow="6345" windowWidth="15090" windowHeight="15585" firstSheet="1" activeTab="4" xr2:uid="{A9B5F2F9-72BB-4A84-854A-E6FBEC4C0C1D}"/>
  </bookViews>
  <sheets>
    <sheet name="체크리스트" sheetId="33" r:id="rId1"/>
    <sheet name="목차" sheetId="22" r:id="rId2"/>
    <sheet name="기본양식" sheetId="6" r:id="rId3"/>
    <sheet name="참여자명단" sheetId="24" r:id="rId4"/>
    <sheet name="참여기업 정보" sheetId="7" r:id="rId5"/>
    <sheet name="13. 참여기업 지원금 지급 신청서" sheetId="29" r:id="rId6"/>
    <sheet name="Sheet1" sheetId="34" r:id="rId7"/>
    <sheet name="108. 일경험 운영 계획서" sheetId="17" r:id="rId8"/>
    <sheet name="멘토일지" sheetId="9" r:id="rId9"/>
    <sheet name="종합보고서" sheetId="10" r:id="rId10"/>
    <sheet name="중간점검일지" sheetId="11" r:id="rId11"/>
    <sheet name="102. 사전직무교육 운영 계획서" sheetId="16" r:id="rId12"/>
    <sheet name="12. 청년 일경험 프로그램 참여기업 신청서 " sheetId="18" r:id="rId13"/>
    <sheet name="42. 청년 일경험 지원사업 기업 참여 의향서" sheetId="21" r:id="rId14"/>
    <sheet name="125. (공통직무교육기관) 사전직무교육 실시보고" sheetId="20" r:id="rId15"/>
    <sheet name="34. 인턴형 일경험 실시보고" sheetId="19" r:id="rId16"/>
    <sheet name="33. 인턴형 일경험 참여신청서" sheetId="25" r:id="rId17"/>
    <sheet name="40. 개인정보 활용에 관한 동의서" sheetId="26" r:id="rId18"/>
    <sheet name="46. 참여 청년용 확인서" sheetId="27" r:id="rId19"/>
    <sheet name="118. 인턴형 프로그램 표준계약서" sheetId="28" r:id="rId20"/>
    <sheet name="기본양식 (2)" sheetId="31" r:id="rId21"/>
  </sheets>
  <definedNames>
    <definedName name="_xleta.LEFT" hidden="1" xlm="1">#NAME?</definedName>
    <definedName name="_xlpm.지역셀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29" l="1"/>
  <c r="O10" i="29" s="1"/>
  <c r="D10" i="29"/>
  <c r="AC9" i="29" s="1"/>
  <c r="D9" i="29"/>
  <c r="O9" i="29" s="1"/>
  <c r="D8" i="29"/>
  <c r="M8" i="29" s="1"/>
  <c r="D4" i="29"/>
  <c r="M5" i="29" s="1"/>
  <c r="D68" i="29"/>
  <c r="B68" i="29"/>
  <c r="D67" i="29"/>
  <c r="B67" i="29"/>
  <c r="D66" i="29"/>
  <c r="B66" i="29"/>
  <c r="D65" i="29"/>
  <c r="C65" i="29"/>
  <c r="B65" i="29"/>
  <c r="D64" i="29"/>
  <c r="B64" i="29"/>
  <c r="D63" i="29"/>
  <c r="B63" i="29"/>
  <c r="D62" i="29"/>
  <c r="B62" i="29"/>
  <c r="D61" i="29"/>
  <c r="B61" i="29"/>
  <c r="D60" i="29"/>
  <c r="B60" i="29"/>
  <c r="D59" i="29"/>
  <c r="B59" i="29"/>
  <c r="D58" i="29"/>
  <c r="B58" i="29"/>
  <c r="D57" i="29"/>
  <c r="B57" i="29"/>
  <c r="D56" i="29"/>
  <c r="B56" i="29"/>
  <c r="D55" i="29"/>
  <c r="B55" i="29"/>
  <c r="D54" i="29"/>
  <c r="B54" i="29"/>
  <c r="D49" i="29"/>
  <c r="D48" i="29"/>
  <c r="D47" i="29"/>
  <c r="D46" i="29"/>
  <c r="D45" i="29"/>
  <c r="D44" i="29"/>
  <c r="D43" i="29"/>
  <c r="D42" i="29"/>
  <c r="D41" i="29"/>
  <c r="D40" i="29"/>
  <c r="D7" i="29"/>
  <c r="AB6" i="29" s="1"/>
  <c r="D5" i="29"/>
  <c r="AB5" i="29" s="1"/>
  <c r="D6" i="29"/>
  <c r="M6" i="29" s="1"/>
  <c r="D12" i="29"/>
  <c r="AC10" i="29" s="1"/>
  <c r="D13" i="29"/>
  <c r="K15" i="34"/>
  <c r="B15" i="34"/>
  <c r="W10" i="34"/>
  <c r="I10" i="34"/>
  <c r="W9" i="34"/>
  <c r="I9" i="34"/>
  <c r="G8" i="34"/>
  <c r="V6" i="34"/>
  <c r="G6" i="34"/>
  <c r="V5" i="34"/>
  <c r="G5" i="34"/>
  <c r="D32" i="29"/>
  <c r="D19" i="29"/>
  <c r="D20" i="29"/>
  <c r="D21" i="29"/>
  <c r="D22" i="29"/>
  <c r="D23" i="29"/>
  <c r="D24" i="29"/>
  <c r="D25" i="29"/>
  <c r="D26" i="29"/>
  <c r="D27" i="29"/>
  <c r="D28" i="29"/>
  <c r="D29" i="29"/>
  <c r="D30" i="29"/>
  <c r="D31" i="29"/>
  <c r="D18" i="29"/>
  <c r="Q15" i="29" s="1"/>
  <c r="C22" i="29"/>
  <c r="C23" i="29"/>
  <c r="BV2" i="33"/>
  <c r="BX2" i="33"/>
  <c r="BY3" i="33"/>
  <c r="F38" i="7"/>
  <c r="C54" i="29" s="1"/>
  <c r="F39" i="7"/>
  <c r="B32" i="29"/>
  <c r="B31" i="29"/>
  <c r="B27" i="29"/>
  <c r="B28" i="29"/>
  <c r="B29" i="29"/>
  <c r="B30" i="29"/>
  <c r="B19" i="29"/>
  <c r="B20" i="29"/>
  <c r="B21" i="29"/>
  <c r="B22" i="29"/>
  <c r="B23" i="29"/>
  <c r="B24" i="29"/>
  <c r="B25" i="29"/>
  <c r="B26" i="29"/>
  <c r="B18" i="29"/>
  <c r="H15" i="29" s="1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C21" i="18"/>
  <c r="C60" i="29" l="1"/>
  <c r="C67" i="29"/>
  <c r="C21" i="29"/>
  <c r="C55" i="29"/>
  <c r="C20" i="29"/>
  <c r="C57" i="29"/>
  <c r="C30" i="29"/>
  <c r="C68" i="29"/>
  <c r="C56" i="29"/>
  <c r="C28" i="29"/>
  <c r="C58" i="29"/>
  <c r="C66" i="29"/>
  <c r="C19" i="29"/>
  <c r="C61" i="29"/>
  <c r="C31" i="29"/>
  <c r="C29" i="29"/>
  <c r="C63" i="29"/>
  <c r="C27" i="29"/>
  <c r="C64" i="29"/>
  <c r="C18" i="29"/>
  <c r="C32" i="29"/>
  <c r="C62" i="29"/>
  <c r="C26" i="29"/>
  <c r="C25" i="29"/>
  <c r="C59" i="29"/>
  <c r="C24" i="29"/>
  <c r="BX3" i="33"/>
  <c r="CA3" i="33" s="1"/>
  <c r="Y23" i="33"/>
  <c r="BZ3" i="33" l="1"/>
  <c r="Q18" i="31" l="1"/>
  <c r="AE18" i="31"/>
  <c r="M19" i="31"/>
  <c r="M20" i="31"/>
  <c r="M21" i="31"/>
  <c r="M22" i="31"/>
  <c r="M23" i="31"/>
  <c r="M24" i="31"/>
  <c r="M25" i="31"/>
  <c r="M18" i="31"/>
  <c r="H19" i="31"/>
  <c r="H20" i="31"/>
  <c r="H21" i="31"/>
  <c r="H22" i="31"/>
  <c r="H23" i="31"/>
  <c r="H24" i="31"/>
  <c r="H25" i="31"/>
  <c r="H18" i="31"/>
  <c r="AC13" i="31"/>
  <c r="O13" i="31"/>
  <c r="AC12" i="31"/>
  <c r="O12" i="31"/>
  <c r="M11" i="31"/>
  <c r="AB9" i="31"/>
  <c r="M9" i="31"/>
  <c r="AB8" i="31"/>
  <c r="M8" i="31"/>
  <c r="V14" i="24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3" i="10"/>
  <c r="C3" i="9"/>
  <c r="CA2" i="33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<sst xmlns="http://schemas.openxmlformats.org/spreadsheetml/2006/main" count="1231" uniqueCount="785">
  <si>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</si>
  <si>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</si>
  <si>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</si>
  <si>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</si>
  <si>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</si>
  <si>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</si>
  <si>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</si>
  <si>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</si>
  <si>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</si>
  <si>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</si>
  <si>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</si>
  <si>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</si>
  <si>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</si>
  <si>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</si>
  <si>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</si>
  <si>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</si>
  <si>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</si>
  <si>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</si>
  <si>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</si>
  <si>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담당자명</t>
  </si>
  <si>
    <t>이메일</t>
  </si>
  <si>
    <t>abc@hanmail.com</t>
  </si>
  <si>
    <t>없음</t>
  </si>
  <si>
    <t>자격내용1</t>
  </si>
  <si>
    <t>참여기업 담당자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</si>
  <si>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</si>
  <si>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</si>
  <si>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</si>
  <si>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</si>
  <si>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</si>
  <si>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</si>
  <si>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</si>
  <si>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</si>
  <si>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</si>
  <si>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멘토 부서명</t>
  </si>
  <si>
    <t>연구 1팀</t>
  </si>
  <si>
    <t>멘토 직위</t>
  </si>
  <si>
    <t>멘토 연락처</t>
  </si>
  <si>
    <t>멘토 이메일</t>
  </si>
  <si>
    <t>IT</t>
  </si>
  <si>
    <t>참여자 근무부서</t>
  </si>
  <si>
    <t>개발팀</t>
  </si>
  <si>
    <t>소프트웨어 개발 업무에 대한 전반적인 기초 능력 배양 및 현업에 대한 경험</t>
  </si>
  <si>
    <t>참여기업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</si>
  <si>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</si>
  <si>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</si>
  <si>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</si>
  <si>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</si>
  <si>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</si>
  <si>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</si>
  <si>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</si>
  <si>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</si>
  <si>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</si>
  <si>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</si>
  <si>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</si>
  <si>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</si>
  <si>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</si>
  <si>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</si>
  <si>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</si>
  <si>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</si>
  <si>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</si>
  <si>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</si>
  <si>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</si>
  <si>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</si>
  <si>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</si>
  <si>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</si>
  <si>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</si>
  <si>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</si>
  <si>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</si>
  <si>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</si>
  <si>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</si>
  <si>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</si>
  <si>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</si>
  <si>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</si>
  <si>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</si>
  <si>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</si>
  <si>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</si>
  <si>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</si>
  <si>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</si>
  <si>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</si>
  <si>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매칭</t>
    </r>
    <r>
      <rPr>
        <sz val="13"/>
        <color theme="1"/>
        <rFont val="Arial"/>
        <family val="2"/>
        <scheme val="minor"/>
      </rPr>
      <t>-</t>
    </r>
    <r>
      <rPr>
        <sz val="13"/>
        <color theme="1"/>
        <rFont val="Arial"/>
        <family val="2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</si>
  <si>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</si>
  <si>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교육목적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</si>
  <si>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</si>
  <si>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</si>
  <si>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</si>
  <si>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</si>
  <si>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</si>
  <si>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</si>
  <si>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</si>
  <si>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</si>
  <si>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</si>
  <si>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</si>
  <si>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</si>
  <si>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</si>
  <si>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</si>
  <si>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</si>
  <si>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</si>
  <si>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</si>
  <si>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</si>
  <si>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</si>
  <si>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</si>
  <si>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6" type="noConversion"/>
  </si>
  <si>
    <t>111-2222</t>
    <phoneticPr fontId="16" type="noConversion"/>
  </si>
  <si>
    <t>www.example.com</t>
    <phoneticPr fontId="16" type="noConversion"/>
  </si>
  <si>
    <t>010-111-2222</t>
    <phoneticPr fontId="16" type="noConversion"/>
  </si>
  <si>
    <t>www.example2.com</t>
    <phoneticPr fontId="16" type="noConversion"/>
  </si>
  <si>
    <t>2024.11.18 ~ 2025.01.10</t>
    <phoneticPr fontId="16" type="noConversion"/>
  </si>
  <si>
    <t>2024.11.18 ~ 2025.01.10</t>
    <phoneticPr fontId="16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</si>
  <si>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</si>
  <si>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6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</si>
  <si>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</si>
  <si>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</si>
  <si>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</si>
  <si>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</si>
  <si>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</si>
  <si>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</si>
  <si>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</si>
  <si>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</si>
  <si>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</si>
  <si>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</si>
  <si>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</si>
  <si>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</si>
  <si>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</si>
  <si>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프로그램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명입니다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</si>
  <si>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연구개발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</si>
  <si>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교육목적입니다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</si>
  <si>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계획서</t>
    </r>
    <phoneticPr fontId="16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</si>
  <si>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6" type="noConversion"/>
  </si>
  <si>
    <t>111-222-3333</t>
    <phoneticPr fontId="16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</si>
  <si>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</si>
  <si>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6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</si>
  <si>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</si>
  <si>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</si>
  <si>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</si>
  <si>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6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</si>
  <si>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</si>
  <si>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6" type="noConversion"/>
  </si>
  <si>
    <t>000-111-2222</t>
    <phoneticPr fontId="16" type="noConversion"/>
  </si>
  <si>
    <t>010-0000-0000</t>
    <phoneticPr fontId="16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</si>
  <si>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</si>
  <si>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</si>
  <si>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</si>
  <si>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</si>
  <si>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</si>
  <si>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</si>
  <si>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</si>
  <si>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</si>
  <si>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6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</si>
  <si>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</si>
  <si>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t>시트 명</t>
    <phoneticPr fontId="16" type="noConversion"/>
  </si>
  <si>
    <t>102. 사전직무교육 운영 계획서</t>
    <phoneticPr fontId="16" type="noConversion"/>
  </si>
  <si>
    <t>108. 일경험 운영 계획서</t>
    <phoneticPr fontId="16" type="noConversion"/>
  </si>
  <si>
    <t>12. 청년 일경험 프로ㅡ램 참여기업 신청서</t>
    <phoneticPr fontId="16" type="noConversion"/>
  </si>
  <si>
    <t>42. 청년 일경험 지원사업 기업 참여 의향서</t>
    <phoneticPr fontId="16" type="noConversion"/>
  </si>
  <si>
    <t>24.08.14 ~ 24.08.28</t>
    <phoneticPr fontId="16" type="noConversion"/>
  </si>
  <si>
    <t>이름</t>
    <phoneticPr fontId="16" type="noConversion"/>
  </si>
  <si>
    <t>생년월일</t>
    <phoneticPr fontId="16" type="noConversion"/>
  </si>
  <si>
    <t>성별</t>
    <phoneticPr fontId="16" type="noConversion"/>
  </si>
  <si>
    <t>연락처</t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</si>
  <si>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</si>
  <si>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</si>
  <si>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r>
      <rPr>
        <sz val="13"/>
        <color theme="1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</si>
  <si>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한국무선인터넷솔루션협회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</si>
  <si>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</si>
  <si>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</si>
  <si>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주요내용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</si>
  <si>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</si>
  <si>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</si>
  <si>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6" type="noConversion"/>
  </si>
  <si>
    <t>홍길동</t>
    <phoneticPr fontId="16" type="noConversion"/>
  </si>
  <si>
    <t>작성날짜</t>
    <phoneticPr fontId="17" type="noConversion"/>
  </si>
  <si>
    <t>특이사항 기재</t>
  </si>
  <si>
    <t>순번</t>
  </si>
  <si>
    <t>프로그램명</t>
  </si>
  <si>
    <t>성명</t>
  </si>
  <si>
    <t>주민등록번호</t>
    <phoneticPr fontId="17" type="noConversion"/>
  </si>
  <si>
    <t>연락처</t>
    <phoneticPr fontId="17" type="noConversion"/>
  </si>
  <si>
    <t>이메일</t>
    <phoneticPr fontId="17" type="noConversion"/>
  </si>
  <si>
    <t>학년</t>
  </si>
  <si>
    <t>최종학교명</t>
    <phoneticPr fontId="17" type="noConversion"/>
  </si>
  <si>
    <t>최종학과</t>
  </si>
  <si>
    <t>주소</t>
    <phoneticPr fontId="17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</si>
  <si>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</si>
  <si>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</si>
  <si>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</si>
  <si>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</si>
  <si>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</si>
  <si>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</si>
  <si>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7" type="noConversion"/>
  </si>
  <si>
    <t>지역</t>
  </si>
  <si>
    <t>졸업</t>
    <phoneticPr fontId="17" type="noConversion"/>
  </si>
  <si>
    <t>국민은행</t>
  </si>
  <si>
    <t>참여자명단</t>
    <phoneticPr fontId="16" type="noConversion"/>
  </si>
  <si>
    <t>참고용</t>
    <phoneticPr fontId="16" type="noConversion"/>
  </si>
  <si>
    <t>051-123-1234</t>
    <phoneticPr fontId="16" type="noConversion"/>
  </si>
  <si>
    <t>asd@asd.net</t>
    <phoneticPr fontId="16" type="noConversion"/>
  </si>
  <si>
    <t>2024.00.00 ~ 2024.00.00</t>
    <phoneticPr fontId="16" type="noConversion"/>
  </si>
  <si>
    <t>010-1234-1233</t>
    <phoneticPr fontId="16" type="noConversion"/>
  </si>
  <si>
    <t>010-2134-2134</t>
    <phoneticPr fontId="16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</si>
  <si>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</si>
  <si>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㈜</t>
    </r>
    <r>
      <rPr>
        <sz val="13"/>
        <color theme="1"/>
        <rFont val="Arial"/>
        <family val="2"/>
        <scheme val="minor"/>
      </rPr>
      <t>000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</si>
  <si>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소재지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</si>
  <si>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광역시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구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로</t>
    </r>
    <r>
      <rPr>
        <sz val="13"/>
        <color theme="1"/>
        <rFont val="Arial"/>
        <family val="2"/>
        <scheme val="minor"/>
      </rPr>
      <t xml:space="preserve"> 123-5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</si>
  <si>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업종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</si>
  <si>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업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외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</si>
  <si>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피보험자수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</si>
  <si>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담당부서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</si>
  <si>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부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</si>
  <si>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담당자명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</si>
  <si>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</si>
  <si>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전화번호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</si>
  <si>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이메일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</si>
  <si>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운영계획서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참조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</si>
  <si>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프로그램내용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</si>
  <si>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프로그램기간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</si>
  <si>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프로그램장소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</si>
  <si>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프로그램참여인원</t>
    </r>
    <phoneticPr fontId="16" type="noConversion"/>
  </si>
  <si>
    <r>
      <t>2024</t>
    </r>
    <r>
      <rPr>
        <sz val="13"/>
        <color theme="1"/>
        <rFont val="Arial"/>
        <family val="2"/>
        <charset val="129"/>
        <scheme val="minor"/>
      </rPr>
      <t>년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</si>
  <si>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</si>
  <si>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</si>
  <si>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</si>
  <si>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남</t>
    </r>
    <phoneticPr fontId="16" type="noConversion"/>
  </si>
  <si>
    <t>2024년 00월 00일</t>
    <phoneticPr fontId="16" type="noConversion"/>
  </si>
  <si>
    <r>
      <rPr>
        <sz val="10"/>
        <color rgb="FF000000"/>
        <rFont val="Arial"/>
        <family val="3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</si>
  <si>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</si>
  <si>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t>2024</t>
    </r>
    <r>
      <rPr>
        <sz val="10"/>
        <color rgb="FF000000"/>
        <rFont val="Arial"/>
        <family val="3"/>
        <charset val="129"/>
        <scheme val="minor"/>
      </rPr>
      <t>년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월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일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</si>
  <si>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</si>
  <si>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phoneticPr fontId="16" type="noConversion"/>
  </si>
  <si>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참여신청서</t>
    </r>
    <phoneticPr fontId="16" type="noConversion"/>
  </si>
  <si>
    <t>성명</t>
    <phoneticPr fontId="16" type="noConversion"/>
  </si>
  <si>
    <t>주민등록번호</t>
    <phoneticPr fontId="16" type="noConversion"/>
  </si>
  <si>
    <t>주소</t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</si>
  <si>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이메일</t>
    </r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</si>
  <si>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휴대폰</t>
    </r>
    <phoneticPr fontId="16" type="noConversion"/>
  </si>
  <si>
    <t>최종학력구분</t>
    <phoneticPr fontId="16" type="noConversion"/>
  </si>
  <si>
    <t>학년</t>
    <phoneticPr fontId="16" type="noConversion"/>
  </si>
  <si>
    <t>최종학력상태</t>
    <phoneticPr fontId="16" type="noConversion"/>
  </si>
  <si>
    <t>최종학교명</t>
    <phoneticPr fontId="16" type="noConversion"/>
  </si>
  <si>
    <t>최종학과</t>
    <phoneticPr fontId="16" type="noConversion"/>
  </si>
  <si>
    <t>동의대학교</t>
    <phoneticPr fontId="16" type="noConversion"/>
  </si>
  <si>
    <t>일본어학과</t>
    <phoneticPr fontId="16" type="noConversion"/>
  </si>
  <si>
    <t>123412-1212221</t>
    <phoneticPr fontId="16" type="noConversion"/>
  </si>
  <si>
    <t>010-1233-1223</t>
    <phoneticPr fontId="16" type="noConversion"/>
  </si>
  <si>
    <t>example@nate.com</t>
    <phoneticPr fontId="16" type="noConversion"/>
  </si>
  <si>
    <t>최종학력구분</t>
    <phoneticPr fontId="16" type="noConversion"/>
  </si>
  <si>
    <r>
      <rPr>
        <sz val="10"/>
        <color rgb="FF000000"/>
        <rFont val="맑은 고딕"/>
        <family val="3"/>
        <charset val="129"/>
      </rPr>
      <t>대학교</t>
    </r>
    <r>
      <rPr>
        <sz val="10"/>
        <color rgb="FF000000"/>
        <rFont val="Arial"/>
        <family val="3"/>
      </rPr>
      <t>_4</t>
    </r>
    <r>
      <rPr>
        <sz val="10"/>
        <color rgb="FF000000"/>
        <rFont val="맑은 고딕"/>
        <family val="3"/>
        <charset val="129"/>
      </rPr>
      <t>년제</t>
    </r>
    <phoneticPr fontId="17" type="noConversion"/>
  </si>
  <si>
    <t>작성날짜</t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</si>
  <si>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  <scheme val="minor"/>
      </rPr>
      <t xml:space="preserve"> 01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</si>
  <si>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rPr>
        <b/>
        <sz val="20"/>
        <color theme="1"/>
        <rFont val="Malgun Gothic"/>
        <family val="3"/>
        <charset val="129"/>
      </rPr>
      <t>개인정보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활용에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관한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동의서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</si>
  <si>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청년용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확인서</t>
    </r>
    <phoneticPr fontId="16" type="noConversion"/>
  </si>
  <si>
    <t>일경험기간시작일</t>
    <phoneticPr fontId="16" type="noConversion"/>
  </si>
  <si>
    <t>일경험기간종료일</t>
    <phoneticPr fontId="16" type="noConversion"/>
  </si>
  <si>
    <t>주업무</t>
    <phoneticPr fontId="16" type="noConversion"/>
  </si>
  <si>
    <t>콘텐츠 마케팅</t>
    <phoneticPr fontId="16" type="noConversion"/>
  </si>
  <si>
    <t>부산광역시 금정구</t>
    <phoneticPr fontId="16" type="noConversion"/>
  </si>
  <si>
    <t>계좌번호</t>
    <phoneticPr fontId="16" type="noConversion"/>
  </si>
  <si>
    <r>
      <t>1234-12-123243424(</t>
    </r>
    <r>
      <rPr>
        <sz val="13"/>
        <color theme="1"/>
        <rFont val="Arial Unicode MS"/>
        <family val="2"/>
        <charset val="129"/>
      </rPr>
      <t>이름)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</si>
  <si>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09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</si>
  <si>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11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</si>
  <si>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t>참여인원</t>
    <phoneticPr fontId="16" type="noConversion"/>
  </si>
  <si>
    <r>
      <t>00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</si>
  <si>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r>
      <rPr>
        <sz val="13"/>
        <color theme="1"/>
        <rFont val="맑은 고딕"/>
        <family val="3"/>
        <charset val="129"/>
      </rPr>
      <t>프로그램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프로젝트</t>
    </r>
    <r>
      <rPr>
        <sz val="13"/>
        <color theme="1"/>
        <rFont val="Arial"/>
        <family val="2"/>
        <scheme val="minor"/>
      </rPr>
      <t>)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</si>
  <si>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t>직무분야</t>
    <phoneticPr fontId="16" type="noConversion"/>
  </si>
  <si>
    <t>운영기관명</t>
    <phoneticPr fontId="16" type="noConversion"/>
  </si>
  <si>
    <t>직무교육명</t>
    <phoneticPr fontId="16" type="noConversion"/>
  </si>
  <si>
    <t>교육주요내용</t>
    <phoneticPr fontId="16" type="noConversion"/>
  </si>
  <si>
    <r>
      <rPr>
        <sz val="13"/>
        <color theme="1"/>
        <rFont val="맑은 고딕"/>
        <family val="3"/>
        <charset val="129"/>
      </rPr>
      <t>장소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소재지</t>
    </r>
    <r>
      <rPr>
        <sz val="13"/>
        <color theme="1"/>
        <rFont val="Arial"/>
        <family val="2"/>
        <scheme val="minor"/>
      </rPr>
      <t>)</t>
    </r>
    <phoneticPr fontId="16" type="noConversion"/>
  </si>
  <si>
    <t>교육기간</t>
    <phoneticPr fontId="16" type="noConversion"/>
  </si>
  <si>
    <t>남</t>
    <phoneticPr fontId="16" type="noConversion"/>
  </si>
  <si>
    <t>010-111-2223</t>
    <phoneticPr fontId="16" type="noConversion"/>
  </si>
  <si>
    <r>
      <rPr>
        <sz val="13"/>
        <color theme="1"/>
        <rFont val="Arial"/>
        <family val="3"/>
        <charset val="129"/>
        <scheme val="minor"/>
      </rPr>
      <t>참여프로그램명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</si>
  <si>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</si>
  <si>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</si>
  <si>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</si>
  <si>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</si>
  <si>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</si>
  <si>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참여기업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지원금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지급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신청서</t>
    </r>
    <phoneticPr fontId="16" type="noConversion"/>
  </si>
  <si>
    <t>사업장명</t>
    <phoneticPr fontId="16" type="noConversion"/>
  </si>
  <si>
    <t>대표자명</t>
    <phoneticPr fontId="16" type="noConversion"/>
  </si>
  <si>
    <t>고용보험사업장관리번호</t>
    <phoneticPr fontId="16" type="noConversion"/>
  </si>
  <si>
    <t>사업자등록번호
(법인등록번호)</t>
    <phoneticPr fontId="16" type="noConversion"/>
  </si>
  <si>
    <t>소재지</t>
    <phoneticPr fontId="16" type="noConversion"/>
  </si>
  <si>
    <t>담당자성명</t>
    <phoneticPr fontId="16" type="noConversion"/>
  </si>
  <si>
    <t>담당자전화번호</t>
    <phoneticPr fontId="16" type="noConversion"/>
  </si>
  <si>
    <t>담당자이메일</t>
    <phoneticPr fontId="16" type="noConversion"/>
  </si>
  <si>
    <t>담당자팩스번호</t>
    <phoneticPr fontId="16" type="noConversion"/>
  </si>
  <si>
    <r>
      <rPr>
        <sz val="13"/>
        <color theme="1"/>
        <rFont val="맑은 고딕"/>
        <family val="3"/>
        <charset val="129"/>
      </rPr>
      <t>신청금액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원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</si>
  <si>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신청기간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 xml:space="preserve"> ~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</si>
  <si>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참여일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</si>
  <si>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참여청년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성명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주민등록번호</t>
    </r>
    <r>
      <rPr>
        <sz val="13"/>
        <color theme="1"/>
        <rFont val="Arial"/>
        <family val="3"/>
      </rPr>
      <t>)</t>
    </r>
    <phoneticPr fontId="16" type="noConversion"/>
  </si>
  <si>
    <t>㈜노마드랩</t>
    <phoneticPr fontId="16" type="noConversion"/>
  </si>
  <si>
    <t>㈜노마드</t>
    <phoneticPr fontId="16" type="noConversion"/>
  </si>
  <si>
    <t>2024.11.18 ~ 2024.12.13</t>
    <phoneticPr fontId="16" type="noConversion"/>
  </si>
  <si>
    <t>2024.12.16 ~ 2024.01.07</t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</si>
  <si>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사전직무교육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실시보고</t>
    </r>
    <phoneticPr fontId="16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</si>
  <si>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</si>
  <si>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</si>
  <si>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</si>
  <si>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</si>
  <si>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</si>
  <si>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</si>
  <si>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</si>
  <si>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</si>
  <si>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</si>
  <si>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</si>
  <si>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</si>
  <si>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</si>
  <si>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</si>
  <si>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</si>
  <si>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</si>
  <si>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</si>
  <si>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</si>
  <si>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</si>
  <si>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</si>
  <si>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</si>
  <si>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</si>
  <si>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</si>
  <si>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</si>
  <si>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</si>
  <si>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</si>
  <si>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</si>
  <si>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</si>
  <si>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</si>
  <si>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</si>
  <si>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</si>
  <si>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</si>
  <si>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</si>
  <si>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</si>
  <si>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</si>
  <si>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</si>
  <si>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</si>
  <si>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</si>
  <si>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</si>
  <si>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</si>
  <si>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</si>
  <si>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</si>
  <si>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</si>
  <si>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</si>
  <si>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</si>
  <si>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</si>
  <si>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</si>
  <si>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</si>
  <si>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</si>
  <si>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</si>
  <si>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</si>
  <si>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</si>
  <si>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</si>
  <si>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</si>
  <si>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</si>
  <si>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</si>
  <si>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</si>
  <si>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</si>
  <si>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</si>
  <si>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</si>
  <si>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</si>
  <si>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</si>
  <si>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</si>
  <si>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</si>
  <si>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6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</si>
  <si>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6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</si>
  <si>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</si>
  <si>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 xml:space="preserve"> 경상남도 부산진구</t>
    <phoneticPr fontId="16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</si>
  <si>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</si>
  <si>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>제주특별시</t>
    <phoneticPr fontId="16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</si>
  <si>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</si>
  <si>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</si>
  <si>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</si>
  <si>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</si>
  <si>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</si>
  <si>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</si>
  <si>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</si>
  <si>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</si>
  <si>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</si>
  <si>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</si>
  <si>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</si>
  <si>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</si>
  <si>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6" type="noConversion"/>
  </si>
  <si>
    <t>001199-3301932</t>
    <phoneticPr fontId="16" type="noConversion"/>
  </si>
  <si>
    <t>020699-3626178</t>
    <phoneticPr fontId="16" type="noConversion"/>
  </si>
  <si>
    <t>[SY컴퍼니] 마케팅 인턴십</t>
    <phoneticPr fontId="16" type="noConversion"/>
  </si>
  <si>
    <t>2024년 12월 03일</t>
    <phoneticPr fontId="17" type="noConversion"/>
  </si>
  <si>
    <r>
      <rPr>
        <sz val="12"/>
        <color theme="1"/>
        <rFont val="맑은 고딕"/>
        <family val="3"/>
        <charset val="129"/>
      </rPr>
      <t>부산</t>
    </r>
    <r>
      <rPr>
        <sz val="12"/>
        <color theme="1"/>
        <rFont val="Arial Unicode MS"/>
        <family val="2"/>
        <charset val="129"/>
      </rPr>
      <t>광역시 연제구</t>
    </r>
    <phoneticPr fontId="16" type="noConversion"/>
  </si>
  <si>
    <t>디자인</t>
    <phoneticPr fontId="16" type="noConversion"/>
  </si>
  <si>
    <t>기업통장명</t>
    <phoneticPr fontId="16" type="noConversion"/>
  </si>
  <si>
    <t>기업통장 계좌번호</t>
    <phoneticPr fontId="16" type="noConversion"/>
  </si>
  <si>
    <t>111-11-11111</t>
    <phoneticPr fontId="16" type="noConversion"/>
  </si>
  <si>
    <t>법인번호</t>
    <phoneticPr fontId="16" type="noConversion"/>
  </si>
  <si>
    <t>중소기업일때만체크</t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</si>
  <si>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</si>
  <si>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대표자명</t>
    </r>
  </si>
  <si>
    <r>
      <rPr>
        <b/>
        <sz val="11"/>
        <color theme="1"/>
        <rFont val="Arial"/>
        <family val="3"/>
        <charset val="129"/>
        <scheme val="minor"/>
      </rPr>
      <t>고용보험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사업장</t>
    </r>
    <r>
      <rPr>
        <b/>
        <sz val="11"/>
        <color theme="1"/>
        <rFont val="Arial"/>
        <family val="2"/>
        <scheme val="minor"/>
      </rPr>
      <t xml:space="preserve"> 
</t>
    </r>
    <r>
      <rPr>
        <b/>
        <sz val="11"/>
        <color theme="1"/>
        <rFont val="Arial"/>
        <family val="3"/>
        <charset val="129"/>
        <scheme val="minor"/>
      </rPr>
      <t>관리번호</t>
    </r>
  </si>
  <si>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</si>
  <si>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기업구분</t>
    </r>
    <r>
      <rPr>
        <b/>
        <sz val="11"/>
        <color theme="1"/>
        <rFont val="Arial"/>
        <family val="2"/>
        <scheme val="minor"/>
      </rPr>
      <t xml:space="preserve"> </t>
    </r>
  </si>
  <si>
    <r>
      <rPr>
        <b/>
        <sz val="11"/>
        <color theme="1"/>
        <rFont val="Arial"/>
        <family val="3"/>
        <charset val="129"/>
        <scheme val="minor"/>
      </rPr>
      <t>회사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소개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및</t>
    </r>
    <r>
      <rPr>
        <b/>
        <sz val="11"/>
        <color theme="1"/>
        <rFont val="Arial"/>
        <family val="2"/>
        <scheme val="minor"/>
      </rPr>
      <t xml:space="preserve"> 
</t>
    </r>
    <r>
      <rPr>
        <b/>
        <sz val="11"/>
        <color theme="1"/>
        <rFont val="Arial"/>
        <family val="3"/>
        <charset val="129"/>
        <scheme val="minor"/>
      </rPr>
      <t>주요사업</t>
    </r>
  </si>
  <si>
    <r>
      <rPr>
        <b/>
        <sz val="11"/>
        <color theme="1"/>
        <rFont val="Arial"/>
        <family val="3"/>
        <charset val="129"/>
        <scheme val="minor"/>
      </rPr>
      <t>수행업무</t>
    </r>
    <r>
      <rPr>
        <b/>
        <sz val="11"/>
        <color theme="1"/>
        <rFont val="Arial"/>
        <family val="2"/>
        <scheme val="minor"/>
      </rPr>
      <t>(</t>
    </r>
    <r>
      <rPr>
        <b/>
        <sz val="11"/>
        <color theme="1"/>
        <rFont val="Arial"/>
        <family val="3"/>
        <charset val="129"/>
        <scheme val="minor"/>
      </rPr>
      <t>직무</t>
    </r>
    <r>
      <rPr>
        <b/>
        <sz val="11"/>
        <color theme="1"/>
        <rFont val="Arial"/>
        <family val="2"/>
        <scheme val="minor"/>
      </rPr>
      <t>)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</si>
  <si>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직위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</si>
  <si>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</si>
  <si>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이메일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</si>
  <si>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직위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</si>
  <si>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</si>
  <si>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이메일</t>
    </r>
  </si>
  <si>
    <r>
      <rPr>
        <b/>
        <sz val="11"/>
        <color theme="1"/>
        <rFont val="Arial"/>
        <family val="3"/>
        <charset val="129"/>
        <scheme val="minor"/>
      </rPr>
      <t>일경험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기간</t>
    </r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</si>
  <si>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직무</t>
    </r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</si>
  <si>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근무부서</t>
    </r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</si>
  <si>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주요업무</t>
    </r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</si>
  <si>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>(1~4</t>
    </r>
    <r>
      <rPr>
        <b/>
        <sz val="11"/>
        <color rgb="FF000000"/>
        <rFont val="Arial"/>
        <family val="3"/>
        <charset val="129"/>
        <scheme val="minor"/>
      </rPr>
      <t>주</t>
    </r>
    <r>
      <rPr>
        <b/>
        <sz val="11"/>
        <color rgb="FF000000"/>
        <rFont val="Arial"/>
        <family val="2"/>
        <scheme val="minor"/>
      </rPr>
      <t>)</t>
    </r>
    <phoneticPr fontId="16" type="noConversion"/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</si>
  <si>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>(5~8</t>
    </r>
    <r>
      <rPr>
        <b/>
        <sz val="11"/>
        <color rgb="FF000000"/>
        <rFont val="Arial"/>
        <family val="3"/>
        <charset val="129"/>
        <scheme val="minor"/>
      </rPr>
      <t>주</t>
    </r>
    <r>
      <rPr>
        <b/>
        <sz val="11"/>
        <color rgb="FF000000"/>
        <rFont val="Arial"/>
        <family val="2"/>
        <scheme val="minor"/>
      </rPr>
      <t>)</t>
    </r>
    <phoneticPr fontId="16" type="noConversion"/>
  </si>
  <si>
    <t>작성날짜</t>
    <phoneticPr fontId="16" type="noConversion"/>
  </si>
  <si>
    <t>있음일경우에만 자격내용</t>
    <phoneticPr fontId="16" type="noConversion"/>
  </si>
  <si>
    <t>청년 일경험 지원사업 참여기업 지원금 지급 신청서</t>
  </si>
  <si>
    <t>접수번호</t>
  </si>
  <si>
    <t>접수일자</t>
  </si>
  <si>
    <t>사업자등록번호</t>
  </si>
  <si>
    <t>(법인등록번호)</t>
  </si>
  <si>
    <t>고용보험</t>
  </si>
  <si>
    <t>사업장관리번호</t>
  </si>
  <si>
    <t>담당자</t>
  </si>
  <si>
    <t>전화번호</t>
  </si>
  <si>
    <t>팩스번호</t>
  </si>
  <si>
    <t>신청내용</t>
  </si>
  <si>
    <t>참여청년 성명</t>
  </si>
  <si>
    <t>(주민등록번호)</t>
  </si>
  <si>
    <t>참여일</t>
  </si>
  <si>
    <t>( 년 월 일)</t>
  </si>
  <si>
    <t>신청기간</t>
  </si>
  <si>
    <t>( 년 월 일 ~ 년 월 일)</t>
  </si>
  <si>
    <t>신청금액</t>
  </si>
  <si>
    <t>(원)</t>
  </si>
  <si>
    <t>지원금 총 신청인원</t>
  </si>
  <si>
    <t>( ) 명 ,</t>
  </si>
  <si>
    <t>( ) 원</t>
  </si>
  <si>
    <t>기업명의 계좌번호</t>
  </si>
  <si>
    <t>( ) 은행</t>
  </si>
  <si>
    <t>(예금주 : )</t>
  </si>
  <si>
    <t>『청년 일경험 지원사업｣ 지침에 따라 위와 같이 지원금 지급을 신청합니다.</t>
  </si>
  <si>
    <t>2024년 00월 00일</t>
  </si>
  <si>
    <t>확인자(대표자)</t>
  </si>
  <si>
    <t>(서명 또는 인)</t>
  </si>
  <si>
    <t>한국무선인터넷솔루션협회 운영기관장</t>
  </si>
  <si>
    <t>귀하</t>
  </si>
  <si>
    <t>첨부서류</t>
  </si>
  <si>
    <t>1. 프로그램 운영 증빙자료(프로그램 계획서, 참여청년 명단 등)</t>
  </si>
  <si>
    <t>2. 기업명의 통장사본(최초 1회 신청 시에만 제출)</t>
  </si>
  <si>
    <t xml:space="preserve">※ 아래 란은 적지 않습니다. </t>
  </si>
  <si>
    <t>접수</t>
  </si>
  <si>
    <t>접수 연월일</t>
  </si>
  <si>
    <t>처리부서</t>
  </si>
  <si>
    <t>선람</t>
  </si>
  <si>
    <t>담당</t>
  </si>
  <si>
    <t>팀장</t>
  </si>
  <si>
    <t>과장</t>
  </si>
  <si>
    <t>결재 연월일</t>
  </si>
  <si>
    <t>. . .</t>
  </si>
  <si>
    <t>미리보기</t>
    <phoneticPr fontId="16" type="noConversion"/>
  </si>
  <si>
    <t>사업장명</t>
    <phoneticPr fontId="16" type="noConversion"/>
  </si>
  <si>
    <t>대표자명</t>
    <phoneticPr fontId="16" type="noConversion"/>
  </si>
  <si>
    <t>11111-1111-111
(121212121)</t>
    <phoneticPr fontId="16" type="noConversion"/>
  </si>
  <si>
    <r>
      <rPr>
        <sz val="13"/>
        <color theme="1"/>
        <rFont val="맑은 고딕"/>
        <family val="3"/>
        <charset val="129"/>
      </rPr>
      <t>부산</t>
    </r>
    <r>
      <rPr>
        <sz val="13"/>
        <color theme="1"/>
        <rFont val="Arial Unicode MS"/>
        <family val="3"/>
        <charset val="129"/>
      </rPr>
      <t>광역시 부산진구</t>
    </r>
    <phoneticPr fontId="16" type="noConversion"/>
  </si>
  <si>
    <t>이순신</t>
    <phoneticPr fontId="16" type="noConversion"/>
  </si>
  <si>
    <t>KJH5848@GMAIL.COM</t>
    <phoneticPr fontId="16" type="noConversion"/>
  </si>
  <si>
    <t>c</t>
    <phoneticPr fontId="17" type="noConversion"/>
  </si>
  <si>
    <r>
      <rPr>
        <b/>
        <sz val="12"/>
        <color rgb="FFFF0000"/>
        <rFont val="맑은 고딕"/>
        <family val="3"/>
        <charset val="129"/>
      </rPr>
      <t>#주차별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업무는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협회측에서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임의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계획서로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작성하였으며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변경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및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수정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가능합니다</t>
    </r>
    <r>
      <rPr>
        <b/>
        <sz val="12"/>
        <color rgb="FFFF0000"/>
        <rFont val="Arial"/>
        <family val="2"/>
        <scheme val="minor"/>
      </rPr>
      <t>.</t>
    </r>
    <phoneticPr fontId="16" type="noConversion"/>
  </si>
  <si>
    <r>
      <t>1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</si>
  <si>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3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</si>
  <si>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2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</si>
  <si>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4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</si>
  <si>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6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</si>
  <si>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8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</si>
  <si>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</si>
  <si>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7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</si>
  <si>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t>인턴형 일경험 운영 계획서</t>
  </si>
  <si>
    <t>■ 참여기업 기본 정보</t>
  </si>
  <si>
    <t>기업명</t>
  </si>
  <si>
    <t>종업원 수</t>
  </si>
  <si>
    <t>사업장주소</t>
  </si>
  <si>
    <t>(본사)</t>
  </si>
  <si>
    <t>사업장주소(본사)</t>
  </si>
  <si>
    <t>(일경험)</t>
  </si>
  <si>
    <t>사업장주소(일경험)</t>
  </si>
  <si>
    <t>홈페이지</t>
  </si>
  <si>
    <t>기업 소개</t>
  </si>
  <si>
    <t>(간략히)</t>
  </si>
  <si>
    <t>기업소개</t>
  </si>
  <si>
    <t>부서명</t>
  </si>
  <si>
    <t>담당자부서명</t>
  </si>
  <si>
    <t>담당자성명</t>
  </si>
  <si>
    <t>직위</t>
  </si>
  <si>
    <t>담당자직위</t>
  </si>
  <si>
    <t>담당자전화번호</t>
  </si>
  <si>
    <t>담당자이메일</t>
  </si>
  <si>
    <t>■ 참여청년 선발 요건</t>
  </si>
  <si>
    <t>최종학력</t>
  </si>
  <si>
    <r>
      <t xml:space="preserve">고졸 이상(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대졸 이상( ), 대학원졸 이상( )</t>
    </r>
  </si>
  <si>
    <t>요구역량</t>
  </si>
  <si>
    <t>전공</t>
  </si>
  <si>
    <t>직무 유관 전공자 우대</t>
  </si>
  <si>
    <t>지식/기술</t>
  </si>
  <si>
    <t>직무 유관 지식 기술 보유자</t>
  </si>
  <si>
    <t>OA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</si>
  <si>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 xml:space="preserve">), Word( ), Excel( ), Power Point( ), </t>
    </r>
  </si>
  <si>
    <t>한글( ), 기타( )</t>
  </si>
  <si>
    <t>외국어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</si>
  <si>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영어( ), 중국어( ), 일어( ), 기타( )</t>
    </r>
  </si>
  <si>
    <t>기타사항</t>
  </si>
  <si>
    <t>■ 일경험 프로그램</t>
  </si>
  <si>
    <t>기 간</t>
  </si>
  <si>
    <t>기간</t>
  </si>
  <si>
    <t>직 무</t>
  </si>
  <si>
    <t>직무</t>
  </si>
  <si>
    <t>근무부서</t>
  </si>
  <si>
    <t xml:space="preserve">일경험 </t>
  </si>
  <si>
    <t>조 건</t>
  </si>
  <si>
    <t>- 근무 요일 및 시간 (월~금)</t>
  </si>
  <si>
    <t>요일</t>
  </si>
  <si>
    <t>일</t>
  </si>
  <si>
    <t>월</t>
  </si>
  <si>
    <t>화</t>
  </si>
  <si>
    <t>수</t>
  </si>
  <si>
    <t>목</t>
  </si>
  <si>
    <t>금</t>
  </si>
  <si>
    <t>토</t>
  </si>
  <si>
    <t>소계</t>
  </si>
  <si>
    <t>근무여부</t>
  </si>
  <si>
    <t>X</t>
  </si>
  <si>
    <t>O</t>
  </si>
  <si>
    <t>5일</t>
  </si>
  <si>
    <t>근무시간</t>
  </si>
  <si>
    <t>25시간</t>
  </si>
  <si>
    <t>- 근무 시간 : 13:00 ~ 18:00(월, 화, 수, 목, 금)</t>
  </si>
  <si>
    <t>- 수당 : 주35만원, 월 140만원(단, 출석률에 따라 변동가능)</t>
  </si>
  <si>
    <t>주요</t>
  </si>
  <si>
    <t>업무</t>
  </si>
  <si>
    <t>주요업무</t>
  </si>
  <si>
    <t>주차별</t>
  </si>
  <si>
    <t>1주차</t>
  </si>
  <si>
    <r>
      <t>주차별업무</t>
    </r>
    <r>
      <rPr>
        <i/>
        <sz val="10"/>
        <color rgb="FFFF0000"/>
        <rFont val="Arial"/>
        <family val="2"/>
        <scheme val="minor"/>
      </rPr>
      <t>1</t>
    </r>
    <r>
      <rPr>
        <i/>
        <sz val="10"/>
        <color rgb="FFFF0000"/>
        <rFont val="함초롬바탕"/>
        <family val="1"/>
        <charset val="129"/>
      </rPr>
      <t>주차</t>
    </r>
  </si>
  <si>
    <t>2주차</t>
  </si>
  <si>
    <r>
      <t>주차별업무</t>
    </r>
    <r>
      <rPr>
        <i/>
        <sz val="10"/>
        <color rgb="FFFF0000"/>
        <rFont val="Arial"/>
        <family val="2"/>
        <scheme val="minor"/>
      </rPr>
      <t>2</t>
    </r>
    <r>
      <rPr>
        <i/>
        <sz val="10"/>
        <color rgb="FFFF0000"/>
        <rFont val="함초롬바탕"/>
        <family val="1"/>
        <charset val="129"/>
      </rPr>
      <t>주차</t>
    </r>
  </si>
  <si>
    <t>3주차</t>
  </si>
  <si>
    <r>
      <t>주차별업무</t>
    </r>
    <r>
      <rPr>
        <i/>
        <sz val="10"/>
        <color rgb="FFFF0000"/>
        <rFont val="Arial"/>
        <family val="2"/>
        <scheme val="minor"/>
      </rPr>
      <t>3</t>
    </r>
    <r>
      <rPr>
        <i/>
        <sz val="10"/>
        <color rgb="FFFF0000"/>
        <rFont val="함초롬바탕"/>
        <family val="1"/>
        <charset val="129"/>
      </rPr>
      <t>주차</t>
    </r>
  </si>
  <si>
    <t>4주차</t>
  </si>
  <si>
    <r>
      <t>주차별업무</t>
    </r>
    <r>
      <rPr>
        <i/>
        <sz val="10"/>
        <color rgb="FFFF0000"/>
        <rFont val="Arial"/>
        <family val="2"/>
        <scheme val="minor"/>
      </rPr>
      <t>4</t>
    </r>
    <r>
      <rPr>
        <i/>
        <sz val="10"/>
        <color rgb="FFFF0000"/>
        <rFont val="함초롬바탕"/>
        <family val="1"/>
        <charset val="129"/>
      </rPr>
      <t>주차</t>
    </r>
  </si>
  <si>
    <t>5주차</t>
  </si>
  <si>
    <r>
      <t>주차별업무</t>
    </r>
    <r>
      <rPr>
        <i/>
        <sz val="10"/>
        <color rgb="FFFF0000"/>
        <rFont val="Arial"/>
        <family val="2"/>
        <scheme val="minor"/>
      </rPr>
      <t>5</t>
    </r>
    <r>
      <rPr>
        <i/>
        <sz val="10"/>
        <color rgb="FFFF0000"/>
        <rFont val="함초롬바탕"/>
        <family val="1"/>
        <charset val="129"/>
      </rPr>
      <t>주차</t>
    </r>
  </si>
  <si>
    <t>6주차</t>
  </si>
  <si>
    <r>
      <t>주차별업무</t>
    </r>
    <r>
      <rPr>
        <i/>
        <sz val="10"/>
        <color rgb="FFFF0000"/>
        <rFont val="Arial"/>
        <family val="2"/>
        <scheme val="minor"/>
      </rPr>
      <t>6</t>
    </r>
    <r>
      <rPr>
        <i/>
        <sz val="10"/>
        <color rgb="FFFF0000"/>
        <rFont val="함초롬바탕"/>
        <family val="1"/>
        <charset val="129"/>
      </rPr>
      <t>주차</t>
    </r>
  </si>
  <si>
    <t>7주차</t>
  </si>
  <si>
    <r>
      <t>주차별업무</t>
    </r>
    <r>
      <rPr>
        <i/>
        <sz val="10"/>
        <color rgb="FFFF0000"/>
        <rFont val="Arial"/>
        <family val="2"/>
        <scheme val="minor"/>
      </rPr>
      <t>7</t>
    </r>
    <r>
      <rPr>
        <i/>
        <sz val="10"/>
        <color rgb="FFFF0000"/>
        <rFont val="함초롬바탕"/>
        <family val="1"/>
        <charset val="129"/>
      </rPr>
      <t>주차</t>
    </r>
  </si>
  <si>
    <t>8주차</t>
  </si>
  <si>
    <r>
      <t>주차별업무</t>
    </r>
    <r>
      <rPr>
        <i/>
        <sz val="10"/>
        <color rgb="FFFF0000"/>
        <rFont val="Arial"/>
        <family val="2"/>
        <scheme val="minor"/>
      </rPr>
      <t>8</t>
    </r>
    <r>
      <rPr>
        <i/>
        <sz val="10"/>
        <color rgb="FFFF0000"/>
        <rFont val="함초롬바탕"/>
        <family val="1"/>
        <charset val="129"/>
      </rPr>
      <t>주차</t>
    </r>
  </si>
  <si>
    <t>9주차</t>
  </si>
  <si>
    <t>-</t>
  </si>
  <si>
    <t>10주차</t>
  </si>
  <si>
    <t>11주차</t>
  </si>
  <si>
    <t>12주차</t>
  </si>
  <si>
    <t>13주차</t>
  </si>
  <si>
    <t>14주차</t>
  </si>
  <si>
    <t>15주차</t>
  </si>
  <si>
    <t>기업멘토</t>
  </si>
  <si>
    <t>기업멘토부서명</t>
  </si>
  <si>
    <t>기업멘토성명</t>
  </si>
  <si>
    <t>기업멘토직위</t>
  </si>
  <si>
    <t>성명</t>
    <phoneticPr fontId="16" type="noConversion"/>
  </si>
  <si>
    <t>기업멘토성명</t>
    <phoneticPr fontId="16" type="noConversion"/>
  </si>
  <si>
    <t>업무</t>
    <phoneticPr fontId="16" type="noConversion"/>
  </si>
  <si>
    <r>
      <rPr>
        <b/>
        <sz val="11"/>
        <color theme="1"/>
        <rFont val="맑은 고딕"/>
        <family val="3"/>
        <charset val="129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부서명</t>
    </r>
    <phoneticPr fontId="16" type="noConversion"/>
  </si>
  <si>
    <r>
      <rPr>
        <b/>
        <sz val="11"/>
        <color theme="1"/>
        <rFont val="맑은 고딕"/>
        <family val="3"/>
        <charset val="129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부서명</t>
    </r>
    <phoneticPr fontId="16" type="noConversion"/>
  </si>
  <si>
    <r>
      <rPr>
        <b/>
        <sz val="11"/>
        <color theme="1"/>
        <rFont val="맑은 고딕"/>
        <family val="3"/>
        <charset val="129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담당자</t>
    </r>
    <phoneticPr fontId="16" type="noConversion"/>
  </si>
  <si>
    <t>참여자자격요건</t>
    <phoneticPr fontId="16" type="noConversion"/>
  </si>
  <si>
    <t>사업자등록번호</t>
    <phoneticPr fontId="16" type="noConversion"/>
  </si>
  <si>
    <t>담당자는 참여기업을 붙여서 필드명을 넣는다.</t>
    <phoneticPr fontId="16" type="noConversion"/>
  </si>
  <si>
    <t>멘토는 멘토를 붙여서 필드명을 넣는다.</t>
    <phoneticPr fontId="16" type="noConversion"/>
  </si>
  <si>
    <r>
      <t>#</t>
    </r>
    <r>
      <rPr>
        <sz val="10"/>
        <color rgb="FF000000"/>
        <rFont val="Arial Unicode MS"/>
        <family val="2"/>
      </rPr>
      <t>유일하지 않고 중복되는 필드명들이 있다면 구분할 수 있는 키워드를 넣어서 유일한 필드로 만든다.</t>
    </r>
    <phoneticPr fontId="16" type="noConversion"/>
  </si>
  <si>
    <t>작성 팁</t>
    <phoneticPr fontId="16" type="noConversion"/>
  </si>
  <si>
    <t xml:space="preserve">글 및 폰트 와 크기 </t>
    <phoneticPr fontId="16" type="noConversion"/>
  </si>
  <si>
    <t>글 추가 시 이 위에 행 삽입</t>
    <phoneticPr fontId="16" type="noConversion"/>
  </si>
  <si>
    <t>지우지 마세요.</t>
    <phoneticPr fontId="16" type="noConversion"/>
  </si>
  <si>
    <t>40. 개인정보 활용에 관한 동의서</t>
    <phoneticPr fontId="16" type="noConversion"/>
  </si>
  <si>
    <t>46. 참여 청년용 확인서</t>
    <phoneticPr fontId="16" type="noConversion"/>
  </si>
  <si>
    <t>118. 인턴형 프로그램 표준계약서</t>
    <phoneticPr fontId="16" type="noConversion"/>
  </si>
  <si>
    <r>
      <rPr>
        <sz val="14"/>
        <color rgb="FF000000"/>
        <rFont val="Arial"/>
        <family val="3"/>
        <charset val="129"/>
        <scheme val="major"/>
      </rPr>
      <t>기본양식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</si>
  <si>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참여기업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정보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</si>
  <si>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운영계획서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</si>
  <si>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멘토일지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</si>
  <si>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종합보고서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</si>
  <si>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중간점검일지</t>
    </r>
    <phoneticPr fontId="16" type="noConversion"/>
  </si>
  <si>
    <r>
      <t>125. (</t>
    </r>
    <r>
      <rPr>
        <sz val="14"/>
        <color rgb="FF000000"/>
        <rFont val="Arial"/>
        <family val="2"/>
        <charset val="129"/>
        <scheme val="major"/>
      </rPr>
      <t>공통직무교육기관</t>
    </r>
    <r>
      <rPr>
        <sz val="14"/>
        <color rgb="FF000000"/>
        <rFont val="Arial"/>
        <family val="2"/>
        <scheme val="major"/>
      </rPr>
      <t xml:space="preserve">) </t>
    </r>
    <r>
      <rPr>
        <sz val="14"/>
        <color rgb="FF000000"/>
        <rFont val="Arial"/>
        <family val="2"/>
        <charset val="129"/>
        <scheme val="major"/>
      </rPr>
      <t>사전직무교육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2"/>
        <charset val="129"/>
        <scheme val="major"/>
      </rPr>
      <t>실시보고</t>
    </r>
    <phoneticPr fontId="16" type="noConversion"/>
  </si>
  <si>
    <r>
      <t xml:space="preserve">34. </t>
    </r>
    <r>
      <rPr>
        <sz val="14"/>
        <color rgb="FF000000"/>
        <rFont val="Arial"/>
        <family val="3"/>
        <charset val="129"/>
        <scheme val="major"/>
      </rPr>
      <t>인턴형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실시보고</t>
    </r>
    <phoneticPr fontId="16" type="noConversion"/>
  </si>
  <si>
    <r>
      <t xml:space="preserve">33. </t>
    </r>
    <r>
      <rPr>
        <sz val="14"/>
        <color rgb="FF000000"/>
        <rFont val="Arial"/>
        <family val="3"/>
        <charset val="129"/>
        <scheme val="major"/>
      </rPr>
      <t>인턴형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참여신청서</t>
    </r>
    <phoneticPr fontId="16" type="noConversion"/>
  </si>
  <si>
    <r>
      <t xml:space="preserve">13. </t>
    </r>
    <r>
      <rPr>
        <sz val="14"/>
        <color rgb="FF000000"/>
        <rFont val="Arial"/>
        <family val="3"/>
        <charset val="129"/>
        <scheme val="major"/>
      </rPr>
      <t>참여기업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지원금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지급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신청서</t>
    </r>
    <phoneticPr fontId="16" type="noConversion"/>
  </si>
  <si>
    <t>폰트</t>
    <phoneticPr fontId="16" type="noConversion"/>
  </si>
  <si>
    <t>용도</t>
    <phoneticPr fontId="16" type="noConversion"/>
  </si>
  <si>
    <t>크기</t>
    <phoneticPr fontId="16" type="noConversion"/>
  </si>
  <si>
    <t>타이틀</t>
    <phoneticPr fontId="16" type="noConversion"/>
  </si>
  <si>
    <t>필드</t>
    <phoneticPr fontId="16" type="noConversion"/>
  </si>
  <si>
    <t>입력</t>
    <phoneticPr fontId="16" type="noConversion"/>
  </si>
  <si>
    <t>일경험(1~4주)</t>
  </si>
  <si>
    <t>일경험(5~8주)</t>
  </si>
  <si>
    <r>
      <t xml:space="preserve">(              </t>
    </r>
    <r>
      <rPr>
        <sz val="9"/>
        <rFont val="Arial"/>
        <family val="2"/>
        <scheme val="minor"/>
      </rPr>
      <t xml:space="preserve"> </t>
    </r>
    <r>
      <rPr>
        <sz val="9"/>
        <rFont val="KoPubWorld돋움체 Light"/>
        <family val="3"/>
        <charset val="129"/>
      </rPr>
      <t>) 은행</t>
    </r>
    <phoneticPr fontId="16" type="noConversion"/>
  </si>
  <si>
    <r>
      <t xml:space="preserve">(예금주 :    </t>
    </r>
    <r>
      <rPr>
        <sz val="9"/>
        <rFont val="Arial"/>
        <family val="2"/>
        <scheme val="minor"/>
      </rPr>
      <t xml:space="preserve"> </t>
    </r>
    <r>
      <rPr>
        <sz val="9"/>
        <rFont val="KoPubWorld돋움체 Light"/>
        <family val="3"/>
        <charset val="129"/>
      </rPr>
      <t>)</t>
    </r>
    <phoneticPr fontId="16" type="noConversion"/>
  </si>
  <si>
    <t>종업원 수</t>
    <phoneticPr fontId="16" type="noConversion"/>
  </si>
  <si>
    <r>
      <t>2</t>
    </r>
    <r>
      <rPr>
        <sz val="10"/>
        <color theme="1"/>
        <rFont val="Arial Unicode MS"/>
        <family val="2"/>
        <charset val="129"/>
      </rPr>
      <t>명</t>
    </r>
    <phoneticPr fontId="16" type="noConversion"/>
  </si>
  <si>
    <t>홈페이지</t>
    <phoneticPr fontId="16" type="noConversion"/>
  </si>
  <si>
    <r>
      <rPr>
        <b/>
        <sz val="11"/>
        <color theme="1"/>
        <rFont val="굴림"/>
        <family val="2"/>
        <charset val="129"/>
      </rPr>
      <t>사업장주소</t>
    </r>
    <r>
      <rPr>
        <b/>
        <sz val="11"/>
        <color theme="1"/>
        <rFont val="Arial"/>
        <family val="2"/>
      </rPr>
      <t>(</t>
    </r>
    <r>
      <rPr>
        <b/>
        <sz val="11"/>
        <color theme="1"/>
        <rFont val="굴림"/>
        <family val="2"/>
        <charset val="129"/>
      </rPr>
      <t>본사</t>
    </r>
    <r>
      <rPr>
        <b/>
        <sz val="11"/>
        <color theme="1"/>
        <rFont val="Arial"/>
        <family val="2"/>
      </rPr>
      <t>)</t>
    </r>
    <phoneticPr fontId="16" type="noConversion"/>
  </si>
  <si>
    <t>사업장주소(일경험)</t>
    <phoneticPr fontId="16" type="noConversion"/>
  </si>
  <si>
    <t>사업자</t>
    <phoneticPr fontId="16" type="noConversion"/>
  </si>
  <si>
    <t>사전직무</t>
    <phoneticPr fontId="16" type="noConversion"/>
  </si>
  <si>
    <t>프로그램 명</t>
    <phoneticPr fontId="16" type="noConversion"/>
  </si>
  <si>
    <t>일경험</t>
    <phoneticPr fontId="16" type="noConversion"/>
  </si>
  <si>
    <t>총 기간</t>
    <phoneticPr fontId="16" type="noConversion"/>
  </si>
  <si>
    <t xml:space="preserve">고용보험 사업장 </t>
  </si>
  <si>
    <t>1차(1~4주)</t>
    <phoneticPr fontId="16" type="noConversion"/>
  </si>
  <si>
    <t xml:space="preserve"> </t>
    <phoneticPr fontId="16" type="noConversion"/>
  </si>
  <si>
    <t>(법인번호)</t>
  </si>
  <si>
    <t>관리번호</t>
  </si>
  <si>
    <t>교육목적</t>
    <phoneticPr fontId="16" type="noConversion"/>
  </si>
  <si>
    <t>2차(4~8주)</t>
    <phoneticPr fontId="16" type="noConversion"/>
  </si>
  <si>
    <t>체크할때는 문서내용의 진위를 확인 후 완성되었을때만 체크!!</t>
    <phoneticPr fontId="16" type="noConversion"/>
  </si>
  <si>
    <t>연 락 처</t>
  </si>
  <si>
    <t>업종</t>
    <phoneticPr fontId="16" type="noConversion"/>
  </si>
  <si>
    <t>교육장소</t>
    <phoneticPr fontId="16" type="noConversion"/>
  </si>
  <si>
    <t>직무</t>
    <phoneticPr fontId="16" type="noConversion"/>
  </si>
  <si>
    <t>회차</t>
    <phoneticPr fontId="16" type="noConversion"/>
  </si>
  <si>
    <t>시작</t>
    <phoneticPr fontId="16" type="noConversion"/>
  </si>
  <si>
    <t>종료</t>
    <phoneticPr fontId="16" type="noConversion"/>
  </si>
  <si>
    <t>소 재 지</t>
  </si>
  <si>
    <t>사업자등록번호</t>
    <phoneticPr fontId="16" type="noConversion"/>
  </si>
  <si>
    <t>인원</t>
    <phoneticPr fontId="16" type="noConversion"/>
  </si>
  <si>
    <t>근무부서</t>
    <phoneticPr fontId="16" type="noConversion"/>
  </si>
  <si>
    <t>최상위 파일 명</t>
    <phoneticPr fontId="16" type="noConversion"/>
  </si>
  <si>
    <t>상위 파일 명</t>
    <phoneticPr fontId="16" type="noConversion"/>
  </si>
  <si>
    <t>번호</t>
    <phoneticPr fontId="16" type="noConversion"/>
  </si>
  <si>
    <t>서류 명</t>
    <phoneticPr fontId="16" type="noConversion"/>
  </si>
  <si>
    <t>작성시기</t>
    <phoneticPr fontId="16" type="noConversion"/>
  </si>
  <si>
    <t>체크</t>
    <phoneticPr fontId="16" type="noConversion"/>
  </si>
  <si>
    <t>주의 사항</t>
    <phoneticPr fontId="16" type="noConversion"/>
  </si>
  <si>
    <t>주 된 업 종</t>
  </si>
  <si>
    <t xml:space="preserve">고용보험 </t>
  </si>
  <si>
    <t>피보험자 수</t>
    <phoneticPr fontId="16" type="noConversion"/>
  </si>
  <si>
    <t>주요업무</t>
    <phoneticPr fontId="16" type="noConversion"/>
  </si>
  <si>
    <t>일경험 프로그램 명</t>
    <phoneticPr fontId="16" type="noConversion"/>
  </si>
  <si>
    <t>0. 회사
/
멘토</t>
    <phoneticPr fontId="16" type="noConversion"/>
  </si>
  <si>
    <t>4대 사회보험 사업장 가입자 명부(최신)_기업명</t>
    <phoneticPr fontId="16" type="noConversion"/>
  </si>
  <si>
    <t>4대 사회보험 사업장 가입자 명부(최신)</t>
  </si>
  <si>
    <t>참여기업협약시</t>
    <phoneticPr fontId="16" type="noConversion"/>
  </si>
  <si>
    <t>피 보 험 자 수</t>
  </si>
  <si>
    <t>담당자</t>
    <phoneticPr fontId="16" type="noConversion"/>
  </si>
  <si>
    <t>담당부서</t>
    <phoneticPr fontId="16" type="noConversion"/>
  </si>
  <si>
    <t>사업장 등록증_기업명</t>
    <phoneticPr fontId="16" type="noConversion"/>
  </si>
  <si>
    <t>사업장 등록증</t>
  </si>
  <si>
    <t xml:space="preserve">[ ✔] 󰊱 중소기업 </t>
  </si>
  <si>
    <t>담당자 명</t>
    <phoneticPr fontId="16" type="noConversion"/>
  </si>
  <si>
    <t>벤처기업확인서_기업명</t>
    <phoneticPr fontId="16" type="noConversion"/>
  </si>
  <si>
    <t>벤처기업인증</t>
  </si>
  <si>
    <t>□신기술·신성장유망기업□강소기업·청년친화강소기업□우수벤처기업</t>
  </si>
  <si>
    <t>담당자 연락처</t>
    <phoneticPr fontId="16" type="noConversion"/>
  </si>
  <si>
    <t>직인 이미지(기업)</t>
    <phoneticPr fontId="16" type="noConversion"/>
  </si>
  <si>
    <t>위 필독사항 3번 참조</t>
    <phoneticPr fontId="16" type="noConversion"/>
  </si>
  <si>
    <t>□우수 중소기업(경영혁신형․기술혁신형 중소기업)</t>
  </si>
  <si>
    <t>이메일</t>
    <phoneticPr fontId="16" type="noConversion"/>
  </si>
  <si>
    <t>[서식12, 42, 46,121] 일경험_참여기업 서류 모음_기업명(통합).hwp</t>
    <phoneticPr fontId="16" type="noConversion"/>
  </si>
  <si>
    <t>[서식12] 일경험 프로그램 참여기업 신청서_기업명</t>
    <phoneticPr fontId="16" type="noConversion"/>
  </si>
  <si>
    <t>□사회적기업 ■기타 중소기업</t>
  </si>
  <si>
    <t>[서식46] 참여자격 확인서_기업명</t>
    <phoneticPr fontId="16" type="noConversion"/>
  </si>
  <si>
    <t xml:space="preserve">[ ] 󰊲 중견기업 </t>
  </si>
  <si>
    <t>[서식121] 참여기업 협약서_기업명</t>
    <phoneticPr fontId="16" type="noConversion"/>
  </si>
  <si>
    <t xml:space="preserve">[ ] 󰊳 대기업 </t>
  </si>
  <si>
    <t>[서식42] 참여기업 참여 의향서_기업명</t>
    <phoneticPr fontId="16" type="noConversion"/>
  </si>
  <si>
    <t>[ ] 󰊴 기타(비영리 법인 등)</t>
  </si>
  <si>
    <t>참여기업 통장 사본</t>
    <phoneticPr fontId="16" type="noConversion"/>
  </si>
  <si>
    <t>운영 당일</t>
    <phoneticPr fontId="16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</si>
  <si>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</si>
  <si>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</si>
  <si>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16" type="noConversion"/>
  </si>
  <si>
    <t>주요사업</t>
  </si>
  <si>
    <t>멘토 통장 사본</t>
    <phoneticPr fontId="16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</si>
  <si>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</si>
  <si>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</si>
  <si>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</si>
  <si>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</si>
  <si>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16" type="noConversion"/>
  </si>
  <si>
    <t xml:space="preserve">프로그램 내용 </t>
    <phoneticPr fontId="16" type="noConversion"/>
  </si>
  <si>
    <t xml:space="preserve">참여 이력 </t>
  </si>
  <si>
    <t>멘토 재직증명서</t>
    <phoneticPr fontId="16" type="noConversion"/>
  </si>
  <si>
    <t>불가능한 멘토 : 대표, 임원
가능한 멘토 : 대표, 임원 외 (신입도 가능)
※[배포] 청년일경험 인턴형 멘토수당 지급기준(안)_.hwp 확인</t>
    <phoneticPr fontId="16" type="noConversion"/>
  </si>
  <si>
    <t>멘토 서명</t>
    <phoneticPr fontId="16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</si>
  <si>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</si>
  <si>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</si>
  <si>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</si>
  <si>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</si>
  <si>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</si>
  <si>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16" type="noConversion"/>
  </si>
  <si>
    <t>프로그램 운영
매주 작성(4주마다 제출)</t>
    <phoneticPr fontId="16" type="noConversion"/>
  </si>
  <si>
    <t>01. 프로그램
등록</t>
    <phoneticPr fontId="16" type="noConversion"/>
  </si>
  <si>
    <t>[서식102] 사전직무교육 운영계획서_기업명.hwp</t>
    <phoneticPr fontId="16" type="noConversion"/>
  </si>
  <si>
    <t>프로그램 등록시</t>
    <phoneticPr fontId="16" type="noConversion"/>
  </si>
  <si>
    <t>[서식108] 일경험 운영 계획서_기업명.hwp</t>
    <phoneticPr fontId="16" type="noConversion"/>
  </si>
  <si>
    <t>02. 참여자
서류
(하위 폴더 명
ex) 01. 이름)</t>
    <phoneticPr fontId="16" type="noConversion"/>
  </si>
  <si>
    <t>[배포] [서식46,40,33] 청년서류 모음_(꼭 확인 파란글씨검은색변경).hwp</t>
    <phoneticPr fontId="16" type="noConversion"/>
  </si>
  <si>
    <t>참여청년 모집시</t>
    <phoneticPr fontId="16" type="noConversion"/>
  </si>
  <si>
    <t>[서식33] 일경험 참여신청서</t>
    <phoneticPr fontId="16" type="noConversion"/>
  </si>
  <si>
    <t>[서식40] 개인정보 활용에 관한 동의서</t>
    <phoneticPr fontId="16" type="noConversion"/>
  </si>
  <si>
    <t>[서식46] 참여 청년 자격 확인서</t>
    <phoneticPr fontId="16" type="noConversion"/>
  </si>
  <si>
    <t>신청서_이름.xlsx</t>
    <phoneticPr fontId="16" type="noConversion"/>
  </si>
  <si>
    <t>신분증 사본</t>
    <phoneticPr fontId="16" type="noConversion"/>
  </si>
  <si>
    <t>통장 사본</t>
    <phoneticPr fontId="16" type="noConversion"/>
  </si>
  <si>
    <t>사업자 사실증명서</t>
    <phoneticPr fontId="16" type="noConversion"/>
  </si>
  <si>
    <t>(휴업),(폐업)시 각각 휴업사실증명, 폐업사실증명 필요
(링크는 신청서_이름.xlsx 양식에 있음)</t>
    <phoneticPr fontId="16" type="noConversion"/>
  </si>
  <si>
    <t>03. 사전직무
교육</t>
    <phoneticPr fontId="16" type="noConversion"/>
  </si>
  <si>
    <t>[서식125] 사전직무교육 실시보고_기업명.hwp</t>
    <phoneticPr fontId="16" type="noConversion"/>
  </si>
  <si>
    <t>개시 당일</t>
    <phoneticPr fontId="16" type="noConversion"/>
  </si>
  <si>
    <t>실시 후 5일 이내 보고</t>
    <phoneticPr fontId="16" type="noConversion"/>
  </si>
  <si>
    <t>[서식104] 사전직무교육 공가관리대장_기업명.hwp</t>
    <phoneticPr fontId="16" type="noConversion"/>
  </si>
  <si>
    <t>직무교육 중</t>
    <phoneticPr fontId="16" type="noConversion"/>
  </si>
  <si>
    <t>사전직무교육 결석 사유가 있을 경우 대장관리 필요.</t>
    <phoneticPr fontId="16" type="noConversion"/>
  </si>
  <si>
    <t>[서식103] 사전직무교육 출석부_기업명.hwp</t>
    <phoneticPr fontId="16" type="noConversion"/>
  </si>
  <si>
    <t>[서식16] 사전직무교육만족도조사_기업명.hwp</t>
    <phoneticPr fontId="16" type="noConversion"/>
  </si>
  <si>
    <t>종료당일</t>
    <phoneticPr fontId="16" type="noConversion"/>
  </si>
  <si>
    <t>사전직무교육비-청년교육수당.xlsx</t>
    <phoneticPr fontId="16" type="noConversion"/>
  </si>
  <si>
    <t>종료 후 10일 이내</t>
    <phoneticPr fontId="16" type="noConversion"/>
  </si>
  <si>
    <t>[서식129] 사전직무교육 수료 보고서_기업명.hwp</t>
    <phoneticPr fontId="16" type="noConversion"/>
  </si>
  <si>
    <t>[서식15] 결과보고서 대체가능, 실적보고서라고도 함.</t>
    <phoneticPr fontId="16" type="noConversion"/>
  </si>
  <si>
    <t>04. 프로그램 
운영</t>
    <phoneticPr fontId="16" type="noConversion"/>
  </si>
  <si>
    <t>[서식118] 인턴형 일경험 프로그램 표준 계약서_기업명.hwp</t>
    <phoneticPr fontId="16" type="noConversion"/>
  </si>
  <si>
    <t>운영시작 당일</t>
    <phoneticPr fontId="16" type="noConversion"/>
  </si>
  <si>
    <t>[서식34] 인턴형 일경험 실시보고_기업명(3일이내).hwp</t>
    <phoneticPr fontId="16" type="noConversion"/>
  </si>
  <si>
    <t>3일 이내</t>
    <phoneticPr fontId="16" type="noConversion"/>
  </si>
  <si>
    <t>[서식35] ( )월 인턴형 일경험 결과보고(지원금 신청 포함).hwp</t>
    <phoneticPr fontId="16" type="noConversion"/>
  </si>
  <si>
    <t>4주마다</t>
    <phoneticPr fontId="16" type="noConversion"/>
  </si>
  <si>
    <t>※서명란은 꼭 직인 이미지 삽입!(위 필독사항 3번 참조)</t>
    <phoneticPr fontId="16" type="noConversion"/>
  </si>
  <si>
    <t>[서식17] 청년 일경험 프로그램 출석부 1차(4주차)_기업명.hwp</t>
    <phoneticPr fontId="16" type="noConversion"/>
  </si>
  <si>
    <t>[서식17] 청년 일경험 프로그램 출석부 2차(8주차)_기업명.hwp</t>
    <phoneticPr fontId="16" type="noConversion"/>
  </si>
  <si>
    <t>[서식106] 참여기업 중간점검 일지.hwp</t>
    <phoneticPr fontId="16" type="noConversion"/>
  </si>
  <si>
    <t>[서식13] 참여기업 지원금 지급 신청서.hwp</t>
    <phoneticPr fontId="16" type="noConversion"/>
  </si>
  <si>
    <t>[서식123] 일경험 중도포기 신청서.hwp</t>
    <phoneticPr fontId="16" type="noConversion"/>
  </si>
  <si>
    <t>중도포기시</t>
    <phoneticPr fontId="16" type="noConversion"/>
  </si>
  <si>
    <t>[서식109] 청년 일경험 인턴형 종합 보고서_기업명.hwp</t>
    <phoneticPr fontId="16" type="noConversion"/>
  </si>
  <si>
    <t>05. 프로그램
종료</t>
    <phoneticPr fontId="16" type="noConversion"/>
  </si>
  <si>
    <t>인턴형 일경험 프로그램 만족도 조사(미래내일 홈페이지)</t>
    <phoneticPr fontId="16" type="noConversion"/>
  </si>
  <si>
    <t>프로그램 종료 시</t>
    <phoneticPr fontId="16" type="noConversion"/>
  </si>
  <si>
    <t>참여청년 수료증</t>
    <phoneticPr fontId="16" type="noConversion"/>
  </si>
  <si>
    <t>월</t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</si>
  <si>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</si>
  <si>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</si>
  <si>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</si>
  <si>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t>이순신</t>
    <phoneticPr fontId="16" type="noConversion"/>
  </si>
  <si>
    <t>세종대왕</t>
    <phoneticPr fontId="16" type="noConversion"/>
  </si>
  <si>
    <r>
      <rPr>
        <b/>
        <sz val="11"/>
        <color theme="1"/>
        <rFont val="Arial"/>
        <family val="2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2"/>
        <charset val="129"/>
        <scheme val="minor"/>
      </rPr>
      <t>팩스번호</t>
    </r>
    <phoneticPr fontId="16" type="noConversion"/>
  </si>
  <si>
    <t>참여일(1~4주)</t>
    <phoneticPr fontId="16" type="noConversion"/>
  </si>
  <si>
    <t>참여일(5~8주)</t>
    <phoneticPr fontId="16" type="noConversion"/>
  </si>
  <si>
    <t>2024. 11. 18 ~ 2025. 01. 10</t>
    <phoneticPr fontId="16" type="noConversion"/>
  </si>
  <si>
    <r>
      <rPr>
        <b/>
        <sz val="11"/>
        <color theme="1"/>
        <rFont val="맑은 고딕"/>
        <family val="3"/>
        <charset val="129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명</t>
    </r>
    <r>
      <rPr>
        <b/>
        <sz val="11"/>
        <color theme="1"/>
        <rFont val="Arial"/>
        <family val="2"/>
        <scheme val="minor"/>
      </rPr>
      <t>1</t>
    </r>
    <phoneticPr fontId="16" type="noConversion"/>
  </si>
  <si>
    <r>
      <rPr>
        <sz val="10"/>
        <color rgb="FFFF0000"/>
        <rFont val="Arial"/>
        <family val="2"/>
        <scheme val="minor"/>
      </rPr>
      <t xml:space="preserve">* </t>
    </r>
    <r>
      <rPr>
        <sz val="10"/>
        <color rgb="FFFF0000"/>
        <rFont val="맑은 고딕"/>
        <family val="3"/>
        <charset val="129"/>
      </rPr>
      <t>담당자는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맑은 고딕"/>
        <family val="3"/>
        <charset val="129"/>
      </rPr>
      <t>멘토를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맑은 고딕"/>
        <family val="3"/>
        <charset val="129"/>
      </rPr>
      <t>지칭</t>
    </r>
    <phoneticPr fontId="16" type="noConversion"/>
  </si>
  <si>
    <t>참여기업</t>
    <phoneticPr fontId="16" type="noConversion"/>
  </si>
  <si>
    <t>맑은고딕</t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</si>
  <si>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</si>
  <si>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대표자명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</si>
  <si>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 xml:space="preserve">사업자등록번호
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법인등록번호</t>
    </r>
    <r>
      <rPr>
        <b/>
        <sz val="13"/>
        <color theme="1"/>
        <rFont val="Arial"/>
        <family val="2"/>
        <scheme val="minor"/>
      </rPr>
      <t>)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</si>
  <si>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고용보험사업장관리번호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</si>
  <si>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소재지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</si>
  <si>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담당자성명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</si>
  <si>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담당자전화번호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</si>
  <si>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담당자이메일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</si>
  <si>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</si>
  <si>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참여기업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지원금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지급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신청서</t>
    </r>
    <r>
      <rPr>
        <b/>
        <sz val="20"/>
        <color theme="1"/>
        <rFont val="Arial"/>
        <family val="2"/>
        <scheme val="major"/>
      </rPr>
      <t>_</t>
    </r>
    <r>
      <rPr>
        <b/>
        <sz val="20"/>
        <color theme="1"/>
        <rFont val="Arial"/>
        <family val="3"/>
        <charset val="129"/>
        <scheme val="major"/>
      </rPr>
      <t>멘토</t>
    </r>
    <r>
      <rPr>
        <b/>
        <sz val="20"/>
        <color theme="1"/>
        <rFont val="Arial"/>
        <family val="2"/>
        <scheme val="major"/>
      </rPr>
      <t>1</t>
    </r>
    <phoneticPr fontId="16" type="noConversion"/>
  </si>
  <si>
    <r>
      <rPr>
        <b/>
        <sz val="20"/>
        <color rgb="FF000000"/>
        <rFont val="Arial"/>
        <family val="3"/>
        <charset val="129"/>
        <scheme val="major"/>
      </rPr>
      <t>필요서식</t>
    </r>
    <phoneticPr fontId="16" type="noConversion"/>
  </si>
  <si>
    <r>
      <rPr>
        <b/>
        <sz val="20"/>
        <color rgb="FF000000"/>
        <rFont val="Arial"/>
        <family val="3"/>
        <charset val="129"/>
        <scheme val="major"/>
      </rPr>
      <t>필드</t>
    </r>
    <phoneticPr fontId="16" type="noConversion"/>
  </si>
  <si>
    <r>
      <rPr>
        <b/>
        <sz val="20"/>
        <color rgb="FF000000"/>
        <rFont val="Arial"/>
        <family val="3"/>
        <charset val="129"/>
        <scheme val="major"/>
      </rPr>
      <t>입력</t>
    </r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</si>
  <si>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참여기업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및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일경험정보</t>
    </r>
    <phoneticPr fontId="16" type="noConversion"/>
  </si>
  <si>
    <r>
      <rPr>
        <b/>
        <sz val="14"/>
        <color theme="1"/>
        <rFont val="Arial"/>
        <family val="3"/>
        <charset val="129"/>
        <scheme val="major"/>
      </rPr>
      <t>필요서식</t>
    </r>
    <phoneticPr fontId="16" type="noConversion"/>
  </si>
  <si>
    <r>
      <rPr>
        <b/>
        <sz val="14"/>
        <color theme="1"/>
        <rFont val="Arial"/>
        <family val="3"/>
        <charset val="129"/>
        <scheme val="major"/>
      </rPr>
      <t>필드</t>
    </r>
    <phoneticPr fontId="16" type="noConversion"/>
  </si>
  <si>
    <r>
      <rPr>
        <b/>
        <sz val="14"/>
        <color theme="1"/>
        <rFont val="Arial"/>
        <family val="3"/>
        <charset val="129"/>
        <scheme val="major"/>
      </rPr>
      <t>입력</t>
    </r>
    <phoneticPr fontId="16" type="noConversion"/>
  </si>
  <si>
    <r>
      <rPr>
        <u/>
        <sz val="20"/>
        <color rgb="FF000000"/>
        <rFont val="Arial"/>
        <family val="2"/>
        <charset val="129"/>
        <scheme val="major"/>
      </rPr>
      <t>참여기업</t>
    </r>
    <phoneticPr fontId="16" type="noConversion"/>
  </si>
  <si>
    <r>
      <rPr>
        <u/>
        <sz val="20"/>
        <color rgb="FF000000"/>
        <rFont val="Arial"/>
        <family val="2"/>
        <charset val="129"/>
        <scheme val="major"/>
      </rPr>
      <t>참여기업</t>
    </r>
    <r>
      <rPr>
        <u/>
        <sz val="20"/>
        <color rgb="FF000000"/>
        <rFont val="Arial"/>
        <family val="2"/>
        <scheme val="major"/>
      </rPr>
      <t xml:space="preserve"> 
</t>
    </r>
    <r>
      <rPr>
        <u/>
        <sz val="20"/>
        <color rgb="FF000000"/>
        <rFont val="Arial"/>
        <family val="2"/>
        <charset val="129"/>
        <scheme val="major"/>
      </rPr>
      <t>담당자</t>
    </r>
    <phoneticPr fontId="16" type="noConversion"/>
  </si>
  <si>
    <r>
      <t xml:space="preserve"> </t>
    </r>
    <r>
      <rPr>
        <u/>
        <sz val="20"/>
        <color rgb="FF000000"/>
        <rFont val="Arial"/>
        <family val="3"/>
        <charset val="129"/>
        <scheme val="major"/>
      </rPr>
      <t>참여기업
멘토</t>
    </r>
    <phoneticPr fontId="16" type="noConversion"/>
  </si>
  <si>
    <r>
      <rPr>
        <sz val="10"/>
        <color rgb="FF000000"/>
        <rFont val="Arial"/>
        <family val="3"/>
        <charset val="129"/>
        <scheme val="major"/>
      </rPr>
      <t>일경험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3"/>
        <charset val="129"/>
        <scheme val="major"/>
      </rPr>
      <t>직무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3"/>
        <charset val="129"/>
        <scheme val="major"/>
      </rPr>
      <t>정보</t>
    </r>
    <phoneticPr fontId="16" type="noConversion"/>
  </si>
  <si>
    <r>
      <rPr>
        <sz val="13"/>
        <color theme="1"/>
        <rFont val="Arial"/>
        <family val="3"/>
        <charset val="129"/>
        <scheme val="major"/>
      </rPr>
      <t>참여청년</t>
    </r>
    <r>
      <rPr>
        <sz val="13"/>
        <color theme="1"/>
        <rFont val="Arial"/>
        <family val="2"/>
        <scheme val="major"/>
      </rPr>
      <t xml:space="preserve"> </t>
    </r>
    <r>
      <rPr>
        <sz val="13"/>
        <color theme="1"/>
        <rFont val="Arial"/>
        <family val="3"/>
        <charset val="129"/>
        <scheme val="major"/>
      </rPr>
      <t>성명</t>
    </r>
    <r>
      <rPr>
        <sz val="13"/>
        <color theme="1"/>
        <rFont val="Arial"/>
        <family val="2"/>
        <scheme val="major"/>
      </rPr>
      <t>(</t>
    </r>
    <r>
      <rPr>
        <sz val="13"/>
        <color theme="1"/>
        <rFont val="Arial"/>
        <family val="3"/>
        <charset val="129"/>
        <scheme val="major"/>
      </rPr>
      <t>주민등록번호</t>
    </r>
    <r>
      <rPr>
        <sz val="13"/>
        <color theme="1"/>
        <rFont val="Arial"/>
        <family val="2"/>
        <scheme val="major"/>
      </rPr>
      <t>)</t>
    </r>
    <phoneticPr fontId="16" type="noConversion"/>
  </si>
  <si>
    <r>
      <rPr>
        <sz val="13"/>
        <color theme="1"/>
        <rFont val="Arial"/>
        <family val="3"/>
        <charset val="129"/>
        <scheme val="major"/>
      </rPr>
      <t>참여일</t>
    </r>
    <r>
      <rPr>
        <sz val="13"/>
        <color theme="1"/>
        <rFont val="Arial"/>
        <family val="2"/>
        <scheme val="major"/>
      </rPr>
      <t xml:space="preserve">( </t>
    </r>
    <r>
      <rPr>
        <sz val="13"/>
        <color theme="1"/>
        <rFont val="Arial"/>
        <family val="3"/>
        <charset val="129"/>
        <scheme val="major"/>
      </rPr>
      <t>년</t>
    </r>
    <r>
      <rPr>
        <sz val="13"/>
        <color theme="1"/>
        <rFont val="Arial"/>
        <family val="2"/>
        <scheme val="major"/>
      </rPr>
      <t xml:space="preserve"> </t>
    </r>
    <r>
      <rPr>
        <sz val="13"/>
        <color theme="1"/>
        <rFont val="Arial"/>
        <family val="3"/>
        <charset val="129"/>
        <scheme val="major"/>
      </rPr>
      <t>월</t>
    </r>
    <r>
      <rPr>
        <sz val="13"/>
        <color theme="1"/>
        <rFont val="Arial"/>
        <family val="2"/>
        <scheme val="major"/>
      </rPr>
      <t xml:space="preserve"> </t>
    </r>
    <r>
      <rPr>
        <sz val="13"/>
        <color theme="1"/>
        <rFont val="Arial"/>
        <family val="3"/>
        <charset val="129"/>
        <scheme val="major"/>
      </rPr>
      <t>일</t>
    </r>
    <r>
      <rPr>
        <sz val="13"/>
        <color theme="1"/>
        <rFont val="Arial"/>
        <family val="2"/>
        <scheme val="major"/>
      </rPr>
      <t>)</t>
    </r>
    <phoneticPr fontId="16" type="noConversion"/>
  </si>
  <si>
    <r>
      <rPr>
        <sz val="13"/>
        <color theme="1"/>
        <rFont val="Arial"/>
        <family val="3"/>
        <charset val="129"/>
        <scheme val="major"/>
      </rPr>
      <t>신청기간</t>
    </r>
    <r>
      <rPr>
        <sz val="13"/>
        <color theme="1"/>
        <rFont val="Arial"/>
        <family val="2"/>
        <scheme val="major"/>
      </rPr>
      <t xml:space="preserve">( </t>
    </r>
    <r>
      <rPr>
        <sz val="13"/>
        <color theme="1"/>
        <rFont val="Arial"/>
        <family val="3"/>
        <charset val="129"/>
        <scheme val="major"/>
      </rPr>
      <t>년</t>
    </r>
    <r>
      <rPr>
        <sz val="13"/>
        <color theme="1"/>
        <rFont val="Arial"/>
        <family val="2"/>
        <scheme val="major"/>
      </rPr>
      <t xml:space="preserve"> </t>
    </r>
    <r>
      <rPr>
        <sz val="13"/>
        <color theme="1"/>
        <rFont val="Arial"/>
        <family val="3"/>
        <charset val="129"/>
        <scheme val="major"/>
      </rPr>
      <t>월</t>
    </r>
    <r>
      <rPr>
        <sz val="13"/>
        <color theme="1"/>
        <rFont val="Arial"/>
        <family val="2"/>
        <scheme val="major"/>
      </rPr>
      <t xml:space="preserve"> </t>
    </r>
    <r>
      <rPr>
        <sz val="13"/>
        <color theme="1"/>
        <rFont val="Arial"/>
        <family val="3"/>
        <charset val="129"/>
        <scheme val="major"/>
      </rPr>
      <t>일</t>
    </r>
    <r>
      <rPr>
        <sz val="13"/>
        <color theme="1"/>
        <rFont val="Arial"/>
        <family val="2"/>
        <scheme val="major"/>
      </rPr>
      <t xml:space="preserve"> ~ </t>
    </r>
    <r>
      <rPr>
        <sz val="13"/>
        <color theme="1"/>
        <rFont val="Arial"/>
        <family val="3"/>
        <charset val="129"/>
        <scheme val="major"/>
      </rPr>
      <t>년</t>
    </r>
    <r>
      <rPr>
        <sz val="13"/>
        <color theme="1"/>
        <rFont val="Arial"/>
        <family val="2"/>
        <scheme val="major"/>
      </rPr>
      <t xml:space="preserve"> </t>
    </r>
    <r>
      <rPr>
        <sz val="13"/>
        <color theme="1"/>
        <rFont val="Arial"/>
        <family val="3"/>
        <charset val="129"/>
        <scheme val="major"/>
      </rPr>
      <t>월</t>
    </r>
    <r>
      <rPr>
        <sz val="13"/>
        <color theme="1"/>
        <rFont val="Arial"/>
        <family val="2"/>
        <scheme val="major"/>
      </rPr>
      <t xml:space="preserve"> </t>
    </r>
    <r>
      <rPr>
        <sz val="13"/>
        <color theme="1"/>
        <rFont val="Arial"/>
        <family val="3"/>
        <charset val="129"/>
        <scheme val="major"/>
      </rPr>
      <t>일</t>
    </r>
    <r>
      <rPr>
        <sz val="13"/>
        <color theme="1"/>
        <rFont val="Arial"/>
        <family val="2"/>
        <scheme val="major"/>
      </rPr>
      <t>)</t>
    </r>
    <phoneticPr fontId="16" type="noConversion"/>
  </si>
  <si>
    <t>참여자명단</t>
    <phoneticPr fontId="16" type="noConversion"/>
  </si>
  <si>
    <t>`</t>
    <phoneticPr fontId="16" type="noConversion"/>
  </si>
  <si>
    <r>
      <rPr>
        <sz val="13"/>
        <color theme="1"/>
        <rFont val="돋움"/>
        <family val="2"/>
        <charset val="129"/>
      </rPr>
      <t>신청금액</t>
    </r>
    <r>
      <rPr>
        <sz val="13"/>
        <color theme="1"/>
        <rFont val="Arial"/>
        <family val="2"/>
        <scheme val="major"/>
      </rPr>
      <t>(</t>
    </r>
    <r>
      <rPr>
        <sz val="13"/>
        <color theme="1"/>
        <rFont val="돋움"/>
        <family val="2"/>
        <charset val="129"/>
      </rPr>
      <t>원</t>
    </r>
    <r>
      <rPr>
        <sz val="13"/>
        <color theme="1"/>
        <rFont val="Arial"/>
        <family val="2"/>
        <scheme val="major"/>
      </rPr>
      <t>)</t>
    </r>
    <phoneticPr fontId="16" type="noConversion"/>
  </si>
  <si>
    <t>ㄹㅇㄹㅇ</t>
    <phoneticPr fontId="16" type="noConversion"/>
  </si>
  <si>
    <r>
      <rPr>
        <b/>
        <sz val="20"/>
        <color theme="1"/>
        <rFont val="맑은 고딕"/>
        <family val="3"/>
        <charset val="129"/>
      </rPr>
      <t>참여기업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맑은 고딕"/>
        <family val="3"/>
        <charset val="129"/>
      </rPr>
      <t>지원금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맑은 고딕"/>
        <family val="3"/>
        <charset val="129"/>
      </rPr>
      <t>지급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맑은 고딕"/>
        <family val="3"/>
        <charset val="129"/>
      </rPr>
      <t>신청서</t>
    </r>
    <r>
      <rPr>
        <b/>
        <sz val="20"/>
        <color theme="1"/>
        <rFont val="Arial"/>
        <family val="2"/>
        <scheme val="major"/>
      </rPr>
      <t>_</t>
    </r>
    <r>
      <rPr>
        <b/>
        <sz val="20"/>
        <color theme="1"/>
        <rFont val="맑은 고딕"/>
        <family val="3"/>
        <charset val="129"/>
      </rPr>
      <t>멘토2</t>
    </r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</si>
</sst>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  <numFmt numFmtId="179" formatCode="0_);[Red]\(0\)"/>
    <numFmt numFmtId="180" formatCode="yyyy&quot;년&quot;\ m&quot;월&quot;\ d&quot;일&quot;;@"/>
  </numFmts>
  <fonts count="186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4"/>
      <color rgb="FF000000"/>
      <name val="Arial Unicode MS"/>
      <family val="2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b/>
      <sz val="20"/>
      <color theme="1"/>
      <name val="맑은 고딕"/>
      <family val="3"/>
      <charset val="129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3"/>
      <color theme="1"/>
      <name val="Arial"/>
      <family val="3"/>
    </font>
    <font>
      <sz val="13"/>
      <color theme="1"/>
      <name val="Arial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돋움"/>
      <family val="2"/>
      <charset val="129"/>
    </font>
    <font>
      <sz val="13"/>
      <color theme="1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돋움"/>
      <family val="3"/>
      <charset val="129"/>
    </font>
    <font>
      <sz val="10"/>
      <color rgb="FF000000"/>
      <name val="Arial"/>
      <family val="2"/>
    </font>
    <font>
      <b/>
      <sz val="20"/>
      <color theme="1"/>
      <name val="Arial"/>
      <family val="2"/>
      <scheme val="major"/>
    </font>
    <font>
      <b/>
      <sz val="20"/>
      <color theme="1"/>
      <name val="Arial"/>
      <family val="3"/>
      <charset val="129"/>
      <scheme val="major"/>
    </font>
    <font>
      <sz val="10"/>
      <color rgb="FF000000"/>
      <name val="Arial"/>
      <family val="2"/>
      <charset val="129"/>
    </font>
    <font>
      <sz val="12"/>
      <color theme="1"/>
      <name val="맑은 고딕"/>
      <family val="3"/>
      <charset val="129"/>
    </font>
    <font>
      <sz val="12"/>
      <color theme="1"/>
      <name val="Arial Unicode MS"/>
      <family val="2"/>
      <charset val="129"/>
    </font>
    <font>
      <sz val="12"/>
      <color theme="1"/>
      <name val="Arial"/>
      <family val="3"/>
      <charset val="129"/>
    </font>
    <font>
      <b/>
      <sz val="18"/>
      <color rgb="FF000000"/>
      <name val="맑은 고딕"/>
      <family val="3"/>
      <charset val="129"/>
    </font>
    <font>
      <b/>
      <sz val="14"/>
      <color theme="1"/>
      <name val="G마켓 산스 Medium"/>
      <family val="3"/>
      <charset val="129"/>
    </font>
    <font>
      <b/>
      <sz val="11"/>
      <color theme="1"/>
      <name val="Arial"/>
      <family val="2"/>
      <scheme val="minor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b/>
      <sz val="11"/>
      <color rgb="FF000000"/>
      <name val="Arial"/>
      <family val="2"/>
      <scheme val="minor"/>
    </font>
    <font>
      <sz val="16"/>
      <color rgb="FF000000"/>
      <name val="KoPub돋움체 Bold"/>
      <family val="3"/>
      <charset val="129"/>
    </font>
    <font>
      <sz val="9"/>
      <name val="KoPubWorld돋움체 Light"/>
      <family val="3"/>
      <charset val="129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sz val="2"/>
      <name val="Arial"/>
      <family val="2"/>
      <scheme val="minor"/>
    </font>
    <font>
      <vertAlign val="superscript"/>
      <sz val="9"/>
      <name val="Arial"/>
      <family val="2"/>
      <scheme val="minor"/>
    </font>
    <font>
      <u/>
      <sz val="9"/>
      <name val="Arial"/>
      <family val="2"/>
      <scheme val="minor"/>
    </font>
    <font>
      <b/>
      <sz val="10"/>
      <name val="KoPubWorld돋움체 Light"/>
      <family val="3"/>
      <charset val="129"/>
    </font>
    <font>
      <b/>
      <sz val="9"/>
      <name val="KoPub돋움체 Light"/>
      <family val="3"/>
      <charset val="129"/>
    </font>
    <font>
      <sz val="8"/>
      <name val="KoPubWorld돋움체 Light"/>
      <family val="3"/>
      <charset val="129"/>
    </font>
    <font>
      <b/>
      <sz val="9"/>
      <name val="KoPubWorld돋움체 Light"/>
      <family val="3"/>
      <charset val="129"/>
    </font>
    <font>
      <sz val="14"/>
      <name val="Arial"/>
      <family val="2"/>
      <scheme val="minor"/>
    </font>
    <font>
      <sz val="13"/>
      <color theme="1"/>
      <name val="Arial Unicode MS"/>
      <family val="3"/>
      <charset val="129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8"/>
      <color rgb="FF000000"/>
      <name val="휴먼명조"/>
      <charset val="129"/>
    </font>
    <font>
      <b/>
      <sz val="12"/>
      <color rgb="FF000000"/>
      <name val="휴먼명조"/>
      <charset val="129"/>
    </font>
    <font>
      <b/>
      <sz val="10"/>
      <color rgb="FF000000"/>
      <name val="휴먼명조"/>
      <charset val="129"/>
    </font>
    <font>
      <i/>
      <sz val="10"/>
      <color rgb="FFFF0000"/>
      <name val="휴먼명조"/>
      <charset val="129"/>
    </font>
    <font>
      <i/>
      <sz val="9"/>
      <color rgb="FFFF0000"/>
      <name val="KoPubWorld돋움체 Light"/>
      <family val="3"/>
      <charset val="129"/>
    </font>
    <font>
      <sz val="10"/>
      <color rgb="FF000000"/>
      <name val="휴먼명조"/>
      <charset val="129"/>
    </font>
    <font>
      <sz val="6"/>
      <color rgb="FF000000"/>
      <name val="Arial"/>
      <family val="2"/>
      <scheme val="minor"/>
    </font>
    <font>
      <i/>
      <sz val="11"/>
      <color rgb="FFFF0000"/>
      <name val="KoPubWorld바탕체 Light"/>
      <family val="3"/>
      <charset val="129"/>
    </font>
    <font>
      <sz val="10"/>
      <color rgb="FF000000"/>
      <name val="굴림"/>
      <family val="3"/>
      <charset val="129"/>
    </font>
    <font>
      <i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i/>
      <sz val="10"/>
      <color rgb="FFFF0000"/>
      <name val="함초롬바탕"/>
      <family val="1"/>
      <charset val="129"/>
    </font>
    <font>
      <i/>
      <sz val="10"/>
      <color rgb="FFFF0000"/>
      <name val="Arial"/>
      <family val="2"/>
      <scheme val="minor"/>
    </font>
    <font>
      <b/>
      <sz val="11"/>
      <color theme="1"/>
      <name val="맑은 고딕"/>
      <family val="3"/>
      <charset val="129"/>
    </font>
    <font>
      <sz val="10"/>
      <color rgb="FF000000"/>
      <name val="G마켓 산스 Bold"/>
      <family val="3"/>
      <charset val="129"/>
    </font>
    <font>
      <b/>
      <i/>
      <sz val="10"/>
      <color rgb="FF000000"/>
      <name val="Arial Unicode MS"/>
      <family val="2"/>
    </font>
    <font>
      <b/>
      <i/>
      <sz val="10"/>
      <color rgb="FFFF0000"/>
      <name val="Arial Unicode MS"/>
      <family val="2"/>
    </font>
    <font>
      <b/>
      <u/>
      <sz val="15"/>
      <color rgb="FF000000"/>
      <name val="Arial Unicode MS"/>
      <family val="2"/>
    </font>
    <font>
      <b/>
      <u/>
      <sz val="15"/>
      <color rgb="FF000000"/>
      <name val="맑은 고딕"/>
      <family val="3"/>
      <charset val="129"/>
    </font>
    <font>
      <b/>
      <i/>
      <u/>
      <sz val="11"/>
      <color rgb="FFFF0000"/>
      <name val="돋움"/>
      <family val="3"/>
      <charset val="129"/>
    </font>
    <font>
      <sz val="14"/>
      <color rgb="FF000000"/>
      <name val="Arial"/>
      <family val="2"/>
      <scheme val="major"/>
    </font>
    <font>
      <sz val="14"/>
      <color rgb="FF000000"/>
      <name val="Arial"/>
      <family val="3"/>
      <charset val="129"/>
      <scheme val="major"/>
    </font>
    <font>
      <sz val="14"/>
      <color rgb="FF000000"/>
      <name val="Arial"/>
      <family val="2"/>
      <charset val="129"/>
      <scheme val="major"/>
    </font>
    <font>
      <sz val="12"/>
      <color theme="1"/>
      <name val="Arial"/>
      <family val="3"/>
      <charset val="129"/>
      <scheme val="minor"/>
    </font>
    <font>
      <sz val="16"/>
      <name val="KoPub돋움체 Bold"/>
      <family val="3"/>
      <charset val="129"/>
    </font>
    <font>
      <i/>
      <sz val="9"/>
      <name val="KoPubWorld돋움체 Light"/>
      <family val="3"/>
      <charset val="129"/>
    </font>
    <font>
      <i/>
      <sz val="10"/>
      <name val="함초롬바탕"/>
      <family val="1"/>
      <charset val="129"/>
    </font>
    <font>
      <i/>
      <u/>
      <sz val="9"/>
      <name val="KoPubWorld돋움체 Light"/>
      <family val="3"/>
      <charset val="129"/>
    </font>
    <font>
      <sz val="7"/>
      <name val="Arial"/>
      <family val="2"/>
      <scheme val="minor"/>
    </font>
    <font>
      <sz val="10"/>
      <color theme="1"/>
      <name val="Arial Unicode MS"/>
      <family val="2"/>
      <charset val="129"/>
    </font>
    <font>
      <b/>
      <sz val="11"/>
      <color theme="1"/>
      <name val="굴림"/>
      <family val="2"/>
      <charset val="129"/>
    </font>
    <font>
      <b/>
      <sz val="11"/>
      <color theme="1"/>
      <name val="Arial"/>
      <family val="2"/>
    </font>
    <font>
      <b/>
      <sz val="11"/>
      <color theme="1"/>
      <name val="Arial"/>
      <family val="2"/>
      <charset val="129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b/>
      <sz val="11"/>
      <color theme="1"/>
      <name val="Arial"/>
      <family val="2"/>
      <charset val="129"/>
      <scheme val="minor"/>
    </font>
    <font>
      <sz val="12"/>
      <color theme="1"/>
      <name val="맑은 고딕"/>
      <family val="2"/>
      <charset val="129"/>
    </font>
    <font>
      <b/>
      <sz val="11"/>
      <color theme="1"/>
      <name val="맑은 고딕"/>
      <family val="2"/>
      <charset val="129"/>
    </font>
    <font>
      <sz val="10"/>
      <color rgb="FFFF0000"/>
      <name val="맑은 고딕"/>
      <family val="3"/>
      <charset val="129"/>
    </font>
    <font>
      <sz val="10"/>
      <color rgb="FFFF0000"/>
      <name val="Arial"/>
      <family val="2"/>
    </font>
    <font>
      <i/>
      <sz val="7"/>
      <name val="KoPubWorld돋움체 Light"/>
      <family val="3"/>
      <charset val="129"/>
    </font>
    <font>
      <sz val="10"/>
      <color rgb="FF000000"/>
      <name val="맑은"/>
      <family val="3"/>
      <charset val="129"/>
    </font>
    <font>
      <sz val="10"/>
      <color rgb="FFFF0000"/>
      <name val="맑은"/>
      <family val="3"/>
      <charset val="129"/>
    </font>
    <font>
      <b/>
      <sz val="13"/>
      <color theme="1"/>
      <name val="Arial"/>
      <family val="2"/>
      <scheme val="minor"/>
    </font>
    <font>
      <b/>
      <sz val="13"/>
      <color theme="1"/>
      <name val="Arial"/>
      <family val="3"/>
      <charset val="129"/>
      <scheme val="minor"/>
    </font>
    <font>
      <b/>
      <sz val="20"/>
      <color rgb="FF000000"/>
      <name val="Arial"/>
      <family val="2"/>
      <scheme val="major"/>
    </font>
    <font>
      <b/>
      <sz val="20"/>
      <color rgb="FF000000"/>
      <name val="Arial"/>
      <family val="3"/>
      <charset val="129"/>
      <scheme val="major"/>
    </font>
    <font>
      <b/>
      <sz val="14"/>
      <color theme="1"/>
      <name val="Arial"/>
      <family val="3"/>
      <charset val="129"/>
      <scheme val="major"/>
    </font>
    <font>
      <u/>
      <sz val="20"/>
      <color rgb="FF000000"/>
      <name val="Arial"/>
      <family val="2"/>
      <scheme val="major"/>
    </font>
    <font>
      <u/>
      <sz val="20"/>
      <color rgb="FF000000"/>
      <name val="Arial"/>
      <family val="2"/>
      <charset val="129"/>
      <scheme val="major"/>
    </font>
    <font>
      <u/>
      <sz val="20"/>
      <color rgb="FF000000"/>
      <name val="Arial"/>
      <family val="3"/>
      <charset val="129"/>
      <scheme val="major"/>
    </font>
    <font>
      <sz val="10"/>
      <color rgb="FF000000"/>
      <name val="Arial"/>
      <family val="3"/>
      <charset val="129"/>
      <scheme val="major"/>
    </font>
    <font>
      <sz val="13"/>
      <color theme="1"/>
      <name val="Arial"/>
      <family val="2"/>
      <scheme val="major"/>
    </font>
    <font>
      <sz val="13"/>
      <color theme="1"/>
      <name val="Arial"/>
      <family val="3"/>
      <charset val="129"/>
      <scheme val="major"/>
    </font>
    <font>
      <b/>
      <sz val="13"/>
      <color theme="1"/>
      <name val="맑은 고딕"/>
      <family val="3"/>
      <charset val="129"/>
    </font>
    <font>
      <sz val="13"/>
      <color theme="1"/>
      <name val="돋움"/>
      <family val="2"/>
      <charset val="129"/>
    </font>
    <font>
      <sz val="10"/>
      <name val="함초롬바탕"/>
      <family val="1"/>
      <charset val="129"/>
    </font>
    <font>
      <sz val="7"/>
      <name val="KoPubWorld돋움체 Light"/>
      <family val="3"/>
      <charset val="129"/>
    </font>
    <font>
      <u/>
      <sz val="9"/>
      <name val="KoPubWorld돋움체 Light"/>
      <family val="3"/>
      <charset val="129"/>
    </font>
    <font>
      <b/>
      <vertAlign val="superscript"/>
      <sz val="9"/>
      <name val="Arial"/>
      <family val="2"/>
      <scheme val="minor"/>
    </font>
    <font>
      <b/>
      <u/>
      <sz val="20"/>
      <color rgb="FF000000"/>
      <name val="맑은 고딕"/>
      <family val="3"/>
      <charset val="129"/>
    </font>
    <font>
      <b/>
      <u/>
      <sz val="20"/>
      <color rgb="FF000000"/>
      <name val="Arial"/>
      <family val="2"/>
      <scheme val="major"/>
    </font>
  </fonts>
  <fills count="3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D6D6D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FF2CC"/>
      </patternFill>
    </fill>
  </fills>
  <borders count="1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0" tint="-0.14999847407452621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5D5D5D"/>
      </bottom>
      <diagonal/>
    </border>
    <border>
      <left style="thin">
        <color indexed="64"/>
      </left>
      <right/>
      <top/>
      <bottom style="thin">
        <color rgb="FF999999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23" fillId="0" borderId="0" applyNumberFormat="0" applyFill="0" applyBorder="0" applyAlignment="0" applyProtection="0"/>
    <xf numFmtId="0" fontId="94" fillId="20" borderId="0" applyNumberFormat="0" applyBorder="0" applyAlignment="0" applyProtection="0">
      <alignment vertical="center"/>
    </xf>
    <xf numFmtId="0" fontId="13" fillId="0" borderId="0"/>
  </cellStyleXfs>
  <cellXfs count="879">
    <xf numFmtId="0" fontId="0" fillId="0" borderId="0" xfId="0"/>
    <xf numFmtId="0" fontId="15" fillId="6" borderId="2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0" fillId="0" borderId="13" xfId="0" applyBorder="1"/>
    <xf numFmtId="0" fontId="1" fillId="2" borderId="15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28" fillId="2" borderId="15" xfId="0" applyFont="1" applyFill="1" applyBorder="1" applyAlignment="1">
      <alignment vertical="center"/>
    </xf>
    <xf numFmtId="0" fontId="28" fillId="2" borderId="11" xfId="0" applyFont="1" applyFill="1" applyBorder="1" applyAlignment="1">
      <alignment vertical="center"/>
    </xf>
    <xf numFmtId="0" fontId="24" fillId="2" borderId="15" xfId="0" applyFont="1" applyFill="1" applyBorder="1" applyAlignment="1">
      <alignment horizontal="center" vertical="center"/>
    </xf>
    <xf numFmtId="0" fontId="29" fillId="0" borderId="11" xfId="0" applyFont="1" applyBorder="1"/>
    <xf numFmtId="0" fontId="29" fillId="0" borderId="0" xfId="0" applyFont="1"/>
    <xf numFmtId="0" fontId="29" fillId="0" borderId="14" xfId="0" applyFont="1" applyBorder="1"/>
    <xf numFmtId="0" fontId="29" fillId="0" borderId="8" xfId="0" applyFont="1" applyBorder="1"/>
    <xf numFmtId="0" fontId="0" fillId="7" borderId="6" xfId="0" applyFill="1" applyBorder="1"/>
    <xf numFmtId="0" fontId="25" fillId="9" borderId="17" xfId="0" applyFont="1" applyFill="1" applyBorder="1"/>
    <xf numFmtId="0" fontId="0" fillId="0" borderId="25" xfId="0" applyBorder="1"/>
    <xf numFmtId="0" fontId="25" fillId="0" borderId="10" xfId="0" applyFont="1" applyBorder="1"/>
    <xf numFmtId="0" fontId="25" fillId="9" borderId="26" xfId="0" applyFont="1" applyFill="1" applyBorder="1"/>
    <xf numFmtId="0" fontId="25" fillId="9" borderId="16" xfId="0" applyFont="1" applyFill="1" applyBorder="1"/>
    <xf numFmtId="0" fontId="4" fillId="4" borderId="3" xfId="0" applyFont="1" applyFill="1" applyBorder="1" applyAlignment="1">
      <alignment vertical="center"/>
    </xf>
    <xf numFmtId="0" fontId="22" fillId="0" borderId="6" xfId="0" applyFont="1" applyBorder="1"/>
    <xf numFmtId="0" fontId="22" fillId="0" borderId="1" xfId="0" applyFont="1" applyBorder="1"/>
    <xf numFmtId="0" fontId="22" fillId="0" borderId="18" xfId="0" applyFont="1" applyBorder="1"/>
    <xf numFmtId="0" fontId="1" fillId="2" borderId="27" xfId="0" applyFont="1" applyFill="1" applyBorder="1" applyAlignment="1">
      <alignment vertical="center"/>
    </xf>
    <xf numFmtId="0" fontId="1" fillId="2" borderId="28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29" xfId="0" applyFont="1" applyFill="1" applyBorder="1" applyAlignment="1">
      <alignment vertical="center"/>
    </xf>
    <xf numFmtId="0" fontId="1" fillId="2" borderId="24" xfId="0" applyFont="1" applyFill="1" applyBorder="1" applyAlignment="1">
      <alignment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7" fillId="0" borderId="20" xfId="0" applyFont="1" applyBorder="1"/>
    <xf numFmtId="0" fontId="27" fillId="0" borderId="16" xfId="0" applyFont="1" applyBorder="1"/>
    <xf numFmtId="0" fontId="27" fillId="0" borderId="19" xfId="0" applyFont="1" applyBorder="1"/>
    <xf numFmtId="0" fontId="23" fillId="2" borderId="4" xfId="1" applyFill="1" applyBorder="1" applyAlignment="1">
      <alignment vertical="center"/>
    </xf>
    <xf numFmtId="0" fontId="23" fillId="0" borderId="1" xfId="1" applyBorder="1"/>
    <xf numFmtId="0" fontId="22" fillId="0" borderId="3" xfId="0" applyFont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22" fillId="0" borderId="18" xfId="0" applyFont="1" applyBorder="1" applyAlignment="1">
      <alignment horizontal="left"/>
    </xf>
    <xf numFmtId="0" fontId="22" fillId="0" borderId="0" xfId="0" applyFont="1"/>
    <xf numFmtId="0" fontId="22" fillId="0" borderId="23" xfId="0" applyFont="1" applyBorder="1"/>
    <xf numFmtId="0" fontId="18" fillId="6" borderId="4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vertical="center"/>
    </xf>
    <xf numFmtId="0" fontId="4" fillId="12" borderId="12" xfId="0" applyFont="1" applyFill="1" applyBorder="1" applyAlignment="1">
      <alignment vertical="center"/>
    </xf>
    <xf numFmtId="0" fontId="4" fillId="8" borderId="20" xfId="0" applyFont="1" applyFill="1" applyBorder="1" applyAlignment="1">
      <alignment vertical="center"/>
    </xf>
    <xf numFmtId="0" fontId="4" fillId="12" borderId="30" xfId="0" applyFont="1" applyFill="1" applyBorder="1" applyAlignment="1">
      <alignment vertical="center"/>
    </xf>
    <xf numFmtId="0" fontId="4" fillId="8" borderId="15" xfId="0" applyFont="1" applyFill="1" applyBorder="1" applyAlignment="1">
      <alignment vertical="center"/>
    </xf>
    <xf numFmtId="0" fontId="4" fillId="8" borderId="11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4" fillId="2" borderId="9" xfId="0" applyFont="1" applyFill="1" applyBorder="1" applyAlignment="1">
      <alignment horizontal="center" vertical="center"/>
    </xf>
    <xf numFmtId="0" fontId="20" fillId="8" borderId="0" xfId="0" applyFont="1" applyFill="1" applyAlignment="1">
      <alignment vertical="center"/>
    </xf>
    <xf numFmtId="0" fontId="1" fillId="12" borderId="29" xfId="0" applyFont="1" applyFill="1" applyBorder="1" applyAlignment="1">
      <alignment vertical="center"/>
    </xf>
    <xf numFmtId="0" fontId="1" fillId="12" borderId="28" xfId="0" applyFont="1" applyFill="1" applyBorder="1" applyAlignment="1">
      <alignment vertical="center"/>
    </xf>
    <xf numFmtId="0" fontId="1" fillId="12" borderId="32" xfId="0" applyFont="1" applyFill="1" applyBorder="1" applyAlignment="1">
      <alignment vertical="center"/>
    </xf>
    <xf numFmtId="0" fontId="1" fillId="12" borderId="24" xfId="0" applyFont="1" applyFill="1" applyBorder="1" applyAlignment="1">
      <alignment vertical="center"/>
    </xf>
    <xf numFmtId="0" fontId="0" fillId="9" borderId="28" xfId="0" applyFill="1" applyBorder="1"/>
    <xf numFmtId="0" fontId="1" fillId="12" borderId="11" xfId="0" applyFont="1" applyFill="1" applyBorder="1" applyAlignment="1">
      <alignment vertical="center"/>
    </xf>
    <xf numFmtId="0" fontId="20" fillId="8" borderId="14" xfId="0" applyFont="1" applyFill="1" applyBorder="1" applyAlignment="1">
      <alignment vertical="center"/>
    </xf>
    <xf numFmtId="0" fontId="1" fillId="12" borderId="12" xfId="0" applyFont="1" applyFill="1" applyBorder="1" applyAlignment="1">
      <alignment vertical="center"/>
    </xf>
    <xf numFmtId="0" fontId="0" fillId="0" borderId="28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4" xfId="0" applyNumberFormat="1" applyFont="1" applyFill="1" applyBorder="1" applyAlignment="1">
      <alignment horizontal="left" vertical="center"/>
    </xf>
    <xf numFmtId="0" fontId="5" fillId="12" borderId="24" xfId="0" applyFont="1" applyFill="1" applyBorder="1" applyAlignment="1">
      <alignment horizontal="left" vertical="center"/>
    </xf>
    <xf numFmtId="0" fontId="7" fillId="12" borderId="24" xfId="0" applyFont="1" applyFill="1" applyBorder="1" applyAlignment="1">
      <alignment horizontal="left" vertical="center"/>
    </xf>
    <xf numFmtId="0" fontId="0" fillId="9" borderId="24" xfId="0" applyFill="1" applyBorder="1"/>
    <xf numFmtId="0" fontId="0" fillId="0" borderId="24" xfId="0" applyBorder="1"/>
    <xf numFmtId="0" fontId="5" fillId="9" borderId="32" xfId="0" applyFont="1" applyFill="1" applyBorder="1" applyAlignment="1">
      <alignment horizontal="left"/>
    </xf>
    <xf numFmtId="0" fontId="0" fillId="9" borderId="31" xfId="0" applyFill="1" applyBorder="1"/>
    <xf numFmtId="0" fontId="5" fillId="9" borderId="17" xfId="0" applyFont="1" applyFill="1" applyBorder="1" applyAlignment="1">
      <alignment horizontal="left"/>
    </xf>
    <xf numFmtId="0" fontId="0" fillId="9" borderId="17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2" xfId="0" applyFill="1" applyBorder="1"/>
    <xf numFmtId="0" fontId="20" fillId="8" borderId="11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0" fillId="8" borderId="27" xfId="0" applyFont="1" applyFill="1" applyBorder="1" applyAlignment="1">
      <alignment vertical="center"/>
    </xf>
    <xf numFmtId="0" fontId="18" fillId="6" borderId="6" xfId="0" applyFont="1" applyFill="1" applyBorder="1" applyAlignment="1">
      <alignment horizontal="center" vertical="center"/>
    </xf>
    <xf numFmtId="0" fontId="18" fillId="6" borderId="34" xfId="0" applyFont="1" applyFill="1" applyBorder="1" applyAlignment="1">
      <alignment horizontal="center" vertical="center"/>
    </xf>
    <xf numFmtId="0" fontId="18" fillId="6" borderId="35" xfId="0" applyFont="1" applyFill="1" applyBorder="1" applyAlignment="1">
      <alignment horizontal="center" vertical="center"/>
    </xf>
    <xf numFmtId="0" fontId="5" fillId="12" borderId="17" xfId="0" applyFont="1" applyFill="1" applyBorder="1" applyAlignment="1">
      <alignment horizontal="left" vertical="center"/>
    </xf>
    <xf numFmtId="0" fontId="0" fillId="0" borderId="12" xfId="0" applyBorder="1"/>
    <xf numFmtId="0" fontId="20" fillId="8" borderId="10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1" fillId="2" borderId="19" xfId="0" applyFont="1" applyFill="1" applyBorder="1" applyAlignment="1">
      <alignment vertical="center"/>
    </xf>
    <xf numFmtId="0" fontId="20" fillId="8" borderId="36" xfId="0" applyFont="1" applyFill="1" applyBorder="1" applyAlignment="1">
      <alignment vertical="center"/>
    </xf>
    <xf numFmtId="0" fontId="1" fillId="2" borderId="37" xfId="0" applyFont="1" applyFill="1" applyBorder="1" applyAlignment="1">
      <alignment vertical="center"/>
    </xf>
    <xf numFmtId="0" fontId="20" fillId="8" borderId="15" xfId="0" applyFont="1" applyFill="1" applyBorder="1" applyAlignment="1">
      <alignment vertical="center"/>
    </xf>
    <xf numFmtId="0" fontId="34" fillId="0" borderId="36" xfId="0" applyFont="1" applyBorder="1"/>
    <xf numFmtId="0" fontId="36" fillId="4" borderId="1" xfId="0" applyFont="1" applyFill="1" applyBorder="1" applyAlignment="1">
      <alignment vertical="center"/>
    </xf>
    <xf numFmtId="0" fontId="37" fillId="2" borderId="1" xfId="0" applyFont="1" applyFill="1" applyBorder="1" applyAlignment="1">
      <alignment horizontal="left" vertical="center"/>
    </xf>
    <xf numFmtId="0" fontId="28" fillId="2" borderId="1" xfId="0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36" fillId="8" borderId="4" xfId="0" applyFont="1" applyFill="1" applyBorder="1" applyAlignment="1">
      <alignment vertical="center"/>
    </xf>
    <xf numFmtId="0" fontId="37" fillId="12" borderId="38" xfId="0" applyFont="1" applyFill="1" applyBorder="1" applyAlignment="1">
      <alignment horizontal="left" vertical="center"/>
    </xf>
    <xf numFmtId="0" fontId="28" fillId="12" borderId="38" xfId="0" applyFont="1" applyFill="1" applyBorder="1" applyAlignment="1">
      <alignment vertical="center"/>
    </xf>
    <xf numFmtId="0" fontId="36" fillId="8" borderId="21" xfId="0" applyFont="1" applyFill="1" applyBorder="1" applyAlignment="1">
      <alignment vertical="center"/>
    </xf>
    <xf numFmtId="0" fontId="37" fillId="12" borderId="5" xfId="0" applyFont="1" applyFill="1" applyBorder="1" applyAlignment="1">
      <alignment horizontal="left" vertical="center"/>
    </xf>
    <xf numFmtId="0" fontId="28" fillId="12" borderId="33" xfId="0" applyFont="1" applyFill="1" applyBorder="1" applyAlignment="1">
      <alignment vertical="center"/>
    </xf>
    <xf numFmtId="176" fontId="37" fillId="2" borderId="1" xfId="0" applyNumberFormat="1" applyFont="1" applyFill="1" applyBorder="1" applyAlignment="1">
      <alignment horizontal="left" vertical="center"/>
    </xf>
    <xf numFmtId="0" fontId="41" fillId="0" borderId="0" xfId="0" applyFont="1" applyAlignment="1">
      <alignment vertical="center"/>
    </xf>
    <xf numFmtId="0" fontId="0" fillId="0" borderId="0" xfId="0" applyAlignment="1">
      <alignment vertical="center"/>
    </xf>
    <xf numFmtId="0" fontId="40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31" fontId="4" fillId="2" borderId="1" xfId="0" applyNumberFormat="1" applyFont="1" applyFill="1" applyBorder="1" applyAlignment="1">
      <alignment vertical="center"/>
    </xf>
    <xf numFmtId="0" fontId="45" fillId="0" borderId="0" xfId="0" applyFont="1"/>
    <xf numFmtId="0" fontId="49" fillId="14" borderId="39" xfId="0" applyFont="1" applyFill="1" applyBorder="1" applyAlignment="1">
      <alignment horizontal="center" vertical="center"/>
    </xf>
    <xf numFmtId="0" fontId="49" fillId="14" borderId="40" xfId="0" applyFont="1" applyFill="1" applyBorder="1" applyAlignment="1">
      <alignment horizontal="center" vertical="center"/>
    </xf>
    <xf numFmtId="0" fontId="49" fillId="14" borderId="41" xfId="0" applyFont="1" applyFill="1" applyBorder="1" applyAlignment="1">
      <alignment horizontal="center" vertical="center"/>
    </xf>
    <xf numFmtId="0" fontId="50" fillId="2" borderId="40" xfId="0" applyFont="1" applyFill="1" applyBorder="1" applyAlignment="1">
      <alignment horizontal="center" vertical="center"/>
    </xf>
    <xf numFmtId="0" fontId="50" fillId="2" borderId="42" xfId="0" applyFont="1" applyFill="1" applyBorder="1" applyAlignment="1">
      <alignment horizontal="center" vertical="center"/>
    </xf>
    <xf numFmtId="0" fontId="51" fillId="2" borderId="44" xfId="0" applyFont="1" applyFill="1" applyBorder="1" applyAlignment="1">
      <alignment horizontal="center" vertical="center"/>
    </xf>
    <xf numFmtId="49" fontId="48" fillId="0" borderId="42" xfId="0" applyNumberFormat="1" applyFont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0" fontId="48" fillId="0" borderId="41" xfId="0" applyFont="1" applyBorder="1" applyAlignment="1">
      <alignment horizontal="center" vertical="center"/>
    </xf>
    <xf numFmtId="49" fontId="48" fillId="0" borderId="41" xfId="0" applyNumberFormat="1" applyFont="1" applyBorder="1" applyAlignment="1">
      <alignment horizontal="center" vertical="center"/>
    </xf>
    <xf numFmtId="0" fontId="48" fillId="0" borderId="40" xfId="0" applyFont="1" applyBorder="1" applyAlignment="1">
      <alignment horizontal="center" vertical="center"/>
    </xf>
    <xf numFmtId="179" fontId="48" fillId="0" borderId="43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52" fillId="0" borderId="0" xfId="0" applyFont="1"/>
    <xf numFmtId="0" fontId="53" fillId="6" borderId="2" xfId="0" applyFont="1" applyFill="1" applyBorder="1" applyAlignment="1">
      <alignment horizontal="left" vertical="center" wrapText="1"/>
    </xf>
    <xf numFmtId="0" fontId="22" fillId="7" borderId="1" xfId="0" applyFont="1" applyFill="1" applyBorder="1"/>
    <xf numFmtId="0" fontId="55" fillId="6" borderId="3" xfId="0" applyFont="1" applyFill="1" applyBorder="1" applyAlignment="1">
      <alignment horizontal="center" vertical="center"/>
    </xf>
    <xf numFmtId="0" fontId="55" fillId="6" borderId="1" xfId="0" applyFont="1" applyFill="1" applyBorder="1" applyAlignment="1">
      <alignment horizontal="center" vertical="center"/>
    </xf>
    <xf numFmtId="0" fontId="23" fillId="2" borderId="1" xfId="1" applyFill="1" applyBorder="1" applyAlignment="1">
      <alignment vertical="center"/>
    </xf>
    <xf numFmtId="0" fontId="59" fillId="4" borderId="1" xfId="0" applyFont="1" applyFill="1" applyBorder="1" applyAlignment="1">
      <alignment vertical="center"/>
    </xf>
    <xf numFmtId="0" fontId="61" fillId="4" borderId="1" xfId="0" applyFont="1" applyFill="1" applyBorder="1" applyAlignment="1">
      <alignment vertical="center"/>
    </xf>
    <xf numFmtId="0" fontId="41" fillId="0" borderId="0" xfId="0" applyFont="1"/>
    <xf numFmtId="0" fontId="63" fillId="0" borderId="0" xfId="0" applyFont="1"/>
    <xf numFmtId="0" fontId="64" fillId="0" borderId="0" xfId="0" applyFont="1"/>
    <xf numFmtId="0" fontId="59" fillId="2" borderId="1" xfId="0" applyFont="1" applyFill="1" applyBorder="1" applyAlignment="1">
      <alignment vertical="center"/>
    </xf>
    <xf numFmtId="0" fontId="59" fillId="2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>
      <alignment vertical="center"/>
    </xf>
    <xf numFmtId="0" fontId="43" fillId="4" borderId="1" xfId="0" applyFont="1" applyFill="1" applyBorder="1" applyAlignment="1">
      <alignment vertical="center"/>
    </xf>
    <xf numFmtId="0" fontId="59" fillId="4" borderId="1" xfId="0" applyFont="1" applyFill="1" applyBorder="1" applyAlignment="1">
      <alignment vertical="center" wrapText="1"/>
    </xf>
    <xf numFmtId="0" fontId="61" fillId="4" borderId="1" xfId="0" applyFont="1" applyFill="1" applyBorder="1" applyAlignment="1">
      <alignment vertical="center" wrapText="1"/>
    </xf>
    <xf numFmtId="0" fontId="66" fillId="0" borderId="0" xfId="0" applyFont="1"/>
    <xf numFmtId="0" fontId="63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50" fillId="2" borderId="43" xfId="0" applyFont="1" applyFill="1" applyBorder="1" applyAlignment="1">
      <alignment horizontal="center" vertical="center"/>
    </xf>
    <xf numFmtId="0" fontId="40" fillId="0" borderId="0" xfId="0" applyFont="1"/>
    <xf numFmtId="0" fontId="71" fillId="0" borderId="1" xfId="0" applyFont="1" applyBorder="1" applyAlignment="1">
      <alignment horizontal="center" vertical="center"/>
    </xf>
    <xf numFmtId="0" fontId="48" fillId="0" borderId="45" xfId="0" applyFont="1" applyBorder="1" applyAlignment="1">
      <alignment horizontal="center" vertical="center"/>
    </xf>
    <xf numFmtId="49" fontId="48" fillId="0" borderId="45" xfId="0" applyNumberFormat="1" applyFont="1" applyBorder="1" applyAlignment="1">
      <alignment horizontal="center" vertical="center"/>
    </xf>
    <xf numFmtId="0" fontId="74" fillId="2" borderId="1" xfId="0" applyFont="1" applyFill="1" applyBorder="1" applyAlignment="1">
      <alignment horizontal="left" vertical="center"/>
    </xf>
    <xf numFmtId="0" fontId="72" fillId="2" borderId="1" xfId="0" applyFont="1" applyFill="1" applyBorder="1" applyAlignment="1">
      <alignment horizontal="left" vertical="center"/>
    </xf>
    <xf numFmtId="0" fontId="76" fillId="8" borderId="1" xfId="0" applyFont="1" applyFill="1" applyBorder="1" applyAlignment="1">
      <alignment vertical="center"/>
    </xf>
    <xf numFmtId="0" fontId="77" fillId="16" borderId="1" xfId="0" applyFont="1" applyFill="1" applyBorder="1" applyAlignment="1">
      <alignment vertical="center"/>
    </xf>
    <xf numFmtId="0" fontId="77" fillId="16" borderId="3" xfId="0" applyFont="1" applyFill="1" applyBorder="1" applyAlignment="1">
      <alignment vertical="center"/>
    </xf>
    <xf numFmtId="0" fontId="77" fillId="16" borderId="50" xfId="0" applyFont="1" applyFill="1" applyBorder="1" applyAlignment="1">
      <alignment vertical="center"/>
    </xf>
    <xf numFmtId="176" fontId="5" fillId="2" borderId="51" xfId="0" applyNumberFormat="1" applyFont="1" applyFill="1" applyBorder="1" applyAlignment="1">
      <alignment horizontal="left" vertical="center"/>
    </xf>
    <xf numFmtId="0" fontId="77" fillId="16" borderId="52" xfId="0" applyFont="1" applyFill="1" applyBorder="1" applyAlignment="1">
      <alignment vertical="center"/>
    </xf>
    <xf numFmtId="0" fontId="1" fillId="2" borderId="52" xfId="0" applyFont="1" applyFill="1" applyBorder="1" applyAlignment="1">
      <alignment vertical="center"/>
    </xf>
    <xf numFmtId="176" fontId="5" fillId="2" borderId="52" xfId="0" applyNumberFormat="1" applyFont="1" applyFill="1" applyBorder="1" applyAlignment="1">
      <alignment horizontal="left" vertical="center"/>
    </xf>
    <xf numFmtId="0" fontId="82" fillId="0" borderId="79" xfId="0" applyFont="1" applyBorder="1" applyAlignment="1">
      <alignment horizontal="center" vertical="center" wrapText="1"/>
    </xf>
    <xf numFmtId="0" fontId="82" fillId="0" borderId="67" xfId="0" applyFont="1" applyBorder="1" applyAlignment="1">
      <alignment horizontal="center" vertical="center" wrapText="1"/>
    </xf>
    <xf numFmtId="0" fontId="83" fillId="0" borderId="68" xfId="0" applyFont="1" applyBorder="1" applyAlignment="1">
      <alignment horizontal="right" vertical="center" wrapText="1"/>
    </xf>
    <xf numFmtId="0" fontId="82" fillId="0" borderId="0" xfId="0" applyFont="1" applyAlignment="1">
      <alignment horizontal="center" vertical="center" wrapText="1"/>
    </xf>
    <xf numFmtId="0" fontId="59" fillId="2" borderId="1" xfId="0" applyFont="1" applyFill="1" applyBorder="1" applyAlignment="1">
      <alignment vertical="center" wrapText="1"/>
    </xf>
    <xf numFmtId="0" fontId="61" fillId="2" borderId="1" xfId="0" applyFont="1" applyFill="1" applyBorder="1" applyAlignment="1">
      <alignment vertical="center"/>
    </xf>
    <xf numFmtId="0" fontId="44" fillId="2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66" fillId="0" borderId="0" xfId="0" applyFont="1" applyAlignment="1">
      <alignment vertical="center"/>
    </xf>
    <xf numFmtId="0" fontId="67" fillId="0" borderId="0" xfId="0" applyFont="1" applyAlignment="1">
      <alignment vertical="center"/>
    </xf>
    <xf numFmtId="0" fontId="95" fillId="0" borderId="1" xfId="0" applyFont="1" applyBorder="1"/>
    <xf numFmtId="0" fontId="21" fillId="4" borderId="1" xfId="0" applyFont="1" applyFill="1" applyBorder="1" applyAlignment="1">
      <alignment vertical="center"/>
    </xf>
    <xf numFmtId="0" fontId="99" fillId="22" borderId="110" xfId="0" applyFont="1" applyFill="1" applyBorder="1" applyAlignment="1">
      <alignment horizontal="center" vertical="center" wrapText="1"/>
    </xf>
    <xf numFmtId="0" fontId="99" fillId="22" borderId="117" xfId="0" applyFont="1" applyFill="1" applyBorder="1" applyAlignment="1">
      <alignment horizontal="center" vertical="center" wrapText="1"/>
    </xf>
    <xf numFmtId="0" fontId="99" fillId="22" borderId="120" xfId="0" applyFont="1" applyFill="1" applyBorder="1" applyAlignment="1">
      <alignment horizontal="center" vertical="center" wrapText="1"/>
    </xf>
    <xf numFmtId="0" fontId="102" fillId="0" borderId="122" xfId="0" applyFont="1" applyBorder="1" applyAlignment="1">
      <alignment horizontal="center" vertical="center" wrapText="1"/>
    </xf>
    <xf numFmtId="0" fontId="102" fillId="0" borderId="77" xfId="0" applyFont="1" applyBorder="1" applyAlignment="1">
      <alignment horizontal="center" vertical="center" wrapText="1"/>
    </xf>
    <xf numFmtId="0" fontId="99" fillId="22" borderId="121" xfId="0" applyFont="1" applyFill="1" applyBorder="1" applyAlignment="1">
      <alignment horizontal="center" vertical="center" wrapText="1"/>
    </xf>
    <xf numFmtId="0" fontId="99" fillId="22" borderId="111" xfId="0" applyFont="1" applyFill="1" applyBorder="1" applyAlignment="1">
      <alignment horizontal="center" vertical="center" wrapText="1"/>
    </xf>
    <xf numFmtId="0" fontId="100" fillId="0" borderId="115" xfId="0" applyFont="1" applyBorder="1" applyAlignment="1">
      <alignment horizontal="center" vertical="center" wrapText="1"/>
    </xf>
    <xf numFmtId="0" fontId="99" fillId="22" borderId="40" xfId="0" applyFont="1" applyFill="1" applyBorder="1" applyAlignment="1">
      <alignment horizontal="center" vertical="center" wrapText="1"/>
    </xf>
    <xf numFmtId="0" fontId="99" fillId="22" borderId="128" xfId="0" applyFont="1" applyFill="1" applyBorder="1" applyAlignment="1">
      <alignment horizontal="center" vertical="center" wrapText="1"/>
    </xf>
    <xf numFmtId="0" fontId="99" fillId="22" borderId="127" xfId="0" applyFont="1" applyFill="1" applyBorder="1" applyAlignment="1">
      <alignment horizontal="center" vertical="center" wrapText="1"/>
    </xf>
    <xf numFmtId="0" fontId="0" fillId="22" borderId="127" xfId="0" applyFill="1" applyBorder="1" applyAlignment="1">
      <alignment vertical="center" wrapText="1"/>
    </xf>
    <xf numFmtId="0" fontId="0" fillId="22" borderId="121" xfId="0" applyFill="1" applyBorder="1" applyAlignment="1">
      <alignment vertical="center" wrapText="1"/>
    </xf>
    <xf numFmtId="0" fontId="107" fillId="23" borderId="40" xfId="0" applyFont="1" applyFill="1" applyBorder="1" applyAlignment="1">
      <alignment horizontal="center" vertical="center" wrapText="1"/>
    </xf>
    <xf numFmtId="0" fontId="107" fillId="0" borderId="40" xfId="0" applyFont="1" applyBorder="1" applyAlignment="1">
      <alignment horizontal="center" vertical="center" wrapText="1"/>
    </xf>
    <xf numFmtId="0" fontId="41" fillId="0" borderId="40" xfId="0" applyFont="1" applyBorder="1" applyAlignment="1">
      <alignment horizontal="center" vertical="center" wrapText="1"/>
    </xf>
    <xf numFmtId="0" fontId="107" fillId="23" borderId="118" xfId="0" applyFont="1" applyFill="1" applyBorder="1" applyAlignment="1">
      <alignment horizontal="center" vertical="center" wrapText="1"/>
    </xf>
    <xf numFmtId="0" fontId="41" fillId="0" borderId="118" xfId="0" applyFont="1" applyBorder="1" applyAlignment="1">
      <alignment horizontal="center" vertical="center" wrapText="1"/>
    </xf>
    <xf numFmtId="0" fontId="100" fillId="0" borderId="141" xfId="0" applyFont="1" applyBorder="1" applyAlignment="1">
      <alignment horizontal="center" vertical="center" wrapText="1"/>
    </xf>
    <xf numFmtId="0" fontId="99" fillId="23" borderId="141" xfId="0" applyFont="1" applyFill="1" applyBorder="1" applyAlignment="1">
      <alignment horizontal="center" vertical="center" wrapText="1"/>
    </xf>
    <xf numFmtId="0" fontId="100" fillId="0" borderId="129" xfId="0" applyFont="1" applyBorder="1" applyAlignment="1">
      <alignment horizontal="center" vertical="center" wrapText="1"/>
    </xf>
    <xf numFmtId="0" fontId="78" fillId="16" borderId="1" xfId="0" applyFont="1" applyFill="1" applyBorder="1" applyAlignment="1">
      <alignment vertical="center"/>
    </xf>
    <xf numFmtId="0" fontId="110" fillId="16" borderId="1" xfId="0" applyFont="1" applyFill="1" applyBorder="1" applyAlignment="1">
      <alignment vertical="center"/>
    </xf>
    <xf numFmtId="0" fontId="111" fillId="7" borderId="1" xfId="0" applyFont="1" applyFill="1" applyBorder="1" applyAlignment="1">
      <alignment vertical="center"/>
    </xf>
    <xf numFmtId="0" fontId="111" fillId="0" borderId="0" xfId="0" applyFont="1" applyAlignment="1">
      <alignment vertical="center"/>
    </xf>
    <xf numFmtId="0" fontId="111" fillId="0" borderId="48" xfId="0" applyFont="1" applyBorder="1" applyAlignment="1">
      <alignment vertical="center"/>
    </xf>
    <xf numFmtId="0" fontId="111" fillId="0" borderId="7" xfId="0" applyFont="1" applyBorder="1" applyAlignment="1">
      <alignment vertical="center"/>
    </xf>
    <xf numFmtId="0" fontId="41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40" fillId="9" borderId="0" xfId="0" applyFont="1" applyFill="1" applyAlignment="1">
      <alignment vertical="center"/>
    </xf>
    <xf numFmtId="0" fontId="0" fillId="9" borderId="47" xfId="0" applyFill="1" applyBorder="1" applyAlignment="1">
      <alignment vertical="center"/>
    </xf>
    <xf numFmtId="0" fontId="116" fillId="0" borderId="145" xfId="0" applyFont="1" applyBorder="1" applyAlignment="1">
      <alignment vertical="center"/>
    </xf>
    <xf numFmtId="0" fontId="41" fillId="0" borderId="142" xfId="0" applyFont="1" applyBorder="1" applyAlignment="1">
      <alignment vertical="center"/>
    </xf>
    <xf numFmtId="0" fontId="40" fillId="9" borderId="146" xfId="0" applyFont="1" applyFill="1" applyBorder="1" applyAlignment="1">
      <alignment horizontal="center" vertical="center"/>
    </xf>
    <xf numFmtId="0" fontId="40" fillId="9" borderId="22" xfId="0" applyFont="1" applyFill="1" applyBorder="1" applyAlignment="1">
      <alignment horizontal="center" vertical="center"/>
    </xf>
    <xf numFmtId="0" fontId="117" fillId="0" borderId="46" xfId="0" applyFont="1" applyBorder="1" applyAlignment="1">
      <alignment vertical="center"/>
    </xf>
    <xf numFmtId="0" fontId="117" fillId="0" borderId="5" xfId="0" applyFont="1" applyBorder="1" applyAlignment="1">
      <alignment vertical="center"/>
    </xf>
    <xf numFmtId="0" fontId="0" fillId="0" borderId="144" xfId="0" applyBorder="1" applyAlignment="1">
      <alignment vertical="center"/>
    </xf>
    <xf numFmtId="0" fontId="41" fillId="0" borderId="146" xfId="0" applyFont="1" applyBorder="1" applyAlignment="1">
      <alignment vertical="center"/>
    </xf>
    <xf numFmtId="0" fontId="0" fillId="0" borderId="5" xfId="0" applyBorder="1" applyAlignment="1">
      <alignment vertical="center"/>
    </xf>
    <xf numFmtId="0" fontId="41" fillId="0" borderId="22" xfId="0" applyFont="1" applyBorder="1" applyAlignment="1">
      <alignment vertical="center"/>
    </xf>
    <xf numFmtId="176" fontId="5" fillId="2" borderId="1" xfId="0" applyNumberFormat="1" applyFont="1" applyFill="1" applyBorder="1" applyAlignment="1">
      <alignment horizontal="left" vertical="center" wrapText="1"/>
    </xf>
    <xf numFmtId="0" fontId="122" fillId="0" borderId="68" xfId="0" applyFont="1" applyBorder="1" applyAlignment="1">
      <alignment horizontal="right" vertical="center" wrapText="1"/>
    </xf>
    <xf numFmtId="0" fontId="110" fillId="16" borderId="3" xfId="0" applyFont="1" applyFill="1" applyBorder="1" applyAlignment="1">
      <alignment vertical="center"/>
    </xf>
    <xf numFmtId="0" fontId="0" fillId="7" borderId="1" xfId="0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3" xfId="0" applyFont="1" applyFill="1" applyBorder="1" applyAlignment="1">
      <alignment horizontal="left" vertical="center"/>
    </xf>
    <xf numFmtId="0" fontId="0" fillId="0" borderId="54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77" fillId="16" borderId="109" xfId="0" applyFont="1" applyFill="1" applyBorder="1" applyAlignment="1">
      <alignment vertical="center"/>
    </xf>
    <xf numFmtId="0" fontId="5" fillId="2" borderId="109" xfId="0" applyFont="1" applyFill="1" applyBorder="1" applyAlignment="1">
      <alignment horizontal="left" vertical="center"/>
    </xf>
    <xf numFmtId="0" fontId="1" fillId="2" borderId="109" xfId="0" applyFont="1" applyFill="1" applyBorder="1" applyAlignment="1">
      <alignment vertical="center"/>
    </xf>
    <xf numFmtId="0" fontId="1" fillId="2" borderId="151" xfId="0" applyFont="1" applyFill="1" applyBorder="1" applyAlignment="1">
      <alignment horizontal="left" vertical="center"/>
    </xf>
    <xf numFmtId="0" fontId="129" fillId="16" borderId="1" xfId="0" applyFont="1" applyFill="1" applyBorder="1" applyAlignment="1">
      <alignment vertical="center"/>
    </xf>
    <xf numFmtId="0" fontId="131" fillId="9" borderId="0" xfId="3" applyFont="1" applyFill="1" applyAlignment="1">
      <alignment vertical="center"/>
    </xf>
    <xf numFmtId="0" fontId="132" fillId="9" borderId="0" xfId="3" applyFont="1" applyFill="1" applyAlignment="1">
      <alignment vertical="center"/>
    </xf>
    <xf numFmtId="0" fontId="133" fillId="9" borderId="0" xfId="3" applyFont="1" applyFill="1" applyAlignment="1">
      <alignment vertical="center"/>
    </xf>
    <xf numFmtId="0" fontId="132" fillId="9" borderId="0" xfId="3" applyFont="1" applyFill="1" applyAlignment="1">
      <alignment horizontal="center" vertical="center"/>
    </xf>
    <xf numFmtId="0" fontId="13" fillId="9" borderId="0" xfId="3" applyFill="1"/>
    <xf numFmtId="0" fontId="136" fillId="0" borderId="75" xfId="3" applyFont="1" applyBorder="1" applyAlignment="1">
      <alignment horizontal="center" vertical="center"/>
    </xf>
    <xf numFmtId="0" fontId="136" fillId="0" borderId="43" xfId="3" applyFont="1" applyBorder="1" applyAlignment="1">
      <alignment horizontal="center" vertical="center"/>
    </xf>
    <xf numFmtId="0" fontId="120" fillId="25" borderId="1" xfId="3" applyFont="1" applyFill="1" applyBorder="1"/>
    <xf numFmtId="0" fontId="120" fillId="9" borderId="1" xfId="3" applyFont="1" applyFill="1" applyBorder="1"/>
    <xf numFmtId="0" fontId="138" fillId="27" borderId="43" xfId="3" applyFont="1" applyFill="1" applyBorder="1" applyAlignment="1">
      <alignment vertical="center" wrapText="1"/>
    </xf>
    <xf numFmtId="0" fontId="138" fillId="27" borderId="76" xfId="3" applyFont="1" applyFill="1" applyBorder="1" applyAlignment="1">
      <alignment vertical="center" wrapText="1"/>
    </xf>
    <xf numFmtId="0" fontId="138" fillId="27" borderId="75" xfId="3" applyFont="1" applyFill="1" applyBorder="1" applyAlignment="1">
      <alignment vertical="center" wrapText="1"/>
    </xf>
    <xf numFmtId="0" fontId="139" fillId="0" borderId="43" xfId="3" applyFont="1" applyBorder="1" applyAlignment="1">
      <alignment vertical="center" wrapText="1"/>
    </xf>
    <xf numFmtId="0" fontId="139" fillId="0" borderId="76" xfId="3" applyFont="1" applyBorder="1" applyAlignment="1">
      <alignment vertical="center" wrapText="1"/>
    </xf>
    <xf numFmtId="0" fontId="139" fillId="0" borderId="75" xfId="3" applyFont="1" applyBorder="1" applyAlignment="1">
      <alignment vertical="center" wrapText="1"/>
    </xf>
    <xf numFmtId="0" fontId="120" fillId="25" borderId="1" xfId="3" applyFont="1" applyFill="1" applyBorder="1" applyAlignment="1">
      <alignment vertical="center"/>
    </xf>
    <xf numFmtId="0" fontId="120" fillId="9" borderId="1" xfId="3" applyFont="1" applyFill="1" applyBorder="1" applyAlignment="1">
      <alignment horizontal="center" vertical="center"/>
    </xf>
    <xf numFmtId="0" fontId="134" fillId="9" borderId="0" xfId="3" applyFont="1" applyFill="1" applyAlignment="1">
      <alignment horizontal="center" vertical="center"/>
    </xf>
    <xf numFmtId="14" fontId="135" fillId="0" borderId="0" xfId="3" applyNumberFormat="1" applyFont="1" applyAlignment="1">
      <alignment horizontal="center" vertical="center"/>
    </xf>
    <xf numFmtId="0" fontId="135" fillId="0" borderId="0" xfId="3" applyFont="1" applyAlignment="1">
      <alignment horizontal="center" vertical="center"/>
    </xf>
    <xf numFmtId="0" fontId="136" fillId="0" borderId="42" xfId="3" applyFont="1" applyBorder="1" applyAlignment="1">
      <alignment horizontal="center" vertical="center"/>
    </xf>
    <xf numFmtId="0" fontId="99" fillId="22" borderId="117" xfId="3" applyFont="1" applyFill="1" applyBorder="1" applyAlignment="1">
      <alignment horizontal="center" vertical="center" wrapText="1"/>
    </xf>
    <xf numFmtId="14" fontId="140" fillId="9" borderId="0" xfId="3" applyNumberFormat="1" applyFont="1" applyFill="1" applyAlignment="1">
      <alignment horizontal="center" vertical="center"/>
    </xf>
    <xf numFmtId="14" fontId="120" fillId="9" borderId="1" xfId="3" applyNumberFormat="1" applyFont="1" applyFill="1" applyBorder="1" applyAlignment="1">
      <alignment horizontal="center" vertical="center"/>
    </xf>
    <xf numFmtId="0" fontId="13" fillId="9" borderId="1" xfId="3" applyFill="1" applyBorder="1" applyAlignment="1">
      <alignment horizontal="center"/>
    </xf>
    <xf numFmtId="0" fontId="136" fillId="0" borderId="39" xfId="3" applyFont="1" applyBorder="1" applyAlignment="1">
      <alignment horizontal="center" vertical="center"/>
    </xf>
    <xf numFmtId="0" fontId="5" fillId="9" borderId="1" xfId="3" applyFont="1" applyFill="1" applyBorder="1" applyAlignment="1">
      <alignment horizontal="center" vertical="center"/>
    </xf>
    <xf numFmtId="0" fontId="137" fillId="25" borderId="154" xfId="3" applyFont="1" applyFill="1" applyBorder="1" applyAlignment="1">
      <alignment horizontal="center" vertical="center"/>
    </xf>
    <xf numFmtId="0" fontId="131" fillId="9" borderId="155" xfId="3" applyFont="1" applyFill="1" applyBorder="1" applyAlignment="1">
      <alignment horizontal="center" vertical="center"/>
    </xf>
    <xf numFmtId="0" fontId="142" fillId="0" borderId="43" xfId="3" applyFont="1" applyBorder="1" applyAlignment="1">
      <alignment horizontal="center" vertical="center"/>
    </xf>
    <xf numFmtId="0" fontId="99" fillId="22" borderId="120" xfId="3" applyFont="1" applyFill="1" applyBorder="1" applyAlignment="1">
      <alignment horizontal="center" vertical="center" wrapText="1"/>
    </xf>
    <xf numFmtId="0" fontId="13" fillId="28" borderId="1" xfId="3" applyFill="1" applyBorder="1"/>
    <xf numFmtId="0" fontId="13" fillId="28" borderId="3" xfId="3" applyFill="1" applyBorder="1" applyAlignment="1">
      <alignment horizontal="center"/>
    </xf>
    <xf numFmtId="0" fontId="78" fillId="9" borderId="0" xfId="3" applyFont="1" applyFill="1" applyAlignment="1">
      <alignment horizontal="center" vertical="center"/>
    </xf>
    <xf numFmtId="0" fontId="143" fillId="0" borderId="0" xfId="3" applyFont="1" applyAlignment="1">
      <alignment horizontal="center" vertical="center"/>
    </xf>
    <xf numFmtId="0" fontId="137" fillId="25" borderId="1" xfId="3" applyFont="1" applyFill="1" applyBorder="1" applyAlignment="1">
      <alignment horizontal="center" vertical="center"/>
    </xf>
    <xf numFmtId="0" fontId="131" fillId="9" borderId="158" xfId="3" applyFont="1" applyFill="1" applyBorder="1" applyAlignment="1">
      <alignment horizontal="center" vertical="center"/>
    </xf>
    <xf numFmtId="0" fontId="138" fillId="27" borderId="122" xfId="3" applyFont="1" applyFill="1" applyBorder="1" applyAlignment="1">
      <alignment vertical="center" wrapText="1"/>
    </xf>
    <xf numFmtId="0" fontId="138" fillId="27" borderId="42" xfId="3" applyFont="1" applyFill="1" applyBorder="1" applyAlignment="1">
      <alignment vertical="center" wrapText="1"/>
    </xf>
    <xf numFmtId="0" fontId="99" fillId="22" borderId="127" xfId="3" applyFont="1" applyFill="1" applyBorder="1" applyAlignment="1">
      <alignment horizontal="center" vertical="center" wrapText="1"/>
    </xf>
    <xf numFmtId="0" fontId="144" fillId="23" borderId="40" xfId="3" applyFont="1" applyFill="1" applyBorder="1" applyAlignment="1">
      <alignment horizontal="center" vertical="center" wrapText="1"/>
    </xf>
    <xf numFmtId="0" fontId="144" fillId="23" borderId="118" xfId="3" applyFont="1" applyFill="1" applyBorder="1" applyAlignment="1">
      <alignment horizontal="center" vertical="center" wrapText="1"/>
    </xf>
    <xf numFmtId="14" fontId="13" fillId="9" borderId="1" xfId="3" applyNumberFormat="1" applyFill="1" applyBorder="1"/>
    <xf numFmtId="0" fontId="134" fillId="25" borderId="47" xfId="3" applyFont="1" applyFill="1" applyBorder="1" applyAlignment="1">
      <alignment horizontal="center" vertical="center" wrapText="1" shrinkToFit="1"/>
    </xf>
    <xf numFmtId="0" fontId="134" fillId="25" borderId="159" xfId="3" applyFont="1" applyFill="1" applyBorder="1" applyAlignment="1">
      <alignment horizontal="center" vertical="center" shrinkToFit="1"/>
    </xf>
    <xf numFmtId="0" fontId="134" fillId="25" borderId="159" xfId="3" applyFont="1" applyFill="1" applyBorder="1" applyAlignment="1">
      <alignment horizontal="center" vertical="center"/>
    </xf>
    <xf numFmtId="0" fontId="134" fillId="24" borderId="160" xfId="3" applyFont="1" applyFill="1" applyBorder="1" applyAlignment="1">
      <alignment horizontal="center" vertical="center"/>
    </xf>
    <xf numFmtId="0" fontId="138" fillId="27" borderId="77" xfId="3" applyFont="1" applyFill="1" applyBorder="1" applyAlignment="1">
      <alignment vertical="center" wrapText="1"/>
    </xf>
    <xf numFmtId="0" fontId="138" fillId="27" borderId="39" xfId="3" applyFont="1" applyFill="1" applyBorder="1" applyAlignment="1">
      <alignment vertical="center" wrapText="1"/>
    </xf>
    <xf numFmtId="0" fontId="13" fillId="22" borderId="127" xfId="3" applyFill="1" applyBorder="1" applyAlignment="1">
      <alignment vertical="center" wrapText="1"/>
    </xf>
    <xf numFmtId="0" fontId="144" fillId="0" borderId="40" xfId="3" applyFont="1" applyBorder="1" applyAlignment="1">
      <alignment horizontal="center" vertical="center" wrapText="1"/>
    </xf>
    <xf numFmtId="0" fontId="40" fillId="0" borderId="40" xfId="3" applyFont="1" applyBorder="1" applyAlignment="1">
      <alignment horizontal="center" vertical="center" wrapText="1"/>
    </xf>
    <xf numFmtId="0" fontId="40" fillId="0" borderId="118" xfId="3" applyFont="1" applyBorder="1" applyAlignment="1">
      <alignment horizontal="center" vertical="center" wrapText="1"/>
    </xf>
    <xf numFmtId="0" fontId="132" fillId="9" borderId="1" xfId="3" applyFont="1" applyFill="1" applyBorder="1" applyAlignment="1">
      <alignment horizontal="center" vertical="center"/>
    </xf>
    <xf numFmtId="0" fontId="132" fillId="9" borderId="1" xfId="3" applyFont="1" applyFill="1" applyBorder="1" applyAlignment="1">
      <alignment vertical="center"/>
    </xf>
    <xf numFmtId="0" fontId="142" fillId="0" borderId="76" xfId="3" applyFont="1" applyBorder="1" applyAlignment="1">
      <alignment vertical="center" wrapText="1"/>
    </xf>
    <xf numFmtId="0" fontId="137" fillId="25" borderId="52" xfId="3" applyFont="1" applyFill="1" applyBorder="1" applyAlignment="1">
      <alignment horizontal="center" vertical="center"/>
    </xf>
    <xf numFmtId="0" fontId="131" fillId="9" borderId="164" xfId="3" applyFont="1" applyFill="1" applyBorder="1" applyAlignment="1">
      <alignment horizontal="center" vertical="center"/>
    </xf>
    <xf numFmtId="0" fontId="136" fillId="0" borderId="165" xfId="3" applyFont="1" applyBorder="1" applyAlignment="1">
      <alignment horizontal="center" vertical="center"/>
    </xf>
    <xf numFmtId="0" fontId="13" fillId="22" borderId="121" xfId="3" applyFill="1" applyBorder="1" applyAlignment="1">
      <alignment vertical="center" wrapText="1"/>
    </xf>
    <xf numFmtId="0" fontId="141" fillId="9" borderId="0" xfId="3" applyFont="1" applyFill="1" applyAlignment="1">
      <alignment vertical="center"/>
    </xf>
    <xf numFmtId="0" fontId="137" fillId="9" borderId="0" xfId="3" applyFont="1" applyFill="1" applyAlignment="1">
      <alignment horizontal="center" vertical="center"/>
    </xf>
    <xf numFmtId="0" fontId="131" fillId="9" borderId="0" xfId="3" applyFont="1" applyFill="1" applyAlignment="1">
      <alignment horizontal="center" vertical="center"/>
    </xf>
    <xf numFmtId="0" fontId="149" fillId="0" borderId="76" xfId="3" applyFont="1" applyBorder="1" applyAlignment="1">
      <alignment vertical="center" wrapText="1"/>
    </xf>
    <xf numFmtId="0" fontId="99" fillId="22" borderId="121" xfId="3" applyFont="1" applyFill="1" applyBorder="1" applyAlignment="1">
      <alignment horizontal="center" vertical="center" wrapText="1"/>
    </xf>
    <xf numFmtId="0" fontId="136" fillId="0" borderId="40" xfId="3" applyFont="1" applyBorder="1" applyAlignment="1">
      <alignment horizontal="center" vertical="center"/>
    </xf>
    <xf numFmtId="0" fontId="79" fillId="19" borderId="40" xfId="3" applyFont="1" applyFill="1" applyBorder="1" applyAlignment="1">
      <alignment horizontal="center" vertical="center" wrapText="1"/>
    </xf>
    <xf numFmtId="0" fontId="79" fillId="19" borderId="43" xfId="3" applyFont="1" applyFill="1" applyBorder="1" applyAlignment="1">
      <alignment vertical="center" wrapText="1"/>
    </xf>
    <xf numFmtId="0" fontId="79" fillId="19" borderId="75" xfId="3" applyFont="1" applyFill="1" applyBorder="1" applyAlignment="1">
      <alignment vertical="center" wrapText="1"/>
    </xf>
    <xf numFmtId="0" fontId="79" fillId="19" borderId="76" xfId="3" applyFont="1" applyFill="1" applyBorder="1" applyAlignment="1">
      <alignment vertical="center" wrapText="1"/>
    </xf>
    <xf numFmtId="0" fontId="151" fillId="0" borderId="40" xfId="3" applyFont="1" applyBorder="1" applyAlignment="1">
      <alignment horizontal="justify" vertical="center"/>
    </xf>
    <xf numFmtId="0" fontId="79" fillId="27" borderId="41" xfId="3" applyFont="1" applyFill="1" applyBorder="1" applyAlignment="1">
      <alignment horizontal="center" vertical="center" wrapText="1"/>
    </xf>
    <xf numFmtId="0" fontId="79" fillId="27" borderId="43" xfId="3" applyFont="1" applyFill="1" applyBorder="1" applyAlignment="1">
      <alignment vertical="center" wrapText="1"/>
    </xf>
    <xf numFmtId="0" fontId="79" fillId="27" borderId="75" xfId="3" applyFont="1" applyFill="1" applyBorder="1" applyAlignment="1">
      <alignment vertical="center" wrapText="1"/>
    </xf>
    <xf numFmtId="0" fontId="139" fillId="0" borderId="40" xfId="3" applyFont="1" applyBorder="1" applyAlignment="1">
      <alignment horizontal="center" vertical="center" wrapText="1"/>
    </xf>
    <xf numFmtId="0" fontId="13" fillId="0" borderId="39" xfId="3" applyBorder="1" applyAlignment="1">
      <alignment vertical="center"/>
    </xf>
    <xf numFmtId="0" fontId="79" fillId="27" borderId="169" xfId="3" applyFont="1" applyFill="1" applyBorder="1" applyAlignment="1">
      <alignment horizontal="center" vertical="center" wrapText="1"/>
    </xf>
    <xf numFmtId="0" fontId="79" fillId="27" borderId="122" xfId="3" applyFont="1" applyFill="1" applyBorder="1" applyAlignment="1">
      <alignment vertical="center" wrapText="1"/>
    </xf>
    <xf numFmtId="0" fontId="79" fillId="27" borderId="42" xfId="3" applyFont="1" applyFill="1" applyBorder="1" applyAlignment="1">
      <alignment vertical="center" wrapText="1"/>
    </xf>
    <xf numFmtId="0" fontId="139" fillId="0" borderId="122" xfId="3" applyFont="1" applyBorder="1" applyAlignment="1">
      <alignment vertical="center" wrapText="1"/>
    </xf>
    <xf numFmtId="0" fontId="139" fillId="0" borderId="42" xfId="3" applyFont="1" applyBorder="1" applyAlignment="1">
      <alignment vertical="center" wrapText="1"/>
    </xf>
    <xf numFmtId="0" fontId="152" fillId="0" borderId="122" xfId="3" applyFont="1" applyBorder="1" applyAlignment="1">
      <alignment vertical="center" wrapText="1"/>
    </xf>
    <xf numFmtId="0" fontId="152" fillId="0" borderId="42" xfId="3" applyFont="1" applyBorder="1" applyAlignment="1">
      <alignment vertical="center" wrapText="1"/>
    </xf>
    <xf numFmtId="0" fontId="139" fillId="0" borderId="41" xfId="3" applyFont="1" applyBorder="1" applyAlignment="1">
      <alignment horizontal="center" vertical="center" wrapText="1"/>
    </xf>
    <xf numFmtId="0" fontId="13" fillId="27" borderId="169" xfId="3" applyFill="1" applyBorder="1" applyAlignment="1">
      <alignment vertical="center" wrapText="1"/>
    </xf>
    <xf numFmtId="0" fontId="79" fillId="27" borderId="77" xfId="3" applyFont="1" applyFill="1" applyBorder="1" applyAlignment="1">
      <alignment vertical="center" wrapText="1"/>
    </xf>
    <xf numFmtId="0" fontId="79" fillId="27" borderId="39" xfId="3" applyFont="1" applyFill="1" applyBorder="1" applyAlignment="1">
      <alignment vertical="center" wrapText="1"/>
    </xf>
    <xf numFmtId="0" fontId="139" fillId="0" borderId="77" xfId="3" applyFont="1" applyBorder="1" applyAlignment="1">
      <alignment vertical="center" wrapText="1"/>
    </xf>
    <xf numFmtId="0" fontId="139" fillId="0" borderId="39" xfId="3" applyFont="1" applyBorder="1" applyAlignment="1">
      <alignment vertical="center" wrapText="1"/>
    </xf>
    <xf numFmtId="0" fontId="152" fillId="0" borderId="77" xfId="3" applyFont="1" applyBorder="1" applyAlignment="1">
      <alignment vertical="center" wrapText="1"/>
    </xf>
    <xf numFmtId="0" fontId="152" fillId="0" borderId="39" xfId="3" applyFont="1" applyBorder="1" applyAlignment="1">
      <alignment vertical="center" wrapText="1"/>
    </xf>
    <xf numFmtId="0" fontId="139" fillId="0" borderId="170" xfId="3" applyFont="1" applyBorder="1" applyAlignment="1">
      <alignment horizontal="center" vertical="center" wrapText="1"/>
    </xf>
    <xf numFmtId="0" fontId="139" fillId="0" borderId="44" xfId="3" applyFont="1" applyBorder="1" applyAlignment="1">
      <alignment vertical="center" wrapText="1"/>
    </xf>
    <xf numFmtId="0" fontId="136" fillId="0" borderId="43" xfId="3" applyFont="1" applyBorder="1" applyAlignment="1">
      <alignment horizontal="justify" vertical="center"/>
    </xf>
    <xf numFmtId="0" fontId="139" fillId="0" borderId="71" xfId="3" applyFont="1" applyBorder="1" applyAlignment="1">
      <alignment vertical="center" wrapText="1"/>
    </xf>
    <xf numFmtId="0" fontId="13" fillId="27" borderId="170" xfId="3" applyFill="1" applyBorder="1" applyAlignment="1">
      <alignment vertical="center" wrapText="1"/>
    </xf>
    <xf numFmtId="0" fontId="139" fillId="0" borderId="40" xfId="3" applyFont="1" applyBorder="1" applyAlignment="1">
      <alignment vertical="center" wrapText="1"/>
    </xf>
    <xf numFmtId="0" fontId="139" fillId="0" borderId="41" xfId="3" applyFont="1" applyBorder="1" applyAlignment="1">
      <alignment vertical="center" wrapText="1"/>
    </xf>
    <xf numFmtId="0" fontId="139" fillId="0" borderId="170" xfId="3" applyFont="1" applyBorder="1" applyAlignment="1">
      <alignment vertical="center" wrapText="1"/>
    </xf>
    <xf numFmtId="0" fontId="78" fillId="24" borderId="1" xfId="3" applyFont="1" applyFill="1" applyBorder="1" applyAlignment="1">
      <alignment horizontal="center" vertical="center"/>
    </xf>
    <xf numFmtId="0" fontId="78" fillId="24" borderId="1" xfId="3" applyFont="1" applyFill="1" applyBorder="1" applyAlignment="1">
      <alignment vertical="center"/>
    </xf>
    <xf numFmtId="0" fontId="155" fillId="20" borderId="1" xfId="2" applyFont="1" applyBorder="1" applyAlignment="1">
      <alignment horizontal="center" vertical="center"/>
    </xf>
    <xf numFmtId="0" fontId="155" fillId="20" borderId="1" xfId="2" applyFont="1" applyBorder="1" applyAlignment="1">
      <alignment vertical="center"/>
    </xf>
    <xf numFmtId="0" fontId="132" fillId="9" borderId="3" xfId="3" applyFont="1" applyFill="1" applyBorder="1" applyAlignment="1">
      <alignment vertical="center"/>
    </xf>
    <xf numFmtId="0" fontId="156" fillId="9" borderId="0" xfId="3" applyFont="1" applyFill="1"/>
    <xf numFmtId="0" fontId="157" fillId="20" borderId="1" xfId="2" applyFont="1" applyBorder="1" applyAlignment="1">
      <alignment horizontal="center" vertical="center"/>
    </xf>
    <xf numFmtId="0" fontId="157" fillId="20" borderId="1" xfId="2" applyFont="1" applyBorder="1" applyAlignment="1">
      <alignment vertical="center"/>
    </xf>
    <xf numFmtId="0" fontId="160" fillId="2" borderId="50" xfId="0" applyFont="1" applyFill="1" applyBorder="1" applyAlignment="1">
      <alignment horizontal="left" vertical="center"/>
    </xf>
    <xf numFmtId="176" fontId="73" fillId="2" borderId="1" xfId="0" applyNumberFormat="1" applyFont="1" applyFill="1" applyBorder="1" applyAlignment="1">
      <alignment horizontal="left" vertical="center"/>
    </xf>
    <xf numFmtId="0" fontId="77" fillId="16" borderId="6" xfId="0" applyFont="1" applyFill="1" applyBorder="1" applyAlignment="1">
      <alignment vertical="center"/>
    </xf>
    <xf numFmtId="176" fontId="5" fillId="2" borderId="6" xfId="0" applyNumberFormat="1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0" fontId="1" fillId="2" borderId="20" xfId="0" applyFont="1" applyFill="1" applyBorder="1" applyAlignment="1">
      <alignment horizontal="left" vertical="center"/>
    </xf>
    <xf numFmtId="176" fontId="5" fillId="2" borderId="4" xfId="0" applyNumberFormat="1" applyFont="1" applyFill="1" applyBorder="1" applyAlignment="1">
      <alignment horizontal="left" vertical="center"/>
    </xf>
    <xf numFmtId="0" fontId="161" fillId="16" borderId="1" xfId="0" applyFont="1" applyFill="1" applyBorder="1" applyAlignment="1">
      <alignment vertical="center"/>
    </xf>
    <xf numFmtId="180" fontId="5" fillId="2" borderId="4" xfId="0" applyNumberFormat="1" applyFont="1" applyFill="1" applyBorder="1" applyAlignment="1">
      <alignment horizontal="left" vertical="center"/>
    </xf>
    <xf numFmtId="0" fontId="167" fillId="32" borderId="1" xfId="0" applyFont="1" applyFill="1" applyBorder="1" applyAlignment="1">
      <alignment vertical="center"/>
    </xf>
    <xf numFmtId="0" fontId="167" fillId="32" borderId="1" xfId="0" applyFont="1" applyFill="1" applyBorder="1" applyAlignment="1">
      <alignment vertical="center" wrapText="1"/>
    </xf>
    <xf numFmtId="0" fontId="36" fillId="15" borderId="47" xfId="0" applyFont="1" applyFill="1" applyBorder="1" applyAlignment="1">
      <alignment horizontal="center" vertical="center"/>
    </xf>
    <xf numFmtId="0" fontId="36" fillId="15" borderId="49" xfId="0" applyFont="1" applyFill="1" applyBorder="1" applyAlignment="1">
      <alignment horizontal="left" vertical="center"/>
    </xf>
    <xf numFmtId="0" fontId="29" fillId="0" borderId="150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29" fillId="0" borderId="48" xfId="0" applyFont="1" applyBorder="1" applyAlignment="1">
      <alignment vertical="center"/>
    </xf>
    <xf numFmtId="0" fontId="178" fillId="32" borderId="1" xfId="0" applyFont="1" applyFill="1" applyBorder="1" applyAlignment="1">
      <alignment vertical="center"/>
    </xf>
    <xf numFmtId="0" fontId="125" fillId="0" borderId="0" xfId="0" applyFont="1" applyAlignment="1">
      <alignment vertical="center" wrapText="1"/>
    </xf>
    <xf numFmtId="0" fontId="167" fillId="32" borderId="50" xfId="0" applyFont="1" applyFill="1" applyBorder="1" applyAlignment="1">
      <alignment vertical="center"/>
    </xf>
    <xf numFmtId="0" fontId="167" fillId="32" borderId="52" xfId="0" applyFont="1" applyFill="1" applyBorder="1" applyAlignment="1">
      <alignment vertical="center"/>
    </xf>
    <xf numFmtId="0" fontId="82" fillId="0" borderId="68" xfId="0" applyFont="1" applyBorder="1" applyAlignment="1">
      <alignment horizontal="right" vertical="center" wrapText="1"/>
    </xf>
    <xf numFmtId="0" fontId="91" fillId="0" borderId="79" xfId="0" applyFont="1" applyBorder="1" applyAlignment="1">
      <alignment horizontal="center" vertical="center" wrapText="1"/>
    </xf>
    <xf numFmtId="0" fontId="91" fillId="0" borderId="67" xfId="0" applyFont="1" applyBorder="1" applyAlignment="1">
      <alignment horizontal="center" vertical="center" wrapText="1"/>
    </xf>
    <xf numFmtId="0" fontId="0" fillId="7" borderId="6" xfId="0" applyFill="1" applyBorder="1" applyAlignment="1">
      <alignment vertical="center"/>
    </xf>
    <xf numFmtId="0" fontId="165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166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4" xfId="0" applyFont="1" applyBorder="1" applyAlignment="1">
      <alignment vertical="center"/>
    </xf>
    <xf numFmtId="180" fontId="22" fillId="0" borderId="5" xfId="0" applyNumberFormat="1" applyFont="1" applyBorder="1" applyAlignment="1">
      <alignment vertical="center"/>
    </xf>
    <xf numFmtId="0" fontId="22" fillId="0" borderId="5" xfId="0" applyFont="1" applyBorder="1" applyAlignment="1">
      <alignment vertical="center"/>
    </xf>
    <xf numFmtId="0" fontId="22" fillId="0" borderId="53" xfId="0" applyFont="1" applyBorder="1" applyAlignment="1">
      <alignment vertical="center"/>
    </xf>
    <xf numFmtId="180" fontId="22" fillId="0" borderId="171" xfId="0" applyNumberFormat="1" applyFont="1" applyBorder="1" applyAlignment="1">
      <alignment vertical="center"/>
    </xf>
    <xf numFmtId="0" fontId="22" fillId="0" borderId="171" xfId="0" applyFont="1" applyBorder="1" applyAlignment="1">
      <alignment vertical="center"/>
    </xf>
    <xf numFmtId="0" fontId="137" fillId="26" borderId="18" xfId="3" applyFont="1" applyFill="1" applyBorder="1" applyAlignment="1">
      <alignment horizontal="center" vertical="center"/>
    </xf>
    <xf numFmtId="0" fontId="137" fillId="26" borderId="3" xfId="3" applyFont="1" applyFill="1" applyBorder="1" applyAlignment="1">
      <alignment horizontal="center" vertical="center"/>
    </xf>
    <xf numFmtId="0" fontId="40" fillId="0" borderId="43" xfId="3" applyFont="1" applyBorder="1" applyAlignment="1">
      <alignment horizontal="justify" vertical="center" wrapText="1"/>
    </xf>
    <xf numFmtId="0" fontId="40" fillId="0" borderId="76" xfId="3" applyFont="1" applyBorder="1" applyAlignment="1">
      <alignment horizontal="justify" vertical="center" wrapText="1"/>
    </xf>
    <xf numFmtId="0" fontId="40" fillId="0" borderId="119" xfId="3" applyFont="1" applyBorder="1" applyAlignment="1">
      <alignment horizontal="justify" vertical="center" wrapText="1"/>
    </xf>
    <xf numFmtId="0" fontId="136" fillId="0" borderId="43" xfId="3" applyFont="1" applyBorder="1" applyAlignment="1">
      <alignment horizontal="center" vertical="center"/>
    </xf>
    <xf numFmtId="0" fontId="136" fillId="0" borderId="76" xfId="3" applyFont="1" applyBorder="1" applyAlignment="1">
      <alignment horizontal="center" vertical="center"/>
    </xf>
    <xf numFmtId="0" fontId="136" fillId="0" borderId="122" xfId="3" applyFont="1" applyBorder="1" applyAlignment="1">
      <alignment horizontal="justify" vertical="center"/>
    </xf>
    <xf numFmtId="0" fontId="136" fillId="0" borderId="77" xfId="3" applyFont="1" applyBorder="1" applyAlignment="1">
      <alignment horizontal="justify" vertical="center"/>
    </xf>
    <xf numFmtId="0" fontId="137" fillId="26" borderId="1" xfId="3" applyFont="1" applyFill="1" applyBorder="1" applyAlignment="1">
      <alignment horizontal="center" vertical="center"/>
    </xf>
    <xf numFmtId="0" fontId="40" fillId="0" borderId="122" xfId="3" applyFont="1" applyBorder="1" applyAlignment="1">
      <alignment horizontal="justify" vertical="center" wrapText="1"/>
    </xf>
    <xf numFmtId="0" fontId="40" fillId="0" borderId="44" xfId="3" applyFont="1" applyBorder="1" applyAlignment="1">
      <alignment horizontal="justify" vertical="center" wrapText="1"/>
    </xf>
    <xf numFmtId="0" fontId="40" fillId="0" borderId="123" xfId="3" applyFont="1" applyBorder="1" applyAlignment="1">
      <alignment horizontal="justify" vertical="center" wrapText="1"/>
    </xf>
    <xf numFmtId="0" fontId="136" fillId="0" borderId="122" xfId="3" applyFont="1" applyBorder="1" applyAlignment="1">
      <alignment horizontal="center" vertical="center"/>
    </xf>
    <xf numFmtId="0" fontId="136" fillId="0" borderId="42" xfId="3" applyFont="1" applyBorder="1" applyAlignment="1">
      <alignment horizontal="center" vertical="center"/>
    </xf>
    <xf numFmtId="0" fontId="136" fillId="0" borderId="77" xfId="3" applyFont="1" applyBorder="1" applyAlignment="1">
      <alignment horizontal="center" vertical="center"/>
    </xf>
    <xf numFmtId="0" fontId="136" fillId="0" borderId="39" xfId="3" applyFont="1" applyBorder="1" applyAlignment="1">
      <alignment horizontal="center" vertical="center"/>
    </xf>
    <xf numFmtId="0" fontId="139" fillId="0" borderId="43" xfId="3" applyFont="1" applyBorder="1" applyAlignment="1">
      <alignment horizontal="center" vertical="center" wrapText="1"/>
    </xf>
    <xf numFmtId="0" fontId="139" fillId="0" borderId="76" xfId="3" applyFont="1" applyBorder="1" applyAlignment="1">
      <alignment horizontal="center" vertical="center" wrapText="1"/>
    </xf>
    <xf numFmtId="0" fontId="139" fillId="0" borderId="119" xfId="3" applyFont="1" applyBorder="1" applyAlignment="1">
      <alignment horizontal="center" vertical="center" wrapText="1"/>
    </xf>
    <xf numFmtId="0" fontId="40" fillId="0" borderId="77" xfId="3" applyFont="1" applyBorder="1" applyAlignment="1">
      <alignment horizontal="justify" vertical="center" wrapText="1"/>
    </xf>
    <xf numFmtId="0" fontId="40" fillId="0" borderId="71" xfId="3" applyFont="1" applyBorder="1" applyAlignment="1">
      <alignment horizontal="justify" vertical="center" wrapText="1"/>
    </xf>
    <xf numFmtId="0" fontId="40" fillId="0" borderId="124" xfId="3" applyFont="1" applyBorder="1" applyAlignment="1">
      <alignment horizontal="justify" vertical="center" wrapText="1"/>
    </xf>
    <xf numFmtId="0" fontId="134" fillId="25" borderId="47" xfId="3" applyFont="1" applyFill="1" applyBorder="1" applyAlignment="1">
      <alignment horizontal="center" vertical="center"/>
    </xf>
    <xf numFmtId="0" fontId="134" fillId="25" borderId="160" xfId="3" applyFont="1" applyFill="1" applyBorder="1" applyAlignment="1">
      <alignment horizontal="center" vertical="center"/>
    </xf>
    <xf numFmtId="0" fontId="130" fillId="24" borderId="20" xfId="3" applyFont="1" applyFill="1" applyBorder="1" applyAlignment="1">
      <alignment horizontal="center" vertical="center"/>
    </xf>
    <xf numFmtId="0" fontId="130" fillId="24" borderId="19" xfId="3" applyFont="1" applyFill="1" applyBorder="1" applyAlignment="1">
      <alignment horizontal="center" vertical="center"/>
    </xf>
    <xf numFmtId="0" fontId="130" fillId="24" borderId="152" xfId="3" applyFont="1" applyFill="1" applyBorder="1" applyAlignment="1">
      <alignment horizontal="center" vertical="center"/>
    </xf>
    <xf numFmtId="0" fontId="130" fillId="24" borderId="48" xfId="3" applyFont="1" applyFill="1" applyBorder="1" applyAlignment="1">
      <alignment horizontal="center" vertical="center"/>
    </xf>
    <xf numFmtId="0" fontId="130" fillId="24" borderId="46" xfId="3" applyFont="1" applyFill="1" applyBorder="1" applyAlignment="1">
      <alignment horizontal="center" vertical="center"/>
    </xf>
    <xf numFmtId="0" fontId="130" fillId="24" borderId="156" xfId="3" applyFont="1" applyFill="1" applyBorder="1" applyAlignment="1">
      <alignment horizontal="center" vertical="center"/>
    </xf>
    <xf numFmtId="0" fontId="141" fillId="26" borderId="153" xfId="3" applyFont="1" applyFill="1" applyBorder="1" applyAlignment="1">
      <alignment horizontal="center" vertical="center"/>
    </xf>
    <xf numFmtId="0" fontId="141" fillId="26" borderId="157" xfId="3" applyFont="1" applyFill="1" applyBorder="1" applyAlignment="1">
      <alignment horizontal="center" vertical="center"/>
    </xf>
    <xf numFmtId="0" fontId="141" fillId="26" borderId="163" xfId="3" applyFont="1" applyFill="1" applyBorder="1" applyAlignment="1">
      <alignment horizontal="center" vertical="center"/>
    </xf>
    <xf numFmtId="0" fontId="136" fillId="0" borderId="75" xfId="3" applyFont="1" applyBorder="1" applyAlignment="1">
      <alignment horizontal="center" vertical="center"/>
    </xf>
    <xf numFmtId="0" fontId="142" fillId="0" borderId="43" xfId="3" applyFont="1" applyBorder="1" applyAlignment="1">
      <alignment horizontal="center" vertical="center"/>
    </xf>
    <xf numFmtId="0" fontId="142" fillId="0" borderId="75" xfId="3" applyFont="1" applyBorder="1" applyAlignment="1">
      <alignment horizontal="center" vertical="center"/>
    </xf>
    <xf numFmtId="0" fontId="132" fillId="9" borderId="1" xfId="3" applyFont="1" applyFill="1" applyBorder="1" applyAlignment="1">
      <alignment horizontal="left" vertical="center"/>
    </xf>
    <xf numFmtId="0" fontId="132" fillId="9" borderId="1" xfId="3" applyFont="1" applyFill="1" applyBorder="1" applyAlignment="1">
      <alignment horizontal="left" vertical="center" wrapText="1"/>
    </xf>
    <xf numFmtId="0" fontId="136" fillId="0" borderId="140" xfId="3" applyFont="1" applyBorder="1" applyAlignment="1">
      <alignment horizontal="justify" vertical="center"/>
    </xf>
    <xf numFmtId="0" fontId="136" fillId="0" borderId="0" xfId="3" applyFont="1" applyAlignment="1">
      <alignment horizontal="justify" vertical="center"/>
    </xf>
    <xf numFmtId="0" fontId="148" fillId="9" borderId="1" xfId="3" applyFont="1" applyFill="1" applyBorder="1" applyAlignment="1">
      <alignment horizontal="left" vertical="center" wrapText="1"/>
    </xf>
    <xf numFmtId="0" fontId="132" fillId="0" borderId="1" xfId="3" applyFont="1" applyBorder="1" applyAlignment="1">
      <alignment horizontal="left" vertical="center" wrapText="1"/>
    </xf>
    <xf numFmtId="0" fontId="139" fillId="0" borderId="122" xfId="3" applyFont="1" applyBorder="1" applyAlignment="1">
      <alignment horizontal="center" vertical="center" wrapText="1"/>
    </xf>
    <xf numFmtId="0" fontId="139" fillId="0" borderId="44" xfId="3" applyFont="1" applyBorder="1" applyAlignment="1">
      <alignment horizontal="center" vertical="center" wrapText="1"/>
    </xf>
    <xf numFmtId="0" fontId="139" fillId="0" borderId="123" xfId="3" applyFont="1" applyBorder="1" applyAlignment="1">
      <alignment horizontal="center" vertical="center" wrapText="1"/>
    </xf>
    <xf numFmtId="0" fontId="139" fillId="0" borderId="77" xfId="3" applyFont="1" applyBorder="1" applyAlignment="1">
      <alignment horizontal="center" vertical="center" wrapText="1"/>
    </xf>
    <xf numFmtId="0" fontId="139" fillId="0" borderId="71" xfId="3" applyFont="1" applyBorder="1" applyAlignment="1">
      <alignment horizontal="center" vertical="center" wrapText="1"/>
    </xf>
    <xf numFmtId="0" fontId="139" fillId="0" borderId="124" xfId="3" applyFont="1" applyBorder="1" applyAlignment="1">
      <alignment horizontal="center" vertical="center" wrapText="1"/>
    </xf>
    <xf numFmtId="0" fontId="145" fillId="29" borderId="108" xfId="3" applyFont="1" applyFill="1" applyBorder="1" applyAlignment="1">
      <alignment horizontal="center" vertical="center" textRotation="255"/>
    </xf>
    <xf numFmtId="0" fontId="145" fillId="29" borderId="18" xfId="3" applyFont="1" applyFill="1" applyBorder="1" applyAlignment="1">
      <alignment horizontal="center" vertical="center" textRotation="255"/>
    </xf>
    <xf numFmtId="0" fontId="145" fillId="29" borderId="3" xfId="3" applyFont="1" applyFill="1" applyBorder="1" applyAlignment="1">
      <alignment horizontal="center" vertical="center" textRotation="255"/>
    </xf>
    <xf numFmtId="0" fontId="137" fillId="30" borderId="161" xfId="3" applyFont="1" applyFill="1" applyBorder="1" applyAlignment="1">
      <alignment horizontal="center" vertical="center" wrapText="1" shrinkToFit="1"/>
    </xf>
    <xf numFmtId="0" fontId="137" fillId="30" borderId="22" xfId="3" applyFont="1" applyFill="1" applyBorder="1" applyAlignment="1">
      <alignment horizontal="center" vertical="center" wrapText="1" shrinkToFit="1"/>
    </xf>
    <xf numFmtId="0" fontId="132" fillId="9" borderId="149" xfId="3" applyFont="1" applyFill="1" applyBorder="1" applyAlignment="1">
      <alignment horizontal="left" vertical="center"/>
    </xf>
    <xf numFmtId="0" fontId="132" fillId="9" borderId="143" xfId="3" applyFont="1" applyFill="1" applyBorder="1" applyAlignment="1">
      <alignment horizontal="left" vertical="center"/>
    </xf>
    <xf numFmtId="0" fontId="132" fillId="9" borderId="162" xfId="3" applyFont="1" applyFill="1" applyBorder="1" applyAlignment="1">
      <alignment horizontal="left" vertical="center"/>
    </xf>
    <xf numFmtId="0" fontId="146" fillId="9" borderId="149" xfId="3" applyFont="1" applyFill="1" applyBorder="1" applyAlignment="1">
      <alignment horizontal="center" vertical="center"/>
    </xf>
    <xf numFmtId="0" fontId="146" fillId="9" borderId="162" xfId="3" applyFont="1" applyFill="1" applyBorder="1" applyAlignment="1">
      <alignment horizontal="center" vertical="center"/>
    </xf>
    <xf numFmtId="0" fontId="146" fillId="9" borderId="48" xfId="3" applyFont="1" applyFill="1" applyBorder="1" applyAlignment="1">
      <alignment horizontal="center" vertical="center"/>
    </xf>
    <xf numFmtId="0" fontId="146" fillId="9" borderId="161" xfId="3" applyFont="1" applyFill="1" applyBorder="1" applyAlignment="1">
      <alignment horizontal="center" vertical="center"/>
    </xf>
    <xf numFmtId="0" fontId="146" fillId="9" borderId="7" xfId="3" applyFont="1" applyFill="1" applyBorder="1" applyAlignment="1">
      <alignment horizontal="center" vertical="center"/>
    </xf>
    <xf numFmtId="0" fontId="146" fillId="9" borderId="156" xfId="3" applyFont="1" applyFill="1" applyBorder="1" applyAlignment="1">
      <alignment horizontal="center" vertical="center"/>
    </xf>
    <xf numFmtId="0" fontId="132" fillId="9" borderId="18" xfId="3" applyFont="1" applyFill="1" applyBorder="1" applyAlignment="1">
      <alignment horizontal="left" vertical="center" wrapText="1"/>
    </xf>
    <xf numFmtId="0" fontId="132" fillId="0" borderId="18" xfId="3" applyFont="1" applyBorder="1" applyAlignment="1">
      <alignment horizontal="left" vertical="center" wrapText="1"/>
    </xf>
    <xf numFmtId="0" fontId="147" fillId="0" borderId="77" xfId="3" applyFont="1" applyBorder="1" applyAlignment="1">
      <alignment horizontal="center" vertical="center"/>
    </xf>
    <xf numFmtId="0" fontId="147" fillId="0" borderId="39" xfId="3" applyFont="1" applyBorder="1" applyAlignment="1">
      <alignment horizontal="center" vertical="center"/>
    </xf>
    <xf numFmtId="0" fontId="136" fillId="0" borderId="165" xfId="3" applyFont="1" applyBorder="1" applyAlignment="1">
      <alignment horizontal="center" vertical="center"/>
    </xf>
    <xf numFmtId="0" fontId="136" fillId="0" borderId="44" xfId="3" applyFont="1" applyBorder="1" applyAlignment="1">
      <alignment horizontal="justify" vertical="center"/>
    </xf>
    <xf numFmtId="0" fontId="132" fillId="9" borderId="6" xfId="3" applyFont="1" applyFill="1" applyBorder="1" applyAlignment="1">
      <alignment horizontal="center" vertical="center"/>
    </xf>
    <xf numFmtId="0" fontId="132" fillId="9" borderId="18" xfId="3" applyFont="1" applyFill="1" applyBorder="1" applyAlignment="1">
      <alignment horizontal="center" vertical="center"/>
    </xf>
    <xf numFmtId="0" fontId="132" fillId="9" borderId="3" xfId="3" applyFont="1" applyFill="1" applyBorder="1" applyAlignment="1">
      <alignment horizontal="center" vertical="center"/>
    </xf>
    <xf numFmtId="0" fontId="78" fillId="26" borderId="1" xfId="3" applyFont="1" applyFill="1" applyBorder="1" applyAlignment="1">
      <alignment horizontal="left" vertical="center"/>
    </xf>
    <xf numFmtId="0" fontId="141" fillId="26" borderId="166" xfId="3" applyFont="1" applyFill="1" applyBorder="1" applyAlignment="1">
      <alignment horizontal="center" vertical="center"/>
    </xf>
    <xf numFmtId="0" fontId="141" fillId="26" borderId="167" xfId="3" applyFont="1" applyFill="1" applyBorder="1" applyAlignment="1">
      <alignment horizontal="center" vertical="center"/>
    </xf>
    <xf numFmtId="0" fontId="141" fillId="26" borderId="168" xfId="3" applyFont="1" applyFill="1" applyBorder="1" applyAlignment="1">
      <alignment horizontal="center" vertical="center"/>
    </xf>
    <xf numFmtId="0" fontId="136" fillId="0" borderId="71" xfId="3" applyFont="1" applyBorder="1" applyAlignment="1">
      <alignment horizontal="justify" vertical="center"/>
    </xf>
    <xf numFmtId="0" fontId="132" fillId="9" borderId="20" xfId="3" applyFont="1" applyFill="1" applyBorder="1" applyAlignment="1">
      <alignment horizontal="center" vertical="center"/>
    </xf>
    <xf numFmtId="0" fontId="132" fillId="9" borderId="152" xfId="3" applyFont="1" applyFill="1" applyBorder="1" applyAlignment="1">
      <alignment horizontal="center" vertical="center"/>
    </xf>
    <xf numFmtId="0" fontId="132" fillId="9" borderId="48" xfId="3" applyFont="1" applyFill="1" applyBorder="1" applyAlignment="1">
      <alignment horizontal="center" vertical="center"/>
    </xf>
    <xf numFmtId="0" fontId="132" fillId="9" borderId="161" xfId="3" applyFont="1" applyFill="1" applyBorder="1" applyAlignment="1">
      <alignment horizontal="center" vertical="center"/>
    </xf>
    <xf numFmtId="0" fontId="132" fillId="9" borderId="7" xfId="3" applyFont="1" applyFill="1" applyBorder="1" applyAlignment="1">
      <alignment horizontal="center" vertical="center"/>
    </xf>
    <xf numFmtId="0" fontId="132" fillId="9" borderId="156" xfId="3" applyFont="1" applyFill="1" applyBorder="1" applyAlignment="1">
      <alignment horizontal="center" vertical="center"/>
    </xf>
    <xf numFmtId="0" fontId="150" fillId="0" borderId="122" xfId="3" applyFont="1" applyBorder="1" applyAlignment="1">
      <alignment horizontal="justify" vertical="center"/>
    </xf>
    <xf numFmtId="0" fontId="150" fillId="0" borderId="44" xfId="3" applyFont="1" applyBorder="1" applyAlignment="1">
      <alignment horizontal="justify" vertical="center"/>
    </xf>
    <xf numFmtId="0" fontId="150" fillId="0" borderId="77" xfId="3" applyFont="1" applyBorder="1" applyAlignment="1">
      <alignment horizontal="justify" vertical="center"/>
    </xf>
    <xf numFmtId="0" fontId="150" fillId="0" borderId="71" xfId="3" applyFont="1" applyBorder="1" applyAlignment="1">
      <alignment horizontal="justify" vertical="center"/>
    </xf>
    <xf numFmtId="0" fontId="151" fillId="0" borderId="43" xfId="3" applyFont="1" applyBorder="1" applyAlignment="1">
      <alignment horizontal="justify" vertical="center"/>
    </xf>
    <xf numFmtId="0" fontId="151" fillId="0" borderId="75" xfId="3" applyFont="1" applyBorder="1" applyAlignment="1">
      <alignment horizontal="justify" vertical="center"/>
    </xf>
    <xf numFmtId="0" fontId="151" fillId="0" borderId="76" xfId="3" applyFont="1" applyBorder="1" applyAlignment="1">
      <alignment horizontal="justify" vertical="center"/>
    </xf>
    <xf numFmtId="0" fontId="153" fillId="0" borderId="76" xfId="3" applyFont="1" applyBorder="1" applyAlignment="1">
      <alignment horizontal="left" vertical="center"/>
    </xf>
    <xf numFmtId="0" fontId="157" fillId="20" borderId="1" xfId="2" applyFont="1" applyBorder="1" applyAlignment="1">
      <alignment horizontal="left" vertical="center"/>
    </xf>
    <xf numFmtId="0" fontId="158" fillId="20" borderId="20" xfId="2" applyFont="1" applyBorder="1" applyAlignment="1">
      <alignment horizontal="center" vertical="center"/>
    </xf>
    <xf numFmtId="0" fontId="157" fillId="20" borderId="152" xfId="2" applyFont="1" applyBorder="1" applyAlignment="1">
      <alignment horizontal="center" vertical="center"/>
    </xf>
    <xf numFmtId="0" fontId="157" fillId="20" borderId="7" xfId="2" applyFont="1" applyBorder="1" applyAlignment="1">
      <alignment horizontal="center" vertical="center"/>
    </xf>
    <xf numFmtId="0" fontId="157" fillId="20" borderId="156" xfId="2" applyFont="1" applyBorder="1" applyAlignment="1">
      <alignment horizontal="center" vertical="center"/>
    </xf>
    <xf numFmtId="0" fontId="157" fillId="20" borderId="1" xfId="2" applyFont="1" applyBorder="1" applyAlignment="1">
      <alignment horizontal="left" vertical="center" wrapText="1"/>
    </xf>
    <xf numFmtId="0" fontId="132" fillId="9" borderId="1" xfId="3" applyFont="1" applyFill="1" applyBorder="1" applyAlignment="1">
      <alignment horizontal="center" vertical="center" wrapText="1"/>
    </xf>
    <xf numFmtId="0" fontId="132" fillId="9" borderId="1" xfId="3" applyFont="1" applyFill="1" applyBorder="1" applyAlignment="1">
      <alignment horizontal="center" vertical="center"/>
    </xf>
    <xf numFmtId="0" fontId="146" fillId="9" borderId="20" xfId="3" applyFont="1" applyFill="1" applyBorder="1" applyAlignment="1">
      <alignment horizontal="center" vertical="center"/>
    </xf>
    <xf numFmtId="0" fontId="146" fillId="9" borderId="152" xfId="3" applyFont="1" applyFill="1" applyBorder="1" applyAlignment="1">
      <alignment horizontal="center" vertical="center"/>
    </xf>
    <xf numFmtId="0" fontId="137" fillId="30" borderId="22" xfId="3" applyFont="1" applyFill="1" applyBorder="1" applyAlignment="1">
      <alignment horizontal="center" vertical="center" shrinkToFit="1"/>
    </xf>
    <xf numFmtId="0" fontId="78" fillId="26" borderId="1" xfId="3" applyFont="1" applyFill="1" applyBorder="1" applyAlignment="1">
      <alignment horizontal="left" vertical="center" shrinkToFit="1"/>
    </xf>
    <xf numFmtId="0" fontId="148" fillId="0" borderId="1" xfId="3" applyFont="1" applyBorder="1" applyAlignment="1">
      <alignment horizontal="left" vertical="center" wrapText="1"/>
    </xf>
    <xf numFmtId="0" fontId="146" fillId="9" borderId="1" xfId="3" applyFont="1" applyFill="1" applyBorder="1" applyAlignment="1">
      <alignment horizontal="center" vertical="center"/>
    </xf>
    <xf numFmtId="0" fontId="78" fillId="24" borderId="1" xfId="3" applyFont="1" applyFill="1" applyBorder="1" applyAlignment="1">
      <alignment horizontal="left" vertical="center"/>
    </xf>
    <xf numFmtId="0" fontId="154" fillId="24" borderId="1" xfId="3" applyFont="1" applyFill="1" applyBorder="1" applyAlignment="1">
      <alignment horizontal="center" vertical="center"/>
    </xf>
    <xf numFmtId="0" fontId="78" fillId="24" borderId="1" xfId="3" applyFont="1" applyFill="1" applyBorder="1" applyAlignment="1">
      <alignment horizontal="left" vertical="center" wrapText="1"/>
    </xf>
    <xf numFmtId="0" fontId="132" fillId="9" borderId="4" xfId="3" applyFont="1" applyFill="1" applyBorder="1" applyAlignment="1">
      <alignment horizontal="left" vertical="center"/>
    </xf>
    <xf numFmtId="0" fontId="132" fillId="9" borderId="5" xfId="3" applyFont="1" applyFill="1" applyBorder="1" applyAlignment="1">
      <alignment horizontal="left" vertical="center"/>
    </xf>
    <xf numFmtId="0" fontId="132" fillId="9" borderId="22" xfId="3" applyFont="1" applyFill="1" applyBorder="1" applyAlignment="1">
      <alignment horizontal="left" vertical="center"/>
    </xf>
    <xf numFmtId="0" fontId="148" fillId="9" borderId="20" xfId="3" applyFont="1" applyFill="1" applyBorder="1" applyAlignment="1">
      <alignment horizontal="center" vertical="center"/>
    </xf>
    <xf numFmtId="0" fontId="148" fillId="9" borderId="152" xfId="3" applyFont="1" applyFill="1" applyBorder="1" applyAlignment="1">
      <alignment horizontal="center" vertical="center"/>
    </xf>
    <xf numFmtId="0" fontId="148" fillId="9" borderId="7" xfId="3" applyFont="1" applyFill="1" applyBorder="1" applyAlignment="1">
      <alignment horizontal="center" vertical="center"/>
    </xf>
    <xf numFmtId="0" fontId="148" fillId="9" borderId="156" xfId="3" applyFont="1" applyFill="1" applyBorder="1" applyAlignment="1">
      <alignment horizontal="center" vertical="center"/>
    </xf>
    <xf numFmtId="0" fontId="155" fillId="20" borderId="1" xfId="2" applyFont="1" applyBorder="1" applyAlignment="1">
      <alignment horizontal="left" vertical="center" wrapText="1"/>
    </xf>
    <xf numFmtId="0" fontId="155" fillId="20" borderId="1" xfId="2" applyFont="1" applyBorder="1" applyAlignment="1">
      <alignment horizontal="left" vertical="center"/>
    </xf>
    <xf numFmtId="0" fontId="155" fillId="20" borderId="20" xfId="2" applyFont="1" applyBorder="1" applyAlignment="1">
      <alignment horizontal="center" vertical="center"/>
    </xf>
    <xf numFmtId="0" fontId="155" fillId="20" borderId="152" xfId="2" applyFont="1" applyBorder="1" applyAlignment="1">
      <alignment horizontal="center" vertical="center"/>
    </xf>
    <xf numFmtId="0" fontId="155" fillId="20" borderId="48" xfId="2" applyFont="1" applyBorder="1" applyAlignment="1">
      <alignment horizontal="center" vertical="center"/>
    </xf>
    <xf numFmtId="0" fontId="155" fillId="20" borderId="161" xfId="2" applyFont="1" applyBorder="1" applyAlignment="1">
      <alignment horizontal="center" vertical="center"/>
    </xf>
    <xf numFmtId="0" fontId="155" fillId="20" borderId="7" xfId="2" applyFont="1" applyBorder="1" applyAlignment="1">
      <alignment horizontal="center" vertical="center"/>
    </xf>
    <xf numFmtId="0" fontId="155" fillId="20" borderId="156" xfId="2" applyFont="1" applyBorder="1" applyAlignment="1">
      <alignment horizontal="center" vertical="center"/>
    </xf>
    <xf numFmtId="0" fontId="137" fillId="30" borderId="156" xfId="3" applyFont="1" applyFill="1" applyBorder="1" applyAlignment="1">
      <alignment horizontal="center" vertical="center" wrapText="1" shrinkToFit="1"/>
    </xf>
    <xf numFmtId="0" fontId="132" fillId="9" borderId="7" xfId="3" applyFont="1" applyFill="1" applyBorder="1" applyAlignment="1">
      <alignment horizontal="left" vertical="center"/>
    </xf>
    <xf numFmtId="0" fontId="132" fillId="9" borderId="46" xfId="3" applyFont="1" applyFill="1" applyBorder="1" applyAlignment="1">
      <alignment horizontal="left" vertical="center"/>
    </xf>
    <xf numFmtId="0" fontId="132" fillId="9" borderId="156" xfId="3" applyFont="1" applyFill="1" applyBorder="1" applyAlignment="1">
      <alignment horizontal="left" vertical="center"/>
    </xf>
    <xf numFmtId="0" fontId="132" fillId="9" borderId="3" xfId="3" applyFont="1" applyFill="1" applyBorder="1" applyAlignment="1">
      <alignment horizontal="left" vertical="center" wrapText="1"/>
    </xf>
    <xf numFmtId="0" fontId="132" fillId="0" borderId="3" xfId="3" applyFont="1" applyBorder="1" applyAlignment="1">
      <alignment horizontal="left" vertical="center" wrapText="1"/>
    </xf>
    <xf numFmtId="0" fontId="115" fillId="0" borderId="142" xfId="0" applyFont="1" applyBorder="1" applyAlignment="1">
      <alignment horizontal="left" vertical="center"/>
    </xf>
    <xf numFmtId="0" fontId="114" fillId="0" borderId="0" xfId="0" applyFont="1" applyAlignment="1">
      <alignment horizontal="left" vertical="center"/>
    </xf>
    <xf numFmtId="0" fontId="75" fillId="13" borderId="0" xfId="0" applyFont="1" applyFill="1" applyAlignment="1">
      <alignment horizontal="center" vertical="center"/>
    </xf>
    <xf numFmtId="0" fontId="75" fillId="13" borderId="142" xfId="0" applyFont="1" applyFill="1" applyBorder="1" applyAlignment="1">
      <alignment horizontal="center" vertical="center"/>
    </xf>
    <xf numFmtId="0" fontId="113" fillId="25" borderId="142" xfId="0" applyFont="1" applyFill="1" applyBorder="1" applyAlignment="1">
      <alignment horizontal="center" vertical="center"/>
    </xf>
    <xf numFmtId="0" fontId="41" fillId="0" borderId="144" xfId="0" applyFont="1" applyBorder="1" applyAlignment="1">
      <alignment horizontal="left" vertical="center"/>
    </xf>
    <xf numFmtId="0" fontId="41" fillId="0" borderId="5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112" fillId="25" borderId="142" xfId="0" applyFont="1" applyFill="1" applyBorder="1" applyAlignment="1">
      <alignment horizontal="center" vertical="center"/>
    </xf>
    <xf numFmtId="0" fontId="41" fillId="0" borderId="142" xfId="0" applyFont="1" applyBorder="1" applyAlignment="1">
      <alignment horizontal="center" vertical="center"/>
    </xf>
    <xf numFmtId="0" fontId="45" fillId="0" borderId="51" xfId="0" applyFont="1" applyBorder="1" applyAlignment="1">
      <alignment horizontal="center" vertical="center"/>
    </xf>
    <xf numFmtId="0" fontId="22" fillId="0" borderId="14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69" fillId="3" borderId="20" xfId="0" applyFont="1" applyFill="1" applyBorder="1" applyAlignment="1">
      <alignment horizontal="center" vertical="center"/>
    </xf>
    <xf numFmtId="0" fontId="69" fillId="3" borderId="19" xfId="0" applyFont="1" applyFill="1" applyBorder="1" applyAlignment="1">
      <alignment horizontal="center" vertical="center"/>
    </xf>
    <xf numFmtId="0" fontId="172" fillId="31" borderId="6" xfId="0" applyFont="1" applyFill="1" applyBorder="1" applyAlignment="1">
      <alignment horizontal="center" vertical="center" wrapText="1"/>
    </xf>
    <xf numFmtId="0" fontId="172" fillId="31" borderId="18" xfId="0" applyFont="1" applyFill="1" applyBorder="1" applyAlignment="1">
      <alignment horizontal="center" vertical="center"/>
    </xf>
    <xf numFmtId="0" fontId="172" fillId="31" borderId="109" xfId="0" applyFont="1" applyFill="1" applyBorder="1" applyAlignment="1">
      <alignment horizontal="center" vertical="center"/>
    </xf>
    <xf numFmtId="0" fontId="172" fillId="31" borderId="18" xfId="0" applyFont="1" applyFill="1" applyBorder="1" applyAlignment="1">
      <alignment horizontal="center" vertical="center" wrapText="1"/>
    </xf>
    <xf numFmtId="0" fontId="172" fillId="31" borderId="109" xfId="0" applyFont="1" applyFill="1" applyBorder="1" applyAlignment="1">
      <alignment horizontal="center" vertical="center" wrapText="1"/>
    </xf>
    <xf numFmtId="0" fontId="172" fillId="31" borderId="108" xfId="0" applyFont="1" applyFill="1" applyBorder="1" applyAlignment="1">
      <alignment horizontal="center" vertical="center"/>
    </xf>
    <xf numFmtId="0" fontId="84" fillId="17" borderId="55" xfId="0" applyFont="1" applyFill="1" applyBorder="1" applyAlignment="1">
      <alignment vertical="center" wrapText="1"/>
    </xf>
    <xf numFmtId="0" fontId="184" fillId="31" borderId="20" xfId="0" applyFont="1" applyFill="1" applyBorder="1" applyAlignment="1">
      <alignment horizontal="center" vertical="center"/>
    </xf>
    <xf numFmtId="0" fontId="184" fillId="31" borderId="19" xfId="0" applyFont="1" applyFill="1" applyBorder="1" applyAlignment="1">
      <alignment horizontal="center" vertical="center"/>
    </xf>
    <xf numFmtId="0" fontId="184" fillId="31" borderId="108" xfId="0" applyFont="1" applyFill="1" applyBorder="1" applyAlignment="1">
      <alignment horizontal="center" vertical="center"/>
    </xf>
    <xf numFmtId="0" fontId="185" fillId="31" borderId="18" xfId="0" applyFont="1" applyFill="1" applyBorder="1" applyAlignment="1">
      <alignment horizontal="center" vertical="center"/>
    </xf>
    <xf numFmtId="0" fontId="185" fillId="31" borderId="109" xfId="0" applyFont="1" applyFill="1" applyBorder="1" applyAlignment="1">
      <alignment horizontal="center" vertical="center"/>
    </xf>
    <xf numFmtId="0" fontId="91" fillId="0" borderId="67" xfId="0" applyFont="1" applyBorder="1" applyAlignment="1">
      <alignment horizontal="justify" vertical="center" wrapText="1"/>
    </xf>
    <xf numFmtId="0" fontId="91" fillId="0" borderId="64" xfId="0" applyFont="1" applyBorder="1" applyAlignment="1">
      <alignment horizontal="justify" vertical="center" wrapText="1"/>
    </xf>
    <xf numFmtId="0" fontId="91" fillId="0" borderId="65" xfId="0" applyFont="1" applyBorder="1" applyAlignment="1">
      <alignment horizontal="justify" vertical="center" wrapText="1"/>
    </xf>
    <xf numFmtId="0" fontId="85" fillId="0" borderId="57" xfId="0" applyFont="1" applyBorder="1" applyAlignment="1">
      <alignment horizontal="justify" vertical="center" wrapText="1"/>
    </xf>
    <xf numFmtId="0" fontId="91" fillId="0" borderId="59" xfId="0" applyFont="1" applyBorder="1" applyAlignment="1">
      <alignment horizontal="justify" vertical="center" wrapText="1"/>
    </xf>
    <xf numFmtId="0" fontId="91" fillId="0" borderId="58" xfId="0" applyFont="1" applyBorder="1" applyAlignment="1">
      <alignment horizontal="justify" vertical="center" wrapText="1"/>
    </xf>
    <xf numFmtId="0" fontId="82" fillId="0" borderId="60" xfId="0" applyFont="1" applyBorder="1" applyAlignment="1">
      <alignment horizontal="center" vertical="center" wrapText="1"/>
    </xf>
    <xf numFmtId="0" fontId="82" fillId="0" borderId="59" xfId="0" applyFont="1" applyBorder="1" applyAlignment="1">
      <alignment horizontal="center" vertical="center" wrapText="1"/>
    </xf>
    <xf numFmtId="0" fontId="82" fillId="0" borderId="58" xfId="0" applyFont="1" applyBorder="1" applyAlignment="1">
      <alignment horizontal="center" vertical="center" wrapText="1"/>
    </xf>
    <xf numFmtId="0" fontId="91" fillId="0" borderId="60" xfId="0" applyFont="1" applyBorder="1" applyAlignment="1">
      <alignment horizontal="justify" vertical="center" wrapText="1"/>
    </xf>
    <xf numFmtId="0" fontId="82" fillId="0" borderId="66" xfId="0" applyFont="1" applyBorder="1" applyAlignment="1">
      <alignment horizontal="center" vertical="center" wrapText="1"/>
    </xf>
    <xf numFmtId="0" fontId="82" fillId="0" borderId="62" xfId="0" applyFont="1" applyBorder="1" applyAlignment="1">
      <alignment horizontal="center" vertical="center" wrapText="1"/>
    </xf>
    <xf numFmtId="0" fontId="82" fillId="0" borderId="67" xfId="0" applyFont="1" applyBorder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91" fillId="0" borderId="62" xfId="0" applyFont="1" applyBorder="1" applyAlignment="1">
      <alignment horizontal="justify" vertical="center" wrapText="1"/>
    </xf>
    <xf numFmtId="0" fontId="91" fillId="0" borderId="63" xfId="0" applyFont="1" applyBorder="1" applyAlignment="1">
      <alignment horizontal="justify" vertical="center" wrapText="1"/>
    </xf>
    <xf numFmtId="0" fontId="82" fillId="0" borderId="63" xfId="0" applyFont="1" applyBorder="1" applyAlignment="1">
      <alignment horizontal="center" vertical="center" wrapText="1"/>
    </xf>
    <xf numFmtId="0" fontId="82" fillId="0" borderId="65" xfId="0" applyFont="1" applyBorder="1" applyAlignment="1">
      <alignment horizontal="center" vertical="center" wrapText="1"/>
    </xf>
    <xf numFmtId="0" fontId="91" fillId="0" borderId="66" xfId="0" applyFont="1" applyBorder="1" applyAlignment="1">
      <alignment horizontal="justify" vertical="center" wrapText="1"/>
    </xf>
    <xf numFmtId="0" fontId="121" fillId="0" borderId="147" xfId="0" applyFont="1" applyBorder="1" applyAlignment="1">
      <alignment horizontal="center" vertical="center" wrapText="1"/>
    </xf>
    <xf numFmtId="0" fontId="82" fillId="17" borderId="55" xfId="0" applyFont="1" applyFill="1" applyBorder="1" applyAlignment="1">
      <alignment horizontal="justify" vertical="center" wrapText="1"/>
    </xf>
    <xf numFmtId="0" fontId="83" fillId="17" borderId="55" xfId="0" applyFont="1" applyFill="1" applyBorder="1" applyAlignment="1">
      <alignment vertical="center" wrapText="1"/>
    </xf>
    <xf numFmtId="0" fontId="83" fillId="17" borderId="84" xfId="0" applyFont="1" applyFill="1" applyBorder="1" applyAlignment="1">
      <alignment vertical="center" wrapText="1"/>
    </xf>
    <xf numFmtId="0" fontId="82" fillId="17" borderId="56" xfId="0" applyFont="1" applyFill="1" applyBorder="1" applyAlignment="1">
      <alignment horizontal="justify" vertical="center" wrapText="1"/>
    </xf>
    <xf numFmtId="0" fontId="91" fillId="0" borderId="69" xfId="0" applyFont="1" applyBorder="1" applyAlignment="1">
      <alignment horizontal="justify" vertical="center" wrapText="1"/>
    </xf>
    <xf numFmtId="0" fontId="91" fillId="0" borderId="61" xfId="0" applyFont="1" applyBorder="1" applyAlignment="1">
      <alignment horizontal="justify" vertical="center" wrapText="1"/>
    </xf>
    <xf numFmtId="0" fontId="180" fillId="0" borderId="68" xfId="0" applyFont="1" applyBorder="1" applyAlignment="1">
      <alignment horizontal="center" vertical="center" wrapText="1"/>
    </xf>
    <xf numFmtId="0" fontId="180" fillId="0" borderId="69" xfId="0" applyFont="1" applyBorder="1" applyAlignment="1">
      <alignment horizontal="center" vertical="center" wrapText="1"/>
    </xf>
    <xf numFmtId="0" fontId="91" fillId="0" borderId="71" xfId="0" applyFont="1" applyBorder="1" applyAlignment="1">
      <alignment horizontal="justify" vertical="center" wrapText="1"/>
    </xf>
    <xf numFmtId="0" fontId="91" fillId="0" borderId="72" xfId="0" applyFont="1" applyBorder="1" applyAlignment="1">
      <alignment horizontal="justify" vertical="center" wrapText="1"/>
    </xf>
    <xf numFmtId="0" fontId="91" fillId="0" borderId="68" xfId="0" applyFont="1" applyBorder="1" applyAlignment="1">
      <alignment horizontal="justify" vertical="center" wrapText="1"/>
    </xf>
    <xf numFmtId="0" fontId="82" fillId="0" borderId="68" xfId="0" applyFont="1" applyBorder="1" applyAlignment="1">
      <alignment horizontal="center" vertical="center" wrapText="1"/>
    </xf>
    <xf numFmtId="0" fontId="82" fillId="0" borderId="69" xfId="0" applyFont="1" applyBorder="1" applyAlignment="1">
      <alignment horizontal="center" vertical="center" wrapText="1"/>
    </xf>
    <xf numFmtId="0" fontId="82" fillId="0" borderId="61" xfId="0" applyFont="1" applyBorder="1" applyAlignment="1">
      <alignment horizontal="center" vertical="center" wrapText="1"/>
    </xf>
    <xf numFmtId="0" fontId="91" fillId="0" borderId="73" xfId="0" applyFont="1" applyBorder="1" applyAlignment="1">
      <alignment horizontal="justify" vertical="center" wrapText="1"/>
    </xf>
    <xf numFmtId="0" fontId="91" fillId="0" borderId="70" xfId="0" applyFont="1" applyBorder="1" applyAlignment="1">
      <alignment horizontal="justify" vertical="center" wrapText="1"/>
    </xf>
    <xf numFmtId="0" fontId="82" fillId="0" borderId="73" xfId="0" applyFont="1" applyBorder="1" applyAlignment="1">
      <alignment horizontal="center" vertical="center" wrapText="1"/>
    </xf>
    <xf numFmtId="0" fontId="82" fillId="0" borderId="74" xfId="0" applyFont="1" applyBorder="1" applyAlignment="1">
      <alignment horizontal="center" vertical="center" wrapText="1"/>
    </xf>
    <xf numFmtId="0" fontId="82" fillId="0" borderId="70" xfId="0" applyFont="1" applyBorder="1" applyAlignment="1">
      <alignment horizontal="center" vertical="center" wrapText="1"/>
    </xf>
    <xf numFmtId="0" fontId="91" fillId="0" borderId="74" xfId="0" applyFont="1" applyBorder="1" applyAlignment="1">
      <alignment horizontal="justify" vertical="center" wrapText="1"/>
    </xf>
    <xf numFmtId="0" fontId="83" fillId="0" borderId="73" xfId="0" applyFont="1" applyBorder="1" applyAlignment="1">
      <alignment horizontal="justify" vertical="center" wrapText="1"/>
    </xf>
    <xf numFmtId="0" fontId="83" fillId="0" borderId="74" xfId="0" applyFont="1" applyBorder="1" applyAlignment="1">
      <alignment horizontal="justify" vertical="center" wrapText="1"/>
    </xf>
    <xf numFmtId="0" fontId="86" fillId="0" borderId="44" xfId="0" applyFont="1" applyBorder="1" applyAlignment="1">
      <alignment horizontal="center" vertical="center" wrapText="1"/>
    </xf>
    <xf numFmtId="0" fontId="91" fillId="0" borderId="76" xfId="0" applyFont="1" applyBorder="1" applyAlignment="1">
      <alignment horizontal="justify" vertical="center" wrapText="1"/>
    </xf>
    <xf numFmtId="0" fontId="91" fillId="0" borderId="75" xfId="0" applyFont="1" applyBorder="1" applyAlignment="1">
      <alignment horizontal="justify" vertical="center" wrapText="1"/>
    </xf>
    <xf numFmtId="0" fontId="183" fillId="0" borderId="77" xfId="0" applyFont="1" applyBorder="1" applyAlignment="1">
      <alignment horizontal="center" vertical="center" wrapText="1"/>
    </xf>
    <xf numFmtId="0" fontId="183" fillId="0" borderId="71" xfId="0" applyFont="1" applyBorder="1" applyAlignment="1">
      <alignment horizontal="center" vertical="center" wrapText="1"/>
    </xf>
    <xf numFmtId="0" fontId="91" fillId="0" borderId="44" xfId="0" applyFont="1" applyBorder="1" applyAlignment="1">
      <alignment horizontal="center" vertical="center" wrapText="1"/>
    </xf>
    <xf numFmtId="0" fontId="91" fillId="0" borderId="78" xfId="0" applyFont="1" applyBorder="1" applyAlignment="1">
      <alignment horizontal="center" vertical="center" wrapText="1"/>
    </xf>
    <xf numFmtId="0" fontId="91" fillId="0" borderId="64" xfId="0" applyFont="1" applyBorder="1" applyAlignment="1">
      <alignment horizontal="center" vertical="center" wrapText="1"/>
    </xf>
    <xf numFmtId="0" fontId="91" fillId="0" borderId="65" xfId="0" applyFont="1" applyBorder="1" applyAlignment="1">
      <alignment horizontal="center" vertical="center" wrapText="1"/>
    </xf>
    <xf numFmtId="0" fontId="91" fillId="0" borderId="79" xfId="0" applyFont="1" applyBorder="1" applyAlignment="1">
      <alignment horizontal="center" vertical="center" wrapText="1"/>
    </xf>
    <xf numFmtId="0" fontId="91" fillId="0" borderId="67" xfId="0" applyFont="1" applyBorder="1" applyAlignment="1">
      <alignment horizontal="center" vertical="center" wrapText="1"/>
    </xf>
    <xf numFmtId="0" fontId="181" fillId="0" borderId="69" xfId="0" applyFont="1" applyBorder="1" applyAlignment="1">
      <alignment horizontal="center" vertical="center" wrapText="1"/>
    </xf>
    <xf numFmtId="0" fontId="181" fillId="0" borderId="61" xfId="0" applyFont="1" applyBorder="1" applyAlignment="1">
      <alignment horizontal="center" vertical="center" wrapText="1"/>
    </xf>
    <xf numFmtId="0" fontId="83" fillId="0" borderId="69" xfId="0" applyFont="1" applyBorder="1" applyAlignment="1">
      <alignment horizontal="center" vertical="center" wrapText="1"/>
    </xf>
    <xf numFmtId="0" fontId="83" fillId="0" borderId="61" xfId="0" applyFont="1" applyBorder="1" applyAlignment="1">
      <alignment horizontal="center" vertical="center" wrapText="1"/>
    </xf>
    <xf numFmtId="0" fontId="83" fillId="0" borderId="68" xfId="0" applyFont="1" applyBorder="1" applyAlignment="1">
      <alignment horizontal="center" vertical="center" wrapText="1"/>
    </xf>
    <xf numFmtId="0" fontId="82" fillId="0" borderId="74" xfId="0" applyFont="1" applyBorder="1" applyAlignment="1">
      <alignment horizontal="right" vertical="center" wrapText="1"/>
    </xf>
    <xf numFmtId="0" fontId="85" fillId="0" borderId="76" xfId="0" applyFont="1" applyBorder="1" applyAlignment="1">
      <alignment horizontal="right" vertical="center" wrapText="1"/>
    </xf>
    <xf numFmtId="0" fontId="91" fillId="17" borderId="76" xfId="0" applyFont="1" applyFill="1" applyBorder="1" applyAlignment="1">
      <alignment horizontal="center" vertical="center" wrapText="1"/>
    </xf>
    <xf numFmtId="0" fontId="91" fillId="17" borderId="80" xfId="0" applyFont="1" applyFill="1" applyBorder="1" applyAlignment="1">
      <alignment horizontal="center" vertical="center" wrapText="1"/>
    </xf>
    <xf numFmtId="0" fontId="82" fillId="17" borderId="81" xfId="0" applyFont="1" applyFill="1" applyBorder="1" applyAlignment="1">
      <alignment horizontal="right" vertical="center" wrapText="1"/>
    </xf>
    <xf numFmtId="0" fontId="82" fillId="17" borderId="76" xfId="0" applyFont="1" applyFill="1" applyBorder="1" applyAlignment="1">
      <alignment horizontal="right" vertical="center" wrapText="1"/>
    </xf>
    <xf numFmtId="0" fontId="182" fillId="17" borderId="76" xfId="0" applyFont="1" applyFill="1" applyBorder="1" applyAlignment="1">
      <alignment horizontal="center" vertical="center" wrapText="1"/>
    </xf>
    <xf numFmtId="0" fontId="82" fillId="17" borderId="76" xfId="0" applyFont="1" applyFill="1" applyBorder="1" applyAlignment="1">
      <alignment horizontal="center" vertical="center" wrapText="1"/>
    </xf>
    <xf numFmtId="0" fontId="83" fillId="0" borderId="44" xfId="0" applyFont="1" applyBorder="1" applyAlignment="1">
      <alignment horizontal="justify" vertical="center" wrapText="1"/>
    </xf>
    <xf numFmtId="0" fontId="88" fillId="0" borderId="0" xfId="0" applyFont="1" applyAlignment="1">
      <alignment horizontal="justify" vertical="center" wrapText="1"/>
    </xf>
    <xf numFmtId="0" fontId="82" fillId="0" borderId="0" xfId="0" applyFont="1" applyAlignment="1">
      <alignment horizontal="right" vertical="center" wrapText="1"/>
    </xf>
    <xf numFmtId="0" fontId="83" fillId="0" borderId="0" xfId="0" applyFont="1" applyAlignment="1">
      <alignment vertical="center" wrapText="1"/>
    </xf>
    <xf numFmtId="0" fontId="91" fillId="0" borderId="0" xfId="0" applyFont="1" applyAlignment="1">
      <alignment horizontal="center" vertical="center" wrapText="1"/>
    </xf>
    <xf numFmtId="0" fontId="82" fillId="0" borderId="0" xfId="0" applyFont="1" applyAlignment="1">
      <alignment horizontal="center" vertical="center" wrapText="1"/>
    </xf>
    <xf numFmtId="0" fontId="89" fillId="0" borderId="82" xfId="0" applyFont="1" applyBorder="1" applyAlignment="1">
      <alignment horizontal="right" vertical="center" wrapText="1"/>
    </xf>
    <xf numFmtId="0" fontId="82" fillId="0" borderId="82" xfId="0" applyFont="1" applyBorder="1" applyAlignment="1">
      <alignment horizontal="justify" vertical="center" wrapText="1"/>
    </xf>
    <xf numFmtId="0" fontId="83" fillId="0" borderId="83" xfId="0" applyFont="1" applyBorder="1" applyAlignment="1">
      <alignment horizontal="center" vertical="center" wrapText="1"/>
    </xf>
    <xf numFmtId="0" fontId="90" fillId="0" borderId="85" xfId="0" applyFont="1" applyBorder="1" applyAlignment="1">
      <alignment horizontal="center" vertical="center" wrapText="1"/>
    </xf>
    <xf numFmtId="0" fontId="90" fillId="0" borderId="86" xfId="0" applyFont="1" applyBorder="1" applyAlignment="1">
      <alignment horizontal="center" vertical="center" wrapText="1"/>
    </xf>
    <xf numFmtId="0" fontId="90" fillId="0" borderId="103" xfId="0" applyFont="1" applyBorder="1" applyAlignment="1">
      <alignment horizontal="center" vertical="center" wrapText="1"/>
    </xf>
    <xf numFmtId="0" fontId="90" fillId="0" borderId="106" xfId="0" applyFont="1" applyBorder="1" applyAlignment="1">
      <alignment horizontal="center" vertical="center" wrapText="1"/>
    </xf>
    <xf numFmtId="0" fontId="90" fillId="0" borderId="88" xfId="0" applyFont="1" applyBorder="1" applyAlignment="1">
      <alignment horizontal="justify" vertical="center" wrapText="1"/>
    </xf>
    <xf numFmtId="0" fontId="90" fillId="0" borderId="85" xfId="0" applyFont="1" applyBorder="1" applyAlignment="1">
      <alignment horizontal="justify" vertical="center" wrapText="1"/>
    </xf>
    <xf numFmtId="0" fontId="90" fillId="0" borderId="107" xfId="0" applyFont="1" applyBorder="1" applyAlignment="1">
      <alignment horizontal="justify" vertical="center" wrapText="1"/>
    </xf>
    <xf numFmtId="0" fontId="90" fillId="0" borderId="103" xfId="0" applyFont="1" applyBorder="1" applyAlignment="1">
      <alignment horizontal="justify" vertical="center" wrapText="1"/>
    </xf>
    <xf numFmtId="0" fontId="91" fillId="0" borderId="89" xfId="0" applyFont="1" applyBorder="1" applyAlignment="1">
      <alignment horizontal="justify" vertical="center" wrapText="1"/>
    </xf>
    <xf numFmtId="0" fontId="91" fillId="18" borderId="91" xfId="0" applyFont="1" applyFill="1" applyBorder="1" applyAlignment="1">
      <alignment horizontal="center" vertical="center" wrapText="1"/>
    </xf>
    <xf numFmtId="0" fontId="91" fillId="18" borderId="92" xfId="0" applyFont="1" applyFill="1" applyBorder="1" applyAlignment="1">
      <alignment horizontal="center" vertical="center" wrapText="1"/>
    </xf>
    <xf numFmtId="0" fontId="82" fillId="19" borderId="93" xfId="0" applyFont="1" applyFill="1" applyBorder="1" applyAlignment="1">
      <alignment horizontal="center" vertical="center" wrapText="1"/>
    </xf>
    <xf numFmtId="0" fontId="82" fillId="19" borderId="94" xfId="0" applyFont="1" applyFill="1" applyBorder="1" applyAlignment="1">
      <alignment horizontal="center" vertical="center" wrapText="1"/>
    </xf>
    <xf numFmtId="0" fontId="82" fillId="19" borderId="90" xfId="0" applyFont="1" applyFill="1" applyBorder="1" applyAlignment="1">
      <alignment horizontal="center" vertical="center" wrapText="1"/>
    </xf>
    <xf numFmtId="0" fontId="92" fillId="19" borderId="95" xfId="0" applyFont="1" applyFill="1" applyBorder="1" applyAlignment="1">
      <alignment horizontal="center" vertical="center" wrapText="1"/>
    </xf>
    <xf numFmtId="0" fontId="92" fillId="19" borderId="96" xfId="0" applyFont="1" applyFill="1" applyBorder="1" applyAlignment="1">
      <alignment horizontal="center" vertical="center" wrapText="1"/>
    </xf>
    <xf numFmtId="0" fontId="92" fillId="19" borderId="97" xfId="0" applyFont="1" applyFill="1" applyBorder="1" applyAlignment="1">
      <alignment horizontal="center" vertical="center" wrapText="1"/>
    </xf>
    <xf numFmtId="0" fontId="92" fillId="19" borderId="95" xfId="0" applyFont="1" applyFill="1" applyBorder="1" applyAlignment="1">
      <alignment horizontal="justify" vertical="center" wrapText="1"/>
    </xf>
    <xf numFmtId="0" fontId="92" fillId="19" borderId="96" xfId="0" applyFont="1" applyFill="1" applyBorder="1" applyAlignment="1">
      <alignment horizontal="justify" vertical="center" wrapText="1"/>
    </xf>
    <xf numFmtId="0" fontId="92" fillId="19" borderId="97" xfId="0" applyFont="1" applyFill="1" applyBorder="1" applyAlignment="1">
      <alignment horizontal="justify" vertical="center" wrapText="1"/>
    </xf>
    <xf numFmtId="0" fontId="82" fillId="19" borderId="100" xfId="0" applyFont="1" applyFill="1" applyBorder="1" applyAlignment="1">
      <alignment horizontal="center" vertical="center" wrapText="1"/>
    </xf>
    <xf numFmtId="0" fontId="82" fillId="19" borderId="101" xfId="0" applyFont="1" applyFill="1" applyBorder="1" applyAlignment="1">
      <alignment horizontal="center" vertical="center" wrapText="1"/>
    </xf>
    <xf numFmtId="0" fontId="82" fillId="19" borderId="98" xfId="0" applyFont="1" applyFill="1" applyBorder="1" applyAlignment="1">
      <alignment horizontal="center" vertical="center" wrapText="1"/>
    </xf>
    <xf numFmtId="0" fontId="82" fillId="19" borderId="102" xfId="0" applyFont="1" applyFill="1" applyBorder="1" applyAlignment="1">
      <alignment horizontal="center" vertical="center" wrapText="1"/>
    </xf>
    <xf numFmtId="0" fontId="82" fillId="19" borderId="103" xfId="0" applyFont="1" applyFill="1" applyBorder="1" applyAlignment="1">
      <alignment horizontal="center" vertical="center" wrapText="1"/>
    </xf>
    <xf numFmtId="0" fontId="82" fillId="19" borderId="99" xfId="0" applyFont="1" applyFill="1" applyBorder="1" applyAlignment="1">
      <alignment horizontal="center" vertical="center" wrapText="1"/>
    </xf>
    <xf numFmtId="0" fontId="92" fillId="19" borderId="100" xfId="0" applyFont="1" applyFill="1" applyBorder="1" applyAlignment="1">
      <alignment horizontal="justify" vertical="center" wrapText="1"/>
    </xf>
    <xf numFmtId="0" fontId="92" fillId="19" borderId="101" xfId="0" applyFont="1" applyFill="1" applyBorder="1" applyAlignment="1">
      <alignment horizontal="justify" vertical="center" wrapText="1"/>
    </xf>
    <xf numFmtId="0" fontId="92" fillId="19" borderId="98" xfId="0" applyFont="1" applyFill="1" applyBorder="1" applyAlignment="1">
      <alignment horizontal="justify" vertical="center" wrapText="1"/>
    </xf>
    <xf numFmtId="0" fontId="92" fillId="19" borderId="102" xfId="0" applyFont="1" applyFill="1" applyBorder="1" applyAlignment="1">
      <alignment horizontal="justify" vertical="center" wrapText="1"/>
    </xf>
    <xf numFmtId="0" fontId="92" fillId="19" borderId="103" xfId="0" applyFont="1" applyFill="1" applyBorder="1" applyAlignment="1">
      <alignment horizontal="justify" vertical="center" wrapText="1"/>
    </xf>
    <xf numFmtId="0" fontId="92" fillId="19" borderId="99" xfId="0" applyFont="1" applyFill="1" applyBorder="1" applyAlignment="1">
      <alignment horizontal="justify" vertical="center" wrapText="1"/>
    </xf>
    <xf numFmtId="0" fontId="82" fillId="19" borderId="95" xfId="0" applyFont="1" applyFill="1" applyBorder="1" applyAlignment="1">
      <alignment horizontal="center" vertical="center" wrapText="1"/>
    </xf>
    <xf numFmtId="0" fontId="82" fillId="19" borderId="96" xfId="0" applyFont="1" applyFill="1" applyBorder="1" applyAlignment="1">
      <alignment horizontal="center" vertical="center" wrapText="1"/>
    </xf>
    <xf numFmtId="0" fontId="82" fillId="19" borderId="104" xfId="0" applyFont="1" applyFill="1" applyBorder="1" applyAlignment="1">
      <alignment horizontal="center" vertical="center" wrapText="1"/>
    </xf>
    <xf numFmtId="0" fontId="82" fillId="19" borderId="105" xfId="0" applyFont="1" applyFill="1" applyBorder="1" applyAlignment="1">
      <alignment horizontal="center" vertical="center" wrapText="1"/>
    </xf>
    <xf numFmtId="0" fontId="91" fillId="18" borderId="98" xfId="0" applyFont="1" applyFill="1" applyBorder="1" applyAlignment="1">
      <alignment horizontal="center" vertical="center" wrapText="1"/>
    </xf>
    <xf numFmtId="0" fontId="91" fillId="18" borderId="99" xfId="0" applyFont="1" applyFill="1" applyBorder="1" applyAlignment="1">
      <alignment horizontal="center" vertical="center" wrapText="1"/>
    </xf>
    <xf numFmtId="0" fontId="92" fillId="19" borderId="100" xfId="0" applyFont="1" applyFill="1" applyBorder="1" applyAlignment="1">
      <alignment horizontal="center" vertical="center" wrapText="1"/>
    </xf>
    <xf numFmtId="0" fontId="92" fillId="19" borderId="98" xfId="0" applyFont="1" applyFill="1" applyBorder="1" applyAlignment="1">
      <alignment horizontal="center" vertical="center" wrapText="1"/>
    </xf>
    <xf numFmtId="0" fontId="92" fillId="19" borderId="102" xfId="0" applyFont="1" applyFill="1" applyBorder="1" applyAlignment="1">
      <alignment horizontal="center" vertical="center" wrapText="1"/>
    </xf>
    <xf numFmtId="0" fontId="92" fillId="19" borderId="99" xfId="0" applyFont="1" applyFill="1" applyBorder="1" applyAlignment="1">
      <alignment horizontal="center" vertical="center" wrapText="1"/>
    </xf>
    <xf numFmtId="0" fontId="92" fillId="19" borderId="101" xfId="0" applyFont="1" applyFill="1" applyBorder="1" applyAlignment="1">
      <alignment horizontal="center" vertical="center" wrapText="1"/>
    </xf>
    <xf numFmtId="0" fontId="92" fillId="19" borderId="103" xfId="0" applyFont="1" applyFill="1" applyBorder="1" applyAlignment="1">
      <alignment horizontal="center" vertical="center" wrapText="1"/>
    </xf>
    <xf numFmtId="0" fontId="83" fillId="0" borderId="0" xfId="0" applyFont="1" applyAlignment="1">
      <alignment vertical="top" wrapText="1"/>
    </xf>
    <xf numFmtId="0" fontId="122" fillId="0" borderId="0" xfId="0" applyFont="1" applyAlignment="1">
      <alignment horizontal="center" vertical="center" wrapText="1"/>
    </xf>
    <xf numFmtId="0" fontId="82" fillId="17" borderId="80" xfId="0" applyFont="1" applyFill="1" applyBorder="1" applyAlignment="1">
      <alignment horizontal="center" vertical="center" wrapText="1"/>
    </xf>
    <xf numFmtId="0" fontId="124" fillId="17" borderId="76" xfId="0" applyFont="1" applyFill="1" applyBorder="1" applyAlignment="1">
      <alignment horizontal="center" vertical="center" wrapText="1"/>
    </xf>
    <xf numFmtId="0" fontId="82" fillId="0" borderId="148" xfId="0" applyFont="1" applyBorder="1" applyAlignment="1">
      <alignment horizontal="center" vertical="center" wrapText="1"/>
    </xf>
    <xf numFmtId="0" fontId="164" fillId="0" borderId="69" xfId="0" applyFont="1" applyBorder="1" applyAlignment="1">
      <alignment horizontal="center" vertical="center" wrapText="1"/>
    </xf>
    <xf numFmtId="0" fontId="164" fillId="0" borderId="61" xfId="0" applyFont="1" applyBorder="1" applyAlignment="1">
      <alignment horizontal="center" vertical="center" wrapText="1"/>
    </xf>
    <xf numFmtId="0" fontId="122" fillId="0" borderId="68" xfId="0" applyFont="1" applyBorder="1" applyAlignment="1">
      <alignment horizontal="center" vertical="center" wrapText="1"/>
    </xf>
    <xf numFmtId="0" fontId="122" fillId="0" borderId="69" xfId="0" applyFont="1" applyBorder="1" applyAlignment="1">
      <alignment horizontal="center" vertical="center" wrapText="1"/>
    </xf>
    <xf numFmtId="0" fontId="122" fillId="0" borderId="61" xfId="0" applyFont="1" applyBorder="1" applyAlignment="1">
      <alignment horizontal="center" vertical="center" wrapText="1"/>
    </xf>
    <xf numFmtId="0" fontId="82" fillId="0" borderId="76" xfId="0" applyFont="1" applyBorder="1" applyAlignment="1">
      <alignment horizontal="justify" vertical="center" wrapText="1"/>
    </xf>
    <xf numFmtId="0" fontId="82" fillId="0" borderId="75" xfId="0" applyFont="1" applyBorder="1" applyAlignment="1">
      <alignment horizontal="justify" vertical="center" wrapText="1"/>
    </xf>
    <xf numFmtId="0" fontId="86" fillId="0" borderId="77" xfId="0" applyFont="1" applyBorder="1" applyAlignment="1">
      <alignment horizontal="center" vertical="center" wrapText="1"/>
    </xf>
    <xf numFmtId="0" fontId="86" fillId="0" borderId="71" xfId="0" applyFont="1" applyBorder="1" applyAlignment="1">
      <alignment horizontal="center" vertical="center" wrapText="1"/>
    </xf>
    <xf numFmtId="0" fontId="82" fillId="0" borderId="44" xfId="0" applyFont="1" applyBorder="1" applyAlignment="1">
      <alignment horizontal="center" vertical="center" wrapText="1"/>
    </xf>
    <xf numFmtId="0" fontId="82" fillId="0" borderId="78" xfId="0" applyFont="1" applyBorder="1" applyAlignment="1">
      <alignment horizontal="center" vertical="center" wrapText="1"/>
    </xf>
    <xf numFmtId="0" fontId="82" fillId="0" borderId="79" xfId="0" applyFont="1" applyBorder="1" applyAlignment="1">
      <alignment horizontal="center" vertical="center" wrapText="1"/>
    </xf>
    <xf numFmtId="0" fontId="82" fillId="0" borderId="69" xfId="0" applyFont="1" applyBorder="1" applyAlignment="1">
      <alignment horizontal="justify" vertical="center" wrapText="1"/>
    </xf>
    <xf numFmtId="0" fontId="82" fillId="0" borderId="61" xfId="0" applyFont="1" applyBorder="1" applyAlignment="1">
      <alignment horizontal="justify" vertical="center" wrapText="1"/>
    </xf>
    <xf numFmtId="0" fontId="123" fillId="0" borderId="68" xfId="0" applyFont="1" applyBorder="1" applyAlignment="1">
      <alignment horizontal="center" vertical="center" wrapText="1"/>
    </xf>
    <xf numFmtId="0" fontId="123" fillId="0" borderId="69" xfId="0" applyFont="1" applyBorder="1" applyAlignment="1">
      <alignment horizontal="center" vertical="center" wrapText="1"/>
    </xf>
    <xf numFmtId="0" fontId="82" fillId="0" borderId="62" xfId="0" applyFont="1" applyBorder="1" applyAlignment="1">
      <alignment horizontal="justify" vertical="center" wrapText="1"/>
    </xf>
    <xf numFmtId="0" fontId="82" fillId="0" borderId="63" xfId="0" applyFont="1" applyBorder="1" applyAlignment="1">
      <alignment horizontal="justify" vertical="center" wrapText="1"/>
    </xf>
    <xf numFmtId="0" fontId="82" fillId="0" borderId="71" xfId="0" applyFont="1" applyBorder="1" applyAlignment="1">
      <alignment horizontal="justify" vertical="center" wrapText="1"/>
    </xf>
    <xf numFmtId="0" fontId="82" fillId="0" borderId="72" xfId="0" applyFont="1" applyBorder="1" applyAlignment="1">
      <alignment horizontal="justify" vertical="center" wrapText="1"/>
    </xf>
    <xf numFmtId="0" fontId="82" fillId="0" borderId="68" xfId="0" applyFont="1" applyBorder="1" applyAlignment="1">
      <alignment horizontal="justify" vertical="center" wrapText="1"/>
    </xf>
    <xf numFmtId="0" fontId="82" fillId="0" borderId="73" xfId="0" applyFont="1" applyBorder="1" applyAlignment="1">
      <alignment horizontal="justify" vertical="center" wrapText="1"/>
    </xf>
    <xf numFmtId="0" fontId="82" fillId="0" borderId="70" xfId="0" applyFont="1" applyBorder="1" applyAlignment="1">
      <alignment horizontal="justify" vertical="center" wrapText="1"/>
    </xf>
    <xf numFmtId="0" fontId="122" fillId="0" borderId="73" xfId="0" applyFont="1" applyBorder="1" applyAlignment="1">
      <alignment horizontal="center" vertical="center" wrapText="1"/>
    </xf>
    <xf numFmtId="0" fontId="122" fillId="0" borderId="74" xfId="0" applyFont="1" applyBorder="1" applyAlignment="1">
      <alignment horizontal="center" vertical="center" wrapText="1"/>
    </xf>
    <xf numFmtId="0" fontId="122" fillId="0" borderId="70" xfId="0" applyFont="1" applyBorder="1" applyAlignment="1">
      <alignment horizontal="center" vertical="center" wrapText="1"/>
    </xf>
    <xf numFmtId="0" fontId="82" fillId="0" borderId="74" xfId="0" applyFont="1" applyBorder="1" applyAlignment="1">
      <alignment horizontal="justify" vertical="center" wrapText="1"/>
    </xf>
    <xf numFmtId="0" fontId="82" fillId="0" borderId="59" xfId="0" applyFont="1" applyBorder="1" applyAlignment="1">
      <alignment horizontal="justify" vertical="center" wrapText="1"/>
    </xf>
    <xf numFmtId="0" fontId="82" fillId="0" borderId="58" xfId="0" applyFont="1" applyBorder="1" applyAlignment="1">
      <alignment horizontal="justify" vertical="center" wrapText="1"/>
    </xf>
    <xf numFmtId="0" fontId="122" fillId="0" borderId="60" xfId="0" applyFont="1" applyBorder="1" applyAlignment="1">
      <alignment horizontal="center" vertical="center" wrapText="1"/>
    </xf>
    <xf numFmtId="0" fontId="122" fillId="0" borderId="59" xfId="0" applyFont="1" applyBorder="1" applyAlignment="1">
      <alignment horizontal="center" vertical="center" wrapText="1"/>
    </xf>
    <xf numFmtId="0" fontId="122" fillId="0" borderId="58" xfId="0" applyFont="1" applyBorder="1" applyAlignment="1">
      <alignment horizontal="center" vertical="center" wrapText="1"/>
    </xf>
    <xf numFmtId="0" fontId="82" fillId="0" borderId="60" xfId="0" applyFont="1" applyBorder="1" applyAlignment="1">
      <alignment horizontal="justify" vertical="center" wrapText="1"/>
    </xf>
    <xf numFmtId="0" fontId="122" fillId="0" borderId="66" xfId="0" applyFont="1" applyBorder="1" applyAlignment="1">
      <alignment horizontal="center" vertical="center" wrapText="1"/>
    </xf>
    <xf numFmtId="0" fontId="122" fillId="0" borderId="62" xfId="0" applyFont="1" applyBorder="1" applyAlignment="1">
      <alignment horizontal="center" vertical="center" wrapText="1"/>
    </xf>
    <xf numFmtId="0" fontId="122" fillId="0" borderId="63" xfId="0" applyFont="1" applyBorder="1" applyAlignment="1">
      <alignment horizontal="center" vertical="center" wrapText="1"/>
    </xf>
    <xf numFmtId="0" fontId="122" fillId="0" borderId="67" xfId="0" applyFont="1" applyBorder="1" applyAlignment="1">
      <alignment horizontal="center" vertical="center" wrapText="1"/>
    </xf>
    <xf numFmtId="0" fontId="122" fillId="0" borderId="64" xfId="0" applyFont="1" applyBorder="1" applyAlignment="1">
      <alignment horizontal="center" vertical="center" wrapText="1"/>
    </xf>
    <xf numFmtId="0" fontId="122" fillId="0" borderId="65" xfId="0" applyFont="1" applyBorder="1" applyAlignment="1">
      <alignment horizontal="center" vertical="center" wrapText="1"/>
    </xf>
    <xf numFmtId="0" fontId="82" fillId="0" borderId="66" xfId="0" applyFont="1" applyBorder="1" applyAlignment="1">
      <alignment horizontal="justify" vertical="center" wrapText="1"/>
    </xf>
    <xf numFmtId="0" fontId="82" fillId="0" borderId="64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67" xfId="0" applyFont="1" applyBorder="1" applyAlignment="1">
      <alignment horizontal="justify" vertical="center" wrapText="1"/>
    </xf>
    <xf numFmtId="0" fontId="83" fillId="17" borderId="55" xfId="0" applyFont="1" applyFill="1" applyBorder="1" applyAlignment="1">
      <alignment vertical="top" wrapText="1"/>
    </xf>
    <xf numFmtId="0" fontId="83" fillId="17" borderId="84" xfId="0" applyFont="1" applyFill="1" applyBorder="1" applyAlignment="1">
      <alignment vertical="top" wrapText="1"/>
    </xf>
    <xf numFmtId="0" fontId="84" fillId="17" borderId="55" xfId="0" applyFont="1" applyFill="1" applyBorder="1" applyAlignment="1">
      <alignment vertical="top" wrapText="1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1" fillId="11" borderId="4" xfId="0" applyFont="1" applyFill="1" applyBorder="1" applyAlignment="1">
      <alignment horizontal="center" vertical="center"/>
    </xf>
    <xf numFmtId="0" fontId="30" fillId="11" borderId="5" xfId="0" applyFont="1" applyFill="1" applyBorder="1" applyAlignment="1">
      <alignment horizontal="center" vertical="center"/>
    </xf>
    <xf numFmtId="0" fontId="97" fillId="21" borderId="43" xfId="0" applyFont="1" applyFill="1" applyBorder="1" applyAlignment="1">
      <alignment horizontal="center" vertical="center" wrapText="1"/>
    </xf>
    <xf numFmtId="0" fontId="97" fillId="21" borderId="76" xfId="0" applyFont="1" applyFill="1" applyBorder="1" applyAlignment="1">
      <alignment horizontal="center" vertical="center" wrapText="1"/>
    </xf>
    <xf numFmtId="0" fontId="97" fillId="21" borderId="75" xfId="0" applyFont="1" applyFill="1" applyBorder="1" applyAlignment="1">
      <alignment horizontal="center" vertical="center" wrapText="1"/>
    </xf>
    <xf numFmtId="0" fontId="98" fillId="0" borderId="133" xfId="0" applyFont="1" applyBorder="1" applyAlignment="1">
      <alignment horizontal="left" vertical="center" wrapText="1"/>
    </xf>
    <xf numFmtId="0" fontId="98" fillId="0" borderId="131" xfId="0" applyFont="1" applyBorder="1" applyAlignment="1">
      <alignment horizontal="left" vertical="center" wrapText="1"/>
    </xf>
    <xf numFmtId="0" fontId="100" fillId="0" borderId="112" xfId="0" applyFont="1" applyBorder="1" applyAlignment="1">
      <alignment horizontal="center" vertical="center" wrapText="1"/>
    </xf>
    <xf numFmtId="0" fontId="100" fillId="0" borderId="113" xfId="0" applyFont="1" applyBorder="1" applyAlignment="1">
      <alignment horizontal="center" vertical="center" wrapText="1"/>
    </xf>
    <xf numFmtId="0" fontId="100" fillId="0" borderId="114" xfId="0" applyFont="1" applyBorder="1" applyAlignment="1">
      <alignment horizontal="center" vertical="center" wrapText="1"/>
    </xf>
    <xf numFmtId="0" fontId="99" fillId="22" borderId="112" xfId="0" applyFont="1" applyFill="1" applyBorder="1" applyAlignment="1">
      <alignment horizontal="center" vertical="center" wrapText="1"/>
    </xf>
    <xf numFmtId="0" fontId="99" fillId="22" borderId="113" xfId="0" applyFont="1" applyFill="1" applyBorder="1" applyAlignment="1">
      <alignment horizontal="center" vertical="center" wrapText="1"/>
    </xf>
    <xf numFmtId="0" fontId="99" fillId="22" borderId="114" xfId="0" applyFont="1" applyFill="1" applyBorder="1" applyAlignment="1">
      <alignment horizontal="center" vertical="center" wrapText="1"/>
    </xf>
    <xf numFmtId="0" fontId="101" fillId="0" borderId="112" xfId="0" applyFont="1" applyBorder="1" applyAlignment="1">
      <alignment horizontal="center" vertical="center" wrapText="1"/>
    </xf>
    <xf numFmtId="0" fontId="101" fillId="0" borderId="113" xfId="0" applyFont="1" applyBorder="1" applyAlignment="1">
      <alignment horizontal="center" vertical="center" wrapText="1"/>
    </xf>
    <xf numFmtId="0" fontId="101" fillId="0" borderId="116" xfId="0" applyFont="1" applyBorder="1" applyAlignment="1">
      <alignment horizontal="center" vertical="center" wrapText="1"/>
    </xf>
    <xf numFmtId="0" fontId="100" fillId="0" borderId="43" xfId="0" applyFont="1" applyBorder="1" applyAlignment="1">
      <alignment horizontal="center" vertical="center" wrapText="1"/>
    </xf>
    <xf numFmtId="0" fontId="100" fillId="0" borderId="76" xfId="0" applyFont="1" applyBorder="1" applyAlignment="1">
      <alignment horizontal="center" vertical="center" wrapText="1"/>
    </xf>
    <xf numFmtId="0" fontId="100" fillId="0" borderId="75" xfId="0" applyFont="1" applyBorder="1" applyAlignment="1">
      <alignment horizontal="center" vertical="center" wrapText="1"/>
    </xf>
    <xf numFmtId="0" fontId="99" fillId="22" borderId="43" xfId="0" applyFont="1" applyFill="1" applyBorder="1" applyAlignment="1">
      <alignment horizontal="center" vertical="center" wrapText="1"/>
    </xf>
    <xf numFmtId="0" fontId="99" fillId="22" borderId="76" xfId="0" applyFont="1" applyFill="1" applyBorder="1" applyAlignment="1">
      <alignment horizontal="center" vertical="center" wrapText="1"/>
    </xf>
    <xf numFmtId="0" fontId="99" fillId="22" borderId="75" xfId="0" applyFont="1" applyFill="1" applyBorder="1" applyAlignment="1">
      <alignment horizontal="center" vertical="center" wrapText="1"/>
    </xf>
    <xf numFmtId="0" fontId="101" fillId="0" borderId="43" xfId="0" applyFont="1" applyBorder="1" applyAlignment="1">
      <alignment horizontal="center" vertical="center" wrapText="1"/>
    </xf>
    <xf numFmtId="0" fontId="101" fillId="0" borderId="76" xfId="0" applyFont="1" applyBorder="1" applyAlignment="1">
      <alignment horizontal="center" vertical="center" wrapText="1"/>
    </xf>
    <xf numFmtId="0" fontId="101" fillId="0" borderId="119" xfId="0" applyFont="1" applyBorder="1" applyAlignment="1">
      <alignment horizontal="center" vertical="center" wrapText="1"/>
    </xf>
    <xf numFmtId="0" fontId="99" fillId="22" borderId="120" xfId="0" applyFont="1" applyFill="1" applyBorder="1" applyAlignment="1">
      <alignment horizontal="center" vertical="center" wrapText="1"/>
    </xf>
    <xf numFmtId="0" fontId="99" fillId="22" borderId="121" xfId="0" applyFont="1" applyFill="1" applyBorder="1" applyAlignment="1">
      <alignment horizontal="center" vertical="center" wrapText="1"/>
    </xf>
    <xf numFmtId="0" fontId="101" fillId="0" borderId="44" xfId="0" applyFont="1" applyBorder="1" applyAlignment="1">
      <alignment horizontal="center" vertical="center" wrapText="1"/>
    </xf>
    <xf numFmtId="0" fontId="101" fillId="0" borderId="123" xfId="0" applyFont="1" applyBorder="1" applyAlignment="1">
      <alignment horizontal="center" vertical="center" wrapText="1"/>
    </xf>
    <xf numFmtId="0" fontId="101" fillId="0" borderId="71" xfId="0" applyFont="1" applyBorder="1" applyAlignment="1">
      <alignment horizontal="center" vertical="center" wrapText="1"/>
    </xf>
    <xf numFmtId="0" fontId="101" fillId="0" borderId="124" xfId="0" applyFont="1" applyBorder="1" applyAlignment="1">
      <alignment horizontal="center" vertical="center" wrapText="1"/>
    </xf>
    <xf numFmtId="0" fontId="100" fillId="0" borderId="119" xfId="0" applyFont="1" applyBorder="1" applyAlignment="1">
      <alignment horizontal="center" vertical="center" wrapText="1"/>
    </xf>
    <xf numFmtId="0" fontId="100" fillId="0" borderId="122" xfId="0" applyFont="1" applyBorder="1" applyAlignment="1">
      <alignment horizontal="center" vertical="center" wrapText="1"/>
    </xf>
    <xf numFmtId="0" fontId="100" fillId="0" borderId="44" xfId="0" applyFont="1" applyBorder="1" applyAlignment="1">
      <alignment horizontal="center" vertical="center" wrapText="1"/>
    </xf>
    <xf numFmtId="0" fontId="100" fillId="0" borderId="123" xfId="0" applyFont="1" applyBorder="1" applyAlignment="1">
      <alignment horizontal="center" vertical="center" wrapText="1"/>
    </xf>
    <xf numFmtId="0" fontId="100" fillId="0" borderId="134" xfId="0" applyFont="1" applyBorder="1" applyAlignment="1">
      <alignment horizontal="center" vertical="center" wrapText="1"/>
    </xf>
    <xf numFmtId="0" fontId="100" fillId="0" borderId="135" xfId="0" applyFont="1" applyBorder="1" applyAlignment="1">
      <alignment horizontal="center" vertical="center" wrapText="1"/>
    </xf>
    <xf numFmtId="0" fontId="100" fillId="0" borderId="136" xfId="0" applyFont="1" applyBorder="1" applyAlignment="1">
      <alignment horizontal="center" vertical="center" wrapText="1"/>
    </xf>
    <xf numFmtId="0" fontId="103" fillId="0" borderId="137" xfId="0" applyFont="1" applyBorder="1" applyAlignment="1">
      <alignment horizontal="justify" vertical="center" wrapText="1"/>
    </xf>
    <xf numFmtId="0" fontId="103" fillId="0" borderId="125" xfId="0" applyFont="1" applyBorder="1" applyAlignment="1">
      <alignment horizontal="justify" vertical="center" wrapText="1"/>
    </xf>
    <xf numFmtId="0" fontId="99" fillId="22" borderId="126" xfId="0" applyFont="1" applyFill="1" applyBorder="1" applyAlignment="1">
      <alignment horizontal="center" vertical="center" wrapText="1"/>
    </xf>
    <xf numFmtId="0" fontId="99" fillId="22" borderId="138" xfId="0" applyFont="1" applyFill="1" applyBorder="1" applyAlignment="1">
      <alignment horizontal="center" vertical="center" wrapText="1"/>
    </xf>
    <xf numFmtId="0" fontId="99" fillId="22" borderId="130" xfId="0" applyFont="1" applyFill="1" applyBorder="1" applyAlignment="1">
      <alignment horizontal="center" vertical="center" wrapText="1"/>
    </xf>
    <xf numFmtId="0" fontId="99" fillId="22" borderId="139" xfId="0" applyFont="1" applyFill="1" applyBorder="1" applyAlignment="1">
      <alignment horizontal="center" vertical="center" wrapText="1"/>
    </xf>
    <xf numFmtId="0" fontId="104" fillId="0" borderId="130" xfId="0" applyFont="1" applyBorder="1" applyAlignment="1">
      <alignment horizontal="center" vertical="center" wrapText="1"/>
    </xf>
    <xf numFmtId="0" fontId="104" fillId="0" borderId="131" xfId="0" applyFont="1" applyBorder="1" applyAlignment="1">
      <alignment horizontal="center" vertical="center" wrapText="1"/>
    </xf>
    <xf numFmtId="0" fontId="104" fillId="0" borderId="139" xfId="0" applyFont="1" applyBorder="1" applyAlignment="1">
      <alignment horizontal="center" vertical="center" wrapText="1"/>
    </xf>
    <xf numFmtId="0" fontId="101" fillId="0" borderId="130" xfId="0" applyFont="1" applyBorder="1" applyAlignment="1">
      <alignment horizontal="center" vertical="center" wrapText="1"/>
    </xf>
    <xf numFmtId="0" fontId="101" fillId="0" borderId="131" xfId="0" applyFont="1" applyBorder="1" applyAlignment="1">
      <alignment horizontal="center" vertical="center" wrapText="1"/>
    </xf>
    <xf numFmtId="0" fontId="101" fillId="0" borderId="132" xfId="0" applyFont="1" applyBorder="1" applyAlignment="1">
      <alignment horizontal="center" vertical="center" wrapText="1"/>
    </xf>
    <xf numFmtId="0" fontId="98" fillId="0" borderId="125" xfId="0" applyFont="1" applyBorder="1" applyAlignment="1">
      <alignment horizontal="left" vertical="center" wrapText="1"/>
    </xf>
    <xf numFmtId="0" fontId="102" fillId="0" borderId="112" xfId="0" applyFont="1" applyBorder="1" applyAlignment="1">
      <alignment horizontal="justify" vertical="center" wrapText="1"/>
    </xf>
    <xf numFmtId="0" fontId="102" fillId="0" borderId="113" xfId="0" applyFont="1" applyBorder="1" applyAlignment="1">
      <alignment horizontal="justify" vertical="center" wrapText="1"/>
    </xf>
    <xf numFmtId="0" fontId="102" fillId="0" borderId="116" xfId="0" applyFont="1" applyBorder="1" applyAlignment="1">
      <alignment horizontal="justify" vertical="center" wrapText="1"/>
    </xf>
    <xf numFmtId="0" fontId="99" fillId="22" borderId="127" xfId="0" applyFont="1" applyFill="1" applyBorder="1" applyAlignment="1">
      <alignment horizontal="center" vertical="center" wrapText="1"/>
    </xf>
    <xf numFmtId="0" fontId="102" fillId="0" borderId="43" xfId="0" applyFont="1" applyBorder="1" applyAlignment="1">
      <alignment horizontal="center" vertical="center" wrapText="1"/>
    </xf>
    <xf numFmtId="0" fontId="102" fillId="0" borderId="76" xfId="0" applyFont="1" applyBorder="1" applyAlignment="1">
      <alignment horizontal="center" vertical="center" wrapText="1"/>
    </xf>
    <xf numFmtId="0" fontId="102" fillId="0" borderId="75" xfId="0" applyFont="1" applyBorder="1" applyAlignment="1">
      <alignment horizontal="center" vertical="center" wrapText="1"/>
    </xf>
    <xf numFmtId="0" fontId="102" fillId="0" borderId="43" xfId="0" applyFont="1" applyBorder="1" applyAlignment="1">
      <alignment horizontal="justify" vertical="center" wrapText="1"/>
    </xf>
    <xf numFmtId="0" fontId="102" fillId="0" borderId="76" xfId="0" applyFont="1" applyBorder="1" applyAlignment="1">
      <alignment horizontal="justify" vertical="center" wrapText="1"/>
    </xf>
    <xf numFmtId="0" fontId="102" fillId="0" borderId="119" xfId="0" applyFont="1" applyBorder="1" applyAlignment="1">
      <alignment horizontal="justify" vertical="center" wrapText="1"/>
    </xf>
    <xf numFmtId="0" fontId="102" fillId="0" borderId="122" xfId="0" applyFont="1" applyBorder="1" applyAlignment="1">
      <alignment horizontal="center" vertical="center" wrapText="1"/>
    </xf>
    <xf numFmtId="0" fontId="102" fillId="0" borderId="44" xfId="0" applyFont="1" applyBorder="1" applyAlignment="1">
      <alignment horizontal="center" vertical="center" wrapText="1"/>
    </xf>
    <xf numFmtId="0" fontId="102" fillId="0" borderId="42" xfId="0" applyFont="1" applyBorder="1" applyAlignment="1">
      <alignment horizontal="center" vertical="center" wrapText="1"/>
    </xf>
    <xf numFmtId="0" fontId="102" fillId="0" borderId="77" xfId="0" applyFont="1" applyBorder="1" applyAlignment="1">
      <alignment horizontal="center" vertical="center" wrapText="1"/>
    </xf>
    <xf numFmtId="0" fontId="102" fillId="0" borderId="71" xfId="0" applyFont="1" applyBorder="1" applyAlignment="1">
      <alignment horizontal="center" vertical="center" wrapText="1"/>
    </xf>
    <xf numFmtId="0" fontId="102" fillId="0" borderId="39" xfId="0" applyFont="1" applyBorder="1" applyAlignment="1">
      <alignment horizontal="center" vertical="center" wrapText="1"/>
    </xf>
    <xf numFmtId="0" fontId="102" fillId="0" borderId="122" xfId="0" applyFont="1" applyBorder="1" applyAlignment="1">
      <alignment horizontal="justify" vertical="center" wrapText="1"/>
    </xf>
    <xf numFmtId="0" fontId="102" fillId="0" borderId="44" xfId="0" applyFont="1" applyBorder="1" applyAlignment="1">
      <alignment horizontal="justify" vertical="center" wrapText="1"/>
    </xf>
    <xf numFmtId="0" fontId="102" fillId="0" borderId="123" xfId="0" applyFont="1" applyBorder="1" applyAlignment="1">
      <alignment horizontal="justify" vertical="center" wrapText="1"/>
    </xf>
    <xf numFmtId="0" fontId="102" fillId="0" borderId="77" xfId="0" applyFont="1" applyBorder="1" applyAlignment="1">
      <alignment horizontal="justify" vertical="center" wrapText="1"/>
    </xf>
    <xf numFmtId="0" fontId="102" fillId="0" borderId="71" xfId="0" applyFont="1" applyBorder="1" applyAlignment="1">
      <alignment horizontal="justify" vertical="center" wrapText="1"/>
    </xf>
    <xf numFmtId="0" fontId="102" fillId="0" borderId="124" xfId="0" applyFont="1" applyBorder="1" applyAlignment="1">
      <alignment horizontal="justify" vertical="center" wrapText="1"/>
    </xf>
    <xf numFmtId="0" fontId="22" fillId="0" borderId="130" xfId="0" applyFont="1" applyBorder="1" applyAlignment="1">
      <alignment horizontal="justify" vertical="center" wrapText="1"/>
    </xf>
    <xf numFmtId="0" fontId="22" fillId="0" borderId="131" xfId="0" applyFont="1" applyBorder="1" applyAlignment="1">
      <alignment horizontal="justify" vertical="center" wrapText="1"/>
    </xf>
    <xf numFmtId="0" fontId="22" fillId="0" borderId="132" xfId="0" applyFont="1" applyBorder="1" applyAlignment="1">
      <alignment horizontal="justify" vertical="center" wrapText="1"/>
    </xf>
    <xf numFmtId="0" fontId="98" fillId="0" borderId="135" xfId="0" applyFont="1" applyBorder="1" applyAlignment="1">
      <alignment horizontal="left" vertical="center" wrapText="1"/>
    </xf>
    <xf numFmtId="0" fontId="106" fillId="0" borderId="112" xfId="0" applyFont="1" applyBorder="1" applyAlignment="1">
      <alignment horizontal="center" vertical="center" wrapText="1"/>
    </xf>
    <xf numFmtId="0" fontId="106" fillId="0" borderId="113" xfId="0" applyFont="1" applyBorder="1" applyAlignment="1">
      <alignment horizontal="center" vertical="center" wrapText="1"/>
    </xf>
    <xf numFmtId="0" fontId="106" fillId="0" borderId="116" xfId="0" applyFont="1" applyBorder="1" applyAlignment="1">
      <alignment horizontal="center" vertical="center" wrapText="1"/>
    </xf>
    <xf numFmtId="0" fontId="106" fillId="0" borderId="43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119" xfId="0" applyFont="1" applyBorder="1" applyAlignment="1">
      <alignment horizontal="center" vertical="center" wrapText="1"/>
    </xf>
    <xf numFmtId="0" fontId="41" fillId="0" borderId="43" xfId="0" applyFont="1" applyBorder="1" applyAlignment="1">
      <alignment horizontal="justify" vertical="center" wrapText="1"/>
    </xf>
    <xf numFmtId="0" fontId="41" fillId="0" borderId="76" xfId="0" applyFont="1" applyBorder="1" applyAlignment="1">
      <alignment horizontal="justify" vertical="center" wrapText="1"/>
    </xf>
    <xf numFmtId="0" fontId="41" fillId="0" borderId="119" xfId="0" applyFont="1" applyBorder="1" applyAlignment="1">
      <alignment horizontal="justify" vertical="center" wrapText="1"/>
    </xf>
    <xf numFmtId="0" fontId="41" fillId="0" borderId="122" xfId="0" applyFont="1" applyBorder="1" applyAlignment="1">
      <alignment horizontal="justify" vertical="center" wrapText="1"/>
    </xf>
    <xf numFmtId="0" fontId="41" fillId="0" borderId="44" xfId="0" applyFont="1" applyBorder="1" applyAlignment="1">
      <alignment horizontal="justify" vertical="center" wrapText="1"/>
    </xf>
    <xf numFmtId="0" fontId="41" fillId="0" borderId="123" xfId="0" applyFont="1" applyBorder="1" applyAlignment="1">
      <alignment horizontal="justify" vertical="center" wrapText="1"/>
    </xf>
    <xf numFmtId="0" fontId="41" fillId="0" borderId="77" xfId="0" applyFont="1" applyBorder="1" applyAlignment="1">
      <alignment horizontal="justify" vertical="center" wrapText="1"/>
    </xf>
    <xf numFmtId="0" fontId="41" fillId="0" borderId="71" xfId="0" applyFont="1" applyBorder="1" applyAlignment="1">
      <alignment horizontal="justify" vertical="center" wrapText="1"/>
    </xf>
    <xf numFmtId="0" fontId="41" fillId="0" borderId="124" xfId="0" applyFont="1" applyBorder="1" applyAlignment="1">
      <alignment horizontal="justify" vertical="center" wrapText="1"/>
    </xf>
    <xf numFmtId="0" fontId="108" fillId="0" borderId="122" xfId="0" applyFont="1" applyBorder="1" applyAlignment="1">
      <alignment horizontal="left" vertical="center" wrapText="1"/>
    </xf>
    <xf numFmtId="0" fontId="108" fillId="0" borderId="44" xfId="0" applyFont="1" applyBorder="1" applyAlignment="1">
      <alignment horizontal="left" vertical="center" wrapText="1"/>
    </xf>
    <xf numFmtId="0" fontId="108" fillId="0" borderId="123" xfId="0" applyFont="1" applyBorder="1" applyAlignment="1">
      <alignment horizontal="left" vertical="center" wrapText="1"/>
    </xf>
    <xf numFmtId="0" fontId="108" fillId="0" borderId="77" xfId="0" applyFont="1" applyBorder="1" applyAlignment="1">
      <alignment horizontal="left" vertical="center" wrapText="1"/>
    </xf>
    <xf numFmtId="0" fontId="108" fillId="0" borderId="71" xfId="0" applyFont="1" applyBorder="1" applyAlignment="1">
      <alignment horizontal="left" vertical="center" wrapText="1"/>
    </xf>
    <xf numFmtId="0" fontId="108" fillId="0" borderId="124" xfId="0" applyFont="1" applyBorder="1" applyAlignment="1">
      <alignment horizontal="left" vertical="center" wrapText="1"/>
    </xf>
    <xf numFmtId="0" fontId="99" fillId="0" borderId="43" xfId="0" applyFont="1" applyBorder="1" applyAlignment="1">
      <alignment horizontal="center" vertical="center" wrapText="1"/>
    </xf>
    <xf numFmtId="0" fontId="99" fillId="0" borderId="76" xfId="0" applyFont="1" applyBorder="1" applyAlignment="1">
      <alignment horizontal="center" vertical="center" wrapText="1"/>
    </xf>
    <xf numFmtId="0" fontId="99" fillId="0" borderId="75" xfId="0" applyFont="1" applyBorder="1" applyAlignment="1">
      <alignment horizontal="center" vertical="center" wrapText="1"/>
    </xf>
    <xf numFmtId="0" fontId="108" fillId="0" borderId="43" xfId="0" applyFont="1" applyBorder="1" applyAlignment="1">
      <alignment horizontal="center" vertical="center" wrapText="1"/>
    </xf>
    <xf numFmtId="0" fontId="108" fillId="0" borderId="76" xfId="0" applyFont="1" applyBorder="1" applyAlignment="1">
      <alignment horizontal="center" vertical="center" wrapText="1"/>
    </xf>
    <xf numFmtId="0" fontId="108" fillId="0" borderId="119" xfId="0" applyFont="1" applyBorder="1" applyAlignment="1">
      <alignment horizontal="center" vertical="center" wrapText="1"/>
    </xf>
    <xf numFmtId="0" fontId="102" fillId="0" borderId="119" xfId="0" applyFont="1" applyBorder="1" applyAlignment="1">
      <alignment horizontal="center" vertical="center" wrapText="1"/>
    </xf>
    <xf numFmtId="0" fontId="99" fillId="23" borderId="130" xfId="0" applyFont="1" applyFill="1" applyBorder="1" applyAlignment="1">
      <alignment horizontal="center" vertical="center" wrapText="1"/>
    </xf>
    <xf numFmtId="0" fontId="99" fillId="23" borderId="131" xfId="0" applyFont="1" applyFill="1" applyBorder="1" applyAlignment="1">
      <alignment horizontal="center" vertical="center" wrapText="1"/>
    </xf>
    <xf numFmtId="0" fontId="99" fillId="23" borderId="139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/>
    <xf numFmtId="177" fontId="9" fillId="0" borderId="1" xfId="0" applyNumberFormat="1" applyFont="1" applyBorder="1" applyAlignment="1">
      <alignment horizontal="center" vertical="center"/>
    </xf>
    <xf numFmtId="0" fontId="21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178" fontId="9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0" fontId="4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0" fillId="0" borderId="1" xfId="0" applyBorder="1"/>
    <xf numFmtId="177" fontId="12" fillId="0" borderId="1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0" fontId="30" fillId="3" borderId="4" xfId="0" applyFont="1" applyFill="1" applyBorder="1" applyAlignment="1">
      <alignment horizontal="center" vertical="center"/>
    </xf>
    <xf numFmtId="0" fontId="30" fillId="3" borderId="22" xfId="0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35" fillId="3" borderId="5" xfId="0" applyFont="1" applyFill="1" applyBorder="1" applyAlignment="1">
      <alignment horizontal="center" vertical="center"/>
    </xf>
    <xf numFmtId="0" fontId="69" fillId="3" borderId="4" xfId="0" applyFont="1" applyFill="1" applyBorder="1" applyAlignment="1">
      <alignment horizontal="center" vertical="center"/>
    </xf>
    <xf numFmtId="0" fontId="69" fillId="3" borderId="22" xfId="0" applyFont="1" applyFill="1" applyBorder="1" applyAlignment="1">
      <alignment horizontal="center" vertical="center"/>
    </xf>
    <xf numFmtId="0" fontId="46" fillId="3" borderId="4" xfId="0" applyFont="1" applyFill="1" applyBorder="1" applyAlignment="1">
      <alignment horizontal="center" vertical="center"/>
    </xf>
    <xf numFmtId="0" fontId="58" fillId="3" borderId="4" xfId="0" applyFont="1" applyFill="1" applyBorder="1" applyAlignment="1">
      <alignment horizontal="center" vertical="center"/>
    </xf>
    <xf numFmtId="0" fontId="66" fillId="0" borderId="19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68" xfId="0" applyFont="1" applyBorder="1" applyAlignment="1">
      <alignment horizontal="center" vertical="center" wrapText="1"/>
    </xf>
    <xf numFmtId="0" fontId="27" fillId="0" borderId="69" xfId="0" applyFont="1" applyBorder="1" applyAlignment="1">
      <alignment horizontal="center" vertical="center" wrapText="1"/>
    </xf>
    <xf numFmtId="0" fontId="83" fillId="0" borderId="73" xfId="0" applyFont="1" applyBorder="1" applyAlignment="1">
      <alignment horizontal="center" vertical="center" wrapText="1"/>
    </xf>
    <xf numFmtId="0" fontId="83" fillId="0" borderId="74" xfId="0" applyFont="1" applyBorder="1" applyAlignment="1">
      <alignment horizontal="center" vertical="center" wrapText="1"/>
    </xf>
    <xf numFmtId="0" fontId="83" fillId="0" borderId="70" xfId="0" applyFont="1" applyBorder="1" applyAlignment="1">
      <alignment horizontal="center" vertical="center" wrapText="1"/>
    </xf>
    <xf numFmtId="0" fontId="81" fillId="0" borderId="87" xfId="0" applyFont="1" applyBorder="1" applyAlignment="1">
      <alignment horizontal="center" vertical="center" wrapText="1"/>
    </xf>
    <xf numFmtId="176" fontId="82" fillId="0" borderId="60" xfId="0" applyNumberFormat="1" applyFont="1" applyBorder="1" applyAlignment="1">
      <alignment horizontal="center" vertical="center" wrapText="1"/>
    </xf>
    <xf numFmtId="176" fontId="83" fillId="0" borderId="60" xfId="0" applyNumberFormat="1" applyFont="1" applyBorder="1" applyAlignment="1">
      <alignment horizontal="center" vertical="center" wrapText="1"/>
    </xf>
    <xf numFmtId="0" fontId="83" fillId="0" borderId="59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7" fillId="17" borderId="76" xfId="0" applyFont="1" applyFill="1" applyBorder="1" applyAlignment="1">
      <alignment vertical="center" wrapText="1"/>
    </xf>
    <xf numFmtId="0" fontId="83" fillId="0" borderId="66" xfId="0" applyFont="1" applyBorder="1" applyAlignment="1">
      <alignment horizontal="center" vertical="center" wrapText="1"/>
    </xf>
    <xf numFmtId="0" fontId="83" fillId="0" borderId="62" xfId="0" applyFont="1" applyBorder="1" applyAlignment="1">
      <alignment horizontal="center" vertical="center" wrapText="1"/>
    </xf>
    <xf numFmtId="0" fontId="83" fillId="0" borderId="63" xfId="0" applyFont="1" applyBorder="1" applyAlignment="1">
      <alignment horizontal="center" vertical="center" wrapText="1"/>
    </xf>
    <xf numFmtId="0" fontId="83" fillId="0" borderId="67" xfId="0" applyFont="1" applyBorder="1" applyAlignment="1">
      <alignment horizontal="center" vertical="center" wrapText="1"/>
    </xf>
    <xf numFmtId="0" fontId="83" fillId="0" borderId="64" xfId="0" applyFont="1" applyBorder="1" applyAlignment="1">
      <alignment horizontal="center" vertical="center" wrapText="1"/>
    </xf>
    <xf numFmtId="0" fontId="83" fillId="0" borderId="65" xfId="0" applyFont="1" applyBorder="1" applyAlignment="1">
      <alignment horizontal="center" vertical="center" wrapText="1"/>
    </xf>
    <xf numFmtId="0" fontId="4" fillId="2" borderId="7" xfId="0" applyFont="1" applyFill="1" applyBorder="1" applyAlignment="1">
      <alignment horizontal="left" vertical="center"/>
    </xf>
    <xf numFmtId="0" fontId="4" fillId="2" borderId="46" xfId="0" applyFont="1" applyFill="1" applyBorder="1" applyAlignment="1">
      <alignment horizontal="left" vertical="center"/>
    </xf>
    <xf numFmtId="0" fontId="169" fillId="31" borderId="145" xfId="0" applyFont="1" applyFill="1" applyBorder="1" applyAlignment="1">
      <alignment horizontal="center" vertical="center"/>
    </xf>
    <xf numFmtId="0" fontId="169" fillId="31" borderId="142" xfId="0" applyFont="1" applyFill="1" applyBorder="1" applyAlignment="1">
      <alignment horizontal="center" vertical="center"/>
    </xf>
    <xf numFmtId="0" fontId="169" fillId="31" borderId="160" xfId="0" applyFont="1" applyFill="1" applyBorder="1" applyAlignment="1">
      <alignment vertical="center"/>
    </xf>
    <xf numFmtId="0" fontId="69" fillId="3" borderId="7" xfId="0" applyFont="1" applyFill="1" applyBorder="1" applyAlignment="1">
      <alignment horizontal="center" vertical="center"/>
    </xf>
    <xf numFmtId="0" fontId="69" fillId="3" borderId="46" xfId="0" applyFont="1" applyFill="1" applyBorder="1" applyAlignment="1">
      <alignment horizontal="center" vertical="center"/>
    </xf>
    <xf numFmtId="0" fontId="22" fillId="0" borderId="173" xfId="0" applyFont="1" applyBorder="1" applyAlignment="1">
      <alignment vertical="center"/>
    </xf>
    <xf numFmtId="0" fontId="22" fillId="0" borderId="172" xfId="0" applyFont="1" applyBorder="1" applyAlignment="1">
      <alignment vertical="center"/>
    </xf>
    <xf numFmtId="0" fontId="176" fillId="32" borderId="3" xfId="0" applyFont="1" applyFill="1" applyBorder="1" applyAlignment="1">
      <alignment vertical="center" wrapText="1"/>
    </xf>
    <xf numFmtId="0" fontId="176" fillId="32" borderId="7" xfId="0" applyFont="1" applyFill="1" applyBorder="1" applyAlignment="1">
      <alignment vertical="center" wrapText="1"/>
    </xf>
    <xf numFmtId="0" fontId="184" fillId="31" borderId="145" xfId="0" applyFont="1" applyFill="1" applyBorder="1" applyAlignment="1">
      <alignment horizontal="center" vertical="center"/>
    </xf>
    <xf numFmtId="0" fontId="184" fillId="31" borderId="142" xfId="0" applyFont="1" applyFill="1" applyBorder="1" applyAlignment="1">
      <alignment horizontal="center" vertical="center"/>
    </xf>
    <xf numFmtId="0" fontId="4" fillId="2" borderId="53" xfId="0" applyFont="1" applyFill="1" applyBorder="1" applyAlignment="1">
      <alignment horizontal="left" vertical="center"/>
    </xf>
    <xf numFmtId="0" fontId="4" fillId="2" borderId="171" xfId="0" applyFont="1" applyFill="1" applyBorder="1" applyAlignment="1">
      <alignment horizontal="left" vertical="center"/>
    </xf>
    <xf numFmtId="0" fontId="70" fillId="3" borderId="7" xfId="0" applyFont="1" applyFill="1" applyBorder="1" applyAlignment="1">
      <alignment horizontal="center" vertical="center"/>
    </xf>
    <xf numFmtId="176" fontId="5" fillId="2" borderId="109" xfId="0" applyNumberFormat="1" applyFont="1" applyFill="1" applyBorder="1" applyAlignment="1">
      <alignment horizontal="left" vertical="center"/>
    </xf>
  </cellXfs>
  <cellStyles count="4">
    <cellStyle name="나쁨" xfId="2" builtinId="27"/>
    <cellStyle name="표준" xfId="0" builtinId="0"/>
    <cellStyle name="표준 2" xfId="3" xr:uid="{751D343F-DA69-4A4F-AFB8-E24B97E8BF2A}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checked="Checked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22" fmlaLink="목차!$B$1" fmlaRange="$C$5:$C$28" noThreeD="1" sel="5" val="5"/>
</file>

<file path=xl/ctrlProps/ctrlProp46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47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48.xml><?xml version="1.0" encoding="utf-8"?>
<formControlPr xmlns="http://schemas.microsoft.com/office/spreadsheetml/2009/9/main" objectType="Drop" dropStyle="combo" dx="22" fmlaLink="목차!$B$1" fmlaRange="목차!$C$5:$C$42" noThreeD="1" sel="5" val="3"/>
</file>

<file path=xl/ctrlProps/ctrlProp49.xml><?xml version="1.0" encoding="utf-8"?>
<formControlPr xmlns="http://schemas.microsoft.com/office/spreadsheetml/2009/9/main" objectType="Drop" dropStyle="combo" dx="22" fmlaLink="목차!$B$1" fmlaRange="목차!$C$5:$C$42" noThreeD="1" sel="5" val="4"/>
</file>

<file path=xl/ctrlProps/ctrlProp50.xml><?xml version="1.0" encoding="utf-8"?>
<formControlPr xmlns="http://schemas.microsoft.com/office/spreadsheetml/2009/9/main" objectType="Drop" dropStyle="combo" dx="22" fmlaLink="목차!$B$1" fmlaRange="목차!$C$5:$C$42" noThreeD="1" sel="5" val="16"/>
</file>

<file path=xl/ctrlProps/ctrlProp51.xml><?xml version="1.0" encoding="utf-8"?>
<formControlPr xmlns="http://schemas.microsoft.com/office/spreadsheetml/2009/9/main" objectType="Drop" dropStyle="combo" dx="22" fmlaLink="목차!$B$1" fmlaRange="목차!$C$5:$C$42" noThreeD="1" sel="5" val="3"/>
</file>

<file path=xl/ctrlProps/ctrlProp52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3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54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55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6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7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58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9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60.xml><?xml version="1.0" encoding="utf-8"?>
<formControlPr xmlns="http://schemas.microsoft.com/office/spreadsheetml/2009/9/main" objectType="Drop" dropStyle="combo" dx="22" fmlaLink="목차!$B$1" fmlaRange="목차!$C$5:$C$42" noThreeD="1" sel="5" val="8"/>
</file>

<file path=xl/ctrlProps/ctrlProp61.xml><?xml version="1.0" encoding="utf-8"?>
<formControlPr xmlns="http://schemas.microsoft.com/office/spreadsheetml/2009/9/main" objectType="Drop" dropStyle="combo" dx="22" fmlaLink="목차!$B$1" fmlaRange="목차!$C$5:$C$42" noThreeD="1" sel="5" val="15"/>
</file>

<file path=xl/ctrlProps/ctrlProp62.xml><?xml version="1.0" encoding="utf-8"?>
<formControlPr xmlns="http://schemas.microsoft.com/office/spreadsheetml/2009/9/main" objectType="Drop" dropStyle="combo" dx="22" fmlaLink="목차!$B$1" fmlaRange="목차!$C$5:$C$42" noThreeD="1" sel="5" val="7"/>
</file>

<file path=xl/ctrlProps/ctrlProp63.xml><?xml version="1.0" encoding="utf-8"?>
<formControlPr xmlns="http://schemas.microsoft.com/office/spreadsheetml/2009/9/main" objectType="Drop" dropStyle="combo" dx="22" fmlaLink="목차!$B$1" fmlaRange="목차!$C$5:$C$42" noThreeD="1" sel="5" val="1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0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10</xdr:row>
          <xdr:rowOff>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15</xdr:row>
          <xdr:rowOff>9525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9525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228600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25</xdr:row>
          <xdr:rowOff>342900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28</xdr:row>
          <xdr:rowOff>9525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29</xdr:row>
          <xdr:rowOff>9525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30</xdr:row>
          <xdr:rowOff>9525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31</xdr:row>
          <xdr:rowOff>9525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34</xdr:row>
          <xdr:rowOff>9525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34</xdr:row>
          <xdr:rowOff>9525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34</xdr:row>
          <xdr:rowOff>381000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36</xdr:row>
          <xdr:rowOff>9525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38</xdr:row>
          <xdr:rowOff>9525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41</xdr:row>
          <xdr:rowOff>9525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42</xdr:row>
          <xdr:rowOff>9525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43</xdr:row>
          <xdr:rowOff>9525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44</xdr:row>
          <xdr:rowOff>9525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45</xdr:row>
          <xdr:rowOff>9525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47</xdr:row>
          <xdr:rowOff>9525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48</xdr:row>
          <xdr:rowOff>9525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49</xdr:row>
          <xdr:rowOff>9525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37</xdr:row>
          <xdr:rowOff>38100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46</xdr:row>
          <xdr:rowOff>9525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38100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22</xdr:row>
          <xdr:rowOff>228600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9525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9525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19050</xdr:rowOff>
        </xdr:from>
        <xdr:to>
          <xdr:col>7</xdr:col>
          <xdr:colOff>400050</xdr:colOff>
          <xdr:row>5</xdr:row>
          <xdr:rowOff>219075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171450</xdr:rowOff>
        </xdr:from>
        <xdr:to>
          <xdr:col>12</xdr:col>
          <xdr:colOff>419100</xdr:colOff>
          <xdr:row>4</xdr:row>
          <xdr:rowOff>133350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552450</xdr:colOff>
          <xdr:row>1</xdr:row>
          <xdr:rowOff>38100</xdr:rowOff>
        </xdr:from>
        <xdr:to>
          <xdr:col>35</xdr:col>
          <xdr:colOff>295275</xdr:colOff>
          <xdr:row>2</xdr:row>
          <xdr:rowOff>295275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1</xdr:row>
          <xdr:rowOff>66675</xdr:rowOff>
        </xdr:from>
        <xdr:to>
          <xdr:col>20</xdr:col>
          <xdr:colOff>161925</xdr:colOff>
          <xdr:row>2</xdr:row>
          <xdr:rowOff>533400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19050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</xdr:row>
          <xdr:rowOff>228600</xdr:rowOff>
        </xdr:from>
        <xdr:to>
          <xdr:col>10</xdr:col>
          <xdr:colOff>400050</xdr:colOff>
          <xdr:row>5</xdr:row>
          <xdr:rowOff>47625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400050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285750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B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285750</xdr:rowOff>
        </xdr:from>
        <xdr:to>
          <xdr:col>8</xdr:col>
          <xdr:colOff>457200</xdr:colOff>
          <xdr:row>5</xdr:row>
          <xdr:rowOff>114300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D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0</xdr:rowOff>
        </xdr:from>
        <xdr:to>
          <xdr:col>11</xdr:col>
          <xdr:colOff>400050</xdr:colOff>
          <xdr:row>5</xdr:row>
          <xdr:rowOff>47625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171450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F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19050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95250</xdr:colOff>
          <xdr:row>1</xdr:row>
          <xdr:rowOff>38100</xdr:rowOff>
        </xdr:from>
        <xdr:to>
          <xdr:col>36</xdr:col>
          <xdr:colOff>390525</xdr:colOff>
          <xdr:row>3</xdr:row>
          <xdr:rowOff>171450</xdr:rowOff>
        </xdr:to>
        <xdr:sp macro="" textlink="">
          <xdr:nvSpPr>
            <xdr:cNvPr id="39937" name="Drop Dow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50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hyperlink" Target="mailto:asd@asd.net" TargetMode="Externa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hyperlink" Target="mailto:example@nate.com" TargetMode="External"/><Relationship Id="rId4" Type="http://schemas.openxmlformats.org/officeDocument/2006/relationships/ctrlProp" Target="../ctrlProps/ctrlProp5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hyperlink" Target="mailto:KJH5848@GMAIL.COM" TargetMode="External"/><Relationship Id="rId4" Type="http://schemas.openxmlformats.org/officeDocument/2006/relationships/ctrlProp" Target="../ctrlProps/ctrlProp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workbookViewId="0"/>
  </sheetViews>
  <sheetFormatPr defaultColWidth="9.1328125" defaultRowHeight="20.25"/>
  <cols>
    <col min="1" max="2" width="9.1328125" style="245"/>
    <col min="3" max="3" width="25" style="245" customWidth="1"/>
    <col min="4" max="4" width="18.3984375" style="245" bestFit="1" customWidth="1"/>
    <col min="5" max="5" width="7.3984375" style="245" bestFit="1" customWidth="1"/>
    <col min="6" max="6" width="18.3984375" style="245" bestFit="1" customWidth="1"/>
    <col min="7" max="7" width="14.59765625" style="245" customWidth="1"/>
    <col min="8" max="8" width="9.1328125" style="245"/>
    <col min="9" max="9" width="12.59765625" style="245" customWidth="1"/>
    <col min="10" max="10" width="10.265625" style="245" customWidth="1"/>
    <col min="11" max="11" width="14.265625" style="245" bestFit="1" customWidth="1"/>
    <col min="12" max="13" width="17.265625" style="245" customWidth="1"/>
    <col min="14" max="14" width="14.59765625" style="245" customWidth="1"/>
    <col min="15" max="15" width="13.73046875" style="245" customWidth="1"/>
    <col min="16" max="16" width="9" style="245" customWidth="1"/>
    <col min="17" max="22" width="9.1328125" style="245"/>
    <col min="23" max="23" width="14.73046875" style="246" bestFit="1" customWidth="1"/>
    <col min="24" max="24" width="24.86328125" style="247" bestFit="1" customWidth="1"/>
    <col min="25" max="25" width="103.1328125" style="245" bestFit="1" customWidth="1"/>
    <col min="26" max="28" width="9.1328125" style="245"/>
    <col min="29" max="30" width="9.1328125" style="248"/>
    <col min="31" max="31" width="18.86328125" style="248" bestFit="1" customWidth="1"/>
    <col min="32" max="32" width="35.1328125" style="248" bestFit="1" customWidth="1"/>
    <col min="33" max="35" width="9.1328125" style="248"/>
    <col min="36" max="36" width="23.3984375" style="248" bestFit="1" customWidth="1"/>
    <col min="37" max="38" width="9.1328125" style="248"/>
    <col min="39" max="39" width="17.265625" style="248" bestFit="1" customWidth="1"/>
    <col min="40" max="40" width="35.1328125" style="248" bestFit="1" customWidth="1"/>
    <col min="41" max="41" width="9.1328125" style="248"/>
    <col min="42" max="42" width="7.73046875" style="248" bestFit="1" customWidth="1"/>
    <col min="43" max="54" width="9.1328125" style="248"/>
    <col min="55" max="55" width="15.86328125" style="248" bestFit="1" customWidth="1"/>
    <col min="56" max="56" width="9.1328125" style="248"/>
    <col min="57" max="57" width="11.1328125" style="248" bestFit="1" customWidth="1"/>
    <col min="58" max="58" width="18" style="248" bestFit="1" customWidth="1"/>
    <col min="59" max="59" width="82.1328125" style="248" customWidth="1"/>
    <col min="60" max="72" width="9.1328125" style="248"/>
    <col min="73" max="73" width="13.59765625" style="248" bestFit="1" customWidth="1"/>
    <col min="74" max="74" width="58.73046875" style="248" bestFit="1" customWidth="1"/>
    <col min="75" max="75" width="14.59765625" style="248" bestFit="1" customWidth="1"/>
    <col min="76" max="76" width="15.59765625" style="248" bestFit="1" customWidth="1"/>
    <col min="77" max="78" width="12.73046875" style="248" bestFit="1" customWidth="1"/>
    <col min="79" max="79" width="4" style="248" bestFit="1" customWidth="1"/>
    <col min="80" max="80" width="9.1328125" style="248"/>
    <col min="81" max="16384" width="9.1328125" style="245"/>
  </cols>
  <sheetData>
    <row r="2" spans="3:80">
      <c r="C2" s="261"/>
      <c r="D2" s="262"/>
      <c r="E2" s="263"/>
      <c r="AE2" s="264" t="s">
        <v>413</v>
      </c>
      <c r="AF2" s="398"/>
      <c r="AG2" s="399"/>
      <c r="AH2" s="398" t="s">
        <v>611</v>
      </c>
      <c r="AI2" s="399"/>
      <c r="AJ2" s="398"/>
      <c r="AL2" s="385"/>
      <c r="AM2" s="251" t="s">
        <v>279</v>
      </c>
      <c r="AN2" s="252" t="e">
        <f>#REF!</f>
        <v>#REF!</v>
      </c>
      <c r="AP2" s="253"/>
      <c r="AQ2" s="254"/>
      <c r="AR2" s="254"/>
      <c r="AS2" s="255"/>
      <c r="AT2" s="256"/>
      <c r="AU2" s="257"/>
      <c r="AV2" s="257"/>
      <c r="AW2" s="257"/>
      <c r="AX2" s="257"/>
      <c r="AY2" s="257"/>
      <c r="AZ2" s="257"/>
      <c r="BA2" s="257"/>
      <c r="BB2" s="257"/>
      <c r="BC2" s="258"/>
      <c r="BE2" s="385"/>
      <c r="BF2" s="259" t="s">
        <v>263</v>
      </c>
      <c r="BG2" s="260">
        <f>AT7</f>
        <v>0</v>
      </c>
      <c r="BI2" s="265"/>
      <c r="BJ2" s="402" t="s">
        <v>751</v>
      </c>
      <c r="BK2" s="403"/>
      <c r="BL2" s="403"/>
      <c r="BM2" s="403"/>
      <c r="BN2" s="403"/>
      <c r="BO2" s="403"/>
      <c r="BP2" s="403"/>
      <c r="BQ2" s="403"/>
      <c r="BR2" s="404"/>
      <c r="BT2" s="385"/>
      <c r="BU2" s="259" t="s">
        <v>612</v>
      </c>
      <c r="BV2" s="260" t="e">
        <f>"2024. " &amp; TEXT(MONTH(BY5), "00") &amp; ". " &amp; TEXT(DAY(BY5), "00") &amp; " ~ 2024. " &amp; TEXT(MONTH(BZ5), "00") &amp; ". " &amp; TEXT(DAY(BZ5), "00")</f>
        <v>#REF!</v>
      </c>
      <c r="BW2" s="266"/>
      <c r="BX2" s="267" t="e">
        <f>LEFT(#REF!, FIND("~",#REF!) - 2)</f>
        <v>#REF!</v>
      </c>
      <c r="BY2" s="260" t="e">
        <f>LEFT(BX2, 4)</f>
        <v>#REF!</v>
      </c>
      <c r="BZ2" s="268" t="e">
        <f>MID(BX2, 7, 2)</f>
        <v>#REF!</v>
      </c>
      <c r="CA2" s="268" t="e">
        <f>RIGHT(BX2, 2)</f>
        <v>#REF!</v>
      </c>
      <c r="CB2" s="348" t="s">
        <v>742</v>
      </c>
    </row>
    <row r="3" spans="3:80" ht="20.65" thickBot="1">
      <c r="P3" s="245" t="s">
        <v>613</v>
      </c>
      <c r="AE3" s="269" t="s">
        <v>614</v>
      </c>
      <c r="AF3" s="400"/>
      <c r="AG3" s="401"/>
      <c r="AH3" s="400" t="s">
        <v>615</v>
      </c>
      <c r="AI3" s="401"/>
      <c r="AJ3" s="400"/>
      <c r="AL3" s="385"/>
      <c r="AM3" s="251" t="s">
        <v>282</v>
      </c>
      <c r="AN3" s="252">
        <f>AF5</f>
        <v>0</v>
      </c>
      <c r="AP3" s="253"/>
      <c r="AQ3" s="254"/>
      <c r="AR3" s="254"/>
      <c r="AS3" s="255"/>
      <c r="AT3" s="256"/>
      <c r="AU3" s="257"/>
      <c r="AV3" s="257"/>
      <c r="AW3" s="257"/>
      <c r="AX3" s="257"/>
      <c r="AY3" s="257"/>
      <c r="AZ3" s="257"/>
      <c r="BA3" s="257"/>
      <c r="BB3" s="257"/>
      <c r="BC3" s="258"/>
      <c r="BE3" s="385"/>
      <c r="BF3" s="259" t="s">
        <v>616</v>
      </c>
      <c r="BG3" s="260">
        <f>AT15</f>
        <v>0</v>
      </c>
      <c r="BI3" s="265"/>
      <c r="BJ3" s="402"/>
      <c r="BK3" s="403"/>
      <c r="BL3" s="403"/>
      <c r="BM3" s="403"/>
      <c r="BN3" s="403"/>
      <c r="BO3" s="403"/>
      <c r="BP3" s="403"/>
      <c r="BQ3" s="403"/>
      <c r="BR3" s="404"/>
      <c r="BT3" s="385"/>
      <c r="BU3" s="259" t="s">
        <v>617</v>
      </c>
      <c r="BV3" s="260" t="e">
        <f>"2024. " &amp; TEXT(MONTH(BY6), "00") &amp; ". " &amp; TEXT(DAY(BY6), "00") &amp; " ~ 2024. " &amp; TEXT(MONTH(BZ6), "00") &amp; ". " &amp; TEXT(DAY(BZ6), "00")</f>
        <v>#REF!</v>
      </c>
      <c r="BW3" s="266"/>
      <c r="BX3" s="270" t="e">
        <f>RIGHT(#REF!, LEN(#REF!) - FIND("~",#REF!) - 1)</f>
        <v>#REF!</v>
      </c>
      <c r="BY3" s="260" t="e">
        <f>LEFT(BX3, 4)</f>
        <v>#REF!</v>
      </c>
      <c r="BZ3" s="268" t="e">
        <f>MID(BX3, 7, 2)</f>
        <v>#REF!</v>
      </c>
      <c r="CA3" s="268" t="e">
        <f>RIGHT(BX3, 2)</f>
        <v>#REF!</v>
      </c>
    </row>
    <row r="4" spans="3:80" ht="17.25">
      <c r="N4" s="410" t="s">
        <v>618</v>
      </c>
      <c r="O4" s="411"/>
      <c r="P4" s="411"/>
      <c r="Q4" s="411"/>
      <c r="R4" s="411"/>
      <c r="S4" s="411"/>
      <c r="T4" s="411"/>
      <c r="U4" s="412"/>
      <c r="W4" s="416" t="s">
        <v>606</v>
      </c>
      <c r="X4" s="271" t="s">
        <v>278</v>
      </c>
      <c r="Y4" s="272" t="e">
        <f>#REF!</f>
        <v>#REF!</v>
      </c>
      <c r="AE4" s="249" t="s">
        <v>619</v>
      </c>
      <c r="AF4" s="390"/>
      <c r="AG4" s="419"/>
      <c r="AH4" s="420"/>
      <c r="AI4" s="421"/>
      <c r="AJ4" s="273"/>
      <c r="AL4" s="385"/>
      <c r="AM4" s="251" t="s">
        <v>620</v>
      </c>
      <c r="AN4" s="252">
        <f>AF6</f>
        <v>0</v>
      </c>
      <c r="AP4" s="253"/>
      <c r="AQ4" s="254"/>
      <c r="AR4" s="254"/>
      <c r="AS4" s="255"/>
      <c r="AT4" s="256"/>
      <c r="AU4" s="257"/>
      <c r="AV4" s="257"/>
      <c r="AW4" s="257"/>
      <c r="AX4" s="257"/>
      <c r="AY4" s="257"/>
      <c r="AZ4" s="257"/>
      <c r="BA4" s="257"/>
      <c r="BB4" s="257"/>
      <c r="BC4" s="258"/>
      <c r="BE4" s="385"/>
      <c r="BF4" s="259" t="s">
        <v>621</v>
      </c>
      <c r="BG4" s="260">
        <f>AT6</f>
        <v>0</v>
      </c>
      <c r="BI4" s="274"/>
      <c r="BJ4" s="387"/>
      <c r="BK4" s="388"/>
      <c r="BL4" s="388"/>
      <c r="BM4" s="388"/>
      <c r="BN4" s="388"/>
      <c r="BO4" s="388"/>
      <c r="BP4" s="388"/>
      <c r="BQ4" s="388"/>
      <c r="BR4" s="389"/>
      <c r="BT4" s="385"/>
      <c r="BU4" s="259" t="s">
        <v>622</v>
      </c>
      <c r="BV4" s="260" t="str">
        <f>BJ2</f>
        <v>2024. 11. 18 ~ 2025. 01. 10</v>
      </c>
      <c r="BX4" s="275" t="s">
        <v>623</v>
      </c>
      <c r="BY4" s="276" t="s">
        <v>624</v>
      </c>
      <c r="BZ4" s="276" t="s">
        <v>625</v>
      </c>
    </row>
    <row r="5" spans="3:80" ht="17.25">
      <c r="C5" s="277"/>
      <c r="D5" s="278"/>
      <c r="E5" s="278"/>
      <c r="N5" s="413"/>
      <c r="O5" s="414"/>
      <c r="P5" s="414"/>
      <c r="Q5" s="414"/>
      <c r="R5" s="414"/>
      <c r="S5" s="414"/>
      <c r="T5" s="414"/>
      <c r="U5" s="415"/>
      <c r="W5" s="417"/>
      <c r="X5" s="279" t="s">
        <v>279</v>
      </c>
      <c r="Y5" s="280" t="e">
        <f t="shared" ref="Y5:Y9" si="0">AN2</f>
        <v>#REF!</v>
      </c>
      <c r="AE5" s="249" t="s">
        <v>626</v>
      </c>
      <c r="AF5" s="390"/>
      <c r="AG5" s="391"/>
      <c r="AH5" s="391"/>
      <c r="AI5" s="391"/>
      <c r="AJ5" s="391"/>
      <c r="AL5" s="385"/>
      <c r="AM5" s="251" t="s">
        <v>627</v>
      </c>
      <c r="AN5" s="252">
        <f>AF2</f>
        <v>0</v>
      </c>
      <c r="AP5" s="281"/>
      <c r="AQ5" s="282"/>
      <c r="AR5" s="253"/>
      <c r="AS5" s="255"/>
      <c r="AT5" s="256"/>
      <c r="AU5" s="257"/>
      <c r="AV5" s="257"/>
      <c r="AW5" s="257"/>
      <c r="AX5" s="257"/>
      <c r="AY5" s="257"/>
      <c r="AZ5" s="257"/>
      <c r="BA5" s="257"/>
      <c r="BB5" s="257"/>
      <c r="BC5" s="258"/>
      <c r="BE5" s="385"/>
      <c r="BF5" s="259" t="s">
        <v>628</v>
      </c>
      <c r="BG5" s="260">
        <f>AT14</f>
        <v>0</v>
      </c>
      <c r="BI5" s="283"/>
      <c r="BJ5" s="284"/>
      <c r="BK5" s="284"/>
      <c r="BL5" s="284"/>
      <c r="BM5" s="284"/>
      <c r="BN5" s="284"/>
      <c r="BO5" s="284"/>
      <c r="BP5" s="284"/>
      <c r="BQ5" s="284"/>
      <c r="BR5" s="285"/>
      <c r="BT5" s="385"/>
      <c r="BU5" s="259" t="s">
        <v>629</v>
      </c>
      <c r="BV5" s="260">
        <f>BJ3</f>
        <v>0</v>
      </c>
      <c r="BX5" s="259" t="s">
        <v>612</v>
      </c>
      <c r="BY5" s="286" t="e">
        <f>DATE(BY2, BZ2, CA2)</f>
        <v>#REF!</v>
      </c>
      <c r="BZ5" s="286" t="e">
        <f>BY5+ 25</f>
        <v>#REF!</v>
      </c>
    </row>
    <row r="6" spans="3:80" ht="18" thickBot="1">
      <c r="C6" s="287" t="s">
        <v>630</v>
      </c>
      <c r="D6" s="288" t="s">
        <v>631</v>
      </c>
      <c r="E6" s="289" t="s">
        <v>632</v>
      </c>
      <c r="F6" s="408" t="s">
        <v>633</v>
      </c>
      <c r="G6" s="408"/>
      <c r="H6" s="408"/>
      <c r="I6" s="408"/>
      <c r="J6" s="408"/>
      <c r="K6" s="408"/>
      <c r="L6" s="408" t="s">
        <v>634</v>
      </c>
      <c r="M6" s="408"/>
      <c r="N6" s="290" t="s">
        <v>635</v>
      </c>
      <c r="O6" s="409" t="s">
        <v>636</v>
      </c>
      <c r="P6" s="409"/>
      <c r="Q6" s="409"/>
      <c r="R6" s="409"/>
      <c r="S6" s="409"/>
      <c r="T6" s="409"/>
      <c r="U6" s="409"/>
      <c r="W6" s="417"/>
      <c r="X6" s="279" t="s">
        <v>282</v>
      </c>
      <c r="Y6" s="280">
        <f t="shared" si="0"/>
        <v>0</v>
      </c>
      <c r="AE6" s="399" t="s">
        <v>637</v>
      </c>
      <c r="AF6" s="398"/>
      <c r="AG6" s="399"/>
      <c r="AH6" s="398" t="s">
        <v>638</v>
      </c>
      <c r="AI6" s="399"/>
      <c r="AJ6" s="392"/>
      <c r="AL6" s="386"/>
      <c r="AM6" s="251" t="s">
        <v>639</v>
      </c>
      <c r="AN6" s="252">
        <f>AJ6</f>
        <v>0</v>
      </c>
      <c r="AP6" s="291"/>
      <c r="AQ6" s="292"/>
      <c r="AR6" s="253"/>
      <c r="AS6" s="255"/>
      <c r="AT6" s="256"/>
      <c r="AU6" s="257"/>
      <c r="AV6" s="257"/>
      <c r="AW6" s="257"/>
      <c r="AX6" s="257"/>
      <c r="AY6" s="257"/>
      <c r="AZ6" s="257"/>
      <c r="BA6" s="257"/>
      <c r="BB6" s="257"/>
      <c r="BC6" s="258"/>
      <c r="BE6" s="386"/>
      <c r="BF6" s="259" t="s">
        <v>610</v>
      </c>
      <c r="BG6" s="260">
        <f>AT13</f>
        <v>0</v>
      </c>
      <c r="BI6" s="293"/>
      <c r="BJ6" s="294"/>
      <c r="BK6" s="295"/>
      <c r="BL6" s="295"/>
      <c r="BM6" s="295"/>
      <c r="BN6" s="295"/>
      <c r="BO6" s="295"/>
      <c r="BP6" s="295"/>
      <c r="BQ6" s="295"/>
      <c r="BR6" s="296"/>
      <c r="BT6" s="386"/>
      <c r="BU6" s="259" t="s">
        <v>640</v>
      </c>
      <c r="BV6" s="260">
        <f>BJ10</f>
        <v>0</v>
      </c>
      <c r="BX6" s="259" t="s">
        <v>617</v>
      </c>
      <c r="BY6" s="286" t="e">
        <f>BZ5+3</f>
        <v>#REF!</v>
      </c>
      <c r="BZ6" s="286" t="e">
        <f>BY6+25</f>
        <v>#REF!</v>
      </c>
    </row>
    <row r="7" spans="3:80" ht="18.75" thickTop="1">
      <c r="C7" s="434" t="s">
        <v>641</v>
      </c>
      <c r="D7" s="437" t="s">
        <v>642</v>
      </c>
      <c r="E7" s="297">
        <v>1</v>
      </c>
      <c r="F7" s="439" t="s">
        <v>643</v>
      </c>
      <c r="G7" s="440" t="s">
        <v>644</v>
      </c>
      <c r="H7" s="440" t="s">
        <v>644</v>
      </c>
      <c r="I7" s="440" t="s">
        <v>644</v>
      </c>
      <c r="J7" s="440" t="s">
        <v>644</v>
      </c>
      <c r="K7" s="441" t="s">
        <v>644</v>
      </c>
      <c r="L7" s="442" t="s">
        <v>645</v>
      </c>
      <c r="M7" s="443"/>
      <c r="N7" s="298" t="b">
        <v>0</v>
      </c>
      <c r="O7" s="448"/>
      <c r="P7" s="449"/>
      <c r="Q7" s="449"/>
      <c r="R7" s="449"/>
      <c r="S7" s="449"/>
      <c r="T7" s="449"/>
      <c r="U7" s="449"/>
      <c r="W7" s="417"/>
      <c r="X7" s="279" t="s">
        <v>620</v>
      </c>
      <c r="Y7" s="280">
        <f t="shared" si="0"/>
        <v>0</v>
      </c>
      <c r="AE7" s="401"/>
      <c r="AF7" s="400"/>
      <c r="AG7" s="401"/>
      <c r="AH7" s="450" t="s">
        <v>646</v>
      </c>
      <c r="AI7" s="451"/>
      <c r="AJ7" s="393"/>
      <c r="AL7" s="394" t="s">
        <v>647</v>
      </c>
      <c r="AM7" s="251" t="s">
        <v>648</v>
      </c>
      <c r="AN7" s="252">
        <f>AF21</f>
        <v>0</v>
      </c>
      <c r="AP7" s="253"/>
      <c r="AQ7" s="254"/>
      <c r="AR7" s="254"/>
      <c r="AS7" s="255"/>
      <c r="AT7" s="256"/>
      <c r="AU7" s="257"/>
      <c r="AV7" s="257"/>
      <c r="AW7" s="257"/>
      <c r="AX7" s="257"/>
      <c r="AY7" s="257"/>
      <c r="AZ7" s="257"/>
      <c r="BA7" s="257"/>
      <c r="BB7" s="257"/>
      <c r="BC7" s="258"/>
      <c r="BI7" s="293"/>
      <c r="BJ7" s="294"/>
      <c r="BK7" s="295"/>
      <c r="BL7" s="295"/>
      <c r="BM7" s="295"/>
      <c r="BN7" s="295"/>
      <c r="BO7" s="295"/>
      <c r="BP7" s="295"/>
      <c r="BQ7" s="295"/>
      <c r="BR7" s="296"/>
    </row>
    <row r="8" spans="3:80" ht="17.25">
      <c r="C8" s="435"/>
      <c r="D8" s="438"/>
      <c r="E8" s="297">
        <v>2</v>
      </c>
      <c r="F8" s="422" t="s">
        <v>649</v>
      </c>
      <c r="G8" s="422" t="s">
        <v>650</v>
      </c>
      <c r="H8" s="422" t="s">
        <v>650</v>
      </c>
      <c r="I8" s="422" t="s">
        <v>650</v>
      </c>
      <c r="J8" s="422" t="s">
        <v>650</v>
      </c>
      <c r="K8" s="422" t="s">
        <v>650</v>
      </c>
      <c r="L8" s="444"/>
      <c r="M8" s="445"/>
      <c r="N8" s="298" t="b">
        <v>0</v>
      </c>
      <c r="O8" s="423"/>
      <c r="P8" s="427"/>
      <c r="Q8" s="427"/>
      <c r="R8" s="427"/>
      <c r="S8" s="427"/>
      <c r="T8" s="427"/>
      <c r="U8" s="427"/>
      <c r="W8" s="417"/>
      <c r="X8" s="279" t="s">
        <v>627</v>
      </c>
      <c r="Y8" s="280">
        <f t="shared" si="0"/>
        <v>0</v>
      </c>
      <c r="AE8" s="399" t="s">
        <v>12</v>
      </c>
      <c r="AF8" s="392" t="s">
        <v>651</v>
      </c>
      <c r="AG8" s="453"/>
      <c r="AH8" s="453"/>
      <c r="AI8" s="453"/>
      <c r="AJ8" s="453"/>
      <c r="AL8" s="394"/>
      <c r="AM8" s="251" t="s">
        <v>652</v>
      </c>
      <c r="AN8" s="252">
        <f>AJ21</f>
        <v>0</v>
      </c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I8" s="293"/>
      <c r="BJ8" s="395"/>
      <c r="BK8" s="396"/>
      <c r="BL8" s="396"/>
      <c r="BM8" s="396"/>
      <c r="BN8" s="396"/>
      <c r="BO8" s="396"/>
      <c r="BP8" s="396"/>
      <c r="BQ8" s="396"/>
      <c r="BR8" s="397"/>
    </row>
    <row r="9" spans="3:80" s="244" customFormat="1" ht="18" customHeight="1" thickBot="1">
      <c r="C9" s="435"/>
      <c r="D9" s="438"/>
      <c r="E9" s="297">
        <v>3</v>
      </c>
      <c r="F9" s="422" t="s">
        <v>653</v>
      </c>
      <c r="G9" s="422" t="s">
        <v>654</v>
      </c>
      <c r="H9" s="422" t="s">
        <v>654</v>
      </c>
      <c r="I9" s="422" t="s">
        <v>654</v>
      </c>
      <c r="J9" s="422" t="s">
        <v>654</v>
      </c>
      <c r="K9" s="422" t="s">
        <v>654</v>
      </c>
      <c r="L9" s="444"/>
      <c r="M9" s="445"/>
      <c r="N9" s="298" t="b">
        <v>0</v>
      </c>
      <c r="O9" s="423"/>
      <c r="P9" s="423"/>
      <c r="Q9" s="423"/>
      <c r="R9" s="423"/>
      <c r="S9" s="423"/>
      <c r="T9" s="423"/>
      <c r="U9" s="423"/>
      <c r="W9" s="418"/>
      <c r="X9" s="300" t="s">
        <v>639</v>
      </c>
      <c r="Y9" s="301">
        <f t="shared" si="0"/>
        <v>0</v>
      </c>
      <c r="AC9" s="248"/>
      <c r="AD9" s="248"/>
      <c r="AE9" s="452"/>
      <c r="AF9" s="424" t="s">
        <v>655</v>
      </c>
      <c r="AG9" s="425"/>
      <c r="AH9" s="425"/>
      <c r="AI9" s="425"/>
      <c r="AJ9" s="425"/>
      <c r="AK9" s="248"/>
      <c r="AL9" s="394"/>
      <c r="AM9" s="251" t="s">
        <v>656</v>
      </c>
      <c r="AN9" s="252">
        <f>AF22</f>
        <v>0</v>
      </c>
      <c r="AO9" s="248"/>
      <c r="AP9" s="253"/>
      <c r="AQ9" s="254"/>
      <c r="AR9" s="254"/>
      <c r="AS9" s="255"/>
      <c r="AT9" s="256"/>
      <c r="AU9" s="257"/>
      <c r="AV9" s="257"/>
      <c r="AW9" s="258"/>
      <c r="AX9" s="253"/>
      <c r="AY9" s="254"/>
      <c r="AZ9" s="254"/>
      <c r="BA9" s="255"/>
      <c r="BB9" s="256"/>
      <c r="BC9" s="258"/>
      <c r="BD9" s="248"/>
      <c r="BE9" s="248"/>
      <c r="BF9" s="248"/>
      <c r="BG9" s="248"/>
      <c r="BH9" s="248"/>
      <c r="BI9" s="303"/>
      <c r="BJ9" s="405"/>
      <c r="BK9" s="406"/>
      <c r="BL9" s="406"/>
      <c r="BM9" s="406"/>
      <c r="BN9" s="406"/>
      <c r="BO9" s="406"/>
      <c r="BP9" s="406"/>
      <c r="BQ9" s="406"/>
      <c r="BR9" s="407"/>
      <c r="BS9" s="248"/>
      <c r="BT9" s="248"/>
      <c r="BU9" s="248"/>
      <c r="BV9" s="248"/>
      <c r="BW9" s="248"/>
      <c r="BX9" s="248"/>
      <c r="BY9" s="248"/>
      <c r="BZ9" s="248"/>
      <c r="CA9" s="248"/>
      <c r="CB9" s="248"/>
    </row>
    <row r="10" spans="3:80" ht="18" customHeight="1" thickBot="1">
      <c r="C10" s="435"/>
      <c r="D10" s="438"/>
      <c r="E10" s="297">
        <v>4</v>
      </c>
      <c r="F10" s="422" t="s">
        <v>657</v>
      </c>
      <c r="G10" s="422"/>
      <c r="H10" s="422"/>
      <c r="I10" s="422"/>
      <c r="J10" s="422"/>
      <c r="K10" s="422"/>
      <c r="L10" s="444"/>
      <c r="M10" s="445"/>
      <c r="N10" s="298" t="b">
        <v>0</v>
      </c>
      <c r="O10" s="426" t="s">
        <v>658</v>
      </c>
      <c r="P10" s="427"/>
      <c r="Q10" s="427"/>
      <c r="R10" s="427"/>
      <c r="S10" s="427"/>
      <c r="T10" s="427"/>
      <c r="U10" s="427"/>
      <c r="W10" s="304"/>
      <c r="X10" s="305"/>
      <c r="Y10" s="306"/>
      <c r="AE10" s="452"/>
      <c r="AF10" s="424" t="s">
        <v>659</v>
      </c>
      <c r="AG10" s="425"/>
      <c r="AH10" s="425"/>
      <c r="AI10" s="425"/>
      <c r="AJ10" s="425"/>
      <c r="AL10" s="394"/>
      <c r="AM10" s="251" t="s">
        <v>660</v>
      </c>
      <c r="AN10" s="252">
        <f>AJ22</f>
        <v>0</v>
      </c>
      <c r="AP10" s="253"/>
      <c r="AQ10" s="254"/>
      <c r="AR10" s="254"/>
      <c r="AS10" s="255"/>
      <c r="AT10" s="256"/>
      <c r="AU10" s="257"/>
      <c r="AV10" s="257"/>
      <c r="AW10" s="258"/>
      <c r="AX10" s="253"/>
      <c r="AY10" s="254"/>
      <c r="AZ10" s="254"/>
      <c r="BA10" s="255"/>
      <c r="BB10" s="256"/>
      <c r="BC10" s="258"/>
      <c r="BI10" s="274"/>
      <c r="BJ10" s="428"/>
      <c r="BK10" s="429"/>
      <c r="BL10" s="429"/>
      <c r="BM10" s="429"/>
      <c r="BN10" s="429"/>
      <c r="BO10" s="429"/>
      <c r="BP10" s="429"/>
      <c r="BQ10" s="429"/>
      <c r="BR10" s="430"/>
    </row>
    <row r="11" spans="3:80" ht="17.25" customHeight="1">
      <c r="C11" s="435"/>
      <c r="D11" s="438"/>
      <c r="E11" s="454">
        <v>5</v>
      </c>
      <c r="F11" s="457" t="s">
        <v>661</v>
      </c>
      <c r="G11" s="457"/>
      <c r="H11" s="457"/>
      <c r="I11" s="457"/>
      <c r="J11" s="457"/>
      <c r="K11" s="457"/>
      <c r="L11" s="444"/>
      <c r="M11" s="445"/>
      <c r="N11" s="454" t="b">
        <v>0</v>
      </c>
      <c r="O11" s="426" t="s">
        <v>662</v>
      </c>
      <c r="P11" s="427"/>
      <c r="Q11" s="427"/>
      <c r="R11" s="427"/>
      <c r="S11" s="427"/>
      <c r="T11" s="427"/>
      <c r="U11" s="427"/>
      <c r="W11" s="458" t="s">
        <v>647</v>
      </c>
      <c r="X11" s="271" t="s">
        <v>648</v>
      </c>
      <c r="Y11" s="272">
        <f>AN7</f>
        <v>0</v>
      </c>
      <c r="AE11" s="452"/>
      <c r="AF11" s="424" t="s">
        <v>663</v>
      </c>
      <c r="AG11" s="425"/>
      <c r="AH11" s="425"/>
      <c r="AI11" s="425"/>
      <c r="AJ11" s="425"/>
      <c r="AP11" s="307"/>
      <c r="AQ11" s="307"/>
      <c r="AR11" s="307"/>
      <c r="AS11" s="307"/>
      <c r="AT11" s="307"/>
      <c r="AU11" s="307"/>
      <c r="AV11" s="307"/>
      <c r="AW11" s="307"/>
      <c r="AX11" s="307"/>
      <c r="AY11" s="307"/>
      <c r="AZ11" s="307"/>
      <c r="BA11" s="307"/>
      <c r="BB11" s="307"/>
      <c r="BC11" s="307"/>
      <c r="BI11" s="308"/>
      <c r="BJ11" s="431"/>
      <c r="BK11" s="432"/>
      <c r="BL11" s="432"/>
      <c r="BM11" s="432"/>
      <c r="BN11" s="432"/>
      <c r="BO11" s="432"/>
      <c r="BP11" s="432"/>
      <c r="BQ11" s="432"/>
      <c r="BR11" s="433"/>
    </row>
    <row r="12" spans="3:80" ht="17.25" customHeight="1">
      <c r="C12" s="435"/>
      <c r="D12" s="438"/>
      <c r="E12" s="455"/>
      <c r="F12" s="457"/>
      <c r="G12" s="457"/>
      <c r="H12" s="457"/>
      <c r="I12" s="457"/>
      <c r="J12" s="457"/>
      <c r="K12" s="457"/>
      <c r="L12" s="444"/>
      <c r="M12" s="445"/>
      <c r="N12" s="455"/>
      <c r="O12" s="426" t="s">
        <v>664</v>
      </c>
      <c r="P12" s="427"/>
      <c r="Q12" s="427"/>
      <c r="R12" s="427"/>
      <c r="S12" s="427"/>
      <c r="T12" s="427"/>
      <c r="U12" s="427"/>
      <c r="W12" s="459"/>
      <c r="X12" s="279" t="s">
        <v>652</v>
      </c>
      <c r="Y12" s="280">
        <f t="shared" ref="Y12:Y14" si="1">AN8</f>
        <v>0</v>
      </c>
      <c r="AE12" s="452"/>
      <c r="AF12" s="424" t="s">
        <v>665</v>
      </c>
      <c r="AG12" s="425"/>
      <c r="AH12" s="425"/>
      <c r="AI12" s="425"/>
      <c r="AJ12" s="425"/>
      <c r="AP12" s="253"/>
      <c r="AQ12" s="254"/>
      <c r="AR12" s="254"/>
      <c r="AS12" s="255"/>
      <c r="AT12" s="256"/>
      <c r="AU12" s="257"/>
      <c r="AV12" s="257"/>
      <c r="AW12" s="257"/>
      <c r="AX12" s="257"/>
      <c r="AY12" s="257"/>
      <c r="AZ12" s="257"/>
      <c r="BA12" s="257"/>
      <c r="BB12" s="257"/>
      <c r="BC12" s="258"/>
    </row>
    <row r="13" spans="3:80" ht="17.25" customHeight="1">
      <c r="C13" s="435"/>
      <c r="D13" s="438"/>
      <c r="E13" s="455"/>
      <c r="F13" s="457"/>
      <c r="G13" s="457"/>
      <c r="H13" s="457"/>
      <c r="I13" s="457"/>
      <c r="J13" s="457"/>
      <c r="K13" s="457"/>
      <c r="L13" s="444"/>
      <c r="M13" s="445"/>
      <c r="N13" s="455"/>
      <c r="O13" s="426" t="s">
        <v>666</v>
      </c>
      <c r="P13" s="427"/>
      <c r="Q13" s="427"/>
      <c r="R13" s="427"/>
      <c r="S13" s="427"/>
      <c r="T13" s="427"/>
      <c r="U13" s="427"/>
      <c r="W13" s="459"/>
      <c r="X13" s="279" t="s">
        <v>656</v>
      </c>
      <c r="Y13" s="280">
        <f t="shared" si="1"/>
        <v>0</v>
      </c>
      <c r="AE13" s="452"/>
      <c r="AF13" s="424" t="s">
        <v>667</v>
      </c>
      <c r="AG13" s="425"/>
      <c r="AH13" s="425"/>
      <c r="AI13" s="425"/>
      <c r="AJ13" s="425"/>
      <c r="AP13" s="253"/>
      <c r="AQ13" s="254"/>
      <c r="AR13" s="254"/>
      <c r="AS13" s="255"/>
      <c r="AT13" s="256"/>
      <c r="AU13" s="257"/>
      <c r="AV13" s="257"/>
      <c r="AW13" s="257"/>
      <c r="AX13" s="257"/>
      <c r="AY13" s="257"/>
      <c r="AZ13" s="257"/>
      <c r="BA13" s="257"/>
      <c r="BB13" s="257"/>
      <c r="BC13" s="258"/>
    </row>
    <row r="14" spans="3:80" ht="17.25" customHeight="1" thickBot="1">
      <c r="C14" s="435"/>
      <c r="D14" s="438"/>
      <c r="E14" s="456"/>
      <c r="F14" s="457"/>
      <c r="G14" s="457"/>
      <c r="H14" s="457"/>
      <c r="I14" s="457"/>
      <c r="J14" s="457"/>
      <c r="K14" s="457"/>
      <c r="L14" s="446"/>
      <c r="M14" s="447"/>
      <c r="N14" s="456"/>
      <c r="O14" s="426" t="s">
        <v>668</v>
      </c>
      <c r="P14" s="427"/>
      <c r="Q14" s="427"/>
      <c r="R14" s="427"/>
      <c r="S14" s="427"/>
      <c r="T14" s="427"/>
      <c r="U14" s="427"/>
      <c r="W14" s="460"/>
      <c r="X14" s="300" t="s">
        <v>660</v>
      </c>
      <c r="Y14" s="301">
        <f t="shared" si="1"/>
        <v>0</v>
      </c>
      <c r="AE14" s="401"/>
      <c r="AF14" s="393" t="s">
        <v>669</v>
      </c>
      <c r="AG14" s="461"/>
      <c r="AH14" s="461"/>
      <c r="AI14" s="461"/>
      <c r="AJ14" s="461"/>
      <c r="AP14" s="253"/>
      <c r="AQ14" s="254"/>
      <c r="AR14" s="254"/>
      <c r="AS14" s="255"/>
      <c r="AT14" s="256"/>
      <c r="AU14" s="257"/>
      <c r="AV14" s="257"/>
      <c r="AW14" s="257"/>
      <c r="AX14" s="257"/>
      <c r="AY14" s="257"/>
      <c r="AZ14" s="257"/>
      <c r="BA14" s="257"/>
      <c r="BB14" s="257"/>
      <c r="BC14" s="258"/>
    </row>
    <row r="15" spans="3:80" ht="17.25" customHeight="1" thickBot="1">
      <c r="C15" s="435"/>
      <c r="D15" s="438"/>
      <c r="E15" s="297">
        <v>6</v>
      </c>
      <c r="F15" s="422" t="s">
        <v>670</v>
      </c>
      <c r="G15" s="422"/>
      <c r="H15" s="422"/>
      <c r="I15" s="422"/>
      <c r="J15" s="422"/>
      <c r="K15" s="422"/>
      <c r="L15" s="462" t="s">
        <v>671</v>
      </c>
      <c r="M15" s="463"/>
      <c r="N15" s="298" t="b">
        <v>0</v>
      </c>
      <c r="O15" s="426"/>
      <c r="P15" s="427"/>
      <c r="Q15" s="427"/>
      <c r="R15" s="427"/>
      <c r="S15" s="427"/>
      <c r="T15" s="427"/>
      <c r="U15" s="427"/>
      <c r="W15" s="304"/>
      <c r="X15" s="305"/>
      <c r="Y15" s="306"/>
      <c r="AE15" s="264" t="s">
        <v>672</v>
      </c>
      <c r="AF15" s="468" t="s">
        <v>673</v>
      </c>
      <c r="AG15" s="469"/>
      <c r="AH15" s="469"/>
      <c r="AI15" s="469"/>
      <c r="AJ15" s="469"/>
      <c r="AP15" s="253"/>
      <c r="AQ15" s="254"/>
      <c r="AR15" s="254"/>
      <c r="AS15" s="255"/>
      <c r="AT15" s="256"/>
      <c r="AU15" s="257"/>
      <c r="AV15" s="257"/>
      <c r="AW15" s="257"/>
      <c r="AX15" s="257"/>
      <c r="AY15" s="257"/>
      <c r="AZ15" s="257"/>
      <c r="BA15" s="257"/>
      <c r="BB15" s="257"/>
      <c r="BC15" s="258"/>
    </row>
    <row r="16" spans="3:80" ht="17.25" customHeight="1">
      <c r="C16" s="435"/>
      <c r="D16" s="438"/>
      <c r="E16" s="297">
        <v>7</v>
      </c>
      <c r="F16" s="422" t="s">
        <v>674</v>
      </c>
      <c r="G16" s="422"/>
      <c r="H16" s="422"/>
      <c r="I16" s="422"/>
      <c r="J16" s="422"/>
      <c r="K16" s="422"/>
      <c r="L16" s="464"/>
      <c r="M16" s="465"/>
      <c r="N16" s="298" t="b">
        <v>0</v>
      </c>
      <c r="O16" s="426"/>
      <c r="P16" s="427"/>
      <c r="Q16" s="427"/>
      <c r="R16" s="427"/>
      <c r="S16" s="427"/>
      <c r="T16" s="427"/>
      <c r="U16" s="427"/>
      <c r="W16" s="458" t="s">
        <v>607</v>
      </c>
      <c r="X16" s="271" t="s">
        <v>608</v>
      </c>
      <c r="Y16" s="272" t="e">
        <f>#REF!</f>
        <v>#REF!</v>
      </c>
      <c r="AE16" s="269" t="s">
        <v>675</v>
      </c>
      <c r="AF16" s="470"/>
      <c r="AG16" s="471"/>
      <c r="AH16" s="471"/>
      <c r="AI16" s="471"/>
      <c r="AJ16" s="471"/>
      <c r="AP16" s="299"/>
      <c r="AQ16" s="299"/>
      <c r="AR16" s="299"/>
      <c r="AS16" s="299"/>
      <c r="AT16" s="299"/>
      <c r="AU16" s="299"/>
      <c r="AV16" s="299"/>
      <c r="AW16" s="299"/>
      <c r="AX16" s="299"/>
      <c r="AY16" s="299"/>
      <c r="AZ16" s="299"/>
      <c r="BA16" s="299"/>
      <c r="BB16" s="299"/>
      <c r="BC16" s="299"/>
    </row>
    <row r="17" spans="3:55" ht="17.25" customHeight="1">
      <c r="C17" s="435"/>
      <c r="D17" s="438"/>
      <c r="E17" s="297">
        <v>8</v>
      </c>
      <c r="F17" s="422" t="s">
        <v>676</v>
      </c>
      <c r="G17" s="422"/>
      <c r="H17" s="422"/>
      <c r="I17" s="422"/>
      <c r="J17" s="422"/>
      <c r="K17" s="422"/>
      <c r="L17" s="464"/>
      <c r="M17" s="465"/>
      <c r="N17" s="298" t="b">
        <v>0</v>
      </c>
      <c r="O17" s="426"/>
      <c r="P17" s="427"/>
      <c r="Q17" s="427"/>
      <c r="R17" s="427"/>
      <c r="S17" s="427"/>
      <c r="T17" s="427"/>
      <c r="U17" s="427"/>
      <c r="W17" s="459"/>
      <c r="X17" s="279" t="s">
        <v>263</v>
      </c>
      <c r="Y17" s="280">
        <f t="shared" ref="Y17:Y21" si="2">BG2</f>
        <v>0</v>
      </c>
      <c r="AE17" s="264" t="s">
        <v>677</v>
      </c>
      <c r="AF17" s="309" t="s">
        <v>678</v>
      </c>
      <c r="AG17" s="390" t="s">
        <v>679</v>
      </c>
      <c r="AH17" s="419"/>
      <c r="AI17" s="390" t="s">
        <v>680</v>
      </c>
      <c r="AJ17" s="391"/>
      <c r="AP17" s="310"/>
      <c r="AQ17" s="311"/>
      <c r="AR17" s="312"/>
      <c r="AS17" s="311"/>
      <c r="AT17" s="312"/>
      <c r="AU17" s="311"/>
      <c r="AV17" s="312"/>
      <c r="AW17" s="311"/>
      <c r="AX17" s="313"/>
      <c r="AY17" s="313"/>
      <c r="AZ17" s="312"/>
      <c r="BA17" s="311"/>
      <c r="BB17" s="312"/>
      <c r="BC17" s="310"/>
    </row>
    <row r="18" spans="3:55" ht="17.25" customHeight="1">
      <c r="C18" s="435"/>
      <c r="D18" s="438"/>
      <c r="E18" s="297">
        <v>9</v>
      </c>
      <c r="F18" s="422" t="s">
        <v>681</v>
      </c>
      <c r="G18" s="422"/>
      <c r="H18" s="422"/>
      <c r="I18" s="422"/>
      <c r="J18" s="422"/>
      <c r="K18" s="422"/>
      <c r="L18" s="464"/>
      <c r="M18" s="465"/>
      <c r="N18" s="298" t="b">
        <v>0</v>
      </c>
      <c r="O18" s="426"/>
      <c r="P18" s="427"/>
      <c r="Q18" s="427"/>
      <c r="R18" s="427"/>
      <c r="S18" s="427"/>
      <c r="T18" s="427"/>
      <c r="U18" s="427"/>
      <c r="W18" s="459"/>
      <c r="X18" s="279" t="s">
        <v>682</v>
      </c>
      <c r="Y18" s="280">
        <f t="shared" si="2"/>
        <v>0</v>
      </c>
      <c r="AE18" s="302" t="s">
        <v>683</v>
      </c>
      <c r="AF18" s="314"/>
      <c r="AG18" s="472"/>
      <c r="AH18" s="473"/>
      <c r="AI18" s="472"/>
      <c r="AJ18" s="474"/>
      <c r="AP18" s="315"/>
      <c r="AQ18" s="316"/>
      <c r="AR18" s="317"/>
      <c r="AS18" s="256"/>
      <c r="AT18" s="258"/>
      <c r="AU18" s="256"/>
      <c r="AV18" s="258"/>
      <c r="AW18" s="256"/>
      <c r="AX18" s="257"/>
      <c r="AY18" s="257"/>
      <c r="AZ18" s="258"/>
      <c r="BA18" s="256"/>
      <c r="BB18" s="258"/>
      <c r="BC18" s="318"/>
    </row>
    <row r="19" spans="3:55" ht="17.25" customHeight="1">
      <c r="C19" s="435"/>
      <c r="D19" s="438"/>
      <c r="E19" s="297">
        <v>10</v>
      </c>
      <c r="F19" s="422" t="s">
        <v>684</v>
      </c>
      <c r="G19" s="422"/>
      <c r="H19" s="422"/>
      <c r="I19" s="422"/>
      <c r="J19" s="422"/>
      <c r="K19" s="422"/>
      <c r="L19" s="464"/>
      <c r="M19" s="465"/>
      <c r="N19" s="298" t="b">
        <v>0</v>
      </c>
      <c r="O19" s="426" t="s">
        <v>685</v>
      </c>
      <c r="P19" s="427"/>
      <c r="Q19" s="427"/>
      <c r="R19" s="427"/>
      <c r="S19" s="427"/>
      <c r="T19" s="427"/>
      <c r="U19" s="427"/>
      <c r="W19" s="459"/>
      <c r="X19" s="279" t="s">
        <v>621</v>
      </c>
      <c r="Y19" s="280">
        <f t="shared" si="2"/>
        <v>0</v>
      </c>
      <c r="AE19" s="319"/>
      <c r="AF19" s="314"/>
      <c r="AG19" s="472"/>
      <c r="AH19" s="473"/>
      <c r="AI19" s="472"/>
      <c r="AJ19" s="474"/>
      <c r="AP19" s="320"/>
      <c r="AQ19" s="321"/>
      <c r="AR19" s="322"/>
      <c r="AS19" s="323"/>
      <c r="AT19" s="324"/>
      <c r="AU19" s="325"/>
      <c r="AV19" s="326"/>
      <c r="AW19" s="323"/>
      <c r="AX19" s="324"/>
      <c r="AY19" s="323"/>
      <c r="AZ19" s="324"/>
      <c r="BA19" s="323"/>
      <c r="BB19" s="324"/>
      <c r="BC19" s="327"/>
    </row>
    <row r="20" spans="3:55" ht="17.25" customHeight="1">
      <c r="C20" s="435"/>
      <c r="D20" s="438"/>
      <c r="E20" s="297">
        <v>11</v>
      </c>
      <c r="F20" s="422" t="s">
        <v>686</v>
      </c>
      <c r="G20" s="422"/>
      <c r="H20" s="422"/>
      <c r="I20" s="422"/>
      <c r="J20" s="422"/>
      <c r="K20" s="422"/>
      <c r="L20" s="466"/>
      <c r="M20" s="467"/>
      <c r="N20" s="298" t="b">
        <v>0</v>
      </c>
      <c r="O20" s="426"/>
      <c r="P20" s="427"/>
      <c r="Q20" s="427"/>
      <c r="R20" s="427"/>
      <c r="S20" s="427"/>
      <c r="T20" s="427"/>
      <c r="U20" s="427"/>
      <c r="W20" s="459"/>
      <c r="X20" s="279" t="s">
        <v>628</v>
      </c>
      <c r="Y20" s="280">
        <f t="shared" si="2"/>
        <v>0</v>
      </c>
      <c r="AE20" s="475" t="s">
        <v>687</v>
      </c>
      <c r="AF20" s="475"/>
      <c r="AG20" s="475"/>
      <c r="AH20" s="475"/>
      <c r="AI20" s="475"/>
      <c r="AJ20" s="475"/>
      <c r="AP20" s="328"/>
      <c r="AQ20" s="329"/>
      <c r="AR20" s="330"/>
      <c r="AS20" s="331"/>
      <c r="AT20" s="332"/>
      <c r="AU20" s="333"/>
      <c r="AV20" s="334"/>
      <c r="AW20" s="331"/>
      <c r="AX20" s="332"/>
      <c r="AY20" s="331"/>
      <c r="AZ20" s="332"/>
      <c r="BA20" s="331"/>
      <c r="BB20" s="332"/>
      <c r="BC20" s="335"/>
    </row>
    <row r="21" spans="3:55" ht="17.25" customHeight="1" thickBot="1">
      <c r="C21" s="435"/>
      <c r="D21" s="438"/>
      <c r="E21" s="349">
        <v>12</v>
      </c>
      <c r="F21" s="476" t="s">
        <v>743</v>
      </c>
      <c r="G21" s="476"/>
      <c r="H21" s="476"/>
      <c r="I21" s="476"/>
      <c r="J21" s="476"/>
      <c r="K21" s="476"/>
      <c r="L21" s="477" t="s">
        <v>744</v>
      </c>
      <c r="M21" s="478"/>
      <c r="N21" s="350" t="b">
        <v>0</v>
      </c>
      <c r="O21" s="481"/>
      <c r="P21" s="481"/>
      <c r="Q21" s="481"/>
      <c r="R21" s="481"/>
      <c r="S21" s="481"/>
      <c r="T21" s="481"/>
      <c r="U21" s="481"/>
      <c r="W21" s="460"/>
      <c r="X21" s="300" t="s">
        <v>610</v>
      </c>
      <c r="Y21" s="301">
        <f t="shared" si="2"/>
        <v>0</v>
      </c>
      <c r="AE21" s="249" t="s">
        <v>688</v>
      </c>
      <c r="AF21" s="390"/>
      <c r="AG21" s="419"/>
      <c r="AH21" s="390" t="s">
        <v>689</v>
      </c>
      <c r="AI21" s="419"/>
      <c r="AJ21" s="250"/>
      <c r="AP21" s="328"/>
      <c r="AQ21" s="321"/>
      <c r="AR21" s="322"/>
      <c r="AS21" s="323"/>
      <c r="AT21" s="324"/>
      <c r="AU21" s="323"/>
      <c r="AV21" s="324"/>
      <c r="AW21" s="323"/>
      <c r="AX21" s="336"/>
      <c r="AY21" s="336"/>
      <c r="AZ21" s="324"/>
      <c r="BA21" s="323"/>
      <c r="BB21" s="324"/>
      <c r="BC21" s="327"/>
    </row>
    <row r="22" spans="3:55" ht="19.5" customHeight="1" thickBot="1">
      <c r="C22" s="435"/>
      <c r="D22" s="438"/>
      <c r="E22" s="349">
        <v>13</v>
      </c>
      <c r="F22" s="476" t="s">
        <v>745</v>
      </c>
      <c r="G22" s="476"/>
      <c r="H22" s="476"/>
      <c r="I22" s="476"/>
      <c r="J22" s="476"/>
      <c r="K22" s="476"/>
      <c r="L22" s="479"/>
      <c r="M22" s="480"/>
      <c r="N22" s="350" t="b">
        <v>0</v>
      </c>
      <c r="O22" s="481"/>
      <c r="P22" s="481"/>
      <c r="Q22" s="481"/>
      <c r="R22" s="481"/>
      <c r="S22" s="481"/>
      <c r="T22" s="481"/>
      <c r="U22" s="481"/>
      <c r="W22" s="304"/>
      <c r="X22" s="305"/>
      <c r="Y22" s="306"/>
      <c r="AE22" s="249" t="s">
        <v>690</v>
      </c>
      <c r="AF22" s="390"/>
      <c r="AG22" s="419"/>
      <c r="AH22" s="390" t="s">
        <v>691</v>
      </c>
      <c r="AI22" s="419"/>
      <c r="AJ22" s="337"/>
      <c r="AP22" s="328"/>
      <c r="AQ22" s="329"/>
      <c r="AR22" s="330"/>
      <c r="AS22" s="331"/>
      <c r="AT22" s="332"/>
      <c r="AU22" s="331"/>
      <c r="AV22" s="332"/>
      <c r="AW22" s="331"/>
      <c r="AX22" s="338"/>
      <c r="AY22" s="338"/>
      <c r="AZ22" s="332"/>
      <c r="BA22" s="331"/>
      <c r="BB22" s="332"/>
      <c r="BC22" s="335"/>
    </row>
    <row r="23" spans="3:55" ht="33.75" customHeight="1">
      <c r="C23" s="435"/>
      <c r="D23" s="438"/>
      <c r="E23" s="297">
        <v>14</v>
      </c>
      <c r="F23" s="422" t="s">
        <v>692</v>
      </c>
      <c r="G23" s="422"/>
      <c r="H23" s="422"/>
      <c r="I23" s="422"/>
      <c r="J23" s="422"/>
      <c r="K23" s="422"/>
      <c r="L23" s="482" t="s">
        <v>693</v>
      </c>
      <c r="M23" s="483"/>
      <c r="N23" s="298" t="b">
        <v>0</v>
      </c>
      <c r="O23" s="426"/>
      <c r="P23" s="427"/>
      <c r="Q23" s="427"/>
      <c r="R23" s="427"/>
      <c r="S23" s="427"/>
      <c r="T23" s="427"/>
      <c r="U23" s="427"/>
      <c r="W23" s="458" t="s">
        <v>609</v>
      </c>
      <c r="X23" s="271" t="s">
        <v>610</v>
      </c>
      <c r="Y23" s="272" t="e">
        <f>#REF!</f>
        <v>#REF!</v>
      </c>
      <c r="AP23" s="339"/>
      <c r="AQ23" s="316"/>
      <c r="AR23" s="317"/>
      <c r="AS23" s="256"/>
      <c r="AT23" s="258"/>
      <c r="AU23" s="256"/>
      <c r="AV23" s="258"/>
      <c r="AW23" s="256"/>
      <c r="AX23" s="257"/>
      <c r="AY23" s="257"/>
      <c r="AZ23" s="258"/>
      <c r="BA23" s="256"/>
      <c r="BB23" s="258"/>
      <c r="BC23" s="340"/>
    </row>
    <row r="24" spans="3:55" ht="17.25" customHeight="1">
      <c r="C24" s="435"/>
      <c r="D24" s="438" t="s">
        <v>694</v>
      </c>
      <c r="E24" s="297">
        <v>15</v>
      </c>
      <c r="F24" s="422" t="s">
        <v>695</v>
      </c>
      <c r="G24" s="422"/>
      <c r="H24" s="422"/>
      <c r="I24" s="422"/>
      <c r="J24" s="422"/>
      <c r="K24" s="422"/>
      <c r="L24" s="484" t="s">
        <v>696</v>
      </c>
      <c r="M24" s="485"/>
      <c r="N24" s="298" t="b">
        <v>0</v>
      </c>
      <c r="O24" s="423"/>
      <c r="P24" s="427"/>
      <c r="Q24" s="427"/>
      <c r="R24" s="427"/>
      <c r="S24" s="427"/>
      <c r="T24" s="427"/>
      <c r="U24" s="427"/>
      <c r="W24" s="459"/>
      <c r="X24" s="279" t="s">
        <v>612</v>
      </c>
      <c r="Y24" s="280" t="e">
        <f t="shared" ref="Y24:Y28" si="3">BV2</f>
        <v>#REF!</v>
      </c>
      <c r="AP24" s="315"/>
      <c r="AQ24" s="316"/>
      <c r="AR24" s="317"/>
      <c r="AS24" s="256"/>
      <c r="AT24" s="258"/>
      <c r="AU24" s="256"/>
      <c r="AV24" s="258"/>
      <c r="AW24" s="256"/>
      <c r="AX24" s="257"/>
      <c r="AY24" s="257"/>
      <c r="AZ24" s="258"/>
      <c r="BA24" s="256"/>
      <c r="BB24" s="258"/>
      <c r="BC24" s="318"/>
    </row>
    <row r="25" spans="3:55" ht="17.25" customHeight="1">
      <c r="C25" s="435"/>
      <c r="D25" s="438"/>
      <c r="E25" s="297">
        <v>16</v>
      </c>
      <c r="F25" s="422" t="s">
        <v>697</v>
      </c>
      <c r="G25" s="422"/>
      <c r="H25" s="422"/>
      <c r="I25" s="422"/>
      <c r="J25" s="422"/>
      <c r="K25" s="422"/>
      <c r="L25" s="446"/>
      <c r="M25" s="447"/>
      <c r="N25" s="298" t="b">
        <v>0</v>
      </c>
      <c r="O25" s="423"/>
      <c r="P25" s="427"/>
      <c r="Q25" s="427"/>
      <c r="R25" s="427"/>
      <c r="S25" s="427"/>
      <c r="T25" s="427"/>
      <c r="U25" s="427"/>
      <c r="W25" s="459"/>
      <c r="X25" s="279" t="s">
        <v>617</v>
      </c>
      <c r="Y25" s="280" t="e">
        <f t="shared" si="3"/>
        <v>#REF!</v>
      </c>
      <c r="AP25" s="320"/>
      <c r="AQ25" s="321"/>
      <c r="AR25" s="322"/>
      <c r="AS25" s="323"/>
      <c r="AT25" s="324"/>
      <c r="AU25" s="323"/>
      <c r="AV25" s="324"/>
      <c r="AW25" s="323"/>
      <c r="AX25" s="336"/>
      <c r="AY25" s="336"/>
      <c r="AZ25" s="324"/>
      <c r="BA25" s="323"/>
      <c r="BB25" s="324"/>
      <c r="BC25" s="341"/>
    </row>
    <row r="26" spans="3:55" ht="35.25" customHeight="1">
      <c r="C26" s="435"/>
      <c r="D26" s="438" t="s">
        <v>698</v>
      </c>
      <c r="E26" s="454">
        <v>17</v>
      </c>
      <c r="F26" s="487" t="s">
        <v>699</v>
      </c>
      <c r="G26" s="487"/>
      <c r="H26" s="487"/>
      <c r="I26" s="487"/>
      <c r="J26" s="487"/>
      <c r="K26" s="487"/>
      <c r="L26" s="484" t="s">
        <v>700</v>
      </c>
      <c r="M26" s="485"/>
      <c r="N26" s="298" t="b">
        <v>0</v>
      </c>
      <c r="O26" s="426" t="s">
        <v>701</v>
      </c>
      <c r="P26" s="488"/>
      <c r="Q26" s="488"/>
      <c r="R26" s="488"/>
      <c r="S26" s="488"/>
      <c r="T26" s="488"/>
      <c r="U26" s="488"/>
      <c r="W26" s="459"/>
      <c r="X26" s="279" t="s">
        <v>622</v>
      </c>
      <c r="Y26" s="280" t="str">
        <f t="shared" si="3"/>
        <v>2024. 11. 18 ~ 2025. 01. 10</v>
      </c>
      <c r="AP26" s="328"/>
      <c r="AQ26" s="329"/>
      <c r="AR26" s="330"/>
      <c r="AS26" s="331"/>
      <c r="AT26" s="332"/>
      <c r="AU26" s="331"/>
      <c r="AV26" s="332"/>
      <c r="AW26" s="331"/>
      <c r="AX26" s="338"/>
      <c r="AY26" s="338"/>
      <c r="AZ26" s="332"/>
      <c r="BA26" s="331"/>
      <c r="BB26" s="332"/>
      <c r="BC26" s="342"/>
    </row>
    <row r="27" spans="3:55" ht="17.25" customHeight="1">
      <c r="C27" s="435"/>
      <c r="D27" s="486"/>
      <c r="E27" s="455"/>
      <c r="F27" s="487"/>
      <c r="G27" s="487"/>
      <c r="H27" s="487"/>
      <c r="I27" s="487"/>
      <c r="J27" s="487"/>
      <c r="K27" s="487"/>
      <c r="L27" s="444"/>
      <c r="M27" s="445"/>
      <c r="N27" s="298" t="b">
        <v>0</v>
      </c>
      <c r="O27" s="426" t="s">
        <v>702</v>
      </c>
      <c r="P27" s="488"/>
      <c r="Q27" s="488"/>
      <c r="R27" s="488"/>
      <c r="S27" s="488"/>
      <c r="T27" s="488"/>
      <c r="U27" s="488"/>
      <c r="W27" s="459"/>
      <c r="X27" s="279" t="s">
        <v>629</v>
      </c>
      <c r="Y27" s="280">
        <f t="shared" si="3"/>
        <v>0</v>
      </c>
      <c r="AP27" s="328"/>
      <c r="AQ27" s="321"/>
      <c r="AR27" s="322"/>
      <c r="AS27" s="323"/>
      <c r="AT27" s="324"/>
      <c r="AU27" s="323"/>
      <c r="AV27" s="324"/>
      <c r="AW27" s="323"/>
      <c r="AX27" s="336"/>
      <c r="AY27" s="336"/>
      <c r="AZ27" s="324"/>
      <c r="BA27" s="323"/>
      <c r="BB27" s="324"/>
      <c r="BC27" s="327"/>
    </row>
    <row r="28" spans="3:55" ht="16.5" customHeight="1" thickBot="1">
      <c r="C28" s="435"/>
      <c r="D28" s="486"/>
      <c r="E28" s="456"/>
      <c r="F28" s="487"/>
      <c r="G28" s="487"/>
      <c r="H28" s="487"/>
      <c r="I28" s="487"/>
      <c r="J28" s="487"/>
      <c r="K28" s="487"/>
      <c r="L28" s="444"/>
      <c r="M28" s="445"/>
      <c r="N28" s="298" t="b">
        <v>0</v>
      </c>
      <c r="O28" s="426" t="s">
        <v>703</v>
      </c>
      <c r="P28" s="488"/>
      <c r="Q28" s="488"/>
      <c r="R28" s="488"/>
      <c r="S28" s="488"/>
      <c r="T28" s="488"/>
      <c r="U28" s="488"/>
      <c r="W28" s="460"/>
      <c r="X28" s="300" t="s">
        <v>640</v>
      </c>
      <c r="Y28" s="301">
        <f t="shared" si="3"/>
        <v>0</v>
      </c>
      <c r="AP28" s="328"/>
      <c r="AQ28" s="329"/>
      <c r="AR28" s="330"/>
      <c r="AS28" s="331"/>
      <c r="AT28" s="332"/>
      <c r="AU28" s="331"/>
      <c r="AV28" s="332"/>
      <c r="AW28" s="331"/>
      <c r="AX28" s="338"/>
      <c r="AY28" s="338"/>
      <c r="AZ28" s="332"/>
      <c r="BA28" s="331"/>
      <c r="BB28" s="332"/>
      <c r="BC28" s="335"/>
    </row>
    <row r="29" spans="3:55" ht="17.25" customHeight="1">
      <c r="C29" s="435"/>
      <c r="D29" s="486"/>
      <c r="E29" s="297">
        <v>18</v>
      </c>
      <c r="F29" s="422" t="s">
        <v>704</v>
      </c>
      <c r="G29" s="422"/>
      <c r="H29" s="422"/>
      <c r="I29" s="422"/>
      <c r="J29" s="422"/>
      <c r="K29" s="422"/>
      <c r="L29" s="444"/>
      <c r="M29" s="445"/>
      <c r="N29" s="298" t="b">
        <v>0</v>
      </c>
      <c r="O29" s="423"/>
      <c r="P29" s="427"/>
      <c r="Q29" s="427"/>
      <c r="R29" s="427"/>
      <c r="S29" s="427"/>
      <c r="T29" s="427"/>
      <c r="U29" s="427"/>
      <c r="AP29" s="339"/>
      <c r="AQ29" s="316"/>
      <c r="AR29" s="317"/>
      <c r="AS29" s="256"/>
      <c r="AT29" s="258"/>
      <c r="AU29" s="256"/>
      <c r="AV29" s="258"/>
      <c r="AW29" s="256"/>
      <c r="AX29" s="257"/>
      <c r="AY29" s="257"/>
      <c r="AZ29" s="258"/>
      <c r="BA29" s="256"/>
      <c r="BB29" s="258"/>
      <c r="BC29" s="318"/>
    </row>
    <row r="30" spans="3:55" ht="16.5" customHeight="1">
      <c r="C30" s="435"/>
      <c r="D30" s="486"/>
      <c r="E30" s="297">
        <v>19</v>
      </c>
      <c r="F30" s="422" t="s">
        <v>705</v>
      </c>
      <c r="G30" s="422"/>
      <c r="H30" s="422"/>
      <c r="I30" s="422"/>
      <c r="J30" s="422"/>
      <c r="K30" s="422"/>
      <c r="L30" s="444"/>
      <c r="M30" s="445"/>
      <c r="N30" s="298" t="b">
        <v>0</v>
      </c>
      <c r="O30" s="423"/>
      <c r="P30" s="427"/>
      <c r="Q30" s="427"/>
      <c r="R30" s="427"/>
      <c r="S30" s="427"/>
      <c r="T30" s="427"/>
      <c r="U30" s="427"/>
    </row>
    <row r="31" spans="3:55" ht="16.5" customHeight="1">
      <c r="C31" s="435"/>
      <c r="D31" s="486"/>
      <c r="E31" s="297">
        <v>20</v>
      </c>
      <c r="F31" s="422" t="s">
        <v>706</v>
      </c>
      <c r="G31" s="422"/>
      <c r="H31" s="422"/>
      <c r="I31" s="422"/>
      <c r="J31" s="422"/>
      <c r="K31" s="422"/>
      <c r="L31" s="444"/>
      <c r="M31" s="445"/>
      <c r="N31" s="298" t="b">
        <v>0</v>
      </c>
      <c r="O31" s="423"/>
      <c r="P31" s="427"/>
      <c r="Q31" s="427"/>
      <c r="R31" s="427"/>
      <c r="S31" s="427"/>
      <c r="T31" s="427"/>
      <c r="U31" s="427"/>
    </row>
    <row r="32" spans="3:55" ht="16.5" customHeight="1">
      <c r="C32" s="435"/>
      <c r="D32" s="486"/>
      <c r="E32" s="297">
        <v>21</v>
      </c>
      <c r="F32" s="422" t="s">
        <v>707</v>
      </c>
      <c r="G32" s="422"/>
      <c r="H32" s="422"/>
      <c r="I32" s="422"/>
      <c r="J32" s="422"/>
      <c r="K32" s="422"/>
      <c r="L32" s="446"/>
      <c r="M32" s="447"/>
      <c r="N32" s="298" t="b">
        <v>0</v>
      </c>
      <c r="O32" s="423" t="s">
        <v>708</v>
      </c>
      <c r="P32" s="427"/>
      <c r="Q32" s="427"/>
      <c r="R32" s="427"/>
      <c r="S32" s="427"/>
      <c r="T32" s="427"/>
      <c r="U32" s="427"/>
    </row>
    <row r="33" spans="3:21" ht="16.5" customHeight="1">
      <c r="C33" s="435"/>
      <c r="D33" s="438" t="s">
        <v>709</v>
      </c>
      <c r="E33" s="343">
        <v>22</v>
      </c>
      <c r="F33" s="490" t="s">
        <v>710</v>
      </c>
      <c r="G33" s="490"/>
      <c r="H33" s="490"/>
      <c r="I33" s="490"/>
      <c r="J33" s="490"/>
      <c r="K33" s="490"/>
      <c r="L33" s="491" t="s">
        <v>711</v>
      </c>
      <c r="M33" s="491"/>
      <c r="N33" s="344" t="b">
        <v>0</v>
      </c>
      <c r="O33" s="492" t="s">
        <v>712</v>
      </c>
      <c r="P33" s="492"/>
      <c r="Q33" s="492"/>
      <c r="R33" s="492"/>
      <c r="S33" s="492"/>
      <c r="T33" s="492"/>
      <c r="U33" s="492"/>
    </row>
    <row r="34" spans="3:21" ht="16.5" customHeight="1">
      <c r="C34" s="435"/>
      <c r="D34" s="438"/>
      <c r="E34" s="297">
        <v>23</v>
      </c>
      <c r="F34" s="422" t="s">
        <v>713</v>
      </c>
      <c r="G34" s="422"/>
      <c r="H34" s="422"/>
      <c r="I34" s="422"/>
      <c r="J34" s="422"/>
      <c r="K34" s="422"/>
      <c r="L34" s="484" t="s">
        <v>714</v>
      </c>
      <c r="M34" s="485"/>
      <c r="N34" s="298" t="b">
        <v>1</v>
      </c>
      <c r="O34" s="426" t="s">
        <v>715</v>
      </c>
      <c r="P34" s="488"/>
      <c r="Q34" s="488"/>
      <c r="R34" s="488"/>
      <c r="S34" s="488"/>
      <c r="T34" s="488"/>
      <c r="U34" s="488"/>
    </row>
    <row r="35" spans="3:21" ht="40.5" customHeight="1">
      <c r="C35" s="435"/>
      <c r="D35" s="438"/>
      <c r="E35" s="297">
        <v>24</v>
      </c>
      <c r="F35" s="422" t="s">
        <v>716</v>
      </c>
      <c r="G35" s="422"/>
      <c r="H35" s="422"/>
      <c r="I35" s="422"/>
      <c r="J35" s="422"/>
      <c r="K35" s="422"/>
      <c r="L35" s="446"/>
      <c r="M35" s="447"/>
      <c r="N35" s="298" t="b">
        <v>0</v>
      </c>
      <c r="O35" s="423"/>
      <c r="P35" s="427"/>
      <c r="Q35" s="427"/>
      <c r="R35" s="427"/>
      <c r="S35" s="427"/>
      <c r="T35" s="427"/>
      <c r="U35" s="427"/>
    </row>
    <row r="36" spans="3:21" ht="17.25" customHeight="1">
      <c r="C36" s="435"/>
      <c r="D36" s="438"/>
      <c r="E36" s="297">
        <v>25</v>
      </c>
      <c r="F36" s="422" t="s">
        <v>717</v>
      </c>
      <c r="G36" s="422"/>
      <c r="H36" s="422"/>
      <c r="I36" s="422"/>
      <c r="J36" s="422"/>
      <c r="K36" s="422"/>
      <c r="L36" s="489" t="s">
        <v>718</v>
      </c>
      <c r="M36" s="489"/>
      <c r="N36" s="298" t="b">
        <v>0</v>
      </c>
      <c r="O36" s="423"/>
      <c r="P36" s="427"/>
      <c r="Q36" s="427"/>
      <c r="R36" s="427"/>
      <c r="S36" s="427"/>
      <c r="T36" s="427"/>
      <c r="U36" s="427"/>
    </row>
    <row r="37" spans="3:21" ht="16.5" customHeight="1">
      <c r="C37" s="435"/>
      <c r="D37" s="438"/>
      <c r="E37" s="297">
        <v>26</v>
      </c>
      <c r="F37" s="493" t="s">
        <v>719</v>
      </c>
      <c r="G37" s="494"/>
      <c r="H37" s="494"/>
      <c r="I37" s="494"/>
      <c r="J37" s="494"/>
      <c r="K37" s="495"/>
      <c r="L37" s="496" t="s">
        <v>720</v>
      </c>
      <c r="M37" s="497"/>
      <c r="N37" s="298" t="b">
        <v>0</v>
      </c>
      <c r="O37" s="423"/>
      <c r="P37" s="427"/>
      <c r="Q37" s="427"/>
      <c r="R37" s="427"/>
      <c r="S37" s="427"/>
      <c r="T37" s="427"/>
      <c r="U37" s="427"/>
    </row>
    <row r="38" spans="3:21" ht="16.5" customHeight="1">
      <c r="C38" s="435"/>
      <c r="D38" s="438"/>
      <c r="E38" s="297">
        <v>27</v>
      </c>
      <c r="F38" s="422" t="s">
        <v>721</v>
      </c>
      <c r="G38" s="422"/>
      <c r="H38" s="422"/>
      <c r="I38" s="422"/>
      <c r="J38" s="422"/>
      <c r="K38" s="422"/>
      <c r="L38" s="498"/>
      <c r="M38" s="499"/>
      <c r="N38" s="298" t="b">
        <v>0</v>
      </c>
      <c r="O38" s="423" t="s">
        <v>722</v>
      </c>
      <c r="P38" s="427"/>
      <c r="Q38" s="427"/>
      <c r="R38" s="427"/>
      <c r="S38" s="427"/>
      <c r="T38" s="427"/>
      <c r="U38" s="427"/>
    </row>
    <row r="39" spans="3:21" ht="16.5" customHeight="1">
      <c r="C39" s="435"/>
      <c r="D39" s="438" t="s">
        <v>723</v>
      </c>
      <c r="E39" s="343">
        <v>28</v>
      </c>
      <c r="F39" s="490" t="s">
        <v>724</v>
      </c>
      <c r="G39" s="490"/>
      <c r="H39" s="490"/>
      <c r="I39" s="490"/>
      <c r="J39" s="490"/>
      <c r="K39" s="490"/>
      <c r="L39" s="491" t="s">
        <v>725</v>
      </c>
      <c r="M39" s="491"/>
      <c r="N39" s="344" t="b">
        <v>0</v>
      </c>
      <c r="O39" s="492"/>
      <c r="P39" s="492"/>
      <c r="Q39" s="492"/>
      <c r="R39" s="492"/>
      <c r="S39" s="492"/>
      <c r="T39" s="492"/>
      <c r="U39" s="492"/>
    </row>
    <row r="40" spans="3:21" ht="16.5" customHeight="1">
      <c r="C40" s="435"/>
      <c r="D40" s="438"/>
      <c r="E40" s="297">
        <v>29</v>
      </c>
      <c r="F40" s="422" t="s">
        <v>726</v>
      </c>
      <c r="G40" s="422"/>
      <c r="H40" s="422"/>
      <c r="I40" s="422"/>
      <c r="J40" s="422"/>
      <c r="K40" s="422"/>
      <c r="L40" s="489" t="s">
        <v>727</v>
      </c>
      <c r="M40" s="489"/>
      <c r="N40" s="298" t="b">
        <v>0</v>
      </c>
      <c r="O40" s="423"/>
      <c r="P40" s="427"/>
      <c r="Q40" s="427"/>
      <c r="R40" s="427"/>
      <c r="S40" s="427"/>
      <c r="T40" s="427"/>
      <c r="U40" s="427"/>
    </row>
    <row r="41" spans="3:21" ht="16.5" customHeight="1">
      <c r="C41" s="435"/>
      <c r="D41" s="438"/>
      <c r="E41" s="345">
        <v>30</v>
      </c>
      <c r="F41" s="501" t="s">
        <v>728</v>
      </c>
      <c r="G41" s="501"/>
      <c r="H41" s="501"/>
      <c r="I41" s="501"/>
      <c r="J41" s="501"/>
      <c r="K41" s="501"/>
      <c r="L41" s="502" t="s">
        <v>729</v>
      </c>
      <c r="M41" s="503"/>
      <c r="N41" s="346" t="b">
        <v>0</v>
      </c>
      <c r="O41" s="500" t="s">
        <v>730</v>
      </c>
      <c r="P41" s="500"/>
      <c r="Q41" s="500"/>
      <c r="R41" s="500"/>
      <c r="S41" s="500"/>
      <c r="T41" s="500"/>
      <c r="U41" s="500"/>
    </row>
    <row r="42" spans="3:21" ht="16.5" customHeight="1">
      <c r="C42" s="435"/>
      <c r="D42" s="438"/>
      <c r="E42" s="345">
        <v>31</v>
      </c>
      <c r="F42" s="501" t="s">
        <v>731</v>
      </c>
      <c r="G42" s="501"/>
      <c r="H42" s="501"/>
      <c r="I42" s="501"/>
      <c r="J42" s="501"/>
      <c r="K42" s="501"/>
      <c r="L42" s="504"/>
      <c r="M42" s="505"/>
      <c r="N42" s="346" t="b">
        <v>0</v>
      </c>
      <c r="O42" s="500"/>
      <c r="P42" s="500"/>
      <c r="Q42" s="500"/>
      <c r="R42" s="500"/>
      <c r="S42" s="500"/>
      <c r="T42" s="500"/>
      <c r="U42" s="500"/>
    </row>
    <row r="43" spans="3:21" ht="16.5" customHeight="1">
      <c r="C43" s="435"/>
      <c r="D43" s="438"/>
      <c r="E43" s="345">
        <v>32</v>
      </c>
      <c r="F43" s="501" t="s">
        <v>732</v>
      </c>
      <c r="G43" s="501"/>
      <c r="H43" s="501"/>
      <c r="I43" s="501"/>
      <c r="J43" s="501"/>
      <c r="K43" s="501"/>
      <c r="L43" s="504"/>
      <c r="M43" s="505"/>
      <c r="N43" s="346" t="b">
        <v>0</v>
      </c>
      <c r="O43" s="500"/>
      <c r="P43" s="500"/>
      <c r="Q43" s="500"/>
      <c r="R43" s="500"/>
      <c r="S43" s="500"/>
      <c r="T43" s="500"/>
      <c r="U43" s="500"/>
    </row>
    <row r="44" spans="3:21" ht="16.5" customHeight="1">
      <c r="C44" s="435"/>
      <c r="D44" s="438"/>
      <c r="E44" s="345">
        <v>33</v>
      </c>
      <c r="F44" s="501" t="s">
        <v>733</v>
      </c>
      <c r="G44" s="501"/>
      <c r="H44" s="501"/>
      <c r="I44" s="501"/>
      <c r="J44" s="501"/>
      <c r="K44" s="501"/>
      <c r="L44" s="504"/>
      <c r="M44" s="505"/>
      <c r="N44" s="346" t="b">
        <v>0</v>
      </c>
      <c r="O44" s="500"/>
      <c r="P44" s="500"/>
      <c r="Q44" s="500"/>
      <c r="R44" s="500"/>
      <c r="S44" s="500"/>
      <c r="T44" s="500"/>
      <c r="U44" s="500"/>
    </row>
    <row r="45" spans="3:21" ht="16.5" customHeight="1">
      <c r="C45" s="435"/>
      <c r="D45" s="438"/>
      <c r="E45" s="345">
        <v>34</v>
      </c>
      <c r="F45" s="501" t="s">
        <v>734</v>
      </c>
      <c r="G45" s="501"/>
      <c r="H45" s="501"/>
      <c r="I45" s="501"/>
      <c r="J45" s="501"/>
      <c r="K45" s="501"/>
      <c r="L45" s="506"/>
      <c r="M45" s="507"/>
      <c r="N45" s="346" t="b">
        <v>0</v>
      </c>
      <c r="O45" s="500"/>
      <c r="P45" s="500"/>
      <c r="Q45" s="500"/>
      <c r="R45" s="500"/>
      <c r="S45" s="500"/>
      <c r="T45" s="500"/>
      <c r="U45" s="500"/>
    </row>
    <row r="46" spans="3:21" ht="16.5" customHeight="1">
      <c r="C46" s="435"/>
      <c r="D46" s="438"/>
      <c r="E46" s="297">
        <v>35</v>
      </c>
      <c r="F46" s="422" t="s">
        <v>735</v>
      </c>
      <c r="G46" s="422"/>
      <c r="H46" s="422"/>
      <c r="I46" s="422"/>
      <c r="J46" s="422"/>
      <c r="K46" s="422"/>
      <c r="L46" s="489" t="s">
        <v>736</v>
      </c>
      <c r="M46" s="489"/>
      <c r="N46" s="298" t="b">
        <v>0</v>
      </c>
      <c r="O46" s="423"/>
      <c r="P46" s="427"/>
      <c r="Q46" s="427"/>
      <c r="R46" s="427"/>
      <c r="S46" s="427"/>
      <c r="T46" s="427"/>
      <c r="U46" s="427"/>
    </row>
    <row r="47" spans="3:21" ht="16.5" customHeight="1">
      <c r="C47" s="435"/>
      <c r="D47" s="438"/>
      <c r="E47" s="297">
        <v>36</v>
      </c>
      <c r="F47" s="422" t="s">
        <v>737</v>
      </c>
      <c r="G47" s="422"/>
      <c r="H47" s="422"/>
      <c r="I47" s="422"/>
      <c r="J47" s="422"/>
      <c r="K47" s="422"/>
      <c r="L47" s="489" t="s">
        <v>718</v>
      </c>
      <c r="M47" s="489"/>
      <c r="N47" s="298" t="b">
        <v>0</v>
      </c>
      <c r="O47" s="423"/>
      <c r="P47" s="427"/>
      <c r="Q47" s="427"/>
      <c r="R47" s="427"/>
      <c r="S47" s="427"/>
      <c r="T47" s="427"/>
      <c r="U47" s="427"/>
    </row>
    <row r="48" spans="3:21" ht="16.5" customHeight="1">
      <c r="C48" s="435"/>
      <c r="D48" s="438" t="s">
        <v>738</v>
      </c>
      <c r="E48" s="297">
        <v>37</v>
      </c>
      <c r="F48" s="422" t="s">
        <v>739</v>
      </c>
      <c r="G48" s="422"/>
      <c r="H48" s="422"/>
      <c r="I48" s="422"/>
      <c r="J48" s="422"/>
      <c r="K48" s="422"/>
      <c r="L48" s="484" t="s">
        <v>740</v>
      </c>
      <c r="M48" s="485"/>
      <c r="N48" s="298" t="b">
        <v>0</v>
      </c>
      <c r="O48" s="423"/>
      <c r="P48" s="427"/>
      <c r="Q48" s="427"/>
      <c r="R48" s="427"/>
      <c r="S48" s="427"/>
      <c r="T48" s="427"/>
      <c r="U48" s="427"/>
    </row>
    <row r="49" spans="3:21" ht="16.5" customHeight="1">
      <c r="C49" s="436"/>
      <c r="D49" s="508"/>
      <c r="E49" s="297">
        <v>38</v>
      </c>
      <c r="F49" s="509" t="s">
        <v>741</v>
      </c>
      <c r="G49" s="510"/>
      <c r="H49" s="510"/>
      <c r="I49" s="510"/>
      <c r="J49" s="510"/>
      <c r="K49" s="511"/>
      <c r="L49" s="446"/>
      <c r="M49" s="447"/>
      <c r="N49" s="347" t="b">
        <v>0</v>
      </c>
      <c r="O49" s="512"/>
      <c r="P49" s="513"/>
      <c r="Q49" s="513"/>
      <c r="R49" s="513"/>
      <c r="S49" s="513"/>
      <c r="T49" s="513"/>
      <c r="U49" s="513"/>
    </row>
    <row r="50" spans="3:21" ht="16.5" customHeight="1"/>
    <row r="51" spans="3:21" ht="17.25" customHeight="1"/>
    <row r="52" spans="3:21" ht="16.5" customHeight="1"/>
  </sheetData>
  <mergeCells count="157"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M25"/>
  <sheetViews>
    <sheetView workbookViewId="0"/>
  </sheetViews>
  <sheetFormatPr defaultColWidth="9" defaultRowHeight="12.75"/>
  <cols>
    <col min="1" max="2" width="9" style="120"/>
    <col min="3" max="3" width="73.59765625" style="120" bestFit="1" customWidth="1"/>
    <col min="4" max="16384" width="9" style="120"/>
  </cols>
  <sheetData>
    <row r="1" spans="1:13" ht="16.149999999999999" thickBot="1">
      <c r="A1" s="216"/>
      <c r="B1" s="219">
        <v>5</v>
      </c>
      <c r="C1" s="220" t="s">
        <v>577</v>
      </c>
    </row>
    <row r="2" spans="1:13" ht="13.15" thickTop="1">
      <c r="A2" s="217"/>
      <c r="B2" s="217"/>
    </row>
    <row r="3" spans="1:13" ht="12.75" customHeight="1">
      <c r="A3" s="218"/>
      <c r="B3" s="516" t="s">
        <v>150</v>
      </c>
      <c r="C3" s="516"/>
      <c r="D3" s="122"/>
      <c r="E3" s="122"/>
      <c r="F3" s="122"/>
      <c r="G3" s="122"/>
      <c r="H3" s="122"/>
    </row>
    <row r="4" spans="1:13" ht="12.75" customHeight="1" thickBot="1">
      <c r="A4" s="217"/>
      <c r="B4" s="517"/>
      <c r="C4" s="517"/>
      <c r="D4" s="122"/>
      <c r="E4" s="122"/>
      <c r="F4" s="122"/>
      <c r="G4" s="122"/>
      <c r="H4" s="122"/>
    </row>
    <row r="5" spans="1:13" ht="17.649999999999999" thickTop="1">
      <c r="A5" s="217"/>
      <c r="B5" s="222">
        <v>1</v>
      </c>
      <c r="C5" s="224" t="s">
        <v>581</v>
      </c>
    </row>
    <row r="6" spans="1:13" ht="17.25">
      <c r="B6" s="223">
        <v>2</v>
      </c>
      <c r="C6" s="225" t="s">
        <v>193</v>
      </c>
    </row>
    <row r="7" spans="1:13" ht="17.25">
      <c r="B7" s="223">
        <v>3</v>
      </c>
      <c r="C7" s="225" t="s">
        <v>582</v>
      </c>
      <c r="D7" s="119"/>
    </row>
    <row r="8" spans="1:13" ht="22.9" thickBot="1">
      <c r="B8" s="223">
        <v>4</v>
      </c>
      <c r="C8" s="225" t="s">
        <v>583</v>
      </c>
      <c r="D8" s="121"/>
      <c r="E8" s="514" t="s">
        <v>574</v>
      </c>
      <c r="F8" s="514"/>
      <c r="G8" s="514"/>
      <c r="H8" s="514"/>
      <c r="I8" s="514"/>
      <c r="J8" s="514"/>
      <c r="K8" s="514"/>
      <c r="L8" s="514"/>
      <c r="M8" s="514"/>
    </row>
    <row r="9" spans="1:13" ht="17.649999999999999" thickTop="1">
      <c r="B9" s="223">
        <v>5</v>
      </c>
      <c r="C9" s="225" t="s">
        <v>584</v>
      </c>
      <c r="D9" s="121"/>
      <c r="E9" s="519" t="s">
        <v>571</v>
      </c>
      <c r="F9" s="519"/>
      <c r="G9" s="519"/>
      <c r="H9" s="519"/>
      <c r="I9" s="519"/>
      <c r="J9" s="519"/>
      <c r="K9" s="519"/>
      <c r="L9" s="519"/>
      <c r="M9" s="519"/>
    </row>
    <row r="10" spans="1:13" ht="17.25">
      <c r="B10" s="223">
        <v>6</v>
      </c>
      <c r="C10" s="225" t="s">
        <v>585</v>
      </c>
      <c r="E10" s="520" t="s">
        <v>572</v>
      </c>
      <c r="F10" s="520"/>
      <c r="G10" s="520"/>
      <c r="H10" s="520"/>
      <c r="I10" s="520"/>
      <c r="J10" s="520"/>
      <c r="K10" s="520"/>
      <c r="L10" s="520"/>
      <c r="M10" s="520"/>
    </row>
    <row r="11" spans="1:13" ht="17.25">
      <c r="B11" s="223">
        <v>7</v>
      </c>
      <c r="C11" s="225" t="s">
        <v>586</v>
      </c>
      <c r="E11" s="521" t="s">
        <v>573</v>
      </c>
      <c r="F11" s="521"/>
      <c r="G11" s="521"/>
      <c r="H11" s="521"/>
      <c r="I11" s="521"/>
      <c r="J11" s="521"/>
      <c r="K11" s="521"/>
      <c r="L11" s="521"/>
      <c r="M11" s="521"/>
    </row>
    <row r="12" spans="1:13" ht="17.649999999999999" thickBot="1">
      <c r="B12" s="223">
        <v>8</v>
      </c>
      <c r="C12" s="225" t="s">
        <v>151</v>
      </c>
      <c r="E12" s="518" t="s">
        <v>576</v>
      </c>
      <c r="F12" s="518"/>
      <c r="G12" s="518"/>
      <c r="H12" s="518"/>
      <c r="I12" s="518"/>
      <c r="J12" s="518"/>
      <c r="K12" s="518"/>
      <c r="L12" s="518"/>
      <c r="M12" s="518"/>
    </row>
    <row r="13" spans="1:13" ht="17.649999999999999" thickTop="1">
      <c r="B13" s="223">
        <v>9</v>
      </c>
      <c r="C13" s="225" t="s">
        <v>152</v>
      </c>
      <c r="E13"/>
      <c r="F13"/>
      <c r="G13"/>
      <c r="H13"/>
      <c r="I13"/>
      <c r="J13"/>
      <c r="K13"/>
      <c r="L13"/>
      <c r="M13"/>
    </row>
    <row r="14" spans="1:13" ht="18.75">
      <c r="B14" s="223">
        <v>10</v>
      </c>
      <c r="C14" s="225" t="s">
        <v>153</v>
      </c>
      <c r="E14" s="515" t="s">
        <v>575</v>
      </c>
      <c r="F14" s="515"/>
      <c r="G14" s="515"/>
      <c r="H14" s="515"/>
      <c r="I14" s="515"/>
      <c r="J14" s="515"/>
      <c r="K14" s="515"/>
      <c r="L14" s="515"/>
      <c r="M14" s="515"/>
    </row>
    <row r="15" spans="1:13" ht="17.649999999999999" thickBot="1">
      <c r="B15" s="223">
        <v>11</v>
      </c>
      <c r="C15" s="225" t="s">
        <v>154</v>
      </c>
      <c r="E15" s="221" t="s">
        <v>592</v>
      </c>
      <c r="F15" s="523" t="s">
        <v>591</v>
      </c>
      <c r="G15" s="523"/>
      <c r="H15" s="221" t="s">
        <v>593</v>
      </c>
    </row>
    <row r="16" spans="1:13" ht="17.649999999999999" thickTop="1">
      <c r="B16" s="223">
        <v>12</v>
      </c>
      <c r="C16" s="225" t="s">
        <v>587</v>
      </c>
      <c r="E16" s="227" t="s">
        <v>594</v>
      </c>
      <c r="F16" s="524" t="s">
        <v>755</v>
      </c>
      <c r="G16" s="525"/>
      <c r="H16" s="226">
        <v>20</v>
      </c>
    </row>
    <row r="17" spans="2:13" ht="17.25">
      <c r="B17" s="223">
        <v>13</v>
      </c>
      <c r="C17" s="225" t="s">
        <v>588</v>
      </c>
      <c r="E17" s="229" t="s">
        <v>595</v>
      </c>
      <c r="F17" s="526"/>
      <c r="G17" s="527"/>
      <c r="H17" s="228"/>
    </row>
    <row r="18" spans="2:13" ht="17.25">
      <c r="B18" s="223">
        <v>14</v>
      </c>
      <c r="C18" s="225" t="s">
        <v>589</v>
      </c>
      <c r="E18" s="229" t="s">
        <v>596</v>
      </c>
      <c r="F18" s="526"/>
      <c r="G18" s="527"/>
      <c r="H18" s="228"/>
    </row>
    <row r="19" spans="2:13" ht="17.25">
      <c r="B19" s="223">
        <v>15</v>
      </c>
      <c r="C19" s="225" t="s">
        <v>578</v>
      </c>
      <c r="E19" s="229"/>
      <c r="F19" s="526"/>
      <c r="G19" s="527"/>
      <c r="H19" s="228"/>
    </row>
    <row r="20" spans="2:13" ht="17.649999999999999" thickBot="1">
      <c r="B20" s="223">
        <v>16</v>
      </c>
      <c r="C20" s="225" t="s">
        <v>579</v>
      </c>
      <c r="E20" s="518" t="s">
        <v>576</v>
      </c>
      <c r="F20" s="518"/>
      <c r="G20" s="518"/>
      <c r="H20" s="518"/>
      <c r="I20" s="518"/>
      <c r="J20" s="518"/>
      <c r="K20" s="518"/>
      <c r="L20" s="518"/>
      <c r="M20" s="518"/>
    </row>
    <row r="21" spans="2:13" ht="17.649999999999999" thickTop="1">
      <c r="B21" s="223">
        <v>17</v>
      </c>
      <c r="C21" s="225" t="s">
        <v>580</v>
      </c>
    </row>
    <row r="22" spans="2:13" ht="17.25">
      <c r="B22" s="223">
        <v>18</v>
      </c>
      <c r="C22" s="225" t="s">
        <v>590</v>
      </c>
    </row>
    <row r="23" spans="2:13" ht="13.15" thickBot="1">
      <c r="B23" s="522" t="s">
        <v>576</v>
      </c>
      <c r="C23" s="522"/>
      <c r="D23"/>
    </row>
    <row r="24" spans="2:13" ht="16.149999999999999" thickTop="1">
      <c r="B24" s="119"/>
    </row>
    <row r="25" spans="2:13">
      <c r="E25"/>
      <c r="F25"/>
      <c r="G25"/>
      <c r="H25"/>
      <c r="I25"/>
      <c r="J25"/>
      <c r="K25"/>
    </row>
  </sheetData>
  <mergeCells count="14">
    <mergeCell ref="B23:C23"/>
    <mergeCell ref="F15:G15"/>
    <mergeCell ref="F16:G16"/>
    <mergeCell ref="F17:G17"/>
    <mergeCell ref="F18:G18"/>
    <mergeCell ref="F19:G19"/>
    <mergeCell ref="E8:M8"/>
    <mergeCell ref="E14:M14"/>
    <mergeCell ref="B3:C4"/>
    <mergeCell ref="E12:M12"/>
    <mergeCell ref="E20:M20"/>
    <mergeCell ref="E9:M9"/>
    <mergeCell ref="E10:M10"/>
    <mergeCell ref="E11:M11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7</xdr:col>
                    <xdr:colOff>400050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/>
  </sheetViews>
  <sheetFormatPr defaultRowHeight="12.75"/>
  <cols>
    <col min="1" max="1" width="14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workbookViewId="0"/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3984375" bestFit="1" customWidth="1"/>
    <col min="5" max="5" width="29.59765625" bestFit="1" customWidth="1"/>
    <col min="6" max="6" width="12" customWidth="1"/>
    <col min="7" max="7" width="12.1328125" bestFit="1" customWidth="1"/>
    <col min="8" max="8" width="12.1328125" customWidth="1"/>
    <col min="9" max="9" width="16.3984375" customWidth="1"/>
    <col min="10" max="11" width="18.86328125" customWidth="1"/>
    <col min="12" max="12" width="20.73046875" customWidth="1"/>
    <col min="13" max="13" width="17" customWidth="1"/>
    <col min="14" max="14" width="37.73046875" customWidth="1"/>
    <col min="15" max="15" width="20.73046875" customWidth="1"/>
    <col min="16" max="16" width="21.3984375" bestFit="1" customWidth="1"/>
    <col min="17" max="17" width="35.73046875" bestFit="1" customWidth="1"/>
    <col min="18" max="18" width="34.3984375" customWidth="1"/>
    <col min="19" max="19" width="33.265625" bestFit="1" customWidth="1"/>
    <col min="20" max="20" width="22.73046875" bestFit="1" customWidth="1"/>
    <col min="21" max="21" width="14" bestFit="1" customWidth="1"/>
    <col min="22" max="22" width="22.59765625" bestFit="1" customWidth="1"/>
    <col min="23" max="23" width="8.1328125" bestFit="1" customWidth="1"/>
    <col min="24" max="25" width="9.59765625" bestFit="1" customWidth="1"/>
    <col min="26" max="26" width="8.1328125" bestFit="1" customWidth="1"/>
    <col min="27" max="27" width="5.59765625" customWidth="1"/>
    <col min="28" max="28" width="3.265625" customWidth="1"/>
    <col min="29" max="29" width="16.265625" bestFit="1" customWidth="1"/>
    <col min="30" max="30" width="30.265625" customWidth="1"/>
    <col min="31" max="31" width="5.59765625" customWidth="1"/>
    <col min="32" max="32" width="14" bestFit="1" customWidth="1"/>
    <col min="33" max="33" width="9.59765625" bestFit="1" customWidth="1"/>
    <col min="34" max="34" width="8.1328125" bestFit="1" customWidth="1"/>
    <col min="35" max="38" width="7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  <c r="B2" s="125" t="s">
        <v>171</v>
      </c>
      <c r="C2" s="126" t="s">
        <v>172</v>
      </c>
      <c r="D2" s="126" t="s">
        <v>173</v>
      </c>
      <c r="E2" s="126" t="s">
        <v>174</v>
      </c>
      <c r="F2" s="126" t="s">
        <v>175</v>
      </c>
      <c r="G2" s="126" t="s">
        <v>176</v>
      </c>
      <c r="H2" s="126" t="s">
        <v>177</v>
      </c>
      <c r="I2" s="126" t="s">
        <v>178</v>
      </c>
      <c r="J2" s="126" t="s">
        <v>245</v>
      </c>
      <c r="K2" s="126" t="s">
        <v>179</v>
      </c>
      <c r="L2" s="126" t="s">
        <v>237</v>
      </c>
      <c r="M2" s="126" t="s">
        <v>180</v>
      </c>
      <c r="N2" s="126" t="s">
        <v>181</v>
      </c>
      <c r="O2" s="127" t="s">
        <v>182</v>
      </c>
      <c r="P2" s="127" t="s">
        <v>183</v>
      </c>
      <c r="Q2" s="127" t="s">
        <v>184</v>
      </c>
      <c r="R2" s="161" t="s">
        <v>185</v>
      </c>
      <c r="S2" s="128" t="s">
        <v>186</v>
      </c>
      <c r="T2" s="129" t="s">
        <v>187</v>
      </c>
      <c r="U2" s="129" t="s">
        <v>188</v>
      </c>
      <c r="V2" s="130" t="s">
        <v>189</v>
      </c>
      <c r="W2" s="128" t="s">
        <v>190</v>
      </c>
    </row>
    <row r="3" spans="1:38" ht="16.899999999999999">
      <c r="A3" s="2">
        <v>1</v>
      </c>
      <c r="B3" s="131" t="s">
        <v>381</v>
      </c>
      <c r="C3" s="132"/>
      <c r="D3" s="133">
        <v>1</v>
      </c>
      <c r="E3" s="134" t="s">
        <v>380</v>
      </c>
      <c r="F3" s="134" t="s">
        <v>297</v>
      </c>
      <c r="G3" s="134" t="s">
        <v>365</v>
      </c>
      <c r="H3" s="134" t="s">
        <v>359</v>
      </c>
      <c r="I3" s="134" t="s">
        <v>298</v>
      </c>
      <c r="J3" s="134" t="s">
        <v>299</v>
      </c>
      <c r="K3" s="135">
        <v>3</v>
      </c>
      <c r="L3" s="135" t="s">
        <v>300</v>
      </c>
      <c r="M3" s="135" t="s">
        <v>356</v>
      </c>
      <c r="N3" s="136"/>
      <c r="O3" s="158" t="s">
        <v>358</v>
      </c>
      <c r="P3" s="159" t="s">
        <v>301</v>
      </c>
      <c r="Q3" s="160" t="s">
        <v>302</v>
      </c>
      <c r="R3" s="137" t="str">
        <f t="shared" ref="R3:R17" si="0">P3&amp; "/" &amp;Q3</f>
        <v>신한은행/605-2241-148731</v>
      </c>
      <c r="S3" s="137" t="str">
        <f>IF(OR(MID(G3, 8, 1) = "3", MOD(MID(G3, 8, 1), 2) = 1), "남", "여")</f>
        <v>남</v>
      </c>
      <c r="T3" s="137" t="str">
        <f>LEFT(G3, 6)</f>
        <v>900699</v>
      </c>
      <c r="U3" s="137" t="str">
        <f>IF(VALUE(MID(G3, 8, 1)) &lt;= 2, "19" &amp; LEFT(G3, 2), "20" &amp; LEFT(G3, 2))</f>
        <v>1990</v>
      </c>
      <c r="V3" s="137">
        <f ca="1">YEAR(TODAY()) - VALUE(IF(VALUE(MID(G3, 8, 1)) &lt;= 2, "19" &amp; LEFT(G3, 2), "20" &amp; LEFT(G3, 2)))</f>
        <v>34</v>
      </c>
      <c r="W3" s="137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899999999999999">
      <c r="A4" s="2">
        <v>2</v>
      </c>
      <c r="B4" s="131" t="s">
        <v>381</v>
      </c>
      <c r="C4" s="139"/>
      <c r="D4" s="133">
        <v>2</v>
      </c>
      <c r="E4" s="134" t="s">
        <v>380</v>
      </c>
      <c r="F4" s="138" t="s">
        <v>303</v>
      </c>
      <c r="G4" s="138" t="s">
        <v>366</v>
      </c>
      <c r="H4" s="134" t="s">
        <v>359</v>
      </c>
      <c r="I4" s="138" t="s">
        <v>304</v>
      </c>
      <c r="J4" s="138" t="s">
        <v>299</v>
      </c>
      <c r="K4" s="135">
        <v>3</v>
      </c>
      <c r="L4" s="135" t="s">
        <v>300</v>
      </c>
      <c r="M4" s="135" t="s">
        <v>355</v>
      </c>
      <c r="N4" s="136"/>
      <c r="O4" s="158" t="s">
        <v>305</v>
      </c>
      <c r="P4" s="159" t="s">
        <v>192</v>
      </c>
      <c r="Q4" s="160" t="s">
        <v>306</v>
      </c>
      <c r="R4" s="137" t="str">
        <f t="shared" si="0"/>
        <v>국민은행/296-6536-108357</v>
      </c>
      <c r="S4" s="137" t="str">
        <f t="shared" ref="S4:S17" si="1">IF(OR(MID(G4, 8, 1) = "3", MOD(MID(G4, 8, 1), 2) = 1), "남", "여")</f>
        <v>여</v>
      </c>
      <c r="T4" s="137" t="str">
        <f t="shared" ref="T4:T17" si="2">LEFT(G4, 6)</f>
        <v>950499</v>
      </c>
      <c r="U4" s="137" t="str">
        <f t="shared" ref="U4:U17" si="3">IF(VALUE(MID(G4, 8, 1)) &lt;= 2, "19" &amp; LEFT(G4, 2), "20" &amp; LEFT(G4, 2))</f>
        <v>1995</v>
      </c>
      <c r="V4" s="137">
        <f t="shared" ref="V4:V17" ca="1" si="4">YEAR(TODAY()) - VALUE(IF(VALUE(MID(G4, 8, 1)) &lt;= 2, "19" &amp; LEFT(G4, 2), "20" &amp; LEFT(G4, 2)))</f>
        <v>29</v>
      </c>
      <c r="W4" s="137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899999999999999">
      <c r="A5" s="2">
        <v>3</v>
      </c>
      <c r="B5" s="131" t="s">
        <v>381</v>
      </c>
      <c r="C5" s="139"/>
      <c r="D5" s="133">
        <v>3</v>
      </c>
      <c r="E5" s="134" t="s">
        <v>380</v>
      </c>
      <c r="F5" s="138" t="s">
        <v>307</v>
      </c>
      <c r="G5" s="138" t="s">
        <v>367</v>
      </c>
      <c r="H5" s="134" t="s">
        <v>359</v>
      </c>
      <c r="I5" s="138" t="s">
        <v>308</v>
      </c>
      <c r="J5" s="138" t="s">
        <v>296</v>
      </c>
      <c r="K5" s="135">
        <v>2</v>
      </c>
      <c r="L5" s="135" t="s">
        <v>309</v>
      </c>
      <c r="M5" s="135" t="s">
        <v>310</v>
      </c>
      <c r="N5" s="136" t="s">
        <v>311</v>
      </c>
      <c r="O5" s="158" t="s">
        <v>357</v>
      </c>
      <c r="P5" s="159" t="s">
        <v>301</v>
      </c>
      <c r="Q5" s="160" t="s">
        <v>312</v>
      </c>
      <c r="R5" s="137" t="str">
        <f t="shared" si="0"/>
        <v>신한은행/309-4311-417843</v>
      </c>
      <c r="S5" s="137" t="str">
        <f>IF(OR(MID(G5, 8, 1) = "3", MOD(MID(G5, 8, 1), 2) = 1), "남", "여")</f>
        <v>여</v>
      </c>
      <c r="T5" s="137" t="str">
        <f t="shared" si="2"/>
        <v>960399</v>
      </c>
      <c r="U5" s="137" t="str">
        <f t="shared" si="3"/>
        <v>1996</v>
      </c>
      <c r="V5" s="137">
        <f t="shared" ca="1" si="4"/>
        <v>28</v>
      </c>
      <c r="W5" s="137" t="str">
        <f t="shared" si="5"/>
        <v>경상권</v>
      </c>
    </row>
    <row r="6" spans="1:38" ht="16.899999999999999">
      <c r="A6" s="2">
        <v>4</v>
      </c>
      <c r="B6" s="131" t="s">
        <v>381</v>
      </c>
      <c r="C6" s="139"/>
      <c r="D6" s="133">
        <v>4</v>
      </c>
      <c r="E6" s="134" t="s">
        <v>380</v>
      </c>
      <c r="F6" s="138" t="s">
        <v>313</v>
      </c>
      <c r="G6" s="138" t="s">
        <v>368</v>
      </c>
      <c r="H6" s="134" t="s">
        <v>359</v>
      </c>
      <c r="I6" s="138" t="s">
        <v>314</v>
      </c>
      <c r="J6" s="138" t="s">
        <v>296</v>
      </c>
      <c r="K6" s="135">
        <v>2</v>
      </c>
      <c r="L6" s="135" t="s">
        <v>309</v>
      </c>
      <c r="M6" s="135" t="s">
        <v>310</v>
      </c>
      <c r="N6" s="136" t="s">
        <v>315</v>
      </c>
      <c r="O6" s="158" t="s">
        <v>305</v>
      </c>
      <c r="P6" s="159" t="s">
        <v>301</v>
      </c>
      <c r="Q6" s="160" t="s">
        <v>316</v>
      </c>
      <c r="R6" s="137" t="str">
        <f t="shared" si="0"/>
        <v>신한은행/916-4781-629387</v>
      </c>
      <c r="S6" s="137" t="str">
        <f t="shared" si="1"/>
        <v>남</v>
      </c>
      <c r="T6" s="137" t="str">
        <f t="shared" si="2"/>
        <v>930699</v>
      </c>
      <c r="U6" s="137" t="str">
        <f t="shared" si="3"/>
        <v>1993</v>
      </c>
      <c r="V6" s="137">
        <f t="shared" ca="1" si="4"/>
        <v>31</v>
      </c>
      <c r="W6" s="137" t="str">
        <f t="shared" si="5"/>
        <v>경상권</v>
      </c>
    </row>
    <row r="7" spans="1:38" ht="16.899999999999999">
      <c r="A7" s="2">
        <v>5</v>
      </c>
      <c r="B7" s="131" t="s">
        <v>381</v>
      </c>
      <c r="C7" s="139"/>
      <c r="D7" s="133">
        <v>5</v>
      </c>
      <c r="E7" s="134" t="s">
        <v>380</v>
      </c>
      <c r="F7" s="138" t="s">
        <v>297</v>
      </c>
      <c r="G7" s="138" t="s">
        <v>379</v>
      </c>
      <c r="H7" s="134" t="s">
        <v>359</v>
      </c>
      <c r="I7" s="138" t="s">
        <v>298</v>
      </c>
      <c r="J7" s="138" t="s">
        <v>317</v>
      </c>
      <c r="K7" s="135">
        <v>4</v>
      </c>
      <c r="L7" s="135" t="s">
        <v>300</v>
      </c>
      <c r="M7" s="135" t="s">
        <v>318</v>
      </c>
      <c r="N7" s="136" t="s">
        <v>319</v>
      </c>
      <c r="O7" s="158" t="s">
        <v>358</v>
      </c>
      <c r="P7" s="159" t="s">
        <v>320</v>
      </c>
      <c r="Q7" s="160" t="s">
        <v>321</v>
      </c>
      <c r="R7" s="137" t="str">
        <f t="shared" si="0"/>
        <v>우리은행/165-6075-449479</v>
      </c>
      <c r="S7" s="137" t="str">
        <f t="shared" si="1"/>
        <v>남</v>
      </c>
      <c r="T7" s="137" t="str">
        <f t="shared" si="2"/>
        <v>020699</v>
      </c>
      <c r="U7" s="137" t="str">
        <f t="shared" si="3"/>
        <v>2002</v>
      </c>
      <c r="V7" s="137">
        <f t="shared" ca="1" si="4"/>
        <v>22</v>
      </c>
      <c r="W7" s="137" t="str">
        <f t="shared" si="5"/>
        <v>경상권</v>
      </c>
    </row>
    <row r="8" spans="1:38" ht="16.899999999999999">
      <c r="A8" s="2">
        <v>6</v>
      </c>
      <c r="B8" s="131" t="s">
        <v>381</v>
      </c>
      <c r="C8" s="139"/>
      <c r="D8" s="133">
        <v>6</v>
      </c>
      <c r="E8" s="134" t="s">
        <v>380</v>
      </c>
      <c r="F8" s="138" t="s">
        <v>322</v>
      </c>
      <c r="G8" s="138" t="s">
        <v>369</v>
      </c>
      <c r="H8" s="134" t="s">
        <v>359</v>
      </c>
      <c r="I8" s="138" t="s">
        <v>323</v>
      </c>
      <c r="J8" s="138" t="s">
        <v>296</v>
      </c>
      <c r="K8" s="135">
        <v>1</v>
      </c>
      <c r="L8" s="135" t="s">
        <v>324</v>
      </c>
      <c r="M8" s="135" t="s">
        <v>310</v>
      </c>
      <c r="N8" s="136" t="s">
        <v>325</v>
      </c>
      <c r="O8" s="158" t="s">
        <v>305</v>
      </c>
      <c r="P8" s="159" t="s">
        <v>326</v>
      </c>
      <c r="Q8" s="160" t="s">
        <v>327</v>
      </c>
      <c r="R8" s="137" t="str">
        <f t="shared" si="0"/>
        <v>농협/894-4629-468857</v>
      </c>
      <c r="S8" s="137" t="str">
        <f t="shared" si="1"/>
        <v>남</v>
      </c>
      <c r="T8" s="137" t="str">
        <f t="shared" si="2"/>
        <v>930899</v>
      </c>
      <c r="U8" s="137" t="str">
        <f t="shared" si="3"/>
        <v>1993</v>
      </c>
      <c r="V8" s="137">
        <f t="shared" ca="1" si="4"/>
        <v>31</v>
      </c>
      <c r="W8" s="137" t="str">
        <f t="shared" si="5"/>
        <v>경상권</v>
      </c>
    </row>
    <row r="9" spans="1:38" ht="16.899999999999999">
      <c r="A9" s="2">
        <v>7</v>
      </c>
      <c r="B9" s="131" t="s">
        <v>381</v>
      </c>
      <c r="C9" s="139"/>
      <c r="D9" s="133">
        <v>7</v>
      </c>
      <c r="E9" s="134" t="s">
        <v>380</v>
      </c>
      <c r="F9" s="138" t="s">
        <v>328</v>
      </c>
      <c r="G9" s="138" t="s">
        <v>378</v>
      </c>
      <c r="H9" s="134" t="s">
        <v>359</v>
      </c>
      <c r="I9" s="138" t="s">
        <v>329</v>
      </c>
      <c r="J9" s="138" t="s">
        <v>330</v>
      </c>
      <c r="K9" s="135">
        <v>2</v>
      </c>
      <c r="L9" s="135" t="s">
        <v>324</v>
      </c>
      <c r="M9" s="135" t="s">
        <v>310</v>
      </c>
      <c r="N9" s="136" t="s">
        <v>331</v>
      </c>
      <c r="O9" s="158" t="s">
        <v>358</v>
      </c>
      <c r="P9" s="159" t="s">
        <v>326</v>
      </c>
      <c r="Q9" s="160" t="s">
        <v>332</v>
      </c>
      <c r="R9" s="137" t="str">
        <f t="shared" si="0"/>
        <v>농협/273-7528-862196</v>
      </c>
      <c r="S9" s="137" t="str">
        <f t="shared" si="1"/>
        <v>남</v>
      </c>
      <c r="T9" s="137" t="str">
        <f t="shared" si="2"/>
        <v>001199</v>
      </c>
      <c r="U9" s="137" t="str">
        <f t="shared" si="3"/>
        <v>2000</v>
      </c>
      <c r="V9" s="137">
        <f t="shared" ca="1" si="4"/>
        <v>24</v>
      </c>
      <c r="W9" s="137" t="str">
        <f t="shared" si="5"/>
        <v>경상권</v>
      </c>
    </row>
    <row r="10" spans="1:38" ht="16.899999999999999">
      <c r="A10" s="2">
        <v>8</v>
      </c>
      <c r="B10" s="131" t="s">
        <v>381</v>
      </c>
      <c r="C10" s="139"/>
      <c r="D10" s="133">
        <v>8</v>
      </c>
      <c r="E10" s="134" t="s">
        <v>380</v>
      </c>
      <c r="F10" s="138" t="s">
        <v>333</v>
      </c>
      <c r="G10" s="138" t="s">
        <v>370</v>
      </c>
      <c r="H10" s="134" t="s">
        <v>359</v>
      </c>
      <c r="I10" s="138" t="s">
        <v>334</v>
      </c>
      <c r="J10" s="138" t="s">
        <v>317</v>
      </c>
      <c r="K10" s="135">
        <v>4</v>
      </c>
      <c r="L10" s="135" t="s">
        <v>309</v>
      </c>
      <c r="M10" s="135" t="s">
        <v>318</v>
      </c>
      <c r="N10" s="136" t="s">
        <v>325</v>
      </c>
      <c r="O10" s="158" t="s">
        <v>357</v>
      </c>
      <c r="P10" s="159" t="s">
        <v>320</v>
      </c>
      <c r="Q10" s="160" t="s">
        <v>335</v>
      </c>
      <c r="R10" s="137" t="str">
        <f t="shared" si="0"/>
        <v>우리은행/295-1855-371274</v>
      </c>
      <c r="S10" s="137" t="str">
        <f t="shared" si="1"/>
        <v>남</v>
      </c>
      <c r="T10" s="137" t="str">
        <f t="shared" si="2"/>
        <v>920699</v>
      </c>
      <c r="U10" s="137" t="str">
        <f t="shared" si="3"/>
        <v>1992</v>
      </c>
      <c r="V10" s="137">
        <f t="shared" ca="1" si="4"/>
        <v>32</v>
      </c>
      <c r="W10" s="137" t="str">
        <f t="shared" si="5"/>
        <v>경상권</v>
      </c>
    </row>
    <row r="11" spans="1:38" ht="16.899999999999999">
      <c r="A11" s="2">
        <v>9</v>
      </c>
      <c r="B11" s="131" t="s">
        <v>381</v>
      </c>
      <c r="C11" s="139"/>
      <c r="D11" s="133">
        <v>9</v>
      </c>
      <c r="E11" s="134" t="s">
        <v>380</v>
      </c>
      <c r="F11" s="138" t="s">
        <v>322</v>
      </c>
      <c r="G11" s="138" t="s">
        <v>371</v>
      </c>
      <c r="H11" s="134" t="s">
        <v>359</v>
      </c>
      <c r="I11" s="138" t="s">
        <v>336</v>
      </c>
      <c r="J11" s="138" t="s">
        <v>330</v>
      </c>
      <c r="K11" s="135">
        <v>2</v>
      </c>
      <c r="L11" s="135" t="s">
        <v>309</v>
      </c>
      <c r="M11" s="135" t="s">
        <v>318</v>
      </c>
      <c r="N11" s="136" t="s">
        <v>325</v>
      </c>
      <c r="O11" s="158" t="s">
        <v>358</v>
      </c>
      <c r="P11" s="159" t="s">
        <v>337</v>
      </c>
      <c r="Q11" s="160" t="s">
        <v>338</v>
      </c>
      <c r="R11" s="137" t="str">
        <f t="shared" si="0"/>
        <v>하나은행/869-2828-526225</v>
      </c>
      <c r="S11" s="137" t="str">
        <f t="shared" si="1"/>
        <v>여</v>
      </c>
      <c r="T11" s="137" t="str">
        <f t="shared" si="2"/>
        <v>900699</v>
      </c>
      <c r="U11" s="137" t="str">
        <f t="shared" si="3"/>
        <v>1990</v>
      </c>
      <c r="V11" s="137">
        <f t="shared" ca="1" si="4"/>
        <v>34</v>
      </c>
      <c r="W11" s="137" t="str">
        <f t="shared" si="5"/>
        <v>경상권</v>
      </c>
    </row>
    <row r="12" spans="1:38" ht="16.899999999999999">
      <c r="A12" s="2">
        <v>10</v>
      </c>
      <c r="B12" s="131" t="s">
        <v>381</v>
      </c>
      <c r="C12" s="139"/>
      <c r="D12" s="133">
        <v>10</v>
      </c>
      <c r="E12" s="134" t="s">
        <v>380</v>
      </c>
      <c r="F12" s="138" t="s">
        <v>339</v>
      </c>
      <c r="G12" s="138" t="s">
        <v>372</v>
      </c>
      <c r="H12" s="134" t="s">
        <v>359</v>
      </c>
      <c r="I12" s="138" t="s">
        <v>340</v>
      </c>
      <c r="J12" s="138" t="s">
        <v>317</v>
      </c>
      <c r="K12" s="135">
        <v>3</v>
      </c>
      <c r="L12" s="135" t="s">
        <v>309</v>
      </c>
      <c r="M12" s="135" t="s">
        <v>341</v>
      </c>
      <c r="N12" s="136" t="s">
        <v>311</v>
      </c>
      <c r="O12" s="158" t="s">
        <v>305</v>
      </c>
      <c r="P12" s="159" t="s">
        <v>326</v>
      </c>
      <c r="Q12" s="160" t="s">
        <v>342</v>
      </c>
      <c r="R12" s="137" t="str">
        <f t="shared" si="0"/>
        <v>농협/954-9797-760181</v>
      </c>
      <c r="S12" s="137" t="str">
        <f t="shared" si="1"/>
        <v>남</v>
      </c>
      <c r="T12" s="137" t="str">
        <f t="shared" si="2"/>
        <v>900799</v>
      </c>
      <c r="U12" s="137" t="str">
        <f t="shared" si="3"/>
        <v>1990</v>
      </c>
      <c r="V12" s="137">
        <f t="shared" ca="1" si="4"/>
        <v>34</v>
      </c>
      <c r="W12" s="137" t="str">
        <f t="shared" si="5"/>
        <v>경상권</v>
      </c>
    </row>
    <row r="13" spans="1:38" ht="16.899999999999999">
      <c r="A13" s="2">
        <v>11</v>
      </c>
      <c r="B13" s="131" t="s">
        <v>381</v>
      </c>
      <c r="C13" s="139"/>
      <c r="D13" s="133">
        <v>11</v>
      </c>
      <c r="E13" s="134" t="s">
        <v>380</v>
      </c>
      <c r="F13" s="138" t="s">
        <v>303</v>
      </c>
      <c r="G13" s="138" t="s">
        <v>373</v>
      </c>
      <c r="H13" s="134" t="s">
        <v>359</v>
      </c>
      <c r="I13" s="138" t="s">
        <v>304</v>
      </c>
      <c r="J13" s="138" t="s">
        <v>296</v>
      </c>
      <c r="K13" s="135">
        <v>2</v>
      </c>
      <c r="L13" s="135" t="s">
        <v>300</v>
      </c>
      <c r="M13" s="135" t="s">
        <v>343</v>
      </c>
      <c r="N13" s="136" t="s">
        <v>319</v>
      </c>
      <c r="O13" s="159" t="s">
        <v>364</v>
      </c>
      <c r="P13" s="159" t="s">
        <v>301</v>
      </c>
      <c r="Q13" s="160" t="s">
        <v>344</v>
      </c>
      <c r="R13" s="137" t="str">
        <f t="shared" si="0"/>
        <v>신한은행/129-2235-418768</v>
      </c>
      <c r="S13" s="137" t="str">
        <f t="shared" si="1"/>
        <v>남</v>
      </c>
      <c r="T13" s="137" t="str">
        <f t="shared" si="2"/>
        <v>910699</v>
      </c>
      <c r="U13" s="137" t="str">
        <f t="shared" si="3"/>
        <v>1991</v>
      </c>
      <c r="V13" s="137">
        <f t="shared" ca="1" si="4"/>
        <v>33</v>
      </c>
      <c r="W13" s="137" t="str">
        <f t="shared" si="5"/>
        <v>제주</v>
      </c>
    </row>
    <row r="14" spans="1:38" ht="16.899999999999999">
      <c r="A14" s="2">
        <v>12</v>
      </c>
      <c r="B14" s="131" t="s">
        <v>381</v>
      </c>
      <c r="C14" s="139"/>
      <c r="D14" s="133">
        <v>12</v>
      </c>
      <c r="E14" s="134" t="s">
        <v>380</v>
      </c>
      <c r="F14" s="138" t="s">
        <v>345</v>
      </c>
      <c r="G14" s="138" t="s">
        <v>377</v>
      </c>
      <c r="H14" s="134" t="s">
        <v>359</v>
      </c>
      <c r="I14" s="138" t="s">
        <v>346</v>
      </c>
      <c r="J14" s="138" t="s">
        <v>296</v>
      </c>
      <c r="K14" s="135">
        <v>1</v>
      </c>
      <c r="L14" s="135" t="s">
        <v>324</v>
      </c>
      <c r="M14" s="135" t="s">
        <v>310</v>
      </c>
      <c r="N14" s="136" t="s">
        <v>331</v>
      </c>
      <c r="O14" s="163" t="s">
        <v>363</v>
      </c>
      <c r="P14" s="159" t="s">
        <v>320</v>
      </c>
      <c r="Q14" s="160" t="s">
        <v>347</v>
      </c>
      <c r="R14" s="137" t="str">
        <f t="shared" si="0"/>
        <v>우리은행/404-5984-950896</v>
      </c>
      <c r="S14" s="137" t="str">
        <f t="shared" si="1"/>
        <v>여</v>
      </c>
      <c r="T14" s="137" t="str">
        <f t="shared" si="2"/>
        <v>000899</v>
      </c>
      <c r="U14" s="137" t="str">
        <f t="shared" si="3"/>
        <v>2000</v>
      </c>
      <c r="V14" s="137">
        <f ca="1">YEAR(TODAY()) - VALUE(IF(VALUE(MID(G14, 8, 1)) &lt;= 2, "19" &amp; LEFT(G14, 2), "20" &amp; LEFT(G14, 2)))</f>
        <v>24</v>
      </c>
      <c r="W14" s="137" t="str">
        <f t="shared" si="5"/>
        <v>충청권</v>
      </c>
    </row>
    <row r="15" spans="1:38" ht="16.899999999999999">
      <c r="A15" s="2">
        <v>13</v>
      </c>
      <c r="B15" s="131" t="s">
        <v>381</v>
      </c>
      <c r="C15" s="139"/>
      <c r="D15" s="133">
        <v>13</v>
      </c>
      <c r="E15" s="134" t="s">
        <v>380</v>
      </c>
      <c r="F15" s="138" t="s">
        <v>348</v>
      </c>
      <c r="G15" s="138" t="s">
        <v>374</v>
      </c>
      <c r="H15" s="134" t="s">
        <v>359</v>
      </c>
      <c r="I15" s="138" t="s">
        <v>349</v>
      </c>
      <c r="J15" s="138" t="s">
        <v>296</v>
      </c>
      <c r="K15" s="135">
        <v>2</v>
      </c>
      <c r="L15" s="135" t="s">
        <v>309</v>
      </c>
      <c r="M15" s="135" t="s">
        <v>310</v>
      </c>
      <c r="N15" s="136" t="s">
        <v>319</v>
      </c>
      <c r="O15" s="159" t="s">
        <v>362</v>
      </c>
      <c r="P15" s="159" t="s">
        <v>326</v>
      </c>
      <c r="Q15" s="160" t="s">
        <v>350</v>
      </c>
      <c r="R15" s="137" t="str">
        <f t="shared" si="0"/>
        <v>농협/756-6616-606584</v>
      </c>
      <c r="S15" s="137" t="str">
        <f t="shared" si="1"/>
        <v>여</v>
      </c>
      <c r="T15" s="137" t="str">
        <f t="shared" si="2"/>
        <v>921299</v>
      </c>
      <c r="U15" s="137" t="str">
        <f t="shared" si="3"/>
        <v>1992</v>
      </c>
      <c r="V15" s="137">
        <f t="shared" ca="1" si="4"/>
        <v>32</v>
      </c>
      <c r="W15" s="137" t="str">
        <f t="shared" si="5"/>
        <v>경상권</v>
      </c>
    </row>
    <row r="16" spans="1:38" ht="16.899999999999999">
      <c r="A16" s="2">
        <v>14</v>
      </c>
      <c r="B16" s="131" t="s">
        <v>381</v>
      </c>
      <c r="C16" s="139"/>
      <c r="D16" s="133">
        <v>14</v>
      </c>
      <c r="E16" s="134" t="s">
        <v>380</v>
      </c>
      <c r="F16" s="138" t="s">
        <v>328</v>
      </c>
      <c r="G16" s="138" t="s">
        <v>375</v>
      </c>
      <c r="H16" s="134" t="s">
        <v>359</v>
      </c>
      <c r="I16" s="138" t="s">
        <v>329</v>
      </c>
      <c r="J16" s="138" t="s">
        <v>330</v>
      </c>
      <c r="K16" s="135">
        <v>2</v>
      </c>
      <c r="L16" s="135" t="s">
        <v>309</v>
      </c>
      <c r="M16" s="135" t="s">
        <v>318</v>
      </c>
      <c r="N16" s="136" t="s">
        <v>315</v>
      </c>
      <c r="O16" s="158" t="s">
        <v>361</v>
      </c>
      <c r="P16" s="159" t="s">
        <v>337</v>
      </c>
      <c r="Q16" s="160" t="s">
        <v>351</v>
      </c>
      <c r="R16" s="137" t="str">
        <f t="shared" si="0"/>
        <v>하나은행/588-1300-685386</v>
      </c>
      <c r="S16" s="137" t="str">
        <f t="shared" si="1"/>
        <v>남</v>
      </c>
      <c r="T16" s="137" t="str">
        <f t="shared" si="2"/>
        <v>901199</v>
      </c>
      <c r="U16" s="137" t="str">
        <f t="shared" si="3"/>
        <v>1990</v>
      </c>
      <c r="V16" s="137">
        <f t="shared" ca="1" si="4"/>
        <v>34</v>
      </c>
      <c r="W16" s="137" t="str">
        <f t="shared" si="5"/>
        <v>호남권</v>
      </c>
    </row>
    <row r="17" spans="1:23" ht="16.899999999999999">
      <c r="A17" s="2">
        <v>15</v>
      </c>
      <c r="B17" s="131" t="s">
        <v>381</v>
      </c>
      <c r="C17" s="139"/>
      <c r="D17" s="133">
        <v>15</v>
      </c>
      <c r="E17" s="134" t="s">
        <v>380</v>
      </c>
      <c r="F17" s="138" t="s">
        <v>352</v>
      </c>
      <c r="G17" s="138" t="s">
        <v>376</v>
      </c>
      <c r="H17" s="165" t="s">
        <v>359</v>
      </c>
      <c r="I17" s="138" t="s">
        <v>353</v>
      </c>
      <c r="J17" s="138" t="s">
        <v>317</v>
      </c>
      <c r="K17" s="164">
        <v>1</v>
      </c>
      <c r="L17" s="135" t="s">
        <v>324</v>
      </c>
      <c r="M17" s="135" t="s">
        <v>341</v>
      </c>
      <c r="N17" s="136" t="s">
        <v>331</v>
      </c>
      <c r="O17" s="158" t="s">
        <v>360</v>
      </c>
      <c r="P17" s="159" t="s">
        <v>337</v>
      </c>
      <c r="Q17" s="160" t="s">
        <v>354</v>
      </c>
      <c r="R17" s="137" t="str">
        <f t="shared" si="0"/>
        <v>하나은행/694-9043-121446</v>
      </c>
      <c r="S17" s="137" t="str">
        <f t="shared" si="1"/>
        <v>남</v>
      </c>
      <c r="T17" s="137" t="str">
        <f t="shared" si="2"/>
        <v>941099</v>
      </c>
      <c r="U17" s="137" t="str">
        <f t="shared" si="3"/>
        <v>1994</v>
      </c>
      <c r="V17" s="137">
        <f t="shared" ca="1" si="4"/>
        <v>30</v>
      </c>
      <c r="W17" s="137" t="str">
        <f t="shared" si="5"/>
        <v>수도권</v>
      </c>
    </row>
    <row r="18" spans="1:23" ht="16.899999999999999">
      <c r="A18" s="2">
        <v>16</v>
      </c>
    </row>
    <row r="19" spans="1:23" ht="16.899999999999999">
      <c r="A19" s="2">
        <v>17</v>
      </c>
    </row>
    <row r="20" spans="1:23" ht="16.899999999999999">
      <c r="A20" s="2">
        <v>18</v>
      </c>
    </row>
    <row r="21" spans="1:23" ht="16.899999999999999">
      <c r="A21" s="2">
        <v>19</v>
      </c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</row>
    <row r="22" spans="1:23" ht="16.899999999999999">
      <c r="A22" s="2">
        <v>20</v>
      </c>
      <c r="G22" s="162"/>
      <c r="J22" s="162"/>
      <c r="K22" s="162"/>
      <c r="M22" s="162"/>
      <c r="P22" s="162"/>
      <c r="Q22" s="162"/>
    </row>
    <row r="23" spans="1:23" ht="16.899999999999999">
      <c r="A23" s="2">
        <v>21</v>
      </c>
      <c r="G23" s="162"/>
      <c r="J23" s="162"/>
      <c r="K23" s="162"/>
      <c r="M23" s="162"/>
      <c r="P23" s="162"/>
      <c r="Q23" s="162"/>
    </row>
    <row r="24" spans="1:23" ht="16.899999999999999">
      <c r="A24" s="2">
        <v>22</v>
      </c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</row>
    <row r="25" spans="1:23" ht="16.899999999999999">
      <c r="A25" s="2">
        <v>23</v>
      </c>
      <c r="E25" s="162"/>
      <c r="G25" s="162"/>
      <c r="H25" s="162"/>
      <c r="I25" s="162"/>
      <c r="J25" s="162"/>
      <c r="K25" s="162"/>
      <c r="L25" s="148"/>
      <c r="M25" s="162"/>
      <c r="N25" s="162"/>
      <c r="O25" s="162"/>
      <c r="P25" s="162"/>
      <c r="Q25" s="162"/>
    </row>
    <row r="26" spans="1:23" ht="16.899999999999999">
      <c r="A26" s="2">
        <v>24</v>
      </c>
      <c r="E26" s="162"/>
      <c r="G26" s="162"/>
      <c r="H26" s="162"/>
      <c r="I26" s="162"/>
      <c r="J26" s="162"/>
      <c r="K26" s="162"/>
      <c r="L26" s="157"/>
      <c r="M26" s="162"/>
      <c r="N26" s="162"/>
      <c r="O26" s="162"/>
      <c r="P26" s="162"/>
      <c r="Q26" s="162"/>
    </row>
    <row r="27" spans="1:23" ht="16.899999999999999">
      <c r="A27" s="2">
        <v>25</v>
      </c>
      <c r="E27" s="162"/>
      <c r="G27" s="162"/>
      <c r="H27" s="162"/>
      <c r="I27" s="162"/>
      <c r="J27" s="162"/>
      <c r="K27" s="162"/>
      <c r="L27" s="162"/>
      <c r="M27" s="162"/>
      <c r="N27" s="148"/>
      <c r="O27" s="162"/>
      <c r="P27" s="162"/>
      <c r="Q27" s="162"/>
    </row>
    <row r="28" spans="1:23" ht="16.899999999999999">
      <c r="A28" s="2">
        <v>26</v>
      </c>
      <c r="E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</row>
    <row r="29" spans="1:23" ht="16.899999999999999">
      <c r="A29" s="2">
        <v>27</v>
      </c>
      <c r="E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</row>
    <row r="30" spans="1:23" ht="16.899999999999999">
      <c r="A30" s="2">
        <v>28</v>
      </c>
      <c r="E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</row>
    <row r="31" spans="1:23" ht="16.899999999999999">
      <c r="A31" s="2">
        <v>29</v>
      </c>
      <c r="E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</row>
    <row r="32" spans="1:23" ht="16.899999999999999">
      <c r="A32" s="2">
        <v>30</v>
      </c>
      <c r="E32" s="162"/>
      <c r="G32" s="162"/>
      <c r="H32" s="162"/>
      <c r="I32" s="162"/>
      <c r="J32" s="162"/>
      <c r="K32" s="162"/>
      <c r="L32" s="162"/>
      <c r="M32" s="162"/>
      <c r="N32" s="148"/>
      <c r="O32" s="162"/>
      <c r="P32" s="162"/>
      <c r="Q32" s="162"/>
    </row>
    <row r="33" spans="1:17" ht="16.899999999999999">
      <c r="A33" s="2">
        <v>31</v>
      </c>
      <c r="E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</row>
    <row r="34" spans="1:17" ht="16.899999999999999">
      <c r="A34" s="2">
        <v>32</v>
      </c>
      <c r="E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</row>
    <row r="35" spans="1:17" ht="16.899999999999999">
      <c r="A35" s="2">
        <v>33</v>
      </c>
      <c r="E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</row>
    <row r="36" spans="1:17" ht="16.899999999999999">
      <c r="A36" s="2">
        <v>34</v>
      </c>
      <c r="E36" s="162"/>
      <c r="G36" s="162"/>
      <c r="H36" s="162"/>
      <c r="I36" s="162"/>
      <c r="J36" s="162"/>
      <c r="K36" s="162"/>
      <c r="L36" s="162"/>
      <c r="M36" s="162"/>
      <c r="N36" s="148"/>
      <c r="O36" s="162"/>
      <c r="P36" s="162"/>
      <c r="Q36" s="162"/>
    </row>
    <row r="37" spans="1:17" ht="16.899999999999999">
      <c r="A37" s="2">
        <v>35</v>
      </c>
      <c r="E37" s="162"/>
      <c r="H37" s="162"/>
      <c r="I37" s="162"/>
      <c r="K37" s="162"/>
      <c r="L37" s="162"/>
      <c r="M37" s="162"/>
      <c r="N37" s="162"/>
      <c r="O37" s="162"/>
    </row>
    <row r="38" spans="1:17" ht="16.899999999999999">
      <c r="A38" s="2">
        <v>36</v>
      </c>
      <c r="E38" s="162"/>
      <c r="H38" s="162"/>
      <c r="I38" s="162"/>
      <c r="K38" s="162"/>
      <c r="L38" s="162"/>
      <c r="M38" s="162"/>
      <c r="N38" s="148"/>
      <c r="O38" s="162"/>
    </row>
    <row r="39" spans="1:17" ht="16.899999999999999">
      <c r="A39" s="2">
        <v>37</v>
      </c>
      <c r="E39" s="162"/>
      <c r="H39" s="162"/>
      <c r="I39" s="162"/>
      <c r="K39" s="162"/>
      <c r="L39" s="162"/>
      <c r="M39" s="162"/>
      <c r="N39" s="162"/>
      <c r="O39" s="162"/>
    </row>
    <row r="40" spans="1:17" ht="16.899999999999999">
      <c r="A40" s="2">
        <v>38</v>
      </c>
    </row>
    <row r="41" spans="1:17" ht="16.899999999999999">
      <c r="A41" s="2">
        <v>39</v>
      </c>
    </row>
    <row r="42" spans="1:17" ht="16.899999999999999">
      <c r="A42" s="2">
        <v>40</v>
      </c>
    </row>
    <row r="43" spans="1:17" ht="16.899999999999999">
      <c r="A43" s="2">
        <v>41</v>
      </c>
    </row>
    <row r="44" spans="1:17" ht="16.899999999999999">
      <c r="A44" s="2">
        <v>42</v>
      </c>
    </row>
    <row r="45" spans="1:17" ht="16.899999999999999">
      <c r="A45" s="2">
        <v>43</v>
      </c>
    </row>
    <row r="46" spans="1:17" ht="16.899999999999999">
      <c r="A46" s="2">
        <v>44</v>
      </c>
    </row>
    <row r="47" spans="1:17" ht="16.899999999999999">
      <c r="A47" s="2">
        <v>45</v>
      </c>
    </row>
    <row r="48" spans="1:17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6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42"/>
  <sheetViews>
    <sheetView tabSelected="1" topLeftCell="A4" workbookViewId="0">
      <selection activeCell="C29" sqref="C29"/>
    </sheetView>
  </sheetViews>
  <sheetFormatPr defaultColWidth="9.1328125" defaultRowHeight="12.75"/>
  <cols>
    <col min="1" max="1" width="14" style="120" customWidth="1"/>
    <col min="2" max="2" width="26.59765625" style="213" customWidth="1"/>
    <col min="3" max="3" width="30.86328125" style="120" bestFit="1" customWidth="1"/>
    <col min="4" max="5" width="28.3984375" style="120" bestFit="1" customWidth="1"/>
    <col min="6" max="6" width="29.3984375" style="237" bestFit="1" customWidth="1"/>
    <col min="7" max="16384" width="9.1328125" style="120"/>
  </cols>
  <sheetData>
    <row r="1" spans="1:9" ht="26.25">
      <c r="A1" s="1" t="s">
        <v>78</v>
      </c>
      <c r="B1" s="212">
        <v>1</v>
      </c>
      <c r="C1" s="183">
        <v>2</v>
      </c>
      <c r="D1" s="183">
        <v>3</v>
      </c>
      <c r="E1" s="183">
        <v>4</v>
      </c>
      <c r="F1" s="233">
        <v>5</v>
      </c>
      <c r="G1" s="183">
        <v>6</v>
      </c>
      <c r="H1" s="183">
        <v>7</v>
      </c>
      <c r="I1" s="183">
        <v>8</v>
      </c>
    </row>
    <row r="2" spans="1:9" ht="25.15">
      <c r="A2" s="3">
        <v>0</v>
      </c>
      <c r="B2" s="528" t="s">
        <v>769</v>
      </c>
      <c r="C2" s="529"/>
      <c r="D2" s="529"/>
      <c r="E2" s="529"/>
      <c r="F2" s="529"/>
    </row>
    <row r="3" spans="1:9" ht="18" thickBot="1">
      <c r="A3" s="2">
        <v>1</v>
      </c>
      <c r="B3" s="362" t="s">
        <v>770</v>
      </c>
      <c r="C3" s="362" t="s">
        <v>771</v>
      </c>
      <c r="D3" s="362" t="s">
        <v>772</v>
      </c>
      <c r="E3" s="362" t="s">
        <v>771</v>
      </c>
      <c r="F3" s="363" t="s">
        <v>772</v>
      </c>
    </row>
    <row r="4" spans="1:9" ht="17.25" customHeight="1" thickTop="1">
      <c r="A4" s="2">
        <v>2</v>
      </c>
      <c r="B4" s="535" t="s">
        <v>773</v>
      </c>
      <c r="C4" s="171" t="s">
        <v>389</v>
      </c>
      <c r="D4" s="351" t="s">
        <v>292</v>
      </c>
      <c r="E4" s="171" t="s">
        <v>408</v>
      </c>
      <c r="F4" s="172">
        <v>45455</v>
      </c>
    </row>
    <row r="5" spans="1:9" ht="16.5" customHeight="1">
      <c r="A5" s="2">
        <v>3</v>
      </c>
      <c r="B5" s="531"/>
      <c r="C5" s="169" t="s">
        <v>390</v>
      </c>
      <c r="D5" s="8" t="s">
        <v>3</v>
      </c>
      <c r="E5" s="5"/>
      <c r="F5" s="234"/>
    </row>
    <row r="6" spans="1:9" ht="16.5" customHeight="1">
      <c r="A6" s="2">
        <v>4</v>
      </c>
      <c r="B6" s="531"/>
      <c r="C6" s="211" t="s">
        <v>570</v>
      </c>
      <c r="D6" s="8" t="s">
        <v>386</v>
      </c>
      <c r="E6" s="170" t="s">
        <v>387</v>
      </c>
      <c r="F6" s="234">
        <v>222222222</v>
      </c>
    </row>
    <row r="7" spans="1:9" ht="16.5" customHeight="1">
      <c r="A7" s="2">
        <v>5</v>
      </c>
      <c r="B7" s="531"/>
      <c r="C7" s="169" t="s">
        <v>391</v>
      </c>
      <c r="D7" s="8" t="s">
        <v>7</v>
      </c>
      <c r="E7" s="232" t="s">
        <v>601</v>
      </c>
      <c r="F7" s="234" t="s">
        <v>602</v>
      </c>
    </row>
    <row r="8" spans="1:9" ht="16.5" customHeight="1">
      <c r="A8" s="2">
        <v>6</v>
      </c>
      <c r="B8" s="531"/>
      <c r="C8" s="169" t="s">
        <v>392</v>
      </c>
      <c r="D8" s="8" t="s">
        <v>9</v>
      </c>
      <c r="E8" s="5"/>
      <c r="F8" s="234"/>
    </row>
    <row r="9" spans="1:9" ht="17.25" customHeight="1">
      <c r="A9" s="2">
        <v>7</v>
      </c>
      <c r="B9" s="531"/>
      <c r="C9" s="243" t="s">
        <v>604</v>
      </c>
      <c r="D9" s="166" t="s">
        <v>382</v>
      </c>
      <c r="E9" s="5"/>
      <c r="F9" s="234"/>
    </row>
    <row r="10" spans="1:9" ht="16.5" customHeight="1">
      <c r="A10" s="2">
        <v>8</v>
      </c>
      <c r="B10" s="531"/>
      <c r="C10" s="211" t="s">
        <v>605</v>
      </c>
      <c r="D10" s="166" t="s">
        <v>382</v>
      </c>
      <c r="E10" s="5"/>
      <c r="F10" s="234"/>
    </row>
    <row r="11" spans="1:9" ht="17.25" customHeight="1">
      <c r="A11" s="2">
        <v>9</v>
      </c>
      <c r="B11" s="531"/>
      <c r="C11" s="169" t="s">
        <v>393</v>
      </c>
      <c r="D11" s="8" t="s">
        <v>13</v>
      </c>
      <c r="E11" s="170" t="s">
        <v>388</v>
      </c>
      <c r="F11" s="234"/>
    </row>
    <row r="12" spans="1:9" ht="17.25" customHeight="1">
      <c r="A12" s="2">
        <v>10</v>
      </c>
      <c r="B12" s="531"/>
      <c r="C12" s="211" t="s">
        <v>603</v>
      </c>
      <c r="D12" s="8" t="s">
        <v>16</v>
      </c>
      <c r="E12" s="5"/>
      <c r="F12" s="234"/>
    </row>
    <row r="13" spans="1:9" ht="18" customHeight="1" thickBot="1">
      <c r="A13" s="2">
        <v>11</v>
      </c>
      <c r="B13" s="532"/>
      <c r="C13" s="239" t="s">
        <v>394</v>
      </c>
      <c r="D13" s="240" t="s">
        <v>16</v>
      </c>
      <c r="E13" s="241"/>
      <c r="F13" s="242"/>
    </row>
    <row r="14" spans="1:9" ht="16.5" customHeight="1">
      <c r="A14" s="2">
        <v>12</v>
      </c>
      <c r="B14" s="364"/>
      <c r="F14" s="236"/>
    </row>
    <row r="15" spans="1:9" ht="16.5" customHeight="1">
      <c r="A15" s="2">
        <v>13</v>
      </c>
      <c r="B15" s="530" t="s">
        <v>774</v>
      </c>
      <c r="C15" s="169" t="s">
        <v>395</v>
      </c>
      <c r="D15" s="167" t="s">
        <v>383</v>
      </c>
      <c r="E15" s="5"/>
      <c r="F15" s="234"/>
    </row>
    <row r="16" spans="1:9" ht="16.5" customHeight="1">
      <c r="A16" s="2">
        <v>14</v>
      </c>
      <c r="B16" s="533"/>
      <c r="C16" s="211" t="s">
        <v>569</v>
      </c>
      <c r="D16" s="8" t="s">
        <v>22</v>
      </c>
      <c r="E16" s="170" t="s">
        <v>409</v>
      </c>
      <c r="F16" s="234" t="s">
        <v>23</v>
      </c>
    </row>
    <row r="17" spans="1:6" ht="16.5" customHeight="1">
      <c r="A17" s="2">
        <v>15</v>
      </c>
      <c r="B17" s="533"/>
      <c r="C17" s="210" t="s">
        <v>568</v>
      </c>
      <c r="D17" s="352" t="s">
        <v>746</v>
      </c>
      <c r="E17" s="5"/>
      <c r="F17" s="234"/>
    </row>
    <row r="18" spans="1:6" ht="16.5" customHeight="1">
      <c r="A18" s="2">
        <v>16</v>
      </c>
      <c r="B18" s="533"/>
      <c r="C18" s="169" t="s">
        <v>396</v>
      </c>
      <c r="D18" s="9" t="s">
        <v>26</v>
      </c>
      <c r="E18" s="5"/>
      <c r="F18" s="234"/>
    </row>
    <row r="19" spans="1:6" ht="17.25" customHeight="1">
      <c r="A19" s="2">
        <v>17</v>
      </c>
      <c r="B19" s="533"/>
      <c r="C19" s="210" t="s">
        <v>567</v>
      </c>
      <c r="D19" s="9" t="s">
        <v>28</v>
      </c>
      <c r="E19" s="5"/>
      <c r="F19" s="234"/>
    </row>
    <row r="20" spans="1:6" ht="17.25" customHeight="1">
      <c r="A20" s="2">
        <v>18</v>
      </c>
      <c r="B20" s="533"/>
      <c r="C20" s="169" t="s">
        <v>397</v>
      </c>
      <c r="D20" s="9" t="s">
        <v>30</v>
      </c>
      <c r="E20" s="5"/>
      <c r="F20" s="234"/>
    </row>
    <row r="21" spans="1:6" ht="16.899999999999999" customHeight="1">
      <c r="A21" s="2">
        <v>19</v>
      </c>
      <c r="B21" s="533"/>
      <c r="C21" s="353" t="s">
        <v>398</v>
      </c>
      <c r="D21" s="354" t="s">
        <v>32</v>
      </c>
      <c r="E21" s="355"/>
      <c r="F21" s="356"/>
    </row>
    <row r="22" spans="1:6" ht="17.25" customHeight="1" thickBot="1">
      <c r="A22" s="2">
        <v>20</v>
      </c>
      <c r="B22" s="534"/>
      <c r="C22" s="173" t="s">
        <v>748</v>
      </c>
      <c r="D22" s="175"/>
      <c r="E22" s="174"/>
      <c r="F22" s="235"/>
    </row>
    <row r="23" spans="1:6" ht="16.899999999999999">
      <c r="A23" s="2">
        <v>21</v>
      </c>
      <c r="B23" s="365"/>
    </row>
    <row r="24" spans="1:6" ht="16.899999999999999" customHeight="1">
      <c r="A24" s="2">
        <v>22</v>
      </c>
      <c r="B24" s="530" t="s">
        <v>775</v>
      </c>
      <c r="C24" s="210" t="s">
        <v>752</v>
      </c>
      <c r="D24" s="352" t="s">
        <v>747</v>
      </c>
      <c r="E24" s="210" t="s">
        <v>752</v>
      </c>
      <c r="F24" s="352" t="s">
        <v>170</v>
      </c>
    </row>
    <row r="25" spans="1:6" ht="16.899999999999999" customHeight="1">
      <c r="A25" s="2">
        <v>23</v>
      </c>
      <c r="B25" s="533"/>
      <c r="C25" s="210" t="s">
        <v>566</v>
      </c>
      <c r="D25" s="9" t="s">
        <v>35</v>
      </c>
      <c r="E25" s="210" t="s">
        <v>566</v>
      </c>
      <c r="F25" s="9" t="s">
        <v>35</v>
      </c>
    </row>
    <row r="26" spans="1:6" ht="16.899999999999999" customHeight="1">
      <c r="A26" s="2">
        <v>24</v>
      </c>
      <c r="B26" s="533"/>
      <c r="C26" s="169" t="s">
        <v>399</v>
      </c>
      <c r="D26" s="9" t="s">
        <v>26</v>
      </c>
      <c r="E26" s="169" t="s">
        <v>399</v>
      </c>
      <c r="F26" s="9" t="s">
        <v>26</v>
      </c>
    </row>
    <row r="27" spans="1:6" ht="16.5" customHeight="1">
      <c r="A27" s="2">
        <v>25</v>
      </c>
      <c r="B27" s="533"/>
      <c r="C27" s="169" t="s">
        <v>400</v>
      </c>
      <c r="D27" s="9" t="s">
        <v>30</v>
      </c>
      <c r="E27" s="169" t="s">
        <v>400</v>
      </c>
      <c r="F27" s="9" t="s">
        <v>30</v>
      </c>
    </row>
    <row r="28" spans="1:6" ht="16.5" customHeight="1">
      <c r="A28" s="2">
        <v>26</v>
      </c>
      <c r="B28" s="533"/>
      <c r="C28" s="169" t="s">
        <v>401</v>
      </c>
      <c r="D28" s="9" t="s">
        <v>32</v>
      </c>
      <c r="E28" s="169" t="s">
        <v>401</v>
      </c>
      <c r="F28" s="9" t="s">
        <v>32</v>
      </c>
    </row>
    <row r="29" spans="1:6" ht="16.5" customHeight="1" thickBot="1">
      <c r="A29" s="2">
        <v>27</v>
      </c>
      <c r="B29" s="534"/>
      <c r="C29" s="239" t="s">
        <v>401</v>
      </c>
      <c r="D29" s="878" t="s">
        <v>32</v>
      </c>
      <c r="E29" s="239" t="s">
        <v>401</v>
      </c>
      <c r="F29" s="878" t="s">
        <v>32</v>
      </c>
    </row>
    <row r="30" spans="1:6" ht="16.899999999999999">
      <c r="A30" s="2">
        <v>28</v>
      </c>
      <c r="B30" s="365"/>
    </row>
    <row r="31" spans="1:6" ht="16.899999999999999">
      <c r="A31" s="2">
        <v>29</v>
      </c>
      <c r="B31" s="366" t="s">
        <v>776</v>
      </c>
      <c r="C31" s="169" t="s">
        <v>403</v>
      </c>
      <c r="D31" s="9" t="s">
        <v>39</v>
      </c>
      <c r="E31" s="184"/>
      <c r="F31" s="238"/>
    </row>
    <row r="32" spans="1:6" ht="16.899999999999999">
      <c r="A32" s="2">
        <v>30</v>
      </c>
      <c r="B32" s="366"/>
      <c r="C32" s="169" t="s">
        <v>404</v>
      </c>
      <c r="D32" s="9" t="s">
        <v>41</v>
      </c>
      <c r="E32" s="184"/>
      <c r="F32" s="238"/>
    </row>
    <row r="33" spans="1:6" ht="45">
      <c r="A33" s="2">
        <v>31</v>
      </c>
      <c r="B33" s="214"/>
      <c r="C33" s="169" t="s">
        <v>405</v>
      </c>
      <c r="D33" s="230" t="s">
        <v>42</v>
      </c>
      <c r="E33" s="184"/>
      <c r="F33" s="238"/>
    </row>
    <row r="34" spans="1:6" ht="16.899999999999999">
      <c r="A34" s="2">
        <v>32</v>
      </c>
      <c r="B34" s="214"/>
      <c r="C34" s="169"/>
      <c r="D34" s="9"/>
      <c r="E34" s="184"/>
      <c r="F34" s="238"/>
    </row>
    <row r="35" spans="1:6" ht="16.899999999999999">
      <c r="A35" s="2">
        <v>33</v>
      </c>
      <c r="B35" s="214"/>
      <c r="C35" s="169"/>
      <c r="D35" s="9"/>
      <c r="E35" s="184"/>
      <c r="F35" s="238"/>
    </row>
    <row r="36" spans="1:6" ht="16.899999999999999">
      <c r="A36" s="2">
        <v>34</v>
      </c>
      <c r="B36" s="214"/>
      <c r="C36" s="169" t="s">
        <v>402</v>
      </c>
      <c r="D36" s="9" t="s">
        <v>107</v>
      </c>
      <c r="E36" s="169" t="s">
        <v>406</v>
      </c>
      <c r="F36" s="9" t="s">
        <v>293</v>
      </c>
    </row>
    <row r="37" spans="1:6" ht="16.899999999999999">
      <c r="A37" s="2">
        <v>35</v>
      </c>
      <c r="B37" s="214"/>
      <c r="C37" s="184"/>
      <c r="D37" s="184"/>
      <c r="E37" s="169" t="s">
        <v>407</v>
      </c>
      <c r="F37" s="9" t="s">
        <v>294</v>
      </c>
    </row>
    <row r="38" spans="1:6" ht="16.899999999999999">
      <c r="A38" s="2">
        <v>36</v>
      </c>
      <c r="B38" s="215"/>
      <c r="C38" s="184"/>
      <c r="D38" s="184"/>
      <c r="E38" s="358" t="s">
        <v>749</v>
      </c>
      <c r="F38" s="359" t="str">
        <f>LEFT(F36, FIND("~", F36) - 2)</f>
        <v>2024.11.18</v>
      </c>
    </row>
    <row r="39" spans="1:6" ht="17.649999999999999">
      <c r="A39" s="2">
        <v>37</v>
      </c>
      <c r="C39" s="168"/>
      <c r="D39" s="9"/>
      <c r="E39" s="358" t="s">
        <v>750</v>
      </c>
      <c r="F39" s="357" t="str">
        <f>LEFT(F37, FIND("~", F37) - 2)</f>
        <v>2024.12.16</v>
      </c>
    </row>
    <row r="40" spans="1:6" ht="16.899999999999999">
      <c r="A40" s="2">
        <v>38</v>
      </c>
      <c r="C40" s="185" t="s">
        <v>384</v>
      </c>
    </row>
    <row r="41" spans="1:6" ht="16.899999999999999">
      <c r="A41" s="2">
        <v>39</v>
      </c>
      <c r="C41" s="186" t="s">
        <v>385</v>
      </c>
    </row>
    <row r="42" spans="1:6" ht="16.899999999999999">
      <c r="A42" s="2">
        <v>40</v>
      </c>
    </row>
  </sheetData>
  <mergeCells count="4">
    <mergeCell ref="B2:F2"/>
    <mergeCell ref="B15:B22"/>
    <mergeCell ref="B4:B13"/>
    <mergeCell ref="B24:B29"/>
  </mergeCells>
  <phoneticPr fontId="16" type="noConversion"/>
  <dataValidations count="3">
    <dataValidation type="list" allowBlank="1" showErrorMessage="1" sqref="D16" xr:uid="{B1C39882-0A20-49F2-82BF-F7CFE28AFBA5}">
      <formula1>"없음,있음"</formula1>
    </dataValidation>
    <dataValidation type="list" allowBlank="1" showErrorMessage="1" sqref="F11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11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6</xdr:col>
                    <xdr:colOff>600075</xdr:colOff>
                    <xdr:row>1</xdr:row>
                    <xdr:rowOff>171450</xdr:rowOff>
                  </from>
                  <to>
                    <xdr:col>12</xdr:col>
                    <xdr:colOff>419100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68"/>
  <sheetViews>
    <sheetView workbookViewId="0"/>
  </sheetViews>
  <sheetFormatPr defaultRowHeight="12.75"/>
  <cols>
    <col min="1" max="1" width="14" style="120" customWidth="1"/>
    <col min="2" max="2" width="34.59765625" style="120" customWidth="1"/>
    <col min="3" max="3" width="34.265625" style="120" customWidth="1"/>
    <col min="4" max="4" width="35.59765625" style="120" customWidth="1"/>
    <col min="5" max="5" width="35.6640625" style="120" bestFit="1" customWidth="1"/>
    <col min="6" max="6" width="4.06640625" style="120" customWidth="1"/>
    <col min="7" max="10" width="2.73046875" style="120" bestFit="1" customWidth="1"/>
    <col min="11" max="28" width="3.73046875" style="120" bestFit="1" customWidth="1"/>
    <col min="29" max="16384" width="9.06640625" style="120"/>
  </cols>
  <sheetData>
    <row r="1" spans="1:38" ht="26.25">
      <c r="A1" s="1" t="s">
        <v>78</v>
      </c>
      <c r="B1" s="183">
        <v>1</v>
      </c>
      <c r="C1" s="183">
        <v>2</v>
      </c>
      <c r="D1" s="183">
        <v>3</v>
      </c>
      <c r="E1" s="374">
        <v>4</v>
      </c>
      <c r="F1" s="374">
        <v>5</v>
      </c>
      <c r="G1" s="183">
        <v>6</v>
      </c>
      <c r="H1" s="183">
        <v>7</v>
      </c>
      <c r="I1" s="183">
        <v>8</v>
      </c>
      <c r="J1" s="183">
        <v>9</v>
      </c>
      <c r="K1" s="183">
        <v>10</v>
      </c>
      <c r="L1" s="183">
        <v>11</v>
      </c>
      <c r="M1" s="183">
        <v>12</v>
      </c>
      <c r="N1" s="183">
        <v>13</v>
      </c>
      <c r="O1" s="183">
        <v>14</v>
      </c>
      <c r="P1" s="183">
        <v>15</v>
      </c>
      <c r="Q1" s="183">
        <v>16</v>
      </c>
      <c r="R1" s="183">
        <v>17</v>
      </c>
      <c r="S1" s="183">
        <v>18</v>
      </c>
      <c r="T1" s="183">
        <v>19</v>
      </c>
      <c r="U1" s="183">
        <v>20</v>
      </c>
      <c r="V1" s="183">
        <v>21</v>
      </c>
      <c r="W1" s="183">
        <v>22</v>
      </c>
      <c r="X1" s="183">
        <v>23</v>
      </c>
      <c r="Y1" s="183">
        <v>24</v>
      </c>
      <c r="Z1" s="183">
        <v>25</v>
      </c>
      <c r="AA1" s="183">
        <v>26</v>
      </c>
      <c r="AB1" s="183">
        <v>27</v>
      </c>
      <c r="AC1" s="183">
        <v>28</v>
      </c>
      <c r="AD1" s="183">
        <v>29</v>
      </c>
      <c r="AE1" s="183">
        <v>30</v>
      </c>
      <c r="AF1" s="183">
        <v>31</v>
      </c>
      <c r="AG1" s="183">
        <v>32</v>
      </c>
      <c r="AH1" s="183">
        <v>33</v>
      </c>
      <c r="AI1" s="183">
        <v>34</v>
      </c>
      <c r="AJ1" s="183">
        <v>35</v>
      </c>
      <c r="AK1" s="183">
        <v>36</v>
      </c>
      <c r="AL1" s="183">
        <v>37</v>
      </c>
    </row>
    <row r="2" spans="1:38" ht="46.5" customHeight="1">
      <c r="A2" s="3">
        <v>0</v>
      </c>
      <c r="B2" s="867" t="s">
        <v>765</v>
      </c>
      <c r="C2" s="868"/>
      <c r="D2" s="868"/>
      <c r="E2" s="868"/>
      <c r="F2" s="375"/>
      <c r="H2" s="561" t="s">
        <v>410</v>
      </c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  <c r="U2" s="561"/>
      <c r="V2" s="561"/>
      <c r="W2" s="561"/>
      <c r="X2" s="561"/>
      <c r="Y2" s="561"/>
      <c r="Z2" s="561"/>
      <c r="AA2" s="561"/>
      <c r="AB2" s="561"/>
      <c r="AC2" s="561"/>
      <c r="AD2" s="561"/>
      <c r="AE2" s="561"/>
    </row>
    <row r="3" spans="1:38" ht="25.5" thickBot="1">
      <c r="A3" s="2">
        <v>1</v>
      </c>
      <c r="B3" s="866" t="s">
        <v>766</v>
      </c>
      <c r="C3" s="866" t="s">
        <v>767</v>
      </c>
      <c r="D3" s="864" t="s">
        <v>768</v>
      </c>
      <c r="E3" s="865"/>
      <c r="F3" s="375"/>
      <c r="H3" s="562" t="s">
        <v>411</v>
      </c>
      <c r="I3" s="562"/>
      <c r="J3" s="563"/>
      <c r="K3" s="563"/>
      <c r="L3" s="563"/>
      <c r="M3" s="563"/>
      <c r="N3" s="563"/>
      <c r="O3" s="563"/>
      <c r="P3" s="563"/>
      <c r="Q3" s="563"/>
      <c r="R3" s="563"/>
      <c r="S3" s="563"/>
      <c r="T3" s="564"/>
      <c r="U3" s="565" t="s">
        <v>412</v>
      </c>
      <c r="V3" s="562"/>
      <c r="W3" s="562"/>
      <c r="X3" s="562"/>
      <c r="Y3" s="562"/>
      <c r="Z3" s="562"/>
      <c r="AA3" s="562"/>
      <c r="AB3" s="536"/>
      <c r="AC3" s="536"/>
      <c r="AD3" s="536"/>
      <c r="AE3" s="536"/>
    </row>
    <row r="4" spans="1:38" ht="17.25" customHeight="1" thickTop="1">
      <c r="A4" s="2">
        <v>2</v>
      </c>
      <c r="B4" s="539" t="s">
        <v>754</v>
      </c>
      <c r="C4" s="369" t="s">
        <v>756</v>
      </c>
      <c r="D4" s="862" t="str">
        <f>'참여기업 정보'!D4</f>
        <v>㈜노마드</v>
      </c>
      <c r="E4" s="863"/>
      <c r="F4" s="375"/>
      <c r="H4" s="545"/>
      <c r="I4" s="545"/>
      <c r="J4" s="545"/>
      <c r="K4" s="545"/>
      <c r="L4" s="545"/>
      <c r="M4" s="545"/>
      <c r="N4" s="545"/>
      <c r="O4" s="545"/>
      <c r="P4" s="545"/>
      <c r="Q4" s="545"/>
      <c r="R4" s="545"/>
      <c r="S4" s="545"/>
      <c r="T4" s="545"/>
      <c r="U4" s="545"/>
      <c r="V4" s="545"/>
      <c r="W4" s="545"/>
      <c r="X4" s="545"/>
      <c r="Y4" s="545"/>
      <c r="Z4" s="545"/>
      <c r="AA4" s="545"/>
      <c r="AB4" s="545"/>
      <c r="AC4" s="545"/>
      <c r="AD4" s="545"/>
      <c r="AE4" s="545"/>
    </row>
    <row r="5" spans="1:38" ht="16.899999999999999" customHeight="1">
      <c r="A5" s="2">
        <v>3</v>
      </c>
      <c r="B5" s="540"/>
      <c r="C5" s="360" t="s">
        <v>757</v>
      </c>
      <c r="D5" s="862" t="str">
        <f>'참여기업 정보'!D5</f>
        <v>홍길동</v>
      </c>
      <c r="E5" s="863"/>
      <c r="F5" s="375"/>
      <c r="H5" s="546" t="s">
        <v>1</v>
      </c>
      <c r="I5" s="546"/>
      <c r="J5" s="546"/>
      <c r="K5" s="546"/>
      <c r="L5" s="547"/>
      <c r="M5" s="548" t="str">
        <f>D4</f>
        <v>㈜노마드</v>
      </c>
      <c r="N5" s="549"/>
      <c r="O5" s="549"/>
      <c r="P5" s="549"/>
      <c r="Q5" s="549"/>
      <c r="R5" s="549"/>
      <c r="S5" s="549"/>
      <c r="T5" s="550"/>
      <c r="U5" s="551" t="s">
        <v>2</v>
      </c>
      <c r="V5" s="546"/>
      <c r="W5" s="546"/>
      <c r="X5" s="546"/>
      <c r="Y5" s="546"/>
      <c r="Z5" s="546"/>
      <c r="AA5" s="547"/>
      <c r="AB5" s="548" t="str">
        <f>D5</f>
        <v>홍길동</v>
      </c>
      <c r="AC5" s="549"/>
      <c r="AD5" s="549"/>
      <c r="AE5" s="549"/>
    </row>
    <row r="6" spans="1:38" ht="33.75">
      <c r="A6" s="2">
        <v>4</v>
      </c>
      <c r="B6" s="540"/>
      <c r="C6" s="361" t="s">
        <v>758</v>
      </c>
      <c r="D6" s="862" t="str">
        <f>'참여기업 정보'!D6</f>
        <v>111-11-11111</v>
      </c>
      <c r="E6" s="863"/>
      <c r="F6" s="375"/>
      <c r="H6" s="556" t="s">
        <v>413</v>
      </c>
      <c r="I6" s="556"/>
      <c r="J6" s="556"/>
      <c r="K6" s="556"/>
      <c r="L6" s="557"/>
      <c r="M6" s="552" t="str">
        <f>D6</f>
        <v>111-11-11111</v>
      </c>
      <c r="N6" s="553"/>
      <c r="O6" s="553"/>
      <c r="P6" s="553"/>
      <c r="Q6" s="553"/>
      <c r="R6" s="553"/>
      <c r="S6" s="553"/>
      <c r="T6" s="558"/>
      <c r="U6" s="560" t="s">
        <v>415</v>
      </c>
      <c r="V6" s="556"/>
      <c r="W6" s="556"/>
      <c r="X6" s="556"/>
      <c r="Y6" s="556"/>
      <c r="Z6" s="556"/>
      <c r="AA6" s="557"/>
      <c r="AB6" s="552" t="str">
        <f>D7</f>
        <v>222-22-22222-2</v>
      </c>
      <c r="AC6" s="553"/>
      <c r="AD6" s="553"/>
      <c r="AE6" s="553"/>
    </row>
    <row r="7" spans="1:38" ht="16.899999999999999" customHeight="1">
      <c r="A7" s="2">
        <v>5</v>
      </c>
      <c r="B7" s="540"/>
      <c r="C7" s="360" t="s">
        <v>759</v>
      </c>
      <c r="D7" s="862" t="str">
        <f>'참여기업 정보'!D7</f>
        <v>222-22-22222-2</v>
      </c>
      <c r="E7" s="863"/>
      <c r="F7" s="375"/>
      <c r="H7" s="543" t="s">
        <v>414</v>
      </c>
      <c r="I7" s="543"/>
      <c r="J7" s="543"/>
      <c r="K7" s="543"/>
      <c r="L7" s="544"/>
      <c r="M7" s="554"/>
      <c r="N7" s="555"/>
      <c r="O7" s="555"/>
      <c r="P7" s="555"/>
      <c r="Q7" s="555"/>
      <c r="R7" s="555"/>
      <c r="S7" s="555"/>
      <c r="T7" s="559"/>
      <c r="U7" s="542" t="s">
        <v>416</v>
      </c>
      <c r="V7" s="543"/>
      <c r="W7" s="543"/>
      <c r="X7" s="543"/>
      <c r="Y7" s="543"/>
      <c r="Z7" s="543"/>
      <c r="AA7" s="544"/>
      <c r="AB7" s="554"/>
      <c r="AC7" s="555"/>
      <c r="AD7" s="555"/>
      <c r="AE7" s="555"/>
    </row>
    <row r="8" spans="1:38" ht="16.899999999999999" customHeight="1">
      <c r="A8" s="2">
        <v>6</v>
      </c>
      <c r="B8" s="540"/>
      <c r="C8" s="360" t="s">
        <v>760</v>
      </c>
      <c r="D8" s="862" t="str">
        <f>'참여기업 정보'!D9</f>
        <v>부산광역시 연제구</v>
      </c>
      <c r="E8" s="863"/>
      <c r="F8" s="375"/>
      <c r="H8" s="566" t="s">
        <v>10</v>
      </c>
      <c r="I8" s="566"/>
      <c r="J8" s="566"/>
      <c r="K8" s="566"/>
      <c r="L8" s="567"/>
      <c r="M8" s="568" t="str">
        <f>D8</f>
        <v>부산광역시 연제구</v>
      </c>
      <c r="N8" s="569"/>
      <c r="O8" s="569"/>
      <c r="P8" s="569"/>
      <c r="Q8" s="569"/>
      <c r="R8" s="569"/>
      <c r="S8" s="569"/>
      <c r="T8" s="569"/>
      <c r="U8" s="569"/>
      <c r="V8" s="569"/>
      <c r="W8" s="569"/>
      <c r="X8" s="569"/>
      <c r="Y8" s="569"/>
      <c r="Z8" s="569"/>
      <c r="AA8" s="569"/>
      <c r="AB8" s="569"/>
      <c r="AC8" s="569"/>
      <c r="AD8" s="569"/>
      <c r="AE8" s="569"/>
      <c r="AF8" s="376" t="s">
        <v>753</v>
      </c>
    </row>
    <row r="9" spans="1:38" ht="16.899999999999999" customHeight="1">
      <c r="A9" s="2">
        <v>7</v>
      </c>
      <c r="B9" s="540"/>
      <c r="C9" s="360" t="s">
        <v>761</v>
      </c>
      <c r="D9" s="862" t="str">
        <f>'참여기업 정보'!D24</f>
        <v>세종대왕</v>
      </c>
      <c r="E9" s="863"/>
      <c r="F9" s="375"/>
      <c r="H9" s="556" t="s">
        <v>417</v>
      </c>
      <c r="I9" s="556"/>
      <c r="J9" s="556"/>
      <c r="K9" s="556"/>
      <c r="L9" s="557"/>
      <c r="M9" s="572" t="s">
        <v>175</v>
      </c>
      <c r="N9" s="567"/>
      <c r="O9" s="573" t="str">
        <f>D9</f>
        <v>세종대왕</v>
      </c>
      <c r="P9" s="574"/>
      <c r="Q9" s="574"/>
      <c r="R9" s="574"/>
      <c r="S9" s="574"/>
      <c r="T9" s="574"/>
      <c r="U9" s="574"/>
      <c r="V9" s="574"/>
      <c r="W9" s="575"/>
      <c r="X9" s="572" t="s">
        <v>418</v>
      </c>
      <c r="Y9" s="566"/>
      <c r="Z9" s="566"/>
      <c r="AA9" s="566"/>
      <c r="AB9" s="567"/>
      <c r="AC9" s="573" t="str">
        <f>D10</f>
        <v>010-0000-0000</v>
      </c>
      <c r="AD9" s="574"/>
      <c r="AE9" s="574"/>
    </row>
    <row r="10" spans="1:38" ht="16.899999999999999" customHeight="1">
      <c r="A10" s="2">
        <v>8</v>
      </c>
      <c r="B10" s="540"/>
      <c r="C10" s="360" t="s">
        <v>762</v>
      </c>
      <c r="D10" s="862" t="str">
        <f>'참여기업 정보'!D27</f>
        <v>010-0000-0000</v>
      </c>
      <c r="E10" s="863"/>
      <c r="F10" s="377"/>
      <c r="H10" s="570"/>
      <c r="I10" s="570"/>
      <c r="J10" s="570"/>
      <c r="K10" s="570"/>
      <c r="L10" s="571"/>
      <c r="M10" s="576" t="s">
        <v>20</v>
      </c>
      <c r="N10" s="577"/>
      <c r="O10" s="578" t="str">
        <f>D11</f>
        <v>work@kseta.or.kr</v>
      </c>
      <c r="P10" s="579"/>
      <c r="Q10" s="579"/>
      <c r="R10" s="579"/>
      <c r="S10" s="579"/>
      <c r="T10" s="579"/>
      <c r="U10" s="579"/>
      <c r="V10" s="579"/>
      <c r="W10" s="580"/>
      <c r="X10" s="576" t="s">
        <v>419</v>
      </c>
      <c r="Y10" s="581"/>
      <c r="Z10" s="581"/>
      <c r="AA10" s="581"/>
      <c r="AB10" s="577"/>
      <c r="AC10" s="582" t="str">
        <f>D12</f>
        <v>디자인</v>
      </c>
      <c r="AD10" s="583"/>
      <c r="AE10" s="583"/>
    </row>
    <row r="11" spans="1:38" ht="16.899999999999999" customHeight="1">
      <c r="A11" s="2">
        <v>9</v>
      </c>
      <c r="B11" s="540"/>
      <c r="C11" s="360" t="s">
        <v>763</v>
      </c>
      <c r="D11" s="862" t="str">
        <f>'참여기업 정보'!D29</f>
        <v>work@kseta.or.kr</v>
      </c>
      <c r="E11" s="863"/>
      <c r="F11" s="375"/>
      <c r="H11" s="584"/>
      <c r="I11" s="584"/>
      <c r="J11" s="584"/>
      <c r="K11" s="584"/>
      <c r="L11" s="584"/>
      <c r="M11" s="584"/>
      <c r="N11" s="584"/>
      <c r="O11" s="584"/>
      <c r="P11" s="584"/>
      <c r="Q11" s="584"/>
      <c r="R11" s="584"/>
      <c r="S11" s="584"/>
      <c r="T11" s="584"/>
      <c r="U11" s="584"/>
      <c r="V11" s="584"/>
      <c r="W11" s="584"/>
      <c r="X11" s="584"/>
      <c r="Y11" s="584"/>
      <c r="Z11" s="584"/>
      <c r="AA11" s="584"/>
      <c r="AB11" s="584"/>
      <c r="AC11" s="584"/>
      <c r="AD11" s="584"/>
      <c r="AE11" s="584"/>
    </row>
    <row r="12" spans="1:38" ht="19.5" customHeight="1">
      <c r="A12" s="2">
        <v>10</v>
      </c>
      <c r="B12" s="540"/>
      <c r="C12" s="367" t="s">
        <v>286</v>
      </c>
      <c r="D12" s="862" t="str">
        <f>'참여기업 정보'!D12</f>
        <v>디자인</v>
      </c>
      <c r="E12" s="863"/>
      <c r="F12" s="375"/>
      <c r="H12" s="585" t="s">
        <v>420</v>
      </c>
      <c r="I12" s="585"/>
      <c r="J12" s="585"/>
      <c r="K12" s="585"/>
      <c r="L12" s="586"/>
      <c r="M12" s="587"/>
      <c r="N12" s="588"/>
      <c r="O12" s="588"/>
      <c r="P12" s="588"/>
      <c r="Q12" s="588"/>
      <c r="R12" s="588"/>
      <c r="S12" s="588"/>
      <c r="T12" s="588"/>
      <c r="U12" s="588"/>
      <c r="V12" s="588"/>
      <c r="W12" s="588"/>
      <c r="X12" s="588"/>
      <c r="Y12" s="588"/>
      <c r="Z12" s="588"/>
      <c r="AA12" s="588"/>
      <c r="AB12" s="588"/>
      <c r="AC12" s="588"/>
      <c r="AD12" s="588"/>
      <c r="AE12" s="588"/>
    </row>
    <row r="13" spans="1:38" ht="16.899999999999999" customHeight="1" thickBot="1">
      <c r="A13" s="2">
        <v>11</v>
      </c>
      <c r="B13" s="541"/>
      <c r="C13" s="370" t="s">
        <v>764</v>
      </c>
      <c r="D13" s="875" t="str">
        <f>'참여기업 정보'!D13</f>
        <v>디자인</v>
      </c>
      <c r="E13" s="876"/>
      <c r="F13" s="375"/>
      <c r="H13" s="589" t="s">
        <v>421</v>
      </c>
      <c r="I13" s="589"/>
      <c r="J13" s="589"/>
      <c r="K13" s="589"/>
      <c r="L13" s="590"/>
      <c r="M13" s="593" t="s">
        <v>423</v>
      </c>
      <c r="N13" s="589"/>
      <c r="O13" s="589"/>
      <c r="P13" s="590"/>
      <c r="Q13" s="593" t="s">
        <v>425</v>
      </c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90"/>
      <c r="AE13" s="372" t="s">
        <v>427</v>
      </c>
    </row>
    <row r="14" spans="1:38" ht="16.899999999999999">
      <c r="A14" s="2">
        <v>12</v>
      </c>
      <c r="H14" s="591" t="s">
        <v>422</v>
      </c>
      <c r="I14" s="591"/>
      <c r="J14" s="591"/>
      <c r="K14" s="591"/>
      <c r="L14" s="592"/>
      <c r="M14" s="594" t="s">
        <v>424</v>
      </c>
      <c r="N14" s="591"/>
      <c r="O14" s="591"/>
      <c r="P14" s="592"/>
      <c r="Q14" s="594" t="s">
        <v>426</v>
      </c>
      <c r="R14" s="591"/>
      <c r="S14" s="591"/>
      <c r="T14" s="591"/>
      <c r="U14" s="591"/>
      <c r="V14" s="591"/>
      <c r="W14" s="591"/>
      <c r="X14" s="591"/>
      <c r="Y14" s="591"/>
      <c r="Z14" s="591"/>
      <c r="AA14" s="591"/>
      <c r="AB14" s="591"/>
      <c r="AC14" s="591"/>
      <c r="AD14" s="592"/>
      <c r="AE14" s="373" t="s">
        <v>428</v>
      </c>
    </row>
    <row r="15" spans="1:38" ht="20.25" customHeight="1">
      <c r="A15" s="2">
        <v>13</v>
      </c>
      <c r="B15" s="537" t="s">
        <v>780</v>
      </c>
      <c r="C15" s="538"/>
      <c r="D15" s="538"/>
      <c r="E15" s="538"/>
      <c r="H15" s="595" t="str">
        <f>B18</f>
        <v>이민수(900699-1254973)</v>
      </c>
      <c r="I15" s="595"/>
      <c r="J15" s="595"/>
      <c r="K15" s="595"/>
      <c r="L15" s="596"/>
      <c r="M15" s="573"/>
      <c r="N15" s="574"/>
      <c r="O15" s="574"/>
      <c r="P15" s="575"/>
      <c r="Q15" s="573" t="str">
        <f>D18</f>
        <v>2024년 11월 18일 ~ 2024년 12월 13일</v>
      </c>
      <c r="R15" s="574"/>
      <c r="S15" s="574"/>
      <c r="T15" s="574"/>
      <c r="U15" s="574"/>
      <c r="V15" s="574"/>
      <c r="W15" s="574"/>
      <c r="X15" s="574"/>
      <c r="Y15" s="574"/>
      <c r="Z15" s="574"/>
      <c r="AA15" s="574"/>
      <c r="AB15" s="574"/>
      <c r="AC15" s="574"/>
      <c r="AD15" s="575"/>
      <c r="AE15" s="371"/>
      <c r="AH15" s="378" t="s">
        <v>781</v>
      </c>
    </row>
    <row r="16" spans="1:38" ht="16.899999999999999" customHeight="1" thickBot="1">
      <c r="A16" s="2">
        <v>14</v>
      </c>
      <c r="B16" s="873"/>
      <c r="C16" s="874"/>
      <c r="D16" s="874"/>
      <c r="E16" s="874"/>
      <c r="H16" s="597"/>
      <c r="I16" s="597"/>
      <c r="J16" s="597"/>
      <c r="K16" s="597"/>
      <c r="L16" s="598"/>
      <c r="M16" s="599"/>
      <c r="N16" s="597"/>
      <c r="O16" s="597"/>
      <c r="P16" s="598"/>
      <c r="Q16" s="599"/>
      <c r="R16" s="597"/>
      <c r="S16" s="597"/>
      <c r="T16" s="597"/>
      <c r="U16" s="597"/>
      <c r="V16" s="597"/>
      <c r="W16" s="597"/>
      <c r="X16" s="597"/>
      <c r="Y16" s="597"/>
      <c r="Z16" s="597"/>
      <c r="AA16" s="597"/>
      <c r="AB16" s="597"/>
      <c r="AC16" s="597"/>
      <c r="AD16" s="598"/>
      <c r="AE16" s="178"/>
    </row>
    <row r="17" spans="1:31" ht="16.899999999999999" customHeight="1" thickTop="1">
      <c r="A17" s="2">
        <v>15</v>
      </c>
      <c r="B17" s="871" t="s">
        <v>777</v>
      </c>
      <c r="C17" s="871" t="s">
        <v>778</v>
      </c>
      <c r="D17" s="871" t="s">
        <v>779</v>
      </c>
      <c r="E17" s="872" t="s">
        <v>782</v>
      </c>
      <c r="H17" s="597"/>
      <c r="I17" s="597"/>
      <c r="J17" s="597"/>
      <c r="K17" s="597"/>
      <c r="L17" s="598"/>
      <c r="M17" s="599"/>
      <c r="N17" s="597"/>
      <c r="O17" s="597"/>
      <c r="P17" s="598"/>
      <c r="Q17" s="599"/>
      <c r="R17" s="597"/>
      <c r="S17" s="597"/>
      <c r="T17" s="597"/>
      <c r="U17" s="597"/>
      <c r="V17" s="597"/>
      <c r="W17" s="597"/>
      <c r="X17" s="597"/>
      <c r="Y17" s="597"/>
      <c r="Z17" s="597"/>
      <c r="AA17" s="597"/>
      <c r="AB17" s="597"/>
      <c r="AC17" s="597"/>
      <c r="AD17" s="598"/>
      <c r="AE17" s="178"/>
    </row>
    <row r="18" spans="1:31" ht="16.899999999999999" customHeight="1">
      <c r="A18" s="2">
        <v>16</v>
      </c>
      <c r="B18" s="379" t="str">
        <f>참여자명단!F3 &amp; "(" &amp;참여자명단!G3 &amp; ")"</f>
        <v>이민수(900699-1254973)</v>
      </c>
      <c r="C18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18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18" s="381"/>
      <c r="H18" s="597"/>
      <c r="I18" s="597"/>
      <c r="J18" s="597"/>
      <c r="K18" s="597"/>
      <c r="L18" s="598"/>
      <c r="M18" s="599"/>
      <c r="N18" s="597"/>
      <c r="O18" s="597"/>
      <c r="P18" s="598"/>
      <c r="Q18" s="599"/>
      <c r="R18" s="597"/>
      <c r="S18" s="597"/>
      <c r="T18" s="597"/>
      <c r="U18" s="597"/>
      <c r="V18" s="597"/>
      <c r="W18" s="597"/>
      <c r="X18" s="597"/>
      <c r="Y18" s="597"/>
      <c r="Z18" s="597"/>
      <c r="AA18" s="597"/>
      <c r="AB18" s="597"/>
      <c r="AC18" s="597"/>
      <c r="AD18" s="598"/>
      <c r="AE18" s="178"/>
    </row>
    <row r="19" spans="1:31" ht="16.899999999999999" customHeight="1">
      <c r="A19" s="2">
        <v>17</v>
      </c>
      <c r="B19" s="379" t="str">
        <f>참여자명단!F4 &amp; "(" &amp;참여자명단!G4 &amp; ")"</f>
        <v>정지우(950499-2978157)</v>
      </c>
      <c r="C19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19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19" s="381"/>
      <c r="H19" s="597"/>
      <c r="I19" s="597"/>
      <c r="J19" s="597"/>
      <c r="K19" s="597"/>
      <c r="L19" s="598"/>
      <c r="M19" s="599"/>
      <c r="N19" s="597"/>
      <c r="O19" s="597"/>
      <c r="P19" s="598"/>
      <c r="Q19" s="599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8"/>
      <c r="AE19" s="178"/>
    </row>
    <row r="20" spans="1:31" ht="16.899999999999999" customHeight="1">
      <c r="A20" s="2">
        <v>18</v>
      </c>
      <c r="B20" s="379" t="str">
        <f>참여자명단!F5 &amp; "(" &amp;참여자명단!G5 &amp; ")"</f>
        <v>박지우(960399-2963832)</v>
      </c>
      <c r="C20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0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0" s="381"/>
      <c r="H20" s="597"/>
      <c r="I20" s="597"/>
      <c r="J20" s="597"/>
      <c r="K20" s="597"/>
      <c r="L20" s="598"/>
      <c r="M20" s="599"/>
      <c r="N20" s="597"/>
      <c r="O20" s="597"/>
      <c r="P20" s="598"/>
      <c r="Q20" s="599"/>
      <c r="R20" s="597"/>
      <c r="S20" s="597"/>
      <c r="T20" s="597"/>
      <c r="U20" s="597"/>
      <c r="V20" s="597"/>
      <c r="W20" s="597"/>
      <c r="X20" s="597"/>
      <c r="Y20" s="597"/>
      <c r="Z20" s="597"/>
      <c r="AA20" s="597"/>
      <c r="AB20" s="597"/>
      <c r="AC20" s="597"/>
      <c r="AD20" s="598"/>
      <c r="AE20" s="178"/>
    </row>
    <row r="21" spans="1:31" ht="16.899999999999999" customHeight="1">
      <c r="A21" s="2">
        <v>19</v>
      </c>
      <c r="B21" s="379" t="str">
        <f>참여자명단!F6 &amp; "(" &amp;참여자명단!G6 &amp; ")"</f>
        <v>김예은(930699-1258129)</v>
      </c>
      <c r="C21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1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1" s="381"/>
      <c r="H21" s="597"/>
      <c r="I21" s="597"/>
      <c r="J21" s="597"/>
      <c r="K21" s="597"/>
      <c r="L21" s="598"/>
      <c r="M21" s="599"/>
      <c r="N21" s="597"/>
      <c r="O21" s="597"/>
      <c r="P21" s="598"/>
      <c r="Q21" s="599"/>
      <c r="R21" s="597"/>
      <c r="S21" s="597"/>
      <c r="T21" s="597"/>
      <c r="U21" s="597"/>
      <c r="V21" s="597"/>
      <c r="W21" s="597"/>
      <c r="X21" s="597"/>
      <c r="Y21" s="597"/>
      <c r="Z21" s="597"/>
      <c r="AA21" s="597"/>
      <c r="AB21" s="597"/>
      <c r="AC21" s="597"/>
      <c r="AD21" s="598"/>
      <c r="AE21" s="178"/>
    </row>
    <row r="22" spans="1:31" ht="16.899999999999999" customHeight="1">
      <c r="A22" s="2">
        <v>20</v>
      </c>
      <c r="B22" s="379" t="str">
        <f>참여자명단!F7 &amp; "(" &amp;참여자명단!G7 &amp; ")"</f>
        <v>이민수(020699-3626178)</v>
      </c>
      <c r="C22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2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2" s="381"/>
      <c r="H22" s="597"/>
      <c r="I22" s="597"/>
      <c r="J22" s="597"/>
      <c r="K22" s="597"/>
      <c r="L22" s="598"/>
      <c r="M22" s="599"/>
      <c r="N22" s="597"/>
      <c r="O22" s="597"/>
      <c r="P22" s="598"/>
      <c r="Q22" s="599"/>
      <c r="R22" s="597"/>
      <c r="S22" s="597"/>
      <c r="T22" s="597"/>
      <c r="U22" s="597"/>
      <c r="V22" s="597"/>
      <c r="W22" s="597"/>
      <c r="X22" s="597"/>
      <c r="Y22" s="597"/>
      <c r="Z22" s="597"/>
      <c r="AA22" s="597"/>
      <c r="AB22" s="597"/>
      <c r="AC22" s="597"/>
      <c r="AD22" s="598"/>
      <c r="AE22" s="178"/>
    </row>
    <row r="23" spans="1:31" ht="16.899999999999999" customHeight="1">
      <c r="A23" s="2">
        <v>21</v>
      </c>
      <c r="B23" s="379" t="str">
        <f>참여자명단!F8 &amp; "(" &amp;참여자명단!G8 &amp; ")"</f>
        <v>박현우(930899-1736570)</v>
      </c>
      <c r="C23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3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3" s="381"/>
      <c r="H23" s="600" t="s">
        <v>429</v>
      </c>
      <c r="I23" s="600"/>
      <c r="J23" s="600"/>
      <c r="K23" s="600"/>
      <c r="L23" s="600"/>
      <c r="M23" s="600"/>
      <c r="N23" s="600"/>
      <c r="O23" s="600"/>
      <c r="P23" s="600" t="s">
        <v>430</v>
      </c>
      <c r="Q23" s="600"/>
      <c r="R23" s="600"/>
      <c r="S23" s="600"/>
      <c r="T23" s="600"/>
      <c r="U23" s="600"/>
      <c r="V23" s="600"/>
      <c r="W23" s="600" t="s">
        <v>427</v>
      </c>
      <c r="X23" s="600"/>
      <c r="Y23" s="600"/>
      <c r="Z23" s="600"/>
      <c r="AA23" s="600" t="s">
        <v>431</v>
      </c>
      <c r="AB23" s="600"/>
      <c r="AC23" s="600"/>
      <c r="AD23" s="600"/>
      <c r="AE23" s="600"/>
    </row>
    <row r="24" spans="1:31" ht="16.899999999999999" customHeight="1">
      <c r="A24" s="2">
        <v>22</v>
      </c>
      <c r="B24" s="379" t="str">
        <f>참여자명단!F9 &amp; "(" &amp;참여자명단!G9 &amp; ")"</f>
        <v>이현우(001199-3301932)</v>
      </c>
      <c r="C24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4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4" s="381"/>
      <c r="H24" s="601"/>
      <c r="I24" s="601"/>
      <c r="J24" s="601"/>
      <c r="K24" s="601"/>
      <c r="L24" s="601"/>
      <c r="M24" s="601"/>
      <c r="N24" s="601"/>
      <c r="O24" s="601"/>
      <c r="P24" s="601"/>
      <c r="Q24" s="601"/>
      <c r="R24" s="601"/>
      <c r="S24" s="601"/>
      <c r="T24" s="601"/>
      <c r="U24" s="601"/>
      <c r="V24" s="601"/>
      <c r="W24" s="601"/>
      <c r="X24" s="601"/>
      <c r="Y24" s="601"/>
      <c r="Z24" s="601"/>
      <c r="AA24" s="601"/>
      <c r="AB24" s="601"/>
      <c r="AC24" s="601"/>
      <c r="AD24" s="601"/>
      <c r="AE24" s="601"/>
    </row>
    <row r="25" spans="1:31" ht="16.899999999999999" customHeight="1">
      <c r="A25" s="2">
        <v>23</v>
      </c>
      <c r="B25" s="379" t="str">
        <f>참여자명단!F10 &amp; "(" &amp;참여자명단!G10 &amp; ")"</f>
        <v>김지우(920699-1184953)</v>
      </c>
      <c r="C25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5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5" s="381"/>
      <c r="H25" s="602" t="s">
        <v>432</v>
      </c>
      <c r="I25" s="602"/>
      <c r="J25" s="602"/>
      <c r="K25" s="602"/>
      <c r="L25" s="603"/>
      <c r="M25" s="604" t="s">
        <v>599</v>
      </c>
      <c r="N25" s="605"/>
      <c r="O25" s="605"/>
      <c r="P25" s="605"/>
      <c r="Q25" s="605"/>
      <c r="R25" s="605"/>
      <c r="S25" s="606" t="s">
        <v>783</v>
      </c>
      <c r="T25" s="606"/>
      <c r="U25" s="606"/>
      <c r="V25" s="606"/>
      <c r="W25" s="606"/>
      <c r="X25" s="606"/>
      <c r="Y25" s="606"/>
      <c r="Z25" s="606"/>
      <c r="AA25" s="606"/>
      <c r="AB25" s="606"/>
      <c r="AC25" s="607" t="s">
        <v>600</v>
      </c>
      <c r="AD25" s="607"/>
      <c r="AE25" s="607"/>
    </row>
    <row r="26" spans="1:31" ht="16.899999999999999" customHeight="1">
      <c r="A26" s="2">
        <v>24</v>
      </c>
      <c r="B26" s="379" t="str">
        <f>참여자명단!F11 &amp; "(" &amp;참여자명단!G11 &amp; ")"</f>
        <v>박현우(900699-2193659)</v>
      </c>
      <c r="C26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6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6" s="381"/>
      <c r="H26" s="608"/>
      <c r="I26" s="608"/>
      <c r="J26" s="608"/>
      <c r="K26" s="608"/>
      <c r="L26" s="608"/>
      <c r="M26" s="608"/>
      <c r="N26" s="608"/>
      <c r="O26" s="608"/>
      <c r="P26" s="608"/>
      <c r="Q26" s="608"/>
      <c r="R26" s="608"/>
      <c r="S26" s="608"/>
      <c r="T26" s="608"/>
      <c r="U26" s="608"/>
      <c r="V26" s="608"/>
      <c r="W26" s="608"/>
      <c r="X26" s="608"/>
      <c r="Y26" s="608"/>
      <c r="Z26" s="608"/>
      <c r="AA26" s="608"/>
      <c r="AB26" s="608"/>
      <c r="AC26" s="608"/>
      <c r="AD26" s="608"/>
      <c r="AE26" s="608"/>
    </row>
    <row r="27" spans="1:31" ht="16.899999999999999" customHeight="1">
      <c r="A27" s="2">
        <v>25</v>
      </c>
      <c r="B27" s="379" t="str">
        <f>참여자명단!F12 &amp; "(" &amp;참여자명단!G12 &amp; ")"</f>
        <v>김현우(900799-1246303)</v>
      </c>
      <c r="C27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7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7" s="381"/>
      <c r="H27" s="609" t="s">
        <v>435</v>
      </c>
      <c r="I27" s="609"/>
      <c r="J27" s="609"/>
      <c r="K27" s="609"/>
      <c r="L27" s="609"/>
      <c r="M27" s="609"/>
      <c r="N27" s="609"/>
      <c r="O27" s="609"/>
      <c r="P27" s="609"/>
      <c r="Q27" s="609"/>
      <c r="R27" s="609"/>
      <c r="S27" s="609"/>
      <c r="T27" s="609"/>
      <c r="U27" s="609"/>
      <c r="V27" s="609"/>
      <c r="W27" s="609"/>
      <c r="X27" s="609"/>
      <c r="Y27" s="609"/>
      <c r="Z27" s="609"/>
      <c r="AA27" s="609"/>
      <c r="AB27" s="609"/>
      <c r="AC27" s="609"/>
      <c r="AD27" s="609"/>
      <c r="AE27" s="609"/>
    </row>
    <row r="28" spans="1:31" ht="16.899999999999999" customHeight="1">
      <c r="A28" s="2">
        <v>26</v>
      </c>
      <c r="B28" s="379" t="str">
        <f>참여자명단!F13 &amp; "(" &amp;참여자명단!G13 &amp; ")"</f>
        <v>정지우(910699-1891360)</v>
      </c>
      <c r="C28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8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8" s="381"/>
      <c r="H28" s="610" t="s">
        <v>436</v>
      </c>
      <c r="I28" s="610"/>
      <c r="J28" s="610"/>
      <c r="K28" s="610"/>
      <c r="L28" s="610"/>
      <c r="M28" s="610"/>
      <c r="N28" s="610"/>
      <c r="O28" s="610"/>
      <c r="P28" s="610"/>
      <c r="Q28" s="610"/>
      <c r="R28" s="610"/>
      <c r="S28" s="610"/>
      <c r="T28" s="610"/>
      <c r="U28" s="610"/>
      <c r="V28" s="610"/>
      <c r="W28" s="610"/>
      <c r="X28" s="610"/>
      <c r="Y28" s="610"/>
      <c r="Z28" s="610"/>
      <c r="AA28" s="610"/>
      <c r="AB28" s="610"/>
      <c r="AC28" s="610"/>
      <c r="AD28" s="610"/>
      <c r="AE28" s="610"/>
    </row>
    <row r="29" spans="1:31" ht="17.25" customHeight="1">
      <c r="A29" s="2">
        <v>27</v>
      </c>
      <c r="B29" s="379" t="str">
        <f>참여자명단!F14 &amp; "(" &amp;참여자명단!G14 &amp; ")"</f>
        <v>박예은(000899-4865061)</v>
      </c>
      <c r="C29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9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9" s="381"/>
      <c r="H29" s="611"/>
      <c r="I29" s="611"/>
      <c r="J29" s="611"/>
      <c r="K29" s="611"/>
      <c r="L29" s="611"/>
      <c r="M29" s="611"/>
      <c r="N29" s="611"/>
      <c r="O29" s="611"/>
      <c r="P29" s="611"/>
      <c r="Q29" s="611"/>
      <c r="R29" s="611"/>
      <c r="S29" s="611"/>
      <c r="T29" s="612" t="s">
        <v>437</v>
      </c>
      <c r="U29" s="612"/>
      <c r="V29" s="612"/>
      <c r="W29" s="612"/>
      <c r="X29" s="612"/>
      <c r="Y29" s="612"/>
      <c r="Z29" s="613"/>
      <c r="AA29" s="613"/>
      <c r="AB29" s="613"/>
      <c r="AC29" s="613"/>
      <c r="AD29" s="613"/>
      <c r="AE29" s="179" t="s">
        <v>438</v>
      </c>
    </row>
    <row r="30" spans="1:31" ht="16.899999999999999" customHeight="1" thickBot="1">
      <c r="A30" s="2">
        <v>28</v>
      </c>
      <c r="B30" s="379" t="str">
        <f>참여자명단!F15 &amp; "(" &amp;참여자명단!G15 &amp; ")"</f>
        <v>최현우(921299-2639872)</v>
      </c>
      <c r="C30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30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30" s="381"/>
      <c r="H30" s="614" t="s">
        <v>439</v>
      </c>
      <c r="I30" s="614"/>
      <c r="J30" s="614"/>
      <c r="K30" s="614"/>
      <c r="L30" s="614"/>
      <c r="M30" s="614"/>
      <c r="N30" s="614"/>
      <c r="O30" s="614"/>
      <c r="P30" s="614"/>
      <c r="Q30" s="614"/>
      <c r="R30" s="614"/>
      <c r="S30" s="614"/>
      <c r="T30" s="614"/>
      <c r="U30" s="614"/>
      <c r="V30" s="614"/>
      <c r="W30" s="614"/>
      <c r="X30" s="614"/>
      <c r="Y30" s="614"/>
      <c r="Z30" s="614"/>
      <c r="AA30" s="615" t="s">
        <v>440</v>
      </c>
      <c r="AB30" s="615"/>
      <c r="AC30" s="615"/>
      <c r="AD30" s="615"/>
      <c r="AE30" s="615"/>
    </row>
    <row r="31" spans="1:31" ht="16.899999999999999" customHeight="1" thickTop="1" thickBot="1">
      <c r="A31" s="2">
        <v>29</v>
      </c>
      <c r="B31" s="379" t="str">
        <f>참여자명단!F16 &amp; "(" &amp;참여자명단!G16 &amp; ")"</f>
        <v>이현우(901199-1109002)</v>
      </c>
      <c r="C31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31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31" s="870"/>
      <c r="H31" s="616"/>
      <c r="I31" s="616"/>
      <c r="J31" s="616"/>
      <c r="K31" s="616"/>
      <c r="L31" s="616"/>
      <c r="M31" s="616"/>
      <c r="N31" s="616"/>
      <c r="O31" s="616"/>
      <c r="P31" s="616"/>
      <c r="Q31" s="616"/>
      <c r="R31" s="616"/>
      <c r="S31" s="616"/>
      <c r="T31" s="616"/>
      <c r="U31" s="616"/>
      <c r="V31" s="616"/>
      <c r="W31" s="616"/>
      <c r="X31" s="616"/>
      <c r="Y31" s="616"/>
      <c r="Z31" s="616"/>
      <c r="AA31" s="616"/>
      <c r="AB31" s="616"/>
      <c r="AC31" s="616"/>
      <c r="AD31" s="616"/>
      <c r="AE31" s="616"/>
    </row>
    <row r="32" spans="1:31" ht="16.899999999999999" customHeight="1" thickTop="1" thickBot="1">
      <c r="A32" s="2">
        <v>30</v>
      </c>
      <c r="B32" s="382" t="str">
        <f>참여자명단!F17 &amp; "(" &amp;참여자명단!G17 &amp; ")"</f>
        <v>최예은(941099-1190164)</v>
      </c>
      <c r="C32" s="383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32" s="384" t="str">
        <f>TEXT(LEFT('참여기업 정보'!$F$36, 4), "0")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32" s="869"/>
      <c r="H32" s="617" t="s">
        <v>441</v>
      </c>
      <c r="I32" s="617"/>
      <c r="J32" s="618"/>
      <c r="K32" s="621" t="s">
        <v>442</v>
      </c>
      <c r="L32" s="622"/>
      <c r="M32" s="622"/>
      <c r="N32" s="622"/>
      <c r="O32" s="622"/>
      <c r="P32" s="622"/>
      <c r="Q32" s="622"/>
      <c r="R32" s="622"/>
      <c r="S32" s="622"/>
      <c r="T32" s="622"/>
      <c r="U32" s="622"/>
      <c r="V32" s="622"/>
      <c r="W32" s="622"/>
      <c r="X32" s="622"/>
      <c r="Y32" s="622"/>
      <c r="Z32" s="622"/>
      <c r="AA32" s="622"/>
      <c r="AB32" s="622"/>
      <c r="AC32" s="622"/>
      <c r="AD32" s="622"/>
      <c r="AE32" s="622"/>
    </row>
    <row r="33" spans="1:31" ht="16.899999999999999" customHeight="1" thickBot="1">
      <c r="A33" s="2">
        <v>31</v>
      </c>
      <c r="B33" s="378"/>
      <c r="H33" s="619"/>
      <c r="I33" s="619"/>
      <c r="J33" s="620"/>
      <c r="K33" s="623" t="s">
        <v>443</v>
      </c>
      <c r="L33" s="624"/>
      <c r="M33" s="624"/>
      <c r="N33" s="624"/>
      <c r="O33" s="624"/>
      <c r="P33" s="624"/>
      <c r="Q33" s="624"/>
      <c r="R33" s="624"/>
      <c r="S33" s="624"/>
      <c r="T33" s="624"/>
      <c r="U33" s="624"/>
      <c r="V33" s="624"/>
      <c r="W33" s="624"/>
      <c r="X33" s="624"/>
      <c r="Y33" s="624"/>
      <c r="Z33" s="624"/>
      <c r="AA33" s="624"/>
      <c r="AB33" s="624"/>
      <c r="AC33" s="624"/>
      <c r="AD33" s="624"/>
      <c r="AE33" s="624"/>
    </row>
    <row r="34" spans="1:31" ht="16.899999999999999" customHeight="1" thickBot="1">
      <c r="A34" s="2">
        <v>32</v>
      </c>
      <c r="B34" s="378"/>
      <c r="H34" s="625" t="s">
        <v>444</v>
      </c>
      <c r="I34" s="625"/>
      <c r="J34" s="625"/>
      <c r="K34" s="625"/>
      <c r="L34" s="625"/>
      <c r="M34" s="625"/>
      <c r="N34" s="625"/>
      <c r="O34" s="625"/>
      <c r="P34" s="625"/>
      <c r="Q34" s="625"/>
      <c r="R34" s="625"/>
      <c r="S34" s="625"/>
      <c r="T34" s="625"/>
      <c r="U34" s="625"/>
      <c r="V34" s="625"/>
      <c r="W34" s="625"/>
      <c r="X34" s="625"/>
      <c r="Y34" s="625"/>
      <c r="Z34" s="625"/>
      <c r="AA34" s="625"/>
      <c r="AB34" s="625"/>
      <c r="AC34" s="625"/>
      <c r="AD34" s="625"/>
      <c r="AE34" s="625"/>
    </row>
    <row r="35" spans="1:31" ht="16.899999999999999" customHeight="1">
      <c r="A35" s="2">
        <v>33</v>
      </c>
      <c r="B35" s="378"/>
      <c r="H35" s="626" t="s">
        <v>445</v>
      </c>
      <c r="I35" s="628" t="s">
        <v>446</v>
      </c>
      <c r="J35" s="629"/>
      <c r="K35" s="629"/>
      <c r="L35" s="629"/>
      <c r="M35" s="629"/>
      <c r="N35" s="629"/>
      <c r="O35" s="629"/>
      <c r="P35" s="629"/>
      <c r="Q35" s="630"/>
      <c r="R35" s="628" t="s">
        <v>411</v>
      </c>
      <c r="S35" s="629"/>
      <c r="T35" s="629"/>
      <c r="U35" s="629"/>
      <c r="V35" s="629"/>
      <c r="W35" s="629"/>
      <c r="X35" s="630"/>
      <c r="Y35" s="628" t="s">
        <v>447</v>
      </c>
      <c r="Z35" s="629"/>
      <c r="AA35" s="629"/>
      <c r="AB35" s="629"/>
      <c r="AC35" s="629"/>
      <c r="AD35" s="629"/>
      <c r="AE35" s="629"/>
    </row>
    <row r="36" spans="1:31" ht="16.899999999999999" customHeight="1">
      <c r="A36" s="2">
        <v>34</v>
      </c>
      <c r="B36" s="378"/>
      <c r="H36" s="627"/>
      <c r="I36" s="631"/>
      <c r="J36" s="632"/>
      <c r="K36" s="632"/>
      <c r="L36" s="632"/>
      <c r="M36" s="632"/>
      <c r="N36" s="632"/>
      <c r="O36" s="632"/>
      <c r="P36" s="632"/>
      <c r="Q36" s="633"/>
      <c r="R36" s="634"/>
      <c r="S36" s="635"/>
      <c r="T36" s="635"/>
      <c r="U36" s="635"/>
      <c r="V36" s="635"/>
      <c r="W36" s="635"/>
      <c r="X36" s="636"/>
      <c r="Y36" s="631"/>
      <c r="Z36" s="632"/>
      <c r="AA36" s="632"/>
      <c r="AB36" s="632"/>
      <c r="AC36" s="632"/>
      <c r="AD36" s="632"/>
      <c r="AE36" s="632"/>
    </row>
    <row r="37" spans="1:31" ht="16.899999999999999" customHeight="1">
      <c r="A37" s="2">
        <v>35</v>
      </c>
      <c r="B37" s="378"/>
      <c r="H37" s="653" t="s">
        <v>448</v>
      </c>
      <c r="I37" s="637" t="s">
        <v>449</v>
      </c>
      <c r="J37" s="638"/>
      <c r="K37" s="639"/>
      <c r="L37" s="655"/>
      <c r="M37" s="656"/>
      <c r="N37" s="637" t="s">
        <v>450</v>
      </c>
      <c r="O37" s="638"/>
      <c r="P37" s="638"/>
      <c r="Q37" s="639"/>
      <c r="R37" s="655"/>
      <c r="S37" s="659"/>
      <c r="T37" s="659"/>
      <c r="U37" s="656"/>
      <c r="V37" s="637" t="s">
        <v>451</v>
      </c>
      <c r="W37" s="638"/>
      <c r="X37" s="639"/>
      <c r="Y37" s="643"/>
      <c r="Z37" s="644"/>
      <c r="AA37" s="644"/>
      <c r="AB37" s="644"/>
      <c r="AC37" s="645"/>
      <c r="AD37" s="649" t="s">
        <v>452</v>
      </c>
      <c r="AE37" s="650"/>
    </row>
    <row r="38" spans="1:31" ht="34.15" customHeight="1" thickBot="1">
      <c r="A38" s="2">
        <v>36</v>
      </c>
      <c r="B38" s="877" t="s">
        <v>784</v>
      </c>
      <c r="C38" s="868"/>
      <c r="D38" s="868"/>
      <c r="E38" s="868"/>
      <c r="H38" s="654"/>
      <c r="I38" s="640"/>
      <c r="J38" s="641"/>
      <c r="K38" s="642"/>
      <c r="L38" s="657"/>
      <c r="M38" s="658"/>
      <c r="N38" s="640"/>
      <c r="O38" s="641"/>
      <c r="P38" s="641"/>
      <c r="Q38" s="642"/>
      <c r="R38" s="657"/>
      <c r="S38" s="660"/>
      <c r="T38" s="660"/>
      <c r="U38" s="658"/>
      <c r="V38" s="640"/>
      <c r="W38" s="641"/>
      <c r="X38" s="642"/>
      <c r="Y38" s="646"/>
      <c r="Z38" s="647"/>
      <c r="AA38" s="647"/>
      <c r="AB38" s="647"/>
      <c r="AC38" s="648"/>
      <c r="AD38" s="651" t="s">
        <v>453</v>
      </c>
      <c r="AE38" s="652"/>
    </row>
    <row r="39" spans="1:31" ht="25.5" thickBot="1">
      <c r="A39" s="2">
        <v>37</v>
      </c>
      <c r="B39" s="866" t="s">
        <v>766</v>
      </c>
      <c r="C39" s="866" t="s">
        <v>767</v>
      </c>
      <c r="D39" s="864" t="s">
        <v>768</v>
      </c>
      <c r="E39" s="865"/>
      <c r="F39" s="368"/>
    </row>
    <row r="40" spans="1:31" ht="16.899999999999999" customHeight="1" thickTop="1">
      <c r="A40" s="2">
        <v>38</v>
      </c>
      <c r="B40" s="539" t="s">
        <v>754</v>
      </c>
      <c r="C40" s="369" t="s">
        <v>756</v>
      </c>
      <c r="D40" s="862">
        <f>'참여기업 정보'!D41</f>
        <v>0</v>
      </c>
      <c r="E40" s="863"/>
    </row>
    <row r="41" spans="1:31" ht="16.899999999999999" customHeight="1">
      <c r="A41" s="2">
        <v>39</v>
      </c>
      <c r="B41" s="540"/>
      <c r="C41" s="360" t="s">
        <v>757</v>
      </c>
      <c r="D41" s="862">
        <f>'참여기업 정보'!D42</f>
        <v>0</v>
      </c>
      <c r="E41" s="863"/>
    </row>
    <row r="42" spans="1:31" ht="33.75">
      <c r="A42" s="2">
        <v>40</v>
      </c>
      <c r="B42" s="540"/>
      <c r="C42" s="361" t="s">
        <v>758</v>
      </c>
      <c r="D42" s="862">
        <f>'참여기업 정보'!D43</f>
        <v>0</v>
      </c>
      <c r="E42" s="863"/>
    </row>
    <row r="43" spans="1:31" ht="17.25" customHeight="1">
      <c r="A43" s="2">
        <v>41</v>
      </c>
      <c r="B43" s="540"/>
      <c r="C43" s="360" t="s">
        <v>759</v>
      </c>
      <c r="D43" s="862">
        <f>'참여기업 정보'!D44</f>
        <v>0</v>
      </c>
      <c r="E43" s="863"/>
    </row>
    <row r="44" spans="1:31" ht="16.899999999999999">
      <c r="A44" s="2">
        <v>42</v>
      </c>
      <c r="B44" s="540"/>
      <c r="C44" s="360" t="s">
        <v>760</v>
      </c>
      <c r="D44" s="862">
        <f>'참여기업 정보'!D45</f>
        <v>0</v>
      </c>
      <c r="E44" s="863"/>
    </row>
    <row r="45" spans="1:31" ht="16.899999999999999" customHeight="1">
      <c r="A45" s="2">
        <v>43</v>
      </c>
      <c r="B45" s="540"/>
      <c r="C45" s="360" t="s">
        <v>761</v>
      </c>
      <c r="D45" s="862">
        <f>'참여기업 정보'!D46</f>
        <v>0</v>
      </c>
      <c r="E45" s="863"/>
    </row>
    <row r="46" spans="1:31" ht="17.25" customHeight="1">
      <c r="A46" s="2">
        <v>44</v>
      </c>
      <c r="B46" s="540"/>
      <c r="C46" s="360" t="s">
        <v>762</v>
      </c>
      <c r="D46" s="862">
        <f>'참여기업 정보'!D47</f>
        <v>0</v>
      </c>
      <c r="E46" s="863"/>
    </row>
    <row r="47" spans="1:31" ht="17.25" customHeight="1">
      <c r="A47" s="2">
        <v>45</v>
      </c>
      <c r="B47" s="540"/>
      <c r="C47" s="360" t="s">
        <v>763</v>
      </c>
      <c r="D47" s="862">
        <f>'참여기업 정보'!D48</f>
        <v>0</v>
      </c>
      <c r="E47" s="863"/>
    </row>
    <row r="48" spans="1:31" ht="16.899999999999999" customHeight="1">
      <c r="A48" s="2">
        <v>46</v>
      </c>
      <c r="B48" s="540"/>
      <c r="C48" s="367" t="s">
        <v>286</v>
      </c>
      <c r="D48" s="862">
        <f>'참여기업 정보'!D49</f>
        <v>0</v>
      </c>
      <c r="E48" s="863"/>
    </row>
    <row r="49" spans="1:5" ht="17.25" thickBot="1">
      <c r="A49" s="2">
        <v>47</v>
      </c>
      <c r="B49" s="541"/>
      <c r="C49" s="370" t="s">
        <v>764</v>
      </c>
      <c r="D49" s="875">
        <f>'참여기업 정보'!D50</f>
        <v>0</v>
      </c>
      <c r="E49" s="876"/>
    </row>
    <row r="50" spans="1:5" ht="16.899999999999999" customHeight="1">
      <c r="A50" s="2">
        <v>48</v>
      </c>
    </row>
    <row r="51" spans="1:5" ht="17.25" customHeight="1">
      <c r="A51" s="2">
        <v>49</v>
      </c>
      <c r="B51" s="537" t="s">
        <v>193</v>
      </c>
      <c r="C51" s="538"/>
      <c r="D51" s="538"/>
      <c r="E51" s="538"/>
    </row>
    <row r="52" spans="1:5" ht="17.25" thickBot="1">
      <c r="A52" s="2">
        <v>50</v>
      </c>
      <c r="B52" s="873"/>
      <c r="C52" s="874"/>
      <c r="D52" s="874"/>
      <c r="E52" s="874"/>
    </row>
    <row r="53" spans="1:5" ht="17.649999999999999" thickTop="1">
      <c r="A53" s="2">
        <v>51</v>
      </c>
      <c r="B53" s="871" t="s">
        <v>777</v>
      </c>
      <c r="C53" s="871" t="s">
        <v>778</v>
      </c>
      <c r="D53" s="871" t="s">
        <v>779</v>
      </c>
      <c r="E53" s="872" t="s">
        <v>782</v>
      </c>
    </row>
    <row r="54" spans="1:5" ht="16.899999999999999">
      <c r="A54" s="2">
        <v>52</v>
      </c>
      <c r="B54" s="379" t="str">
        <f>참여자명단!F39 &amp; "(" &amp;참여자명단!G39 &amp; ")"</f>
        <v>()</v>
      </c>
      <c r="C54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54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54" s="381"/>
    </row>
    <row r="55" spans="1:5" ht="16.899999999999999">
      <c r="A55" s="2">
        <v>53</v>
      </c>
      <c r="B55" s="379" t="str">
        <f>참여자명단!F40 &amp; "(" &amp;참여자명단!G40 &amp; ")"</f>
        <v>()</v>
      </c>
      <c r="C55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55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55" s="381"/>
    </row>
    <row r="56" spans="1:5" ht="16.899999999999999">
      <c r="A56" s="2">
        <v>54</v>
      </c>
      <c r="B56" s="379" t="str">
        <f>참여자명단!F41 &amp; "(" &amp;참여자명단!G41 &amp; ")"</f>
        <v>()</v>
      </c>
      <c r="C56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56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56" s="381"/>
    </row>
    <row r="57" spans="1:5" ht="16.899999999999999">
      <c r="A57" s="2">
        <v>55</v>
      </c>
      <c r="B57" s="379" t="str">
        <f>참여자명단!F42 &amp; "(" &amp;참여자명단!G42 &amp; ")"</f>
        <v>()</v>
      </c>
      <c r="C57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57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57" s="381"/>
    </row>
    <row r="58" spans="1:5" ht="16.899999999999999">
      <c r="A58" s="2">
        <v>56</v>
      </c>
      <c r="B58" s="379" t="str">
        <f>참여자명단!F43 &amp; "(" &amp;참여자명단!G43 &amp; ")"</f>
        <v>()</v>
      </c>
      <c r="C58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58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58" s="381"/>
    </row>
    <row r="59" spans="1:5" ht="16.899999999999999">
      <c r="A59" s="2">
        <v>57</v>
      </c>
      <c r="B59" s="379" t="str">
        <f>참여자명단!F44 &amp; "(" &amp;참여자명단!G44 &amp; ")"</f>
        <v>()</v>
      </c>
      <c r="C59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59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59" s="381"/>
    </row>
    <row r="60" spans="1:5" ht="16.899999999999999">
      <c r="A60" s="2">
        <v>58</v>
      </c>
      <c r="B60" s="379" t="str">
        <f>참여자명단!F45 &amp; "(" &amp;참여자명단!G45 &amp; ")"</f>
        <v>()</v>
      </c>
      <c r="C60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60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60" s="381"/>
    </row>
    <row r="61" spans="1:5" ht="16.899999999999999">
      <c r="A61" s="2">
        <v>59</v>
      </c>
      <c r="B61" s="379" t="str">
        <f>참여자명단!F46 &amp; "(" &amp;참여자명단!G46 &amp; ")"</f>
        <v>()</v>
      </c>
      <c r="C61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61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61" s="381"/>
    </row>
    <row r="62" spans="1:5" ht="16.899999999999999">
      <c r="A62" s="2">
        <v>60</v>
      </c>
      <c r="B62" s="379" t="str">
        <f>참여자명단!F47 &amp; "(" &amp;참여자명단!G47 &amp; ")"</f>
        <v>()</v>
      </c>
      <c r="C62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62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62" s="381"/>
    </row>
    <row r="63" spans="1:5" ht="16.899999999999999">
      <c r="A63" s="2">
        <v>61</v>
      </c>
      <c r="B63" s="379" t="str">
        <f>참여자명단!F48 &amp; "(" &amp;참여자명단!G48 &amp; ")"</f>
        <v>()</v>
      </c>
      <c r="C63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63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63" s="381"/>
    </row>
    <row r="64" spans="1:5">
      <c r="B64" s="379" t="str">
        <f>참여자명단!F49 &amp; "(" &amp;참여자명단!G49 &amp; ")"</f>
        <v>()</v>
      </c>
      <c r="C64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64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64" s="381"/>
    </row>
    <row r="65" spans="2:5">
      <c r="B65" s="379" t="str">
        <f>참여자명단!F50 &amp; "(" &amp;참여자명단!G50 &amp; ")"</f>
        <v>()</v>
      </c>
      <c r="C65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65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65" s="381"/>
    </row>
    <row r="66" spans="2:5">
      <c r="B66" s="379" t="str">
        <f>참여자명단!F51 &amp; "(" &amp;참여자명단!G51 &amp; ")"</f>
        <v>()</v>
      </c>
      <c r="C66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66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66" s="381"/>
    </row>
    <row r="67" spans="2:5" ht="13.15" thickBot="1">
      <c r="B67" s="379" t="str">
        <f>참여자명단!F52 &amp; "(" &amp;참여자명단!G52 &amp; ")"</f>
        <v>()</v>
      </c>
      <c r="C67" s="380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67" s="381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67" s="870"/>
    </row>
    <row r="68" spans="2:5" ht="13.5" thickTop="1" thickBot="1">
      <c r="B68" s="382" t="str">
        <f>참여자명단!F53 &amp; "(" &amp;참여자명단!G53 &amp; ")"</f>
        <v>()</v>
      </c>
      <c r="C68" s="383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68" s="384" t="str">
        <f>TEXT(LEFT('참여기업 정보'!$F$36, 4), "0")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68" s="869"/>
    </row>
  </sheetData>
  <mergeCells count="106">
    <mergeCell ref="B38:E38"/>
    <mergeCell ref="D39:E39"/>
    <mergeCell ref="B40:B49"/>
    <mergeCell ref="B51:E52"/>
    <mergeCell ref="V37:X38"/>
    <mergeCell ref="Y37:AC38"/>
    <mergeCell ref="AD37:AE37"/>
    <mergeCell ref="AD38:AE38"/>
    <mergeCell ref="H37:H38"/>
    <mergeCell ref="I37:K38"/>
    <mergeCell ref="L37:M38"/>
    <mergeCell ref="N37:Q38"/>
    <mergeCell ref="R37:U38"/>
    <mergeCell ref="H32:J33"/>
    <mergeCell ref="K32:AE32"/>
    <mergeCell ref="K33:AE33"/>
    <mergeCell ref="H34:AE34"/>
    <mergeCell ref="H35:H36"/>
    <mergeCell ref="I35:Q35"/>
    <mergeCell ref="R35:X35"/>
    <mergeCell ref="Y35:AE35"/>
    <mergeCell ref="I36:Q36"/>
    <mergeCell ref="R36:X36"/>
    <mergeCell ref="Y36:AE36"/>
    <mergeCell ref="H26:AE26"/>
    <mergeCell ref="H27:AE27"/>
    <mergeCell ref="H28:AE28"/>
    <mergeCell ref="H29:S29"/>
    <mergeCell ref="T29:Y29"/>
    <mergeCell ref="Z29:AD29"/>
    <mergeCell ref="H30:Z30"/>
    <mergeCell ref="AA30:AE30"/>
    <mergeCell ref="H31:AE31"/>
    <mergeCell ref="H22:L22"/>
    <mergeCell ref="M22:P22"/>
    <mergeCell ref="Q22:AD22"/>
    <mergeCell ref="H23:O23"/>
    <mergeCell ref="P23:V23"/>
    <mergeCell ref="W23:Z23"/>
    <mergeCell ref="AA23:AE23"/>
    <mergeCell ref="H24:AE24"/>
    <mergeCell ref="H25:L25"/>
    <mergeCell ref="M25:R25"/>
    <mergeCell ref="S25:AB25"/>
    <mergeCell ref="AC25:AE25"/>
    <mergeCell ref="H19:L19"/>
    <mergeCell ref="M19:P19"/>
    <mergeCell ref="Q19:AD19"/>
    <mergeCell ref="H20:L20"/>
    <mergeCell ref="M20:P20"/>
    <mergeCell ref="Q20:AD20"/>
    <mergeCell ref="H21:L21"/>
    <mergeCell ref="M21:P21"/>
    <mergeCell ref="Q21:AD21"/>
    <mergeCell ref="H16:L16"/>
    <mergeCell ref="M16:P16"/>
    <mergeCell ref="Q16:AD16"/>
    <mergeCell ref="H17:L17"/>
    <mergeCell ref="M17:P17"/>
    <mergeCell ref="Q17:AD17"/>
    <mergeCell ref="H18:L18"/>
    <mergeCell ref="M18:P18"/>
    <mergeCell ref="Q18:AD18"/>
    <mergeCell ref="H12:L12"/>
    <mergeCell ref="M12:AE12"/>
    <mergeCell ref="H13:L13"/>
    <mergeCell ref="H14:L14"/>
    <mergeCell ref="M13:P13"/>
    <mergeCell ref="M14:P14"/>
    <mergeCell ref="Q13:AD13"/>
    <mergeCell ref="Q14:AD14"/>
    <mergeCell ref="H15:L15"/>
    <mergeCell ref="M15:P15"/>
    <mergeCell ref="Q15:AD15"/>
    <mergeCell ref="M9:N9"/>
    <mergeCell ref="O9:W9"/>
    <mergeCell ref="X9:AB9"/>
    <mergeCell ref="AC9:AE9"/>
    <mergeCell ref="M10:N10"/>
    <mergeCell ref="O10:W10"/>
    <mergeCell ref="X10:AB10"/>
    <mergeCell ref="AC10:AE10"/>
    <mergeCell ref="H11:AE11"/>
    <mergeCell ref="AB3:AE3"/>
    <mergeCell ref="B15:E16"/>
    <mergeCell ref="B2:E2"/>
    <mergeCell ref="D3:E3"/>
    <mergeCell ref="B4:B13"/>
    <mergeCell ref="U7:AA7"/>
    <mergeCell ref="H4:AE4"/>
    <mergeCell ref="H5:L5"/>
    <mergeCell ref="M5:T5"/>
    <mergeCell ref="U5:AA5"/>
    <mergeCell ref="AB5:AE5"/>
    <mergeCell ref="AB6:AE7"/>
    <mergeCell ref="H6:L6"/>
    <mergeCell ref="H7:L7"/>
    <mergeCell ref="M6:T7"/>
    <mergeCell ref="U6:AA6"/>
    <mergeCell ref="H2:AE2"/>
    <mergeCell ref="H3:I3"/>
    <mergeCell ref="J3:T3"/>
    <mergeCell ref="U3:AA3"/>
    <mergeCell ref="H8:L8"/>
    <mergeCell ref="M8:AE8"/>
    <mergeCell ref="H9:L10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31</xdr:col>
                    <xdr:colOff>552450</xdr:colOff>
                    <xdr:row>1</xdr:row>
                    <xdr:rowOff>38100</xdr:rowOff>
                  </from>
                  <to>
                    <xdr:col>35</xdr:col>
                    <xdr:colOff>295275</xdr:colOff>
                    <xdr:row>2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73D8-491F-46BE-9B08-EF4C31A15A72}">
  <dimension ref="B2:Y38"/>
  <sheetViews>
    <sheetView workbookViewId="0"/>
  </sheetViews>
  <sheetFormatPr defaultRowHeight="12.75"/>
  <cols>
    <col min="25" max="25" width="10.06640625" customWidth="1"/>
  </cols>
  <sheetData>
    <row r="2" spans="2:25" ht="20.25">
      <c r="B2" s="561" t="s">
        <v>410</v>
      </c>
      <c r="C2" s="561"/>
      <c r="D2" s="561"/>
      <c r="E2" s="561"/>
      <c r="F2" s="561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  <c r="U2" s="561"/>
      <c r="V2" s="561"/>
      <c r="W2" s="561"/>
      <c r="X2" s="561"/>
      <c r="Y2" s="561"/>
    </row>
    <row r="3" spans="2:25">
      <c r="B3" s="562" t="s">
        <v>411</v>
      </c>
      <c r="C3" s="562"/>
      <c r="D3" s="709"/>
      <c r="E3" s="709"/>
      <c r="F3" s="709"/>
      <c r="G3" s="709"/>
      <c r="H3" s="709"/>
      <c r="I3" s="709"/>
      <c r="J3" s="709"/>
      <c r="K3" s="709"/>
      <c r="L3" s="709"/>
      <c r="M3" s="709"/>
      <c r="N3" s="710"/>
      <c r="O3" s="565" t="s">
        <v>412</v>
      </c>
      <c r="P3" s="562"/>
      <c r="Q3" s="562"/>
      <c r="R3" s="562"/>
      <c r="S3" s="562"/>
      <c r="T3" s="562"/>
      <c r="U3" s="562"/>
      <c r="V3" s="711"/>
      <c r="W3" s="711"/>
      <c r="X3" s="711"/>
      <c r="Y3" s="711"/>
    </row>
    <row r="4" spans="2:25">
      <c r="B4" s="545"/>
      <c r="C4" s="545"/>
      <c r="D4" s="545"/>
      <c r="E4" s="545"/>
      <c r="F4" s="545"/>
      <c r="G4" s="545"/>
      <c r="H4" s="545"/>
      <c r="I4" s="545"/>
      <c r="J4" s="545"/>
      <c r="K4" s="545"/>
      <c r="L4" s="545"/>
      <c r="M4" s="545"/>
      <c r="N4" s="545"/>
      <c r="O4" s="545"/>
      <c r="P4" s="545"/>
      <c r="Q4" s="545"/>
      <c r="R4" s="545"/>
      <c r="S4" s="545"/>
      <c r="T4" s="545"/>
      <c r="U4" s="545"/>
      <c r="V4" s="545"/>
      <c r="W4" s="545"/>
      <c r="X4" s="545"/>
      <c r="Y4" s="545"/>
    </row>
    <row r="5" spans="2:25">
      <c r="B5" s="693" t="s">
        <v>1</v>
      </c>
      <c r="C5" s="693"/>
      <c r="D5" s="693"/>
      <c r="E5" s="693"/>
      <c r="F5" s="694"/>
      <c r="G5" s="695" t="e">
        <f>#REF!</f>
        <v>#REF!</v>
      </c>
      <c r="H5" s="696"/>
      <c r="I5" s="696"/>
      <c r="J5" s="696"/>
      <c r="K5" s="696"/>
      <c r="L5" s="696"/>
      <c r="M5" s="696"/>
      <c r="N5" s="697"/>
      <c r="O5" s="698" t="s">
        <v>2</v>
      </c>
      <c r="P5" s="693"/>
      <c r="Q5" s="693"/>
      <c r="R5" s="693"/>
      <c r="S5" s="693"/>
      <c r="T5" s="693"/>
      <c r="U5" s="694"/>
      <c r="V5" s="695" t="e">
        <f>#REF!</f>
        <v>#REF!</v>
      </c>
      <c r="W5" s="696"/>
      <c r="X5" s="696"/>
      <c r="Y5" s="696"/>
    </row>
    <row r="6" spans="2:25">
      <c r="B6" s="682" t="s">
        <v>413</v>
      </c>
      <c r="C6" s="682"/>
      <c r="D6" s="682"/>
      <c r="E6" s="682"/>
      <c r="F6" s="683"/>
      <c r="G6" s="699" t="e">
        <f>#REF!</f>
        <v>#REF!</v>
      </c>
      <c r="H6" s="700"/>
      <c r="I6" s="700"/>
      <c r="J6" s="700"/>
      <c r="K6" s="700"/>
      <c r="L6" s="700"/>
      <c r="M6" s="700"/>
      <c r="N6" s="701"/>
      <c r="O6" s="705" t="s">
        <v>415</v>
      </c>
      <c r="P6" s="682"/>
      <c r="Q6" s="682"/>
      <c r="R6" s="682"/>
      <c r="S6" s="682"/>
      <c r="T6" s="682"/>
      <c r="U6" s="683"/>
      <c r="V6" s="699" t="e">
        <f>#REF!</f>
        <v>#REF!</v>
      </c>
      <c r="W6" s="700"/>
      <c r="X6" s="700"/>
      <c r="Y6" s="700"/>
    </row>
    <row r="7" spans="2:25">
      <c r="B7" s="706" t="s">
        <v>414</v>
      </c>
      <c r="C7" s="706"/>
      <c r="D7" s="706"/>
      <c r="E7" s="706"/>
      <c r="F7" s="707"/>
      <c r="G7" s="702"/>
      <c r="H7" s="703"/>
      <c r="I7" s="703"/>
      <c r="J7" s="703"/>
      <c r="K7" s="703"/>
      <c r="L7" s="703"/>
      <c r="M7" s="703"/>
      <c r="N7" s="704"/>
      <c r="O7" s="708" t="s">
        <v>416</v>
      </c>
      <c r="P7" s="706"/>
      <c r="Q7" s="706"/>
      <c r="R7" s="706"/>
      <c r="S7" s="706"/>
      <c r="T7" s="706"/>
      <c r="U7" s="707"/>
      <c r="V7" s="702"/>
      <c r="W7" s="703"/>
      <c r="X7" s="703"/>
      <c r="Y7" s="703"/>
    </row>
    <row r="8" spans="2:25" ht="14.25">
      <c r="B8" s="678" t="s">
        <v>10</v>
      </c>
      <c r="C8" s="678"/>
      <c r="D8" s="678"/>
      <c r="E8" s="678"/>
      <c r="F8" s="679"/>
      <c r="G8" s="680" t="e">
        <f>#REF!</f>
        <v>#REF!</v>
      </c>
      <c r="H8" s="681"/>
      <c r="I8" s="681"/>
      <c r="J8" s="681"/>
      <c r="K8" s="681"/>
      <c r="L8" s="681"/>
      <c r="M8" s="681"/>
      <c r="N8" s="681"/>
      <c r="O8" s="681"/>
      <c r="P8" s="681"/>
      <c r="Q8" s="681"/>
      <c r="R8" s="681"/>
      <c r="S8" s="681"/>
      <c r="T8" s="681"/>
      <c r="U8" s="681"/>
      <c r="V8" s="681"/>
      <c r="W8" s="681"/>
      <c r="X8" s="681"/>
      <c r="Y8" s="681"/>
    </row>
    <row r="9" spans="2:25">
      <c r="B9" s="682" t="s">
        <v>417</v>
      </c>
      <c r="C9" s="682"/>
      <c r="D9" s="682"/>
      <c r="E9" s="682"/>
      <c r="F9" s="683"/>
      <c r="G9" s="686" t="s">
        <v>175</v>
      </c>
      <c r="H9" s="679"/>
      <c r="I9" s="668" t="e">
        <f>#REF!</f>
        <v>#REF!</v>
      </c>
      <c r="J9" s="669"/>
      <c r="K9" s="669"/>
      <c r="L9" s="669"/>
      <c r="M9" s="669"/>
      <c r="N9" s="669"/>
      <c r="O9" s="669"/>
      <c r="P9" s="669"/>
      <c r="Q9" s="670"/>
      <c r="R9" s="686" t="s">
        <v>418</v>
      </c>
      <c r="S9" s="678"/>
      <c r="T9" s="678"/>
      <c r="U9" s="678"/>
      <c r="V9" s="679"/>
      <c r="W9" s="668" t="e">
        <f>#REF!</f>
        <v>#REF!</v>
      </c>
      <c r="X9" s="669"/>
      <c r="Y9" s="669"/>
    </row>
    <row r="10" spans="2:25">
      <c r="B10" s="684"/>
      <c r="C10" s="684"/>
      <c r="D10" s="684"/>
      <c r="E10" s="684"/>
      <c r="F10" s="685"/>
      <c r="G10" s="687" t="s">
        <v>20</v>
      </c>
      <c r="H10" s="688"/>
      <c r="I10" s="689" t="e">
        <f>#REF!</f>
        <v>#REF!</v>
      </c>
      <c r="J10" s="690"/>
      <c r="K10" s="690"/>
      <c r="L10" s="690"/>
      <c r="M10" s="690"/>
      <c r="N10" s="690"/>
      <c r="O10" s="690"/>
      <c r="P10" s="690"/>
      <c r="Q10" s="691"/>
      <c r="R10" s="687" t="s">
        <v>419</v>
      </c>
      <c r="S10" s="692"/>
      <c r="T10" s="692"/>
      <c r="U10" s="692"/>
      <c r="V10" s="688"/>
      <c r="W10" s="582" t="e">
        <f>#REF!</f>
        <v>#REF!</v>
      </c>
      <c r="X10" s="583"/>
      <c r="Y10" s="583"/>
    </row>
    <row r="11" spans="2:25" ht="13.9">
      <c r="B11" s="584"/>
      <c r="C11" s="584"/>
      <c r="D11" s="584"/>
      <c r="E11" s="584"/>
      <c r="F11" s="584"/>
      <c r="G11" s="584"/>
      <c r="H11" s="584"/>
      <c r="I11" s="584"/>
      <c r="J11" s="584"/>
      <c r="K11" s="584"/>
      <c r="L11" s="584"/>
      <c r="M11" s="584"/>
      <c r="N11" s="584"/>
      <c r="O11" s="584"/>
      <c r="P11" s="584"/>
      <c r="Q11" s="584"/>
      <c r="R11" s="584"/>
      <c r="S11" s="584"/>
      <c r="T11" s="584"/>
      <c r="U11" s="584"/>
      <c r="V11" s="584"/>
      <c r="W11" s="584"/>
      <c r="X11" s="584"/>
      <c r="Y11" s="584"/>
    </row>
    <row r="12" spans="2:25" ht="13.9">
      <c r="B12" s="671" t="s">
        <v>420</v>
      </c>
      <c r="C12" s="671"/>
      <c r="D12" s="671"/>
      <c r="E12" s="671"/>
      <c r="F12" s="672"/>
      <c r="G12" s="673"/>
      <c r="H12" s="674"/>
      <c r="I12" s="674"/>
      <c r="J12" s="674"/>
      <c r="K12" s="674"/>
      <c r="L12" s="674"/>
      <c r="M12" s="674"/>
      <c r="N12" s="674"/>
      <c r="O12" s="674"/>
      <c r="P12" s="674"/>
      <c r="Q12" s="674"/>
      <c r="R12" s="674"/>
      <c r="S12" s="674"/>
      <c r="T12" s="674"/>
      <c r="U12" s="674"/>
      <c r="V12" s="674"/>
      <c r="W12" s="674"/>
      <c r="X12" s="674"/>
      <c r="Y12" s="674"/>
    </row>
    <row r="13" spans="2:25">
      <c r="B13" s="675" t="s">
        <v>421</v>
      </c>
      <c r="C13" s="675"/>
      <c r="D13" s="675"/>
      <c r="E13" s="675"/>
      <c r="F13" s="676"/>
      <c r="G13" s="677" t="s">
        <v>423</v>
      </c>
      <c r="H13" s="675"/>
      <c r="I13" s="675"/>
      <c r="J13" s="676"/>
      <c r="K13" s="677" t="s">
        <v>425</v>
      </c>
      <c r="L13" s="675"/>
      <c r="M13" s="675"/>
      <c r="N13" s="675"/>
      <c r="O13" s="675"/>
      <c r="P13" s="675"/>
      <c r="Q13" s="675"/>
      <c r="R13" s="675"/>
      <c r="S13" s="675"/>
      <c r="T13" s="675"/>
      <c r="U13" s="675"/>
      <c r="V13" s="675"/>
      <c r="W13" s="675"/>
      <c r="X13" s="676"/>
      <c r="Y13" s="176" t="s">
        <v>427</v>
      </c>
    </row>
    <row r="14" spans="2:25">
      <c r="B14" s="665" t="s">
        <v>422</v>
      </c>
      <c r="C14" s="555"/>
      <c r="D14" s="555"/>
      <c r="E14" s="555"/>
      <c r="F14" s="559"/>
      <c r="G14" s="554" t="s">
        <v>424</v>
      </c>
      <c r="H14" s="555"/>
      <c r="I14" s="555"/>
      <c r="J14" s="559"/>
      <c r="K14" s="554" t="s">
        <v>426</v>
      </c>
      <c r="L14" s="555"/>
      <c r="M14" s="555"/>
      <c r="N14" s="555"/>
      <c r="O14" s="555"/>
      <c r="P14" s="555"/>
      <c r="Q14" s="555"/>
      <c r="R14" s="555"/>
      <c r="S14" s="555"/>
      <c r="T14" s="555"/>
      <c r="U14" s="555"/>
      <c r="V14" s="555"/>
      <c r="W14" s="555"/>
      <c r="X14" s="559"/>
      <c r="Y14" s="177" t="s">
        <v>428</v>
      </c>
    </row>
    <row r="15" spans="2:25">
      <c r="B15" s="666" t="e">
        <f>#REF!</f>
        <v>#REF!</v>
      </c>
      <c r="C15" s="666"/>
      <c r="D15" s="666"/>
      <c r="E15" s="666"/>
      <c r="F15" s="667"/>
      <c r="G15" s="668"/>
      <c r="H15" s="669"/>
      <c r="I15" s="669"/>
      <c r="J15" s="670"/>
      <c r="K15" s="668" t="e">
        <f>#REF!</f>
        <v>#REF!</v>
      </c>
      <c r="L15" s="669"/>
      <c r="M15" s="669"/>
      <c r="N15" s="669"/>
      <c r="O15" s="669"/>
      <c r="P15" s="669"/>
      <c r="Q15" s="669"/>
      <c r="R15" s="669"/>
      <c r="S15" s="669"/>
      <c r="T15" s="669"/>
      <c r="U15" s="669"/>
      <c r="V15" s="669"/>
      <c r="W15" s="669"/>
      <c r="X15" s="670"/>
      <c r="Y15" s="231"/>
    </row>
    <row r="16" spans="2:25">
      <c r="B16" s="597"/>
      <c r="C16" s="597"/>
      <c r="D16" s="597"/>
      <c r="E16" s="597"/>
      <c r="F16" s="598"/>
      <c r="G16" s="599"/>
      <c r="H16" s="597"/>
      <c r="I16" s="597"/>
      <c r="J16" s="598"/>
      <c r="K16" s="599"/>
      <c r="L16" s="597"/>
      <c r="M16" s="597"/>
      <c r="N16" s="597"/>
      <c r="O16" s="597"/>
      <c r="P16" s="597"/>
      <c r="Q16" s="597"/>
      <c r="R16" s="597"/>
      <c r="S16" s="597"/>
      <c r="T16" s="597"/>
      <c r="U16" s="597"/>
      <c r="V16" s="597"/>
      <c r="W16" s="597"/>
      <c r="X16" s="598"/>
      <c r="Y16" s="178"/>
    </row>
    <row r="17" spans="2:25">
      <c r="B17" s="597"/>
      <c r="C17" s="597"/>
      <c r="D17" s="597"/>
      <c r="E17" s="597"/>
      <c r="F17" s="598"/>
      <c r="G17" s="599"/>
      <c r="H17" s="597"/>
      <c r="I17" s="597"/>
      <c r="J17" s="598"/>
      <c r="K17" s="599"/>
      <c r="L17" s="597"/>
      <c r="M17" s="597"/>
      <c r="N17" s="597"/>
      <c r="O17" s="597"/>
      <c r="P17" s="597"/>
      <c r="Q17" s="597"/>
      <c r="R17" s="597"/>
      <c r="S17" s="597"/>
      <c r="T17" s="597"/>
      <c r="U17" s="597"/>
      <c r="V17" s="597"/>
      <c r="W17" s="597"/>
      <c r="X17" s="598"/>
      <c r="Y17" s="178"/>
    </row>
    <row r="18" spans="2:25">
      <c r="B18" s="597"/>
      <c r="C18" s="597"/>
      <c r="D18" s="597"/>
      <c r="E18" s="597"/>
      <c r="F18" s="598"/>
      <c r="G18" s="599"/>
      <c r="H18" s="597"/>
      <c r="I18" s="597"/>
      <c r="J18" s="598"/>
      <c r="K18" s="599"/>
      <c r="L18" s="597"/>
      <c r="M18" s="597"/>
      <c r="N18" s="597"/>
      <c r="O18" s="597"/>
      <c r="P18" s="597"/>
      <c r="Q18" s="597"/>
      <c r="R18" s="597"/>
      <c r="S18" s="597"/>
      <c r="T18" s="597"/>
      <c r="U18" s="597"/>
      <c r="V18" s="597"/>
      <c r="W18" s="597"/>
      <c r="X18" s="598"/>
      <c r="Y18" s="178"/>
    </row>
    <row r="19" spans="2:25">
      <c r="B19" s="597"/>
      <c r="C19" s="597"/>
      <c r="D19" s="597"/>
      <c r="E19" s="597"/>
      <c r="F19" s="598"/>
      <c r="G19" s="599"/>
      <c r="H19" s="597"/>
      <c r="I19" s="597"/>
      <c r="J19" s="598"/>
      <c r="K19" s="599"/>
      <c r="L19" s="597"/>
      <c r="M19" s="597"/>
      <c r="N19" s="597"/>
      <c r="O19" s="597"/>
      <c r="P19" s="597"/>
      <c r="Q19" s="597"/>
      <c r="R19" s="597"/>
      <c r="S19" s="597"/>
      <c r="T19" s="597"/>
      <c r="U19" s="597"/>
      <c r="V19" s="597"/>
      <c r="W19" s="597"/>
      <c r="X19" s="598"/>
      <c r="Y19" s="178"/>
    </row>
    <row r="20" spans="2:25">
      <c r="B20" s="597"/>
      <c r="C20" s="597"/>
      <c r="D20" s="597"/>
      <c r="E20" s="597"/>
      <c r="F20" s="598"/>
      <c r="G20" s="599"/>
      <c r="H20" s="597"/>
      <c r="I20" s="597"/>
      <c r="J20" s="598"/>
      <c r="K20" s="599"/>
      <c r="L20" s="597"/>
      <c r="M20" s="597"/>
      <c r="N20" s="597"/>
      <c r="O20" s="597"/>
      <c r="P20" s="597"/>
      <c r="Q20" s="597"/>
      <c r="R20" s="597"/>
      <c r="S20" s="597"/>
      <c r="T20" s="597"/>
      <c r="U20" s="597"/>
      <c r="V20" s="597"/>
      <c r="W20" s="597"/>
      <c r="X20" s="598"/>
      <c r="Y20" s="178"/>
    </row>
    <row r="21" spans="2:25">
      <c r="B21" s="597"/>
      <c r="C21" s="597"/>
      <c r="D21" s="597"/>
      <c r="E21" s="597"/>
      <c r="F21" s="598"/>
      <c r="G21" s="599"/>
      <c r="H21" s="597"/>
      <c r="I21" s="597"/>
      <c r="J21" s="598"/>
      <c r="K21" s="599"/>
      <c r="L21" s="597"/>
      <c r="M21" s="597"/>
      <c r="N21" s="597"/>
      <c r="O21" s="597"/>
      <c r="P21" s="597"/>
      <c r="Q21" s="597"/>
      <c r="R21" s="597"/>
      <c r="S21" s="597"/>
      <c r="T21" s="597"/>
      <c r="U21" s="597"/>
      <c r="V21" s="597"/>
      <c r="W21" s="597"/>
      <c r="X21" s="598"/>
      <c r="Y21" s="178"/>
    </row>
    <row r="22" spans="2:25">
      <c r="B22" s="597"/>
      <c r="C22" s="597"/>
      <c r="D22" s="597"/>
      <c r="E22" s="597"/>
      <c r="F22" s="598"/>
      <c r="G22" s="599"/>
      <c r="H22" s="597"/>
      <c r="I22" s="597"/>
      <c r="J22" s="598"/>
      <c r="K22" s="599"/>
      <c r="L22" s="597"/>
      <c r="M22" s="597"/>
      <c r="N22" s="597"/>
      <c r="O22" s="597"/>
      <c r="P22" s="597"/>
      <c r="Q22" s="597"/>
      <c r="R22" s="597"/>
      <c r="S22" s="597"/>
      <c r="T22" s="597"/>
      <c r="U22" s="597"/>
      <c r="V22" s="597"/>
      <c r="W22" s="597"/>
      <c r="X22" s="598"/>
      <c r="Y22" s="178"/>
    </row>
    <row r="23" spans="2:25">
      <c r="B23" s="600" t="s">
        <v>429</v>
      </c>
      <c r="C23" s="600"/>
      <c r="D23" s="600"/>
      <c r="E23" s="600"/>
      <c r="F23" s="600"/>
      <c r="G23" s="600"/>
      <c r="H23" s="600"/>
      <c r="I23" s="600"/>
      <c r="J23" s="600" t="s">
        <v>430</v>
      </c>
      <c r="K23" s="600"/>
      <c r="L23" s="600"/>
      <c r="M23" s="600"/>
      <c r="N23" s="600"/>
      <c r="O23" s="600"/>
      <c r="P23" s="600"/>
      <c r="Q23" s="600" t="s">
        <v>427</v>
      </c>
      <c r="R23" s="600"/>
      <c r="S23" s="600"/>
      <c r="T23" s="600"/>
      <c r="U23" s="600" t="s">
        <v>431</v>
      </c>
      <c r="V23" s="600"/>
      <c r="W23" s="600"/>
      <c r="X23" s="600"/>
      <c r="Y23" s="600"/>
    </row>
    <row r="24" spans="2:25">
      <c r="B24" s="601"/>
      <c r="C24" s="601"/>
      <c r="D24" s="601"/>
      <c r="E24" s="601"/>
      <c r="F24" s="601"/>
      <c r="G24" s="601"/>
      <c r="H24" s="601"/>
      <c r="I24" s="601"/>
      <c r="J24" s="601"/>
      <c r="K24" s="601"/>
      <c r="L24" s="601"/>
      <c r="M24" s="601"/>
      <c r="N24" s="601"/>
      <c r="O24" s="601"/>
      <c r="P24" s="601"/>
      <c r="Q24" s="601"/>
      <c r="R24" s="601"/>
      <c r="S24" s="601"/>
      <c r="T24" s="601"/>
      <c r="U24" s="601"/>
      <c r="V24" s="601"/>
      <c r="W24" s="601"/>
      <c r="X24" s="601"/>
      <c r="Y24" s="601"/>
    </row>
    <row r="25" spans="2:25">
      <c r="B25" s="607" t="s">
        <v>432</v>
      </c>
      <c r="C25" s="607"/>
      <c r="D25" s="607"/>
      <c r="E25" s="607"/>
      <c r="F25" s="663"/>
      <c r="G25" s="604" t="s">
        <v>599</v>
      </c>
      <c r="H25" s="605"/>
      <c r="I25" s="605"/>
      <c r="J25" s="605"/>
      <c r="K25" s="605"/>
      <c r="L25" s="605"/>
      <c r="M25" s="664"/>
      <c r="N25" s="664"/>
      <c r="O25" s="664"/>
      <c r="P25" s="664"/>
      <c r="Q25" s="664"/>
      <c r="R25" s="664"/>
      <c r="S25" s="664"/>
      <c r="T25" s="664"/>
      <c r="U25" s="664"/>
      <c r="V25" s="664"/>
      <c r="W25" s="607" t="s">
        <v>600</v>
      </c>
      <c r="X25" s="607"/>
      <c r="Y25" s="607"/>
    </row>
    <row r="26" spans="2:25">
      <c r="B26" s="608"/>
      <c r="C26" s="608"/>
      <c r="D26" s="608"/>
      <c r="E26" s="608"/>
      <c r="F26" s="608"/>
      <c r="G26" s="608"/>
      <c r="H26" s="608"/>
      <c r="I26" s="608"/>
      <c r="J26" s="608"/>
      <c r="K26" s="608"/>
      <c r="L26" s="608"/>
      <c r="M26" s="608"/>
      <c r="N26" s="608"/>
      <c r="O26" s="608"/>
      <c r="P26" s="608"/>
      <c r="Q26" s="608"/>
      <c r="R26" s="608"/>
      <c r="S26" s="608"/>
      <c r="T26" s="608"/>
      <c r="U26" s="608"/>
      <c r="V26" s="608"/>
      <c r="W26" s="608"/>
      <c r="X26" s="608"/>
      <c r="Y26" s="608"/>
    </row>
    <row r="27" spans="2:25">
      <c r="B27" s="609" t="s">
        <v>435</v>
      </c>
      <c r="C27" s="609"/>
      <c r="D27" s="609"/>
      <c r="E27" s="609"/>
      <c r="F27" s="609"/>
      <c r="G27" s="609"/>
      <c r="H27" s="609"/>
      <c r="I27" s="609"/>
      <c r="J27" s="609"/>
      <c r="K27" s="609"/>
      <c r="L27" s="609"/>
      <c r="M27" s="609"/>
      <c r="N27" s="609"/>
      <c r="O27" s="609"/>
      <c r="P27" s="609"/>
      <c r="Q27" s="609"/>
      <c r="R27" s="609"/>
      <c r="S27" s="609"/>
      <c r="T27" s="609"/>
      <c r="U27" s="609"/>
      <c r="V27" s="609"/>
      <c r="W27" s="609"/>
      <c r="X27" s="609"/>
      <c r="Y27" s="609"/>
    </row>
    <row r="28" spans="2:25">
      <c r="B28" s="610" t="s">
        <v>436</v>
      </c>
      <c r="C28" s="610"/>
      <c r="D28" s="610"/>
      <c r="E28" s="610"/>
      <c r="F28" s="610"/>
      <c r="G28" s="610"/>
      <c r="H28" s="610"/>
      <c r="I28" s="610"/>
      <c r="J28" s="610"/>
      <c r="K28" s="610"/>
      <c r="L28" s="610"/>
      <c r="M28" s="610"/>
      <c r="N28" s="610"/>
      <c r="O28" s="610"/>
      <c r="P28" s="610"/>
      <c r="Q28" s="610"/>
      <c r="R28" s="610"/>
      <c r="S28" s="610"/>
      <c r="T28" s="610"/>
      <c r="U28" s="610"/>
      <c r="V28" s="610"/>
      <c r="W28" s="610"/>
      <c r="X28" s="610"/>
      <c r="Y28" s="610"/>
    </row>
    <row r="29" spans="2:25" ht="22.5">
      <c r="B29" s="661"/>
      <c r="C29" s="661"/>
      <c r="D29" s="661"/>
      <c r="E29" s="661"/>
      <c r="F29" s="661"/>
      <c r="G29" s="661"/>
      <c r="H29" s="661"/>
      <c r="I29" s="661"/>
      <c r="J29" s="661"/>
      <c r="K29" s="661"/>
      <c r="L29" s="661"/>
      <c r="M29" s="661"/>
      <c r="N29" s="613" t="s">
        <v>437</v>
      </c>
      <c r="O29" s="613"/>
      <c r="P29" s="613"/>
      <c r="Q29" s="613"/>
      <c r="R29" s="613"/>
      <c r="S29" s="613"/>
      <c r="T29" s="662"/>
      <c r="U29" s="662"/>
      <c r="V29" s="662"/>
      <c r="W29" s="662"/>
      <c r="X29" s="662"/>
      <c r="Y29" s="179" t="s">
        <v>438</v>
      </c>
    </row>
    <row r="30" spans="2:25" ht="13.15" thickBot="1">
      <c r="B30" s="614" t="s">
        <v>439</v>
      </c>
      <c r="C30" s="614"/>
      <c r="D30" s="614"/>
      <c r="E30" s="614"/>
      <c r="F30" s="614"/>
      <c r="G30" s="614"/>
      <c r="H30" s="614"/>
      <c r="I30" s="614"/>
      <c r="J30" s="614"/>
      <c r="K30" s="614"/>
      <c r="L30" s="614"/>
      <c r="M30" s="614"/>
      <c r="N30" s="614"/>
      <c r="O30" s="614"/>
      <c r="P30" s="614"/>
      <c r="Q30" s="614"/>
      <c r="R30" s="614"/>
      <c r="S30" s="614"/>
      <c r="T30" s="614"/>
      <c r="U30" s="615" t="s">
        <v>440</v>
      </c>
      <c r="V30" s="615"/>
      <c r="W30" s="615"/>
      <c r="X30" s="615"/>
      <c r="Y30" s="615"/>
    </row>
    <row r="31" spans="2:25" ht="13.15" thickTop="1">
      <c r="B31" s="616"/>
      <c r="C31" s="616"/>
      <c r="D31" s="616"/>
      <c r="E31" s="616"/>
      <c r="F31" s="616"/>
      <c r="G31" s="616"/>
      <c r="H31" s="616"/>
      <c r="I31" s="616"/>
      <c r="J31" s="616"/>
      <c r="K31" s="616"/>
      <c r="L31" s="616"/>
      <c r="M31" s="616"/>
      <c r="N31" s="616"/>
      <c r="O31" s="616"/>
      <c r="P31" s="616"/>
      <c r="Q31" s="616"/>
      <c r="R31" s="616"/>
      <c r="S31" s="616"/>
      <c r="T31" s="616"/>
      <c r="U31" s="616"/>
      <c r="V31" s="616"/>
      <c r="W31" s="616"/>
      <c r="X31" s="616"/>
      <c r="Y31" s="616"/>
    </row>
    <row r="32" spans="2:25">
      <c r="B32" s="617" t="s">
        <v>441</v>
      </c>
      <c r="C32" s="617"/>
      <c r="D32" s="618"/>
      <c r="E32" s="621" t="s">
        <v>442</v>
      </c>
      <c r="F32" s="622"/>
      <c r="G32" s="622"/>
      <c r="H32" s="622"/>
      <c r="I32" s="622"/>
      <c r="J32" s="622"/>
      <c r="K32" s="622"/>
      <c r="L32" s="622"/>
      <c r="M32" s="622"/>
      <c r="N32" s="622"/>
      <c r="O32" s="622"/>
      <c r="P32" s="622"/>
      <c r="Q32" s="622"/>
      <c r="R32" s="622"/>
      <c r="S32" s="622"/>
      <c r="T32" s="622"/>
      <c r="U32" s="622"/>
      <c r="V32" s="622"/>
      <c r="W32" s="622"/>
      <c r="X32" s="622"/>
      <c r="Y32" s="622"/>
    </row>
    <row r="33" spans="2:25" ht="13.15" thickBot="1">
      <c r="B33" s="619"/>
      <c r="C33" s="619"/>
      <c r="D33" s="620"/>
      <c r="E33" s="623" t="s">
        <v>443</v>
      </c>
      <c r="F33" s="624"/>
      <c r="G33" s="624"/>
      <c r="H33" s="624"/>
      <c r="I33" s="624"/>
      <c r="J33" s="624"/>
      <c r="K33" s="624"/>
      <c r="L33" s="624"/>
      <c r="M33" s="624"/>
      <c r="N33" s="624"/>
      <c r="O33" s="624"/>
      <c r="P33" s="624"/>
      <c r="Q33" s="624"/>
      <c r="R33" s="624"/>
      <c r="S33" s="624"/>
      <c r="T33" s="624"/>
      <c r="U33" s="624"/>
      <c r="V33" s="624"/>
      <c r="W33" s="624"/>
      <c r="X33" s="624"/>
      <c r="Y33" s="624"/>
    </row>
    <row r="34" spans="2:25" ht="13.15" thickBot="1">
      <c r="B34" s="625" t="s">
        <v>444</v>
      </c>
      <c r="C34" s="625"/>
      <c r="D34" s="625"/>
      <c r="E34" s="625"/>
      <c r="F34" s="625"/>
      <c r="G34" s="625"/>
      <c r="H34" s="625"/>
      <c r="I34" s="625"/>
      <c r="J34" s="625"/>
      <c r="K34" s="625"/>
      <c r="L34" s="625"/>
      <c r="M34" s="625"/>
      <c r="N34" s="625"/>
      <c r="O34" s="625"/>
      <c r="P34" s="625"/>
      <c r="Q34" s="625"/>
      <c r="R34" s="625"/>
      <c r="S34" s="625"/>
      <c r="T34" s="625"/>
      <c r="U34" s="625"/>
      <c r="V34" s="625"/>
      <c r="W34" s="625"/>
      <c r="X34" s="625"/>
      <c r="Y34" s="625"/>
    </row>
    <row r="35" spans="2:25">
      <c r="B35" s="626" t="s">
        <v>445</v>
      </c>
      <c r="C35" s="628" t="s">
        <v>446</v>
      </c>
      <c r="D35" s="629"/>
      <c r="E35" s="629"/>
      <c r="F35" s="629"/>
      <c r="G35" s="629"/>
      <c r="H35" s="629"/>
      <c r="I35" s="629"/>
      <c r="J35" s="629"/>
      <c r="K35" s="630"/>
      <c r="L35" s="628" t="s">
        <v>411</v>
      </c>
      <c r="M35" s="629"/>
      <c r="N35" s="629"/>
      <c r="O35" s="629"/>
      <c r="P35" s="629"/>
      <c r="Q35" s="629"/>
      <c r="R35" s="630"/>
      <c r="S35" s="628" t="s">
        <v>447</v>
      </c>
      <c r="T35" s="629"/>
      <c r="U35" s="629"/>
      <c r="V35" s="629"/>
      <c r="W35" s="629"/>
      <c r="X35" s="629"/>
      <c r="Y35" s="629"/>
    </row>
    <row r="36" spans="2:25" ht="17.25">
      <c r="B36" s="627"/>
      <c r="C36" s="631"/>
      <c r="D36" s="632"/>
      <c r="E36" s="632"/>
      <c r="F36" s="632"/>
      <c r="G36" s="632"/>
      <c r="H36" s="632"/>
      <c r="I36" s="632"/>
      <c r="J36" s="632"/>
      <c r="K36" s="633"/>
      <c r="L36" s="634"/>
      <c r="M36" s="635"/>
      <c r="N36" s="635"/>
      <c r="O36" s="635"/>
      <c r="P36" s="635"/>
      <c r="Q36" s="635"/>
      <c r="R36" s="636"/>
      <c r="S36" s="631"/>
      <c r="T36" s="632"/>
      <c r="U36" s="632"/>
      <c r="V36" s="632"/>
      <c r="W36" s="632"/>
      <c r="X36" s="632"/>
      <c r="Y36" s="632"/>
    </row>
    <row r="37" spans="2:25">
      <c r="B37" s="653" t="s">
        <v>448</v>
      </c>
      <c r="C37" s="637" t="s">
        <v>449</v>
      </c>
      <c r="D37" s="638"/>
      <c r="E37" s="639"/>
      <c r="F37" s="655"/>
      <c r="G37" s="656"/>
      <c r="H37" s="637" t="s">
        <v>450</v>
      </c>
      <c r="I37" s="638"/>
      <c r="J37" s="638"/>
      <c r="K37" s="639"/>
      <c r="L37" s="655"/>
      <c r="M37" s="659"/>
      <c r="N37" s="659"/>
      <c r="O37" s="656"/>
      <c r="P37" s="637" t="s">
        <v>451</v>
      </c>
      <c r="Q37" s="638"/>
      <c r="R37" s="639"/>
      <c r="S37" s="643"/>
      <c r="T37" s="644"/>
      <c r="U37" s="644"/>
      <c r="V37" s="644"/>
      <c r="W37" s="645"/>
      <c r="X37" s="649" t="s">
        <v>452</v>
      </c>
      <c r="Y37" s="650"/>
    </row>
    <row r="38" spans="2:25" ht="13.15" thickBot="1">
      <c r="B38" s="654"/>
      <c r="C38" s="640"/>
      <c r="D38" s="641"/>
      <c r="E38" s="642"/>
      <c r="F38" s="657"/>
      <c r="G38" s="658"/>
      <c r="H38" s="640"/>
      <c r="I38" s="641"/>
      <c r="J38" s="641"/>
      <c r="K38" s="642"/>
      <c r="L38" s="657"/>
      <c r="M38" s="660"/>
      <c r="N38" s="660"/>
      <c r="O38" s="658"/>
      <c r="P38" s="640"/>
      <c r="Q38" s="641"/>
      <c r="R38" s="642"/>
      <c r="S38" s="646"/>
      <c r="T38" s="647"/>
      <c r="U38" s="647"/>
      <c r="V38" s="647"/>
      <c r="W38" s="648"/>
      <c r="X38" s="651" t="s">
        <v>453</v>
      </c>
      <c r="Y38" s="652"/>
    </row>
  </sheetData>
  <mergeCells count="98">
    <mergeCell ref="B4:Y4"/>
    <mergeCell ref="B2:Y2"/>
    <mergeCell ref="B3:C3"/>
    <mergeCell ref="D3:N3"/>
    <mergeCell ref="O3:U3"/>
    <mergeCell ref="V3:Y3"/>
    <mergeCell ref="B5:F5"/>
    <mergeCell ref="G5:N5"/>
    <mergeCell ref="O5:U5"/>
    <mergeCell ref="V5:Y5"/>
    <mergeCell ref="B6:F6"/>
    <mergeCell ref="G6:N7"/>
    <mergeCell ref="O6:U6"/>
    <mergeCell ref="V6:Y7"/>
    <mergeCell ref="B7:F7"/>
    <mergeCell ref="O7:U7"/>
    <mergeCell ref="B8:F8"/>
    <mergeCell ref="G8:Y8"/>
    <mergeCell ref="B9:F10"/>
    <mergeCell ref="G9:H9"/>
    <mergeCell ref="I9:Q9"/>
    <mergeCell ref="R9:V9"/>
    <mergeCell ref="W9:Y9"/>
    <mergeCell ref="G10:H10"/>
    <mergeCell ref="I10:Q10"/>
    <mergeCell ref="R10:V10"/>
    <mergeCell ref="W10:Y10"/>
    <mergeCell ref="B11:Y11"/>
    <mergeCell ref="B12:F12"/>
    <mergeCell ref="G12:Y12"/>
    <mergeCell ref="B13:F13"/>
    <mergeCell ref="G13:J13"/>
    <mergeCell ref="K13:X13"/>
    <mergeCell ref="B14:F14"/>
    <mergeCell ref="G14:J14"/>
    <mergeCell ref="K14:X14"/>
    <mergeCell ref="B15:F15"/>
    <mergeCell ref="G15:J15"/>
    <mergeCell ref="K15:X15"/>
    <mergeCell ref="B16:F16"/>
    <mergeCell ref="G16:J16"/>
    <mergeCell ref="K16:X16"/>
    <mergeCell ref="B17:F17"/>
    <mergeCell ref="G17:J17"/>
    <mergeCell ref="K17:X17"/>
    <mergeCell ref="B18:F18"/>
    <mergeCell ref="G18:J18"/>
    <mergeCell ref="K18:X18"/>
    <mergeCell ref="B19:F19"/>
    <mergeCell ref="G19:J19"/>
    <mergeCell ref="K19:X19"/>
    <mergeCell ref="B20:F20"/>
    <mergeCell ref="G20:J20"/>
    <mergeCell ref="K20:X20"/>
    <mergeCell ref="B21:F21"/>
    <mergeCell ref="G21:J21"/>
    <mergeCell ref="K21:X21"/>
    <mergeCell ref="B22:F22"/>
    <mergeCell ref="G22:J22"/>
    <mergeCell ref="K22:X22"/>
    <mergeCell ref="B23:I23"/>
    <mergeCell ref="J23:P23"/>
    <mergeCell ref="Q23:T23"/>
    <mergeCell ref="U23:Y23"/>
    <mergeCell ref="B30:T30"/>
    <mergeCell ref="U30:Y30"/>
    <mergeCell ref="B24:Y24"/>
    <mergeCell ref="B25:F25"/>
    <mergeCell ref="G25:L25"/>
    <mergeCell ref="M25:V25"/>
    <mergeCell ref="W25:Y25"/>
    <mergeCell ref="B26:Y26"/>
    <mergeCell ref="B27:Y27"/>
    <mergeCell ref="B28:Y28"/>
    <mergeCell ref="B29:M29"/>
    <mergeCell ref="N29:S29"/>
    <mergeCell ref="T29:X29"/>
    <mergeCell ref="B31:Y31"/>
    <mergeCell ref="B32:D33"/>
    <mergeCell ref="E32:Y32"/>
    <mergeCell ref="E33:Y33"/>
    <mergeCell ref="B34:Y34"/>
    <mergeCell ref="X38:Y38"/>
    <mergeCell ref="L36:R36"/>
    <mergeCell ref="S36:Y36"/>
    <mergeCell ref="B37:B38"/>
    <mergeCell ref="C37:E38"/>
    <mergeCell ref="F37:G38"/>
    <mergeCell ref="H37:K38"/>
    <mergeCell ref="L37:O38"/>
    <mergeCell ref="P37:R38"/>
    <mergeCell ref="S37:W38"/>
    <mergeCell ref="X37:Y37"/>
    <mergeCell ref="B35:B36"/>
    <mergeCell ref="C35:K35"/>
    <mergeCell ref="L35:R35"/>
    <mergeCell ref="S35:Y35"/>
    <mergeCell ref="C36:K36"/>
  </mergeCells>
  <phoneticPr fontId="1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/>
  </sheetViews>
  <sheetFormatPr defaultRowHeight="12.75"/>
  <cols>
    <col min="1" max="1" width="14" customWidth="1"/>
    <col min="2" max="2" width="30" bestFit="1" customWidth="1"/>
    <col min="3" max="3" width="42" bestFit="1" customWidth="1"/>
  </cols>
  <sheetData>
    <row r="1" spans="1:38" ht="13.15">
      <c r="A1" s="1" t="s">
        <v>461</v>
      </c>
      <c r="B1" s="4">
        <v>1</v>
      </c>
      <c r="C1" s="4">
        <v>2</v>
      </c>
      <c r="D1" s="33">
        <v>3</v>
      </c>
      <c r="E1" s="4">
        <v>4</v>
      </c>
      <c r="F1" s="33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5">
      <c r="A2" s="3">
        <v>0</v>
      </c>
      <c r="B2" s="714" t="s">
        <v>128</v>
      </c>
      <c r="C2" s="715"/>
      <c r="D2" s="37"/>
      <c r="E2" s="34"/>
      <c r="F2" s="38"/>
      <c r="G2" s="35"/>
    </row>
    <row r="3" spans="1:38" ht="22.5" customHeight="1">
      <c r="A3" s="3">
        <v>1</v>
      </c>
      <c r="B3" s="712" t="s">
        <v>96</v>
      </c>
      <c r="C3" s="713"/>
      <c r="D3" s="36"/>
      <c r="E3" s="716" t="s">
        <v>471</v>
      </c>
      <c r="F3" s="717"/>
      <c r="G3" s="717"/>
      <c r="H3" s="717"/>
      <c r="I3" s="717"/>
      <c r="J3" s="717"/>
      <c r="K3" s="717"/>
      <c r="L3" s="717"/>
      <c r="M3" s="717"/>
      <c r="N3" s="717"/>
      <c r="O3" s="718"/>
    </row>
    <row r="4" spans="1:38" ht="17.25" thickBot="1">
      <c r="A4" s="3">
        <v>2</v>
      </c>
      <c r="B4" s="39" t="s">
        <v>83</v>
      </c>
      <c r="C4" s="23" t="s">
        <v>109</v>
      </c>
      <c r="D4" s="26"/>
      <c r="E4" s="719" t="s">
        <v>472</v>
      </c>
      <c r="F4" s="720"/>
      <c r="G4" s="720"/>
      <c r="H4" s="720"/>
      <c r="I4" s="720"/>
      <c r="J4" s="720"/>
      <c r="K4" s="720"/>
      <c r="L4" s="720"/>
      <c r="M4" s="720"/>
      <c r="N4" s="720"/>
      <c r="O4" s="720"/>
    </row>
    <row r="5" spans="1:38" ht="17.25" thickTop="1">
      <c r="A5" s="3">
        <v>3</v>
      </c>
      <c r="B5" s="7" t="s">
        <v>84</v>
      </c>
      <c r="C5" s="16" t="s">
        <v>103</v>
      </c>
      <c r="D5" s="26"/>
      <c r="E5" s="189" t="s">
        <v>473</v>
      </c>
      <c r="F5" s="721" t="s">
        <v>473</v>
      </c>
      <c r="G5" s="722"/>
      <c r="H5" s="722"/>
      <c r="I5" s="723"/>
      <c r="J5" s="724" t="s">
        <v>413</v>
      </c>
      <c r="K5" s="725"/>
      <c r="L5" s="726"/>
      <c r="M5" s="727" t="s">
        <v>413</v>
      </c>
      <c r="N5" s="728"/>
      <c r="O5" s="729"/>
    </row>
    <row r="6" spans="1:38" ht="16.899999999999999">
      <c r="A6" s="3">
        <v>4</v>
      </c>
      <c r="B6" s="7" t="s">
        <v>85</v>
      </c>
      <c r="C6" s="10" t="s">
        <v>110</v>
      </c>
      <c r="D6" s="27"/>
      <c r="E6" s="190" t="s">
        <v>2</v>
      </c>
      <c r="F6" s="730" t="s">
        <v>2</v>
      </c>
      <c r="G6" s="731"/>
      <c r="H6" s="731"/>
      <c r="I6" s="732"/>
      <c r="J6" s="733" t="s">
        <v>474</v>
      </c>
      <c r="K6" s="734"/>
      <c r="L6" s="735"/>
      <c r="M6" s="736" t="s">
        <v>474</v>
      </c>
      <c r="N6" s="737"/>
      <c r="O6" s="738"/>
    </row>
    <row r="7" spans="1:38" ht="16.899999999999999">
      <c r="A7" s="3">
        <v>5</v>
      </c>
      <c r="B7" s="7" t="s">
        <v>86</v>
      </c>
      <c r="C7" s="16" t="s">
        <v>111</v>
      </c>
      <c r="D7" s="26"/>
      <c r="E7" s="739" t="s">
        <v>475</v>
      </c>
      <c r="F7" s="192" t="s">
        <v>476</v>
      </c>
      <c r="G7" s="741" t="s">
        <v>477</v>
      </c>
      <c r="H7" s="741"/>
      <c r="I7" s="741"/>
      <c r="J7" s="741"/>
      <c r="K7" s="741"/>
      <c r="L7" s="741"/>
      <c r="M7" s="741"/>
      <c r="N7" s="741"/>
      <c r="O7" s="742"/>
    </row>
    <row r="8" spans="1:38" ht="16.899999999999999">
      <c r="A8" s="3">
        <v>6</v>
      </c>
      <c r="B8" s="7" t="s">
        <v>87</v>
      </c>
      <c r="C8" s="16" t="s">
        <v>112</v>
      </c>
      <c r="D8" s="26"/>
      <c r="E8" s="740"/>
      <c r="F8" s="193" t="s">
        <v>478</v>
      </c>
      <c r="G8" s="743" t="s">
        <v>479</v>
      </c>
      <c r="H8" s="743"/>
      <c r="I8" s="743"/>
      <c r="J8" s="743"/>
      <c r="K8" s="743"/>
      <c r="L8" s="743"/>
      <c r="M8" s="743"/>
      <c r="N8" s="743"/>
      <c r="O8" s="744"/>
    </row>
    <row r="9" spans="1:38" ht="16.899999999999999">
      <c r="A9" s="3">
        <v>7</v>
      </c>
      <c r="B9" s="7" t="s">
        <v>88</v>
      </c>
      <c r="C9" s="16" t="s">
        <v>112</v>
      </c>
      <c r="D9" s="26"/>
      <c r="E9" s="190" t="s">
        <v>480</v>
      </c>
      <c r="F9" s="730" t="s">
        <v>480</v>
      </c>
      <c r="G9" s="731"/>
      <c r="H9" s="731"/>
      <c r="I9" s="731"/>
      <c r="J9" s="731"/>
      <c r="K9" s="731"/>
      <c r="L9" s="731"/>
      <c r="M9" s="731"/>
      <c r="N9" s="731"/>
      <c r="O9" s="745"/>
    </row>
    <row r="10" spans="1:38" ht="25.5">
      <c r="A10" s="3">
        <v>8</v>
      </c>
      <c r="B10" s="7" t="s">
        <v>89</v>
      </c>
      <c r="C10" s="53" t="s">
        <v>104</v>
      </c>
      <c r="D10" s="26"/>
      <c r="E10" s="191" t="s">
        <v>481</v>
      </c>
      <c r="F10" s="746" t="s">
        <v>483</v>
      </c>
      <c r="G10" s="747"/>
      <c r="H10" s="747"/>
      <c r="I10" s="747"/>
      <c r="J10" s="747"/>
      <c r="K10" s="747"/>
      <c r="L10" s="747"/>
      <c r="M10" s="747"/>
      <c r="N10" s="747"/>
      <c r="O10" s="748"/>
    </row>
    <row r="11" spans="1:38" ht="19.149999999999999" thickBot="1">
      <c r="A11" s="3">
        <v>9</v>
      </c>
      <c r="B11" s="7" t="s">
        <v>90</v>
      </c>
      <c r="C11" s="16" t="s">
        <v>113</v>
      </c>
      <c r="D11" s="28"/>
      <c r="E11" s="194" t="s">
        <v>482</v>
      </c>
      <c r="F11" s="749"/>
      <c r="G11" s="750"/>
      <c r="H11" s="750"/>
      <c r="I11" s="750"/>
      <c r="J11" s="750"/>
      <c r="K11" s="750"/>
      <c r="L11" s="750"/>
      <c r="M11" s="750"/>
      <c r="N11" s="750"/>
      <c r="O11" s="751"/>
    </row>
    <row r="12" spans="1:38" ht="19.5" thickTop="1" thickBot="1">
      <c r="A12" s="3">
        <v>10</v>
      </c>
      <c r="B12" s="25"/>
      <c r="C12" s="67"/>
      <c r="D12" s="68"/>
      <c r="E12" s="752"/>
      <c r="F12" s="753"/>
      <c r="G12" s="753"/>
      <c r="H12" s="753"/>
      <c r="I12" s="753"/>
      <c r="J12" s="753"/>
      <c r="K12" s="753"/>
      <c r="L12" s="753"/>
      <c r="M12" s="753"/>
      <c r="N12" s="753"/>
      <c r="O12" s="753"/>
    </row>
    <row r="13" spans="1:38" ht="25.9" thickTop="1">
      <c r="A13" s="3">
        <v>11</v>
      </c>
      <c r="B13" s="7" t="s">
        <v>91</v>
      </c>
      <c r="C13" s="40" t="s">
        <v>114</v>
      </c>
      <c r="D13" s="29"/>
      <c r="E13" s="754" t="s">
        <v>417</v>
      </c>
      <c r="F13" s="724" t="s">
        <v>484</v>
      </c>
      <c r="G13" s="726"/>
      <c r="H13" s="721" t="s">
        <v>485</v>
      </c>
      <c r="I13" s="722"/>
      <c r="J13" s="723"/>
      <c r="K13" s="195" t="s">
        <v>175</v>
      </c>
      <c r="L13" s="721" t="s">
        <v>486</v>
      </c>
      <c r="M13" s="723"/>
      <c r="N13" s="195" t="s">
        <v>487</v>
      </c>
      <c r="O13" s="196" t="s">
        <v>488</v>
      </c>
    </row>
    <row r="14" spans="1:38" ht="17.25" thickBot="1">
      <c r="A14" s="3">
        <v>12</v>
      </c>
      <c r="B14" s="7" t="s">
        <v>92</v>
      </c>
      <c r="C14" s="41" t="s">
        <v>115</v>
      </c>
      <c r="D14" s="31"/>
      <c r="E14" s="755"/>
      <c r="F14" s="756" t="s">
        <v>418</v>
      </c>
      <c r="G14" s="757"/>
      <c r="H14" s="758" t="s">
        <v>489</v>
      </c>
      <c r="I14" s="759"/>
      <c r="J14" s="760"/>
      <c r="K14" s="197" t="s">
        <v>20</v>
      </c>
      <c r="L14" s="761" t="s">
        <v>490</v>
      </c>
      <c r="M14" s="762"/>
      <c r="N14" s="762"/>
      <c r="O14" s="763"/>
    </row>
    <row r="15" spans="1:38" ht="17.649999999999999" thickTop="1" thickBot="1">
      <c r="A15" s="3">
        <v>13</v>
      </c>
      <c r="B15" s="7" t="s">
        <v>93</v>
      </c>
      <c r="C15" s="42" t="s">
        <v>116</v>
      </c>
      <c r="D15" s="30"/>
      <c r="E15" s="764" t="s">
        <v>491</v>
      </c>
      <c r="F15" s="764"/>
      <c r="G15" s="764"/>
      <c r="H15" s="764"/>
      <c r="I15" s="764"/>
      <c r="J15" s="764"/>
      <c r="K15" s="764"/>
      <c r="L15" s="764"/>
      <c r="M15" s="764"/>
      <c r="N15" s="764"/>
      <c r="O15" s="764"/>
    </row>
    <row r="16" spans="1:38" ht="17.25" thickTop="1">
      <c r="A16" s="3">
        <v>14</v>
      </c>
      <c r="B16" s="7" t="s">
        <v>94</v>
      </c>
      <c r="C16" s="41" t="s">
        <v>105</v>
      </c>
      <c r="D16" s="30"/>
      <c r="E16" s="189" t="s">
        <v>492</v>
      </c>
      <c r="F16" s="765" t="s">
        <v>493</v>
      </c>
      <c r="G16" s="766"/>
      <c r="H16" s="766"/>
      <c r="I16" s="766"/>
      <c r="J16" s="766"/>
      <c r="K16" s="766"/>
      <c r="L16" s="766"/>
      <c r="M16" s="766"/>
      <c r="N16" s="766"/>
      <c r="O16" s="767"/>
    </row>
    <row r="17" spans="1:15" ht="16.899999999999999">
      <c r="A17" s="3">
        <v>15</v>
      </c>
      <c r="B17" s="7" t="s">
        <v>95</v>
      </c>
      <c r="C17" s="54" t="s">
        <v>106</v>
      </c>
      <c r="D17" s="30"/>
      <c r="E17" s="739" t="s">
        <v>494</v>
      </c>
      <c r="F17" s="769" t="s">
        <v>495</v>
      </c>
      <c r="G17" s="770"/>
      <c r="H17" s="771"/>
      <c r="I17" s="772" t="s">
        <v>496</v>
      </c>
      <c r="J17" s="773"/>
      <c r="K17" s="773"/>
      <c r="L17" s="773"/>
      <c r="M17" s="773"/>
      <c r="N17" s="773"/>
      <c r="O17" s="774"/>
    </row>
    <row r="18" spans="1:15" ht="18.75">
      <c r="A18" s="3">
        <v>16</v>
      </c>
      <c r="B18" s="712" t="s">
        <v>117</v>
      </c>
      <c r="C18" s="713"/>
      <c r="D18" s="32"/>
      <c r="E18" s="768"/>
      <c r="F18" s="769" t="s">
        <v>497</v>
      </c>
      <c r="G18" s="770"/>
      <c r="H18" s="771"/>
      <c r="I18" s="772" t="s">
        <v>498</v>
      </c>
      <c r="J18" s="773"/>
      <c r="K18" s="773"/>
      <c r="L18" s="773"/>
      <c r="M18" s="773"/>
      <c r="N18" s="773"/>
      <c r="O18" s="774"/>
    </row>
    <row r="19" spans="1:15" ht="19.149999999999999">
      <c r="A19" s="3">
        <v>17</v>
      </c>
      <c r="B19" s="187" t="s">
        <v>462</v>
      </c>
      <c r="D19" s="30"/>
      <c r="E19" s="768"/>
      <c r="F19" s="775" t="s">
        <v>499</v>
      </c>
      <c r="G19" s="776"/>
      <c r="H19" s="777"/>
      <c r="I19" s="781" t="s">
        <v>500</v>
      </c>
      <c r="J19" s="782"/>
      <c r="K19" s="782"/>
      <c r="L19" s="782"/>
      <c r="M19" s="782"/>
      <c r="N19" s="782"/>
      <c r="O19" s="783"/>
    </row>
    <row r="20" spans="1:15" ht="16.899999999999999">
      <c r="A20" s="3">
        <v>18</v>
      </c>
      <c r="B20" s="7" t="s">
        <v>97</v>
      </c>
      <c r="C20" s="41" t="s">
        <v>108</v>
      </c>
      <c r="D20" s="30"/>
      <c r="E20" s="768"/>
      <c r="F20" s="778"/>
      <c r="G20" s="779"/>
      <c r="H20" s="780"/>
      <c r="I20" s="784" t="s">
        <v>501</v>
      </c>
      <c r="J20" s="785"/>
      <c r="K20" s="785"/>
      <c r="L20" s="785"/>
      <c r="M20" s="785"/>
      <c r="N20" s="785"/>
      <c r="O20" s="786"/>
    </row>
    <row r="21" spans="1:15" ht="16.899999999999999">
      <c r="A21" s="3">
        <v>19</v>
      </c>
      <c r="B21" s="7" t="s">
        <v>98</v>
      </c>
      <c r="C21" s="41" t="s">
        <v>118</v>
      </c>
      <c r="D21" s="30"/>
      <c r="E21" s="740"/>
      <c r="F21" s="769" t="s">
        <v>502</v>
      </c>
      <c r="G21" s="770"/>
      <c r="H21" s="771"/>
      <c r="I21" s="772" t="s">
        <v>503</v>
      </c>
      <c r="J21" s="773"/>
      <c r="K21" s="773"/>
      <c r="L21" s="773"/>
      <c r="M21" s="773"/>
      <c r="N21" s="773"/>
      <c r="O21" s="774"/>
    </row>
    <row r="22" spans="1:15" ht="17.25" thickBot="1">
      <c r="A22" s="3">
        <v>20</v>
      </c>
      <c r="B22" s="7" t="s">
        <v>99</v>
      </c>
      <c r="C22" s="42" t="s">
        <v>119</v>
      </c>
      <c r="D22" s="30"/>
      <c r="E22" s="198" t="s">
        <v>504</v>
      </c>
      <c r="F22" s="787"/>
      <c r="G22" s="788"/>
      <c r="H22" s="788"/>
      <c r="I22" s="788"/>
      <c r="J22" s="788"/>
      <c r="K22" s="788"/>
      <c r="L22" s="788"/>
      <c r="M22" s="788"/>
      <c r="N22" s="788"/>
      <c r="O22" s="789"/>
    </row>
    <row r="23" spans="1:15" ht="17.25" thickTop="1">
      <c r="A23" s="3">
        <v>21</v>
      </c>
      <c r="B23" s="7" t="s">
        <v>100</v>
      </c>
      <c r="C23" s="41" t="s">
        <v>120</v>
      </c>
      <c r="D23" s="30"/>
      <c r="E23" s="30"/>
      <c r="F23" s="30"/>
    </row>
    <row r="24" spans="1:15" ht="19.899999999999999" thickBot="1">
      <c r="A24" s="3">
        <v>22</v>
      </c>
      <c r="B24" s="7" t="s">
        <v>463</v>
      </c>
      <c r="C24" s="55" t="s">
        <v>45</v>
      </c>
      <c r="D24" s="30"/>
      <c r="E24" s="790" t="s">
        <v>505</v>
      </c>
      <c r="F24" s="790"/>
      <c r="G24" s="790"/>
      <c r="H24" s="790"/>
      <c r="I24" s="790"/>
      <c r="J24" s="790"/>
      <c r="K24" s="790"/>
      <c r="L24" s="790"/>
      <c r="M24" s="790"/>
      <c r="N24" s="790"/>
    </row>
    <row r="25" spans="1:15" ht="19.899999999999999" thickTop="1">
      <c r="A25" s="3">
        <v>23</v>
      </c>
      <c r="B25" s="7" t="s">
        <v>465</v>
      </c>
      <c r="C25" s="56" t="s">
        <v>47</v>
      </c>
      <c r="D25" s="30"/>
      <c r="E25" s="189" t="s">
        <v>506</v>
      </c>
      <c r="F25" s="791" t="s">
        <v>507</v>
      </c>
      <c r="G25" s="792"/>
      <c r="H25" s="792"/>
      <c r="I25" s="792"/>
      <c r="J25" s="792"/>
      <c r="K25" s="792"/>
      <c r="L25" s="792"/>
      <c r="M25" s="792"/>
      <c r="N25" s="793"/>
    </row>
    <row r="26" spans="1:15" ht="19.5">
      <c r="A26" s="3">
        <v>24</v>
      </c>
      <c r="B26" s="7" t="s">
        <v>464</v>
      </c>
      <c r="C26" s="57" t="s">
        <v>49</v>
      </c>
      <c r="D26" s="30"/>
      <c r="E26" s="190" t="s">
        <v>508</v>
      </c>
      <c r="F26" s="794" t="s">
        <v>509</v>
      </c>
      <c r="G26" s="795"/>
      <c r="H26" s="795"/>
      <c r="I26" s="795"/>
      <c r="J26" s="795"/>
      <c r="K26" s="795"/>
      <c r="L26" s="795"/>
      <c r="M26" s="795"/>
      <c r="N26" s="796"/>
    </row>
    <row r="27" spans="1:15" ht="19.5">
      <c r="A27" s="3">
        <v>25</v>
      </c>
      <c r="B27" s="7" t="s">
        <v>466</v>
      </c>
      <c r="C27" s="56" t="s">
        <v>51</v>
      </c>
      <c r="D27" s="30"/>
      <c r="E27" s="190" t="s">
        <v>510</v>
      </c>
      <c r="F27" s="730" t="s">
        <v>510</v>
      </c>
      <c r="G27" s="731"/>
      <c r="H27" s="731"/>
      <c r="I27" s="731"/>
      <c r="J27" s="731"/>
      <c r="K27" s="731"/>
      <c r="L27" s="731"/>
      <c r="M27" s="731"/>
      <c r="N27" s="745"/>
    </row>
    <row r="28" spans="1:15" ht="19.5">
      <c r="A28" s="3">
        <v>26</v>
      </c>
      <c r="B28" s="188" t="s">
        <v>469</v>
      </c>
      <c r="C28" s="55" t="s">
        <v>53</v>
      </c>
      <c r="D28" s="30"/>
      <c r="E28" s="191" t="s">
        <v>511</v>
      </c>
      <c r="F28" s="797" t="s">
        <v>513</v>
      </c>
      <c r="G28" s="798"/>
      <c r="H28" s="798"/>
      <c r="I28" s="798"/>
      <c r="J28" s="798"/>
      <c r="K28" s="798"/>
      <c r="L28" s="798"/>
      <c r="M28" s="798"/>
      <c r="N28" s="799"/>
    </row>
    <row r="29" spans="1:15" ht="19.5">
      <c r="A29" s="3">
        <v>27</v>
      </c>
      <c r="B29" s="7" t="s">
        <v>467</v>
      </c>
      <c r="C29" s="56" t="s">
        <v>55</v>
      </c>
      <c r="D29" s="30"/>
      <c r="E29" s="199" t="s">
        <v>512</v>
      </c>
      <c r="F29" s="202" t="s">
        <v>514</v>
      </c>
      <c r="G29" s="202" t="s">
        <v>515</v>
      </c>
      <c r="H29" s="202" t="s">
        <v>516</v>
      </c>
      <c r="I29" s="202" t="s">
        <v>517</v>
      </c>
      <c r="J29" s="202" t="s">
        <v>518</v>
      </c>
      <c r="K29" s="202" t="s">
        <v>519</v>
      </c>
      <c r="L29" s="202" t="s">
        <v>520</v>
      </c>
      <c r="M29" s="202" t="s">
        <v>521</v>
      </c>
      <c r="N29" s="205" t="s">
        <v>522</v>
      </c>
    </row>
    <row r="30" spans="1:15" ht="19.5">
      <c r="A30" s="3">
        <v>28</v>
      </c>
      <c r="B30" s="7" t="s">
        <v>470</v>
      </c>
      <c r="C30" s="57" t="s">
        <v>57</v>
      </c>
      <c r="D30" s="30"/>
      <c r="E30" s="200"/>
      <c r="F30" s="203" t="s">
        <v>523</v>
      </c>
      <c r="G30" s="204" t="s">
        <v>524</v>
      </c>
      <c r="H30" s="204" t="s">
        <v>525</v>
      </c>
      <c r="I30" s="204" t="s">
        <v>525</v>
      </c>
      <c r="J30" s="204" t="s">
        <v>525</v>
      </c>
      <c r="K30" s="204" t="s">
        <v>525</v>
      </c>
      <c r="L30" s="204" t="s">
        <v>525</v>
      </c>
      <c r="M30" s="204" t="s">
        <v>524</v>
      </c>
      <c r="N30" s="206" t="s">
        <v>526</v>
      </c>
    </row>
    <row r="31" spans="1:15" ht="19.5">
      <c r="A31" s="3">
        <v>29</v>
      </c>
      <c r="B31" s="7" t="s">
        <v>468</v>
      </c>
      <c r="C31" s="56" t="s">
        <v>59</v>
      </c>
      <c r="E31" s="200"/>
      <c r="F31" s="203" t="s">
        <v>527</v>
      </c>
      <c r="G31" s="204">
        <v>0</v>
      </c>
      <c r="H31" s="204">
        <v>5</v>
      </c>
      <c r="I31" s="204">
        <v>5</v>
      </c>
      <c r="J31" s="204">
        <v>5</v>
      </c>
      <c r="K31" s="204">
        <v>5</v>
      </c>
      <c r="L31" s="204">
        <v>5</v>
      </c>
      <c r="M31" s="204">
        <v>0</v>
      </c>
      <c r="N31" s="206" t="s">
        <v>528</v>
      </c>
    </row>
    <row r="32" spans="1:15" ht="16.899999999999999">
      <c r="A32" s="3">
        <v>30</v>
      </c>
      <c r="B32" s="7" t="s">
        <v>101</v>
      </c>
      <c r="C32" s="41" t="s">
        <v>121</v>
      </c>
      <c r="E32" s="200"/>
      <c r="F32" s="800" t="s">
        <v>529</v>
      </c>
      <c r="G32" s="801"/>
      <c r="H32" s="801"/>
      <c r="I32" s="801"/>
      <c r="J32" s="801"/>
      <c r="K32" s="801"/>
      <c r="L32" s="801"/>
      <c r="M32" s="801"/>
      <c r="N32" s="802"/>
    </row>
    <row r="33" spans="1:14" ht="19.5">
      <c r="A33" s="3">
        <v>31</v>
      </c>
      <c r="B33" s="146" t="s">
        <v>564</v>
      </c>
      <c r="C33" s="41" t="s">
        <v>122</v>
      </c>
      <c r="E33" s="201"/>
      <c r="F33" s="803" t="s">
        <v>530</v>
      </c>
      <c r="G33" s="804"/>
      <c r="H33" s="804"/>
      <c r="I33" s="804"/>
      <c r="J33" s="804"/>
      <c r="K33" s="804"/>
      <c r="L33" s="804"/>
      <c r="M33" s="804"/>
      <c r="N33" s="805"/>
    </row>
    <row r="34" spans="1:14" ht="16.899999999999999">
      <c r="A34" s="3">
        <v>32</v>
      </c>
      <c r="B34" s="7" t="s">
        <v>102</v>
      </c>
      <c r="C34" s="41" t="s">
        <v>123</v>
      </c>
      <c r="E34" s="191" t="s">
        <v>531</v>
      </c>
      <c r="F34" s="806" t="s">
        <v>533</v>
      </c>
      <c r="G34" s="807"/>
      <c r="H34" s="807"/>
      <c r="I34" s="807"/>
      <c r="J34" s="807"/>
      <c r="K34" s="807"/>
      <c r="L34" s="807"/>
      <c r="M34" s="807"/>
      <c r="N34" s="808"/>
    </row>
    <row r="35" spans="1:14" ht="16.899999999999999">
      <c r="A35" s="3">
        <v>33</v>
      </c>
      <c r="E35" s="194" t="s">
        <v>532</v>
      </c>
      <c r="F35" s="809"/>
      <c r="G35" s="810"/>
      <c r="H35" s="810"/>
      <c r="I35" s="810"/>
      <c r="J35" s="810"/>
      <c r="K35" s="810"/>
      <c r="L35" s="810"/>
      <c r="M35" s="810"/>
      <c r="N35" s="811"/>
    </row>
    <row r="36" spans="1:14" ht="16.899999999999999">
      <c r="A36" s="3">
        <v>34</v>
      </c>
      <c r="E36" s="191" t="s">
        <v>534</v>
      </c>
      <c r="F36" s="812" t="s">
        <v>535</v>
      </c>
      <c r="G36" s="813"/>
      <c r="H36" s="813"/>
      <c r="I36" s="814"/>
      <c r="J36" s="815" t="s">
        <v>536</v>
      </c>
      <c r="K36" s="816"/>
      <c r="L36" s="816"/>
      <c r="M36" s="816"/>
      <c r="N36" s="817"/>
    </row>
    <row r="37" spans="1:14" ht="16.899999999999999">
      <c r="A37" s="3">
        <v>35</v>
      </c>
      <c r="E37" s="199" t="s">
        <v>565</v>
      </c>
      <c r="F37" s="812" t="s">
        <v>537</v>
      </c>
      <c r="G37" s="813"/>
      <c r="H37" s="813"/>
      <c r="I37" s="814"/>
      <c r="J37" s="815" t="s">
        <v>538</v>
      </c>
      <c r="K37" s="816"/>
      <c r="L37" s="816"/>
      <c r="M37" s="816"/>
      <c r="N37" s="817"/>
    </row>
    <row r="38" spans="1:14" ht="16.899999999999999">
      <c r="A38" s="3">
        <v>36</v>
      </c>
      <c r="E38" s="200"/>
      <c r="F38" s="812" t="s">
        <v>539</v>
      </c>
      <c r="G38" s="813"/>
      <c r="H38" s="813"/>
      <c r="I38" s="814"/>
      <c r="J38" s="815" t="s">
        <v>540</v>
      </c>
      <c r="K38" s="816"/>
      <c r="L38" s="816"/>
      <c r="M38" s="816"/>
      <c r="N38" s="817"/>
    </row>
    <row r="39" spans="1:14" ht="16.899999999999999">
      <c r="A39" s="3">
        <v>37</v>
      </c>
      <c r="E39" s="200"/>
      <c r="F39" s="812" t="s">
        <v>541</v>
      </c>
      <c r="G39" s="813"/>
      <c r="H39" s="813"/>
      <c r="I39" s="814"/>
      <c r="J39" s="815" t="s">
        <v>542</v>
      </c>
      <c r="K39" s="816"/>
      <c r="L39" s="816"/>
      <c r="M39" s="816"/>
      <c r="N39" s="817"/>
    </row>
    <row r="40" spans="1:14" ht="16.899999999999999">
      <c r="A40" s="3">
        <v>38</v>
      </c>
      <c r="E40" s="200"/>
      <c r="F40" s="812" t="s">
        <v>543</v>
      </c>
      <c r="G40" s="813"/>
      <c r="H40" s="813"/>
      <c r="I40" s="814"/>
      <c r="J40" s="815" t="s">
        <v>544</v>
      </c>
      <c r="K40" s="816"/>
      <c r="L40" s="816"/>
      <c r="M40" s="816"/>
      <c r="N40" s="817"/>
    </row>
    <row r="41" spans="1:14" ht="16.899999999999999">
      <c r="A41" s="3">
        <v>39</v>
      </c>
      <c r="E41" s="200"/>
      <c r="F41" s="812" t="s">
        <v>545</v>
      </c>
      <c r="G41" s="813"/>
      <c r="H41" s="813"/>
      <c r="I41" s="814"/>
      <c r="J41" s="815" t="s">
        <v>546</v>
      </c>
      <c r="K41" s="816"/>
      <c r="L41" s="816"/>
      <c r="M41" s="816"/>
      <c r="N41" s="817"/>
    </row>
    <row r="42" spans="1:14" ht="16.899999999999999">
      <c r="A42" s="3">
        <v>40</v>
      </c>
      <c r="E42" s="200"/>
      <c r="F42" s="812" t="s">
        <v>547</v>
      </c>
      <c r="G42" s="813"/>
      <c r="H42" s="813"/>
      <c r="I42" s="814"/>
      <c r="J42" s="815" t="s">
        <v>548</v>
      </c>
      <c r="K42" s="816"/>
      <c r="L42" s="816"/>
      <c r="M42" s="816"/>
      <c r="N42" s="817"/>
    </row>
    <row r="43" spans="1:14" ht="16.899999999999999">
      <c r="A43" s="3">
        <v>41</v>
      </c>
      <c r="E43" s="200"/>
      <c r="F43" s="812" t="s">
        <v>549</v>
      </c>
      <c r="G43" s="813"/>
      <c r="H43" s="813"/>
      <c r="I43" s="814"/>
      <c r="J43" s="815" t="s">
        <v>550</v>
      </c>
      <c r="K43" s="816"/>
      <c r="L43" s="816"/>
      <c r="M43" s="816"/>
      <c r="N43" s="817"/>
    </row>
    <row r="44" spans="1:14" ht="16.899999999999999">
      <c r="A44" s="3">
        <v>42</v>
      </c>
      <c r="E44" s="200"/>
      <c r="F44" s="812" t="s">
        <v>551</v>
      </c>
      <c r="G44" s="813"/>
      <c r="H44" s="813"/>
      <c r="I44" s="814"/>
      <c r="J44" s="769" t="s">
        <v>552</v>
      </c>
      <c r="K44" s="770"/>
      <c r="L44" s="770"/>
      <c r="M44" s="770"/>
      <c r="N44" s="818"/>
    </row>
    <row r="45" spans="1:14" ht="16.899999999999999">
      <c r="A45" s="3">
        <v>43</v>
      </c>
      <c r="E45" s="200"/>
      <c r="F45" s="812" t="s">
        <v>553</v>
      </c>
      <c r="G45" s="813"/>
      <c r="H45" s="813"/>
      <c r="I45" s="814"/>
      <c r="J45" s="769" t="s">
        <v>552</v>
      </c>
      <c r="K45" s="770"/>
      <c r="L45" s="770"/>
      <c r="M45" s="770"/>
      <c r="N45" s="818"/>
    </row>
    <row r="46" spans="1:14" ht="16.899999999999999">
      <c r="A46" s="3">
        <v>44</v>
      </c>
      <c r="E46" s="200"/>
      <c r="F46" s="812" t="s">
        <v>554</v>
      </c>
      <c r="G46" s="813"/>
      <c r="H46" s="813"/>
      <c r="I46" s="814"/>
      <c r="J46" s="769" t="s">
        <v>552</v>
      </c>
      <c r="K46" s="770"/>
      <c r="L46" s="770"/>
      <c r="M46" s="770"/>
      <c r="N46" s="818"/>
    </row>
    <row r="47" spans="1:14" ht="16.899999999999999">
      <c r="A47" s="3">
        <v>45</v>
      </c>
      <c r="E47" s="200"/>
      <c r="F47" s="812" t="s">
        <v>555</v>
      </c>
      <c r="G47" s="813"/>
      <c r="H47" s="813"/>
      <c r="I47" s="814"/>
      <c r="J47" s="769" t="s">
        <v>552</v>
      </c>
      <c r="K47" s="770"/>
      <c r="L47" s="770"/>
      <c r="M47" s="770"/>
      <c r="N47" s="818"/>
    </row>
    <row r="48" spans="1:14" ht="16.899999999999999">
      <c r="A48" s="3">
        <v>46</v>
      </c>
      <c r="E48" s="200"/>
      <c r="F48" s="812" t="s">
        <v>556</v>
      </c>
      <c r="G48" s="813"/>
      <c r="H48" s="813"/>
      <c r="I48" s="814"/>
      <c r="J48" s="769" t="s">
        <v>552</v>
      </c>
      <c r="K48" s="770"/>
      <c r="L48" s="770"/>
      <c r="M48" s="770"/>
      <c r="N48" s="818"/>
    </row>
    <row r="49" spans="1:14" ht="16.899999999999999">
      <c r="A49" s="3">
        <v>47</v>
      </c>
      <c r="E49" s="200"/>
      <c r="F49" s="812" t="s">
        <v>557</v>
      </c>
      <c r="G49" s="813"/>
      <c r="H49" s="813"/>
      <c r="I49" s="814"/>
      <c r="J49" s="769" t="s">
        <v>552</v>
      </c>
      <c r="K49" s="770"/>
      <c r="L49" s="770"/>
      <c r="M49" s="770"/>
      <c r="N49" s="818"/>
    </row>
    <row r="50" spans="1:14" ht="16.899999999999999">
      <c r="A50" s="3">
        <v>48</v>
      </c>
      <c r="E50" s="201"/>
      <c r="F50" s="812" t="s">
        <v>558</v>
      </c>
      <c r="G50" s="813"/>
      <c r="H50" s="813"/>
      <c r="I50" s="814"/>
      <c r="J50" s="769" t="s">
        <v>552</v>
      </c>
      <c r="K50" s="770"/>
      <c r="L50" s="770"/>
      <c r="M50" s="770"/>
      <c r="N50" s="818"/>
    </row>
    <row r="51" spans="1:14" ht="25.9" thickBot="1">
      <c r="A51" s="3">
        <v>49</v>
      </c>
      <c r="E51" s="198" t="s">
        <v>559</v>
      </c>
      <c r="F51" s="819" t="s">
        <v>484</v>
      </c>
      <c r="G51" s="820"/>
      <c r="H51" s="820"/>
      <c r="I51" s="821"/>
      <c r="J51" s="207" t="s">
        <v>560</v>
      </c>
      <c r="K51" s="208" t="s">
        <v>563</v>
      </c>
      <c r="L51" s="207" t="s">
        <v>561</v>
      </c>
      <c r="M51" s="208" t="s">
        <v>487</v>
      </c>
      <c r="N51" s="209" t="s">
        <v>562</v>
      </c>
    </row>
    <row r="52" spans="1:14" ht="17.25" thickTop="1">
      <c r="A52" s="3">
        <v>50</v>
      </c>
    </row>
    <row r="53" spans="1:14" ht="16.899999999999999">
      <c r="A53" s="3">
        <v>51</v>
      </c>
    </row>
    <row r="54" spans="1:14" ht="16.899999999999999">
      <c r="A54" s="3">
        <v>52</v>
      </c>
    </row>
    <row r="55" spans="1:14" ht="16.899999999999999">
      <c r="A55" s="3">
        <v>53</v>
      </c>
    </row>
    <row r="56" spans="1:14" ht="16.899999999999999">
      <c r="A56" s="3">
        <v>54</v>
      </c>
    </row>
    <row r="57" spans="1:14" ht="16.899999999999999">
      <c r="A57" s="3">
        <v>55</v>
      </c>
    </row>
    <row r="58" spans="1:14" ht="16.899999999999999">
      <c r="A58" s="3">
        <v>56</v>
      </c>
    </row>
    <row r="59" spans="1:14" ht="16.899999999999999">
      <c r="A59" s="3">
        <v>57</v>
      </c>
    </row>
    <row r="60" spans="1:14" ht="16.899999999999999">
      <c r="A60" s="3">
        <v>58</v>
      </c>
    </row>
    <row r="61" spans="1:14" ht="16.899999999999999">
      <c r="A61" s="3">
        <v>59</v>
      </c>
    </row>
    <row r="62" spans="1:14" ht="16.899999999999999">
      <c r="A62" s="3">
        <v>60</v>
      </c>
    </row>
    <row r="63" spans="1:14" ht="16.899999999999999">
      <c r="A63" s="3">
        <v>61</v>
      </c>
    </row>
    <row r="64" spans="1:14" ht="16.899999999999999">
      <c r="A64" s="3">
        <v>62</v>
      </c>
    </row>
    <row r="65" spans="1:1" ht="16.899999999999999">
      <c r="A65" s="3">
        <v>63</v>
      </c>
    </row>
  </sheetData>
  <mergeCells count="76">
    <mergeCell ref="F49:I49"/>
    <mergeCell ref="J49:N49"/>
    <mergeCell ref="F50:I50"/>
    <mergeCell ref="J50:N50"/>
    <mergeCell ref="F51:I51"/>
    <mergeCell ref="F46:I46"/>
    <mergeCell ref="J46:N46"/>
    <mergeCell ref="F47:I47"/>
    <mergeCell ref="J47:N47"/>
    <mergeCell ref="F48:I48"/>
    <mergeCell ref="J48:N48"/>
    <mergeCell ref="F43:I43"/>
    <mergeCell ref="J43:N43"/>
    <mergeCell ref="F44:I44"/>
    <mergeCell ref="J44:N44"/>
    <mergeCell ref="F45:I45"/>
    <mergeCell ref="J45:N45"/>
    <mergeCell ref="F40:I40"/>
    <mergeCell ref="J40:N40"/>
    <mergeCell ref="F41:I41"/>
    <mergeCell ref="J41:N41"/>
    <mergeCell ref="F42:I42"/>
    <mergeCell ref="J42:N42"/>
    <mergeCell ref="F37:I37"/>
    <mergeCell ref="J37:N37"/>
    <mergeCell ref="F38:I38"/>
    <mergeCell ref="J38:N38"/>
    <mergeCell ref="F39:I39"/>
    <mergeCell ref="J39:N39"/>
    <mergeCell ref="F28:N28"/>
    <mergeCell ref="F32:N32"/>
    <mergeCell ref="F33:N33"/>
    <mergeCell ref="F34:N35"/>
    <mergeCell ref="F36:I36"/>
    <mergeCell ref="J36:N36"/>
    <mergeCell ref="F22:O22"/>
    <mergeCell ref="E24:N24"/>
    <mergeCell ref="F25:N25"/>
    <mergeCell ref="F26:N26"/>
    <mergeCell ref="F27:N27"/>
    <mergeCell ref="E15:O15"/>
    <mergeCell ref="F16:O16"/>
    <mergeCell ref="E17:E21"/>
    <mergeCell ref="F17:H17"/>
    <mergeCell ref="I17:O17"/>
    <mergeCell ref="F18:H18"/>
    <mergeCell ref="I18:O18"/>
    <mergeCell ref="F19:H20"/>
    <mergeCell ref="I19:O19"/>
    <mergeCell ref="I20:O20"/>
    <mergeCell ref="F21:H21"/>
    <mergeCell ref="I21:O21"/>
    <mergeCell ref="E12:O12"/>
    <mergeCell ref="E13:E14"/>
    <mergeCell ref="F13:G13"/>
    <mergeCell ref="H13:J13"/>
    <mergeCell ref="L13:M13"/>
    <mergeCell ref="F14:G14"/>
    <mergeCell ref="H14:J14"/>
    <mergeCell ref="L14:O14"/>
    <mergeCell ref="B3:C3"/>
    <mergeCell ref="B2:C2"/>
    <mergeCell ref="B18:C18"/>
    <mergeCell ref="E3:O3"/>
    <mergeCell ref="E4:O4"/>
    <mergeCell ref="F5:I5"/>
    <mergeCell ref="J5:L5"/>
    <mergeCell ref="M5:O5"/>
    <mergeCell ref="F6:I6"/>
    <mergeCell ref="J6:L6"/>
    <mergeCell ref="M6:O6"/>
    <mergeCell ref="E7:E8"/>
    <mergeCell ref="G7:O7"/>
    <mergeCell ref="G8:O8"/>
    <mergeCell ref="F9:O9"/>
    <mergeCell ref="F10:O11"/>
  </mergeCells>
  <phoneticPr fontId="16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16</xdr:col>
                    <xdr:colOff>352425</xdr:colOff>
                    <xdr:row>1</xdr:row>
                    <xdr:rowOff>66675</xdr:rowOff>
                  </from>
                  <to>
                    <xdr:col>20</xdr:col>
                    <xdr:colOff>161925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workbookViewId="0"/>
  </sheetViews>
  <sheetFormatPr defaultRowHeight="12.75"/>
  <cols>
    <col min="1" max="1" width="14" customWidth="1"/>
    <col min="2" max="2" width="23.73046875" customWidth="1"/>
    <col min="3" max="3" width="28.3984375" bestFit="1" customWidth="1"/>
    <col min="4" max="4" width="30" customWidth="1"/>
  </cols>
  <sheetData>
    <row r="1" spans="1:9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826" t="s">
        <v>60</v>
      </c>
      <c r="C2" s="823"/>
      <c r="D2" s="823"/>
      <c r="E2" s="823"/>
      <c r="F2" s="823"/>
    </row>
    <row r="3" spans="1:9" ht="16.899999999999999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899999999999999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899999999999999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899999999999999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899999999999999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899999999999999">
      <c r="A8" s="2">
        <v>6</v>
      </c>
      <c r="B8" s="7" t="s">
        <v>38</v>
      </c>
      <c r="C8" s="10" t="str">
        <f>'참여기업 정보'!D29</f>
        <v>work@kseta.or.kr</v>
      </c>
      <c r="D8" s="5"/>
      <c r="E8" s="5"/>
      <c r="F8" s="5"/>
    </row>
    <row r="9" spans="1:9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9" ht="16.899999999999999">
      <c r="A10" s="2">
        <v>8</v>
      </c>
      <c r="B10" s="6"/>
      <c r="C10" s="6"/>
      <c r="D10" s="6"/>
      <c r="E10" s="6"/>
      <c r="F10" s="6"/>
    </row>
    <row r="11" spans="1:9" ht="16.899999999999999">
      <c r="A11" s="2">
        <v>9</v>
      </c>
      <c r="B11" s="11" t="s">
        <v>62</v>
      </c>
      <c r="C11" s="6"/>
      <c r="D11" s="6"/>
      <c r="E11" s="6"/>
      <c r="F11" s="6"/>
    </row>
    <row r="12" spans="1:9" ht="16.899999999999999">
      <c r="A12" s="2">
        <v>10</v>
      </c>
      <c r="B12" s="11" t="s">
        <v>63</v>
      </c>
      <c r="C12" s="6"/>
      <c r="D12" s="6"/>
      <c r="E12" s="6"/>
      <c r="F12" s="6"/>
    </row>
    <row r="13" spans="1:9" ht="18.75">
      <c r="A13" s="2">
        <v>11</v>
      </c>
      <c r="B13" s="826" t="s">
        <v>64</v>
      </c>
      <c r="C13" s="823"/>
      <c r="D13" s="823"/>
      <c r="E13" s="823"/>
      <c r="F13" s="823"/>
    </row>
    <row r="14" spans="1:9" ht="19.5">
      <c r="A14" s="2">
        <v>12</v>
      </c>
      <c r="B14" s="822" t="s">
        <v>44</v>
      </c>
      <c r="C14" s="12" t="s">
        <v>65</v>
      </c>
      <c r="D14" s="827">
        <v>45618</v>
      </c>
      <c r="E14" s="828"/>
      <c r="F14" s="828"/>
    </row>
    <row r="15" spans="1:9" ht="63.75" customHeight="1">
      <c r="A15" s="2">
        <v>13</v>
      </c>
      <c r="B15" s="823"/>
      <c r="C15" s="12" t="s">
        <v>66</v>
      </c>
      <c r="D15" s="825" t="s">
        <v>79</v>
      </c>
      <c r="E15" s="823"/>
      <c r="F15" s="823"/>
    </row>
    <row r="16" spans="1:9" ht="19.5">
      <c r="A16" s="2">
        <v>14</v>
      </c>
      <c r="B16" s="822" t="s">
        <v>46</v>
      </c>
      <c r="C16" s="12" t="s">
        <v>65</v>
      </c>
      <c r="D16" s="824">
        <v>45625</v>
      </c>
      <c r="E16" s="823"/>
      <c r="F16" s="823"/>
    </row>
    <row r="17" spans="1:6" ht="77.25" customHeight="1">
      <c r="A17" s="2">
        <v>15</v>
      </c>
      <c r="B17" s="823"/>
      <c r="C17" s="12" t="s">
        <v>66</v>
      </c>
      <c r="D17" s="825" t="s">
        <v>79</v>
      </c>
      <c r="E17" s="823"/>
      <c r="F17" s="823"/>
    </row>
    <row r="18" spans="1:6" ht="19.5">
      <c r="A18" s="2">
        <v>16</v>
      </c>
      <c r="B18" s="822" t="s">
        <v>48</v>
      </c>
      <c r="C18" s="12" t="s">
        <v>65</v>
      </c>
      <c r="D18" s="824">
        <v>45632</v>
      </c>
      <c r="E18" s="823"/>
      <c r="F18" s="823"/>
    </row>
    <row r="19" spans="1:6" ht="16.899999999999999">
      <c r="A19" s="2">
        <v>17</v>
      </c>
      <c r="B19" s="823"/>
      <c r="C19" s="12" t="s">
        <v>66</v>
      </c>
      <c r="D19" s="829" t="s">
        <v>67</v>
      </c>
      <c r="E19" s="823"/>
      <c r="F19" s="823"/>
    </row>
    <row r="20" spans="1:6" ht="19.5">
      <c r="A20" s="2">
        <v>18</v>
      </c>
      <c r="B20" s="822" t="s">
        <v>50</v>
      </c>
      <c r="C20" s="12" t="s">
        <v>65</v>
      </c>
      <c r="D20" s="824">
        <v>45639</v>
      </c>
      <c r="E20" s="823"/>
      <c r="F20" s="823"/>
    </row>
    <row r="21" spans="1:6" ht="16.899999999999999">
      <c r="A21" s="2">
        <v>19</v>
      </c>
      <c r="B21" s="823"/>
      <c r="C21" s="12" t="s">
        <v>66</v>
      </c>
      <c r="D21" s="829" t="s">
        <v>67</v>
      </c>
      <c r="E21" s="823"/>
      <c r="F21" s="823"/>
    </row>
    <row r="22" spans="1:6" ht="19.5">
      <c r="A22" s="2">
        <v>20</v>
      </c>
      <c r="B22" s="822" t="s">
        <v>52</v>
      </c>
      <c r="C22" s="12" t="s">
        <v>65</v>
      </c>
      <c r="D22" s="824">
        <v>45646</v>
      </c>
      <c r="E22" s="823"/>
      <c r="F22" s="823"/>
    </row>
    <row r="23" spans="1:6" ht="16.899999999999999">
      <c r="A23" s="2">
        <v>21</v>
      </c>
      <c r="B23" s="823"/>
      <c r="C23" s="12" t="s">
        <v>66</v>
      </c>
      <c r="D23" s="829" t="s">
        <v>67</v>
      </c>
      <c r="E23" s="823"/>
      <c r="F23" s="823"/>
    </row>
    <row r="24" spans="1:6" ht="19.5">
      <c r="A24" s="2">
        <v>22</v>
      </c>
      <c r="B24" s="822" t="s">
        <v>54</v>
      </c>
      <c r="C24" s="12" t="s">
        <v>65</v>
      </c>
      <c r="D24" s="824">
        <v>45653</v>
      </c>
      <c r="E24" s="823"/>
      <c r="F24" s="823"/>
    </row>
    <row r="25" spans="1:6" ht="16.899999999999999">
      <c r="A25" s="2">
        <v>23</v>
      </c>
      <c r="B25" s="823"/>
      <c r="C25" s="12" t="s">
        <v>66</v>
      </c>
      <c r="D25" s="829" t="s">
        <v>67</v>
      </c>
      <c r="E25" s="823"/>
      <c r="F25" s="823"/>
    </row>
    <row r="26" spans="1:6" ht="19.5">
      <c r="A26" s="2">
        <v>24</v>
      </c>
      <c r="B26" s="822" t="s">
        <v>56</v>
      </c>
      <c r="C26" s="12" t="s">
        <v>65</v>
      </c>
      <c r="D26" s="824">
        <v>45660</v>
      </c>
      <c r="E26" s="823"/>
      <c r="F26" s="823"/>
    </row>
    <row r="27" spans="1:6" ht="16.899999999999999">
      <c r="A27" s="2">
        <v>25</v>
      </c>
      <c r="B27" s="823"/>
      <c r="C27" s="12" t="s">
        <v>66</v>
      </c>
      <c r="D27" s="829" t="s">
        <v>67</v>
      </c>
      <c r="E27" s="823"/>
      <c r="F27" s="823"/>
    </row>
    <row r="28" spans="1:6" ht="19.5">
      <c r="A28" s="2">
        <v>26</v>
      </c>
      <c r="B28" s="822" t="s">
        <v>58</v>
      </c>
      <c r="C28" s="12" t="s">
        <v>65</v>
      </c>
      <c r="D28" s="824">
        <v>45667</v>
      </c>
      <c r="E28" s="823"/>
      <c r="F28" s="823"/>
    </row>
    <row r="29" spans="1:6" ht="16.899999999999999">
      <c r="A29" s="2">
        <v>27</v>
      </c>
      <c r="B29" s="823"/>
      <c r="C29" s="12" t="s">
        <v>66</v>
      </c>
      <c r="D29" s="829" t="s">
        <v>67</v>
      </c>
      <c r="E29" s="823"/>
      <c r="F29" s="823"/>
    </row>
    <row r="30" spans="1:6" ht="16.899999999999999">
      <c r="A30" s="2">
        <v>28</v>
      </c>
    </row>
    <row r="31" spans="1:6" ht="16.899999999999999">
      <c r="A31" s="2">
        <v>29</v>
      </c>
    </row>
    <row r="32" spans="1:6" ht="16.899999999999999">
      <c r="A32" s="2">
        <v>30</v>
      </c>
    </row>
  </sheetData>
  <mergeCells count="26">
    <mergeCell ref="B26:B27"/>
    <mergeCell ref="D26:F26"/>
    <mergeCell ref="D27:F27"/>
    <mergeCell ref="B28:B29"/>
    <mergeCell ref="D28:F28"/>
    <mergeCell ref="D29:F29"/>
    <mergeCell ref="B22:B23"/>
    <mergeCell ref="D22:F22"/>
    <mergeCell ref="D23:F23"/>
    <mergeCell ref="B24:B25"/>
    <mergeCell ref="D24:F24"/>
    <mergeCell ref="D25:F25"/>
    <mergeCell ref="B18:B19"/>
    <mergeCell ref="D18:F18"/>
    <mergeCell ref="D19:F19"/>
    <mergeCell ref="B20:B21"/>
    <mergeCell ref="D20:F20"/>
    <mergeCell ref="D21:F21"/>
    <mergeCell ref="B16:B17"/>
    <mergeCell ref="D16:F16"/>
    <mergeCell ref="D17:F17"/>
    <mergeCell ref="B2:F2"/>
    <mergeCell ref="B13:F13"/>
    <mergeCell ref="B14:B15"/>
    <mergeCell ref="D14:F14"/>
    <mergeCell ref="D15:F15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19050</xdr:colOff>
                    <xdr:row>2</xdr:row>
                    <xdr:rowOff>19050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workbookViewId="0"/>
  </sheetViews>
  <sheetFormatPr defaultRowHeight="12.75"/>
  <cols>
    <col min="1" max="1" width="14" customWidth="1"/>
    <col min="2" max="2" width="11.265625" bestFit="1" customWidth="1"/>
    <col min="3" max="3" width="30.59765625" bestFit="1" customWidth="1"/>
    <col min="4" max="4" width="34.265625" customWidth="1"/>
  </cols>
  <sheetData>
    <row r="1" spans="1:9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5.5" customHeight="1">
      <c r="A2" s="3">
        <v>0</v>
      </c>
      <c r="B2" s="826" t="s">
        <v>60</v>
      </c>
      <c r="C2" s="823"/>
      <c r="D2" s="823"/>
      <c r="E2" s="823"/>
      <c r="F2" s="823"/>
    </row>
    <row r="3" spans="1:9" ht="16.899999999999999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899999999999999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899999999999999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899999999999999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899999999999999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899999999999999">
      <c r="A8" s="2">
        <v>6</v>
      </c>
      <c r="B8" s="7" t="s">
        <v>38</v>
      </c>
      <c r="C8" s="10" t="str">
        <f>'참여기업 정보'!D29</f>
        <v>work@kseta.or.kr</v>
      </c>
      <c r="D8" s="5"/>
      <c r="E8" s="5"/>
      <c r="F8" s="5"/>
    </row>
    <row r="9" spans="1:9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9" ht="18.75">
      <c r="A10" s="2">
        <v>8</v>
      </c>
      <c r="B10" s="13"/>
      <c r="C10" s="14"/>
      <c r="D10" s="14"/>
      <c r="E10" s="14"/>
      <c r="F10" s="14"/>
    </row>
    <row r="11" spans="1:9" ht="18.75">
      <c r="A11" s="2">
        <v>9</v>
      </c>
      <c r="B11" s="830" t="s">
        <v>68</v>
      </c>
      <c r="C11" s="831"/>
      <c r="D11" s="831"/>
      <c r="E11" s="831"/>
      <c r="F11" s="831"/>
    </row>
    <row r="12" spans="1:9" ht="18.75">
      <c r="A12" s="2">
        <v>10</v>
      </c>
      <c r="B12" s="826" t="s">
        <v>69</v>
      </c>
      <c r="C12" s="823"/>
      <c r="D12" s="823"/>
      <c r="E12" s="823"/>
      <c r="F12" s="823"/>
    </row>
    <row r="13" spans="1:9" ht="16.899999999999999">
      <c r="A13" s="2">
        <v>11</v>
      </c>
      <c r="B13" s="822" t="s">
        <v>44</v>
      </c>
      <c r="C13" s="12" t="s">
        <v>70</v>
      </c>
      <c r="D13" s="832" t="e">
        <f>#REF!</f>
        <v>#REF!</v>
      </c>
      <c r="E13" s="823"/>
      <c r="F13" s="823"/>
    </row>
    <row r="14" spans="1:9" ht="16.899999999999999">
      <c r="A14" s="2">
        <v>12</v>
      </c>
      <c r="B14" s="823"/>
      <c r="C14" s="12" t="s">
        <v>71</v>
      </c>
      <c r="D14" s="833"/>
      <c r="E14" s="823"/>
      <c r="F14" s="823"/>
    </row>
    <row r="15" spans="1:9" ht="16.899999999999999">
      <c r="A15" s="2">
        <v>13</v>
      </c>
      <c r="B15" s="823"/>
      <c r="C15" s="12" t="s">
        <v>72</v>
      </c>
      <c r="D15" s="833"/>
      <c r="E15" s="823"/>
      <c r="F15" s="823"/>
    </row>
    <row r="16" spans="1:9" ht="16.899999999999999">
      <c r="A16" s="2">
        <v>14</v>
      </c>
      <c r="B16" s="822" t="s">
        <v>46</v>
      </c>
      <c r="C16" s="12" t="s">
        <v>70</v>
      </c>
      <c r="D16" s="832" t="e">
        <f>#REF!</f>
        <v>#REF!</v>
      </c>
      <c r="E16" s="823"/>
      <c r="F16" s="823"/>
    </row>
    <row r="17" spans="1:6" ht="16.899999999999999">
      <c r="A17" s="2">
        <v>15</v>
      </c>
      <c r="B17" s="823"/>
      <c r="C17" s="12" t="s">
        <v>71</v>
      </c>
      <c r="D17" s="833"/>
      <c r="E17" s="833"/>
      <c r="F17" s="833"/>
    </row>
    <row r="18" spans="1:6" ht="16.899999999999999">
      <c r="A18" s="2">
        <v>16</v>
      </c>
      <c r="B18" s="823"/>
      <c r="C18" s="12" t="s">
        <v>72</v>
      </c>
      <c r="D18" s="833"/>
      <c r="E18" s="833"/>
      <c r="F18" s="833"/>
    </row>
    <row r="19" spans="1:6" ht="16.899999999999999">
      <c r="A19" s="2">
        <v>17</v>
      </c>
      <c r="B19" s="822" t="s">
        <v>48</v>
      </c>
      <c r="C19" s="12" t="s">
        <v>70</v>
      </c>
      <c r="D19" s="832" t="e">
        <f>#REF!</f>
        <v>#REF!</v>
      </c>
      <c r="E19" s="832"/>
      <c r="F19" s="832"/>
    </row>
    <row r="20" spans="1:6" ht="16.899999999999999">
      <c r="A20" s="2">
        <v>18</v>
      </c>
      <c r="B20" s="823"/>
      <c r="C20" s="12" t="s">
        <v>71</v>
      </c>
      <c r="D20" s="833"/>
      <c r="E20" s="833"/>
      <c r="F20" s="833"/>
    </row>
    <row r="21" spans="1:6" ht="16.899999999999999">
      <c r="A21" s="2">
        <v>19</v>
      </c>
      <c r="B21" s="823"/>
      <c r="C21" s="12" t="s">
        <v>72</v>
      </c>
      <c r="D21" s="833"/>
      <c r="E21" s="833"/>
      <c r="F21" s="833"/>
    </row>
    <row r="22" spans="1:6" ht="16.899999999999999">
      <c r="A22" s="2">
        <v>20</v>
      </c>
      <c r="B22" s="822" t="s">
        <v>50</v>
      </c>
      <c r="C22" s="12" t="s">
        <v>70</v>
      </c>
      <c r="D22" s="832" t="e">
        <f>#REF!</f>
        <v>#REF!</v>
      </c>
      <c r="E22" s="832"/>
      <c r="F22" s="832"/>
    </row>
    <row r="23" spans="1:6" ht="16.899999999999999">
      <c r="A23" s="2">
        <v>21</v>
      </c>
      <c r="B23" s="823"/>
      <c r="C23" s="12" t="s">
        <v>71</v>
      </c>
      <c r="D23" s="832"/>
      <c r="E23" s="832"/>
      <c r="F23" s="832"/>
    </row>
    <row r="24" spans="1:6" ht="16.899999999999999">
      <c r="A24" s="2">
        <v>22</v>
      </c>
      <c r="B24" s="823"/>
      <c r="C24" s="12" t="s">
        <v>72</v>
      </c>
      <c r="D24" s="832"/>
      <c r="E24" s="832"/>
      <c r="F24" s="832"/>
    </row>
    <row r="25" spans="1:6" ht="16.899999999999999">
      <c r="A25" s="2">
        <v>23</v>
      </c>
      <c r="B25" s="822" t="s">
        <v>52</v>
      </c>
      <c r="C25" s="12" t="s">
        <v>70</v>
      </c>
      <c r="D25" s="832" t="e">
        <f>#REF!</f>
        <v>#REF!</v>
      </c>
      <c r="E25" s="832"/>
      <c r="F25" s="832"/>
    </row>
    <row r="26" spans="1:6" ht="16.899999999999999">
      <c r="A26" s="2">
        <v>24</v>
      </c>
      <c r="B26" s="823"/>
      <c r="C26" s="12" t="s">
        <v>71</v>
      </c>
      <c r="D26" s="832"/>
      <c r="E26" s="823"/>
      <c r="F26" s="823"/>
    </row>
    <row r="27" spans="1:6" ht="16.899999999999999">
      <c r="A27" s="2">
        <v>25</v>
      </c>
      <c r="B27" s="823"/>
      <c r="C27" s="12" t="s">
        <v>72</v>
      </c>
      <c r="D27" s="832"/>
      <c r="E27" s="823"/>
      <c r="F27" s="823"/>
    </row>
    <row r="28" spans="1:6" ht="16.899999999999999">
      <c r="A28" s="2">
        <v>26</v>
      </c>
      <c r="B28" s="822" t="s">
        <v>54</v>
      </c>
      <c r="C28" s="12" t="s">
        <v>70</v>
      </c>
      <c r="D28" s="832" t="e">
        <f>#REF!</f>
        <v>#REF!</v>
      </c>
      <c r="E28" s="823"/>
      <c r="F28" s="823"/>
    </row>
    <row r="29" spans="1:6" ht="16.899999999999999">
      <c r="A29" s="2">
        <v>27</v>
      </c>
      <c r="B29" s="823"/>
      <c r="C29" s="12" t="s">
        <v>71</v>
      </c>
      <c r="D29" s="833"/>
      <c r="E29" s="823"/>
      <c r="F29" s="823"/>
    </row>
    <row r="30" spans="1:6" ht="16.899999999999999">
      <c r="A30" s="2">
        <v>28</v>
      </c>
      <c r="B30" s="823"/>
      <c r="C30" s="12" t="s">
        <v>72</v>
      </c>
      <c r="D30" s="833"/>
      <c r="E30" s="823"/>
      <c r="F30" s="823"/>
    </row>
    <row r="31" spans="1:6" ht="16.899999999999999">
      <c r="A31" s="2">
        <v>29</v>
      </c>
      <c r="B31" s="822" t="s">
        <v>56</v>
      </c>
      <c r="C31" s="12" t="s">
        <v>70</v>
      </c>
      <c r="D31" s="832" t="e">
        <f>#REF!</f>
        <v>#REF!</v>
      </c>
      <c r="E31" s="823"/>
      <c r="F31" s="823"/>
    </row>
    <row r="32" spans="1:6" ht="16.899999999999999">
      <c r="A32" s="2">
        <v>30</v>
      </c>
      <c r="B32" s="823"/>
      <c r="C32" s="12" t="s">
        <v>71</v>
      </c>
      <c r="D32" s="833"/>
      <c r="E32" s="823"/>
      <c r="F32" s="823"/>
    </row>
    <row r="33" spans="1:6" ht="16.899999999999999">
      <c r="A33" s="2">
        <v>31</v>
      </c>
      <c r="B33" s="823"/>
      <c r="C33" s="12" t="s">
        <v>72</v>
      </c>
      <c r="D33" s="833"/>
      <c r="E33" s="823"/>
      <c r="F33" s="823"/>
    </row>
    <row r="34" spans="1:6" ht="16.899999999999999">
      <c r="A34" s="2">
        <v>32</v>
      </c>
      <c r="B34" s="822" t="s">
        <v>58</v>
      </c>
      <c r="C34" s="12" t="s">
        <v>70</v>
      </c>
      <c r="D34" s="832" t="e">
        <f>#REF!</f>
        <v>#REF!</v>
      </c>
      <c r="E34" s="823"/>
      <c r="F34" s="823"/>
    </row>
    <row r="35" spans="1:6" ht="16.899999999999999">
      <c r="A35" s="2">
        <v>33</v>
      </c>
      <c r="B35" s="823"/>
      <c r="C35" s="12" t="s">
        <v>71</v>
      </c>
      <c r="D35" s="833"/>
      <c r="E35" s="823"/>
      <c r="F35" s="823"/>
    </row>
    <row r="36" spans="1:6" ht="16.899999999999999">
      <c r="A36" s="2">
        <v>34</v>
      </c>
      <c r="B36" s="823"/>
      <c r="C36" s="12" t="s">
        <v>72</v>
      </c>
      <c r="D36" s="833"/>
      <c r="E36" s="823"/>
      <c r="F36" s="823"/>
    </row>
    <row r="37" spans="1:6" ht="16.899999999999999">
      <c r="A37" s="2">
        <v>35</v>
      </c>
    </row>
    <row r="38" spans="1:6" ht="16.899999999999999">
      <c r="A38" s="2">
        <v>36</v>
      </c>
    </row>
    <row r="39" spans="1:6" ht="16.899999999999999">
      <c r="A39" s="2">
        <v>37</v>
      </c>
    </row>
  </sheetData>
  <mergeCells count="35"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  <mergeCell ref="B22:B24"/>
    <mergeCell ref="D22:F22"/>
    <mergeCell ref="D23:F23"/>
    <mergeCell ref="D24:F24"/>
    <mergeCell ref="B25:B27"/>
    <mergeCell ref="D25:F25"/>
    <mergeCell ref="D26:F26"/>
    <mergeCell ref="D27:F27"/>
    <mergeCell ref="B16:B18"/>
    <mergeCell ref="D16:F16"/>
    <mergeCell ref="D17:F17"/>
    <mergeCell ref="D18:F18"/>
    <mergeCell ref="B19:B21"/>
    <mergeCell ref="D19:F19"/>
    <mergeCell ref="D20:F20"/>
    <mergeCell ref="D21:F21"/>
    <mergeCell ref="B2:F2"/>
    <mergeCell ref="B11:F11"/>
    <mergeCell ref="B12:F12"/>
    <mergeCell ref="B13:B15"/>
    <mergeCell ref="D13:F13"/>
    <mergeCell ref="D14:F14"/>
    <mergeCell ref="D15:F15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647700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/>
  </sheetViews>
  <sheetFormatPr defaultRowHeight="12.75"/>
  <cols>
    <col min="1" max="1" width="14" customWidth="1"/>
    <col min="2" max="2" width="16.265625" bestFit="1" customWidth="1"/>
  </cols>
  <sheetData>
    <row r="1" spans="1:7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826" t="s">
        <v>60</v>
      </c>
      <c r="C2" s="823"/>
      <c r="D2" s="823"/>
      <c r="E2" s="823"/>
      <c r="F2" s="823"/>
    </row>
    <row r="3" spans="1:7" ht="16.899999999999999">
      <c r="A3" s="2">
        <v>1</v>
      </c>
      <c r="B3" s="7" t="s">
        <v>43</v>
      </c>
      <c r="C3" s="10" t="str">
        <f>'참여기업 정보'!D4</f>
        <v>㈜노마드</v>
      </c>
      <c r="D3" s="5"/>
      <c r="E3" s="5"/>
      <c r="F3" s="5"/>
    </row>
    <row r="4" spans="1:7" ht="16.899999999999999">
      <c r="A4" s="2">
        <v>2</v>
      </c>
      <c r="B4" s="7" t="s">
        <v>24</v>
      </c>
      <c r="C4" s="10" t="str">
        <f>'참여기업 정보'!D17</f>
        <v>이순신</v>
      </c>
      <c r="D4" s="5"/>
      <c r="E4" s="5"/>
      <c r="F4" s="5"/>
    </row>
    <row r="5" spans="1:7" ht="16.899999999999999">
      <c r="A5" s="2">
        <v>3</v>
      </c>
      <c r="B5" s="7" t="s">
        <v>25</v>
      </c>
      <c r="C5" s="10" t="str">
        <f>'참여기업 정보'!D18</f>
        <v>프로</v>
      </c>
      <c r="D5" s="5"/>
      <c r="E5" s="5"/>
      <c r="F5" s="5"/>
    </row>
    <row r="6" spans="1:7" ht="16.899999999999999">
      <c r="A6" s="2">
        <v>4</v>
      </c>
      <c r="B6" s="7" t="s">
        <v>27</v>
      </c>
      <c r="C6" s="10" t="str">
        <f>'참여기업 정보'!D19</f>
        <v>마케팅팀</v>
      </c>
      <c r="D6" s="5"/>
      <c r="E6" s="5"/>
      <c r="F6" s="5"/>
    </row>
    <row r="7" spans="1:7" ht="16.899999999999999">
      <c r="A7" s="2">
        <v>5</v>
      </c>
      <c r="B7" s="7" t="s">
        <v>29</v>
      </c>
      <c r="C7" s="10" t="str">
        <f>'참여기업 정보'!D20</f>
        <v>010-0000-0000</v>
      </c>
      <c r="D7" s="5"/>
      <c r="E7" s="5"/>
      <c r="F7" s="5"/>
    </row>
    <row r="8" spans="1:7" ht="16.899999999999999">
      <c r="A8" s="2">
        <v>6</v>
      </c>
      <c r="B8" s="7" t="s">
        <v>31</v>
      </c>
      <c r="C8" s="10" t="str">
        <f>'참여기업 정보'!D21</f>
        <v>work@kseta.or.kr</v>
      </c>
      <c r="D8" s="5"/>
      <c r="E8" s="5"/>
      <c r="F8" s="5"/>
    </row>
    <row r="9" spans="1:7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7" ht="18.75">
      <c r="A10" s="2">
        <v>8</v>
      </c>
      <c r="B10" s="7" t="s">
        <v>40</v>
      </c>
      <c r="C10" s="10" t="str">
        <f>'참여기업 정보'!D32</f>
        <v>개발팀</v>
      </c>
      <c r="D10" s="14"/>
      <c r="E10" s="14"/>
      <c r="F10" s="14"/>
    </row>
    <row r="11" spans="1:7" ht="18.75">
      <c r="A11" s="2">
        <v>9</v>
      </c>
      <c r="B11" s="15"/>
      <c r="C11" s="14"/>
      <c r="D11" s="14"/>
      <c r="E11" s="14"/>
      <c r="F11" s="14"/>
    </row>
    <row r="12" spans="1:7" ht="18.75">
      <c r="A12" s="2">
        <v>10</v>
      </c>
      <c r="B12" s="830" t="s">
        <v>73</v>
      </c>
      <c r="C12" s="831"/>
      <c r="D12" s="831"/>
      <c r="E12" s="831"/>
      <c r="F12" s="831"/>
    </row>
    <row r="13" spans="1:7" ht="18.75">
      <c r="A13" s="2">
        <v>11</v>
      </c>
      <c r="B13" s="826" t="s">
        <v>74</v>
      </c>
      <c r="C13" s="823"/>
      <c r="D13" s="823"/>
      <c r="E13" s="823"/>
      <c r="F13" s="823"/>
    </row>
    <row r="14" spans="1:7" ht="16.899999999999999">
      <c r="A14" s="2">
        <v>12</v>
      </c>
      <c r="B14" s="822" t="s">
        <v>75</v>
      </c>
      <c r="C14" s="829"/>
      <c r="D14" s="831"/>
      <c r="E14" s="831"/>
      <c r="F14" s="823"/>
    </row>
    <row r="15" spans="1:7" ht="16.899999999999999">
      <c r="A15" s="2">
        <v>13</v>
      </c>
      <c r="B15" s="823"/>
      <c r="C15" s="831"/>
      <c r="D15" s="831"/>
      <c r="E15" s="831"/>
      <c r="F15" s="823"/>
    </row>
    <row r="16" spans="1:7" ht="16.899999999999999">
      <c r="A16" s="2">
        <v>14</v>
      </c>
      <c r="B16" s="823"/>
      <c r="C16" s="823"/>
      <c r="D16" s="823"/>
      <c r="E16" s="823"/>
      <c r="F16" s="823"/>
    </row>
    <row r="17" spans="1:6" ht="16.899999999999999">
      <c r="A17" s="2">
        <v>15</v>
      </c>
      <c r="B17" s="822" t="s">
        <v>76</v>
      </c>
      <c r="C17" s="829"/>
      <c r="D17" s="831"/>
      <c r="E17" s="831"/>
      <c r="F17" s="823"/>
    </row>
    <row r="18" spans="1:6" ht="16.899999999999999">
      <c r="A18" s="2">
        <v>16</v>
      </c>
      <c r="B18" s="823"/>
      <c r="C18" s="831"/>
      <c r="D18" s="831"/>
      <c r="E18" s="831"/>
      <c r="F18" s="823"/>
    </row>
    <row r="19" spans="1:6" ht="16.899999999999999">
      <c r="A19" s="2">
        <v>17</v>
      </c>
      <c r="B19" s="823"/>
      <c r="C19" s="823"/>
      <c r="D19" s="823"/>
      <c r="E19" s="823"/>
      <c r="F19" s="823"/>
    </row>
    <row r="20" spans="1:6" ht="16.899999999999999">
      <c r="A20" s="2">
        <v>18</v>
      </c>
      <c r="B20" s="822" t="s">
        <v>77</v>
      </c>
      <c r="C20" s="829"/>
      <c r="D20" s="831"/>
      <c r="E20" s="831"/>
      <c r="F20" s="823"/>
    </row>
    <row r="21" spans="1:6" ht="16.899999999999999">
      <c r="A21" s="2">
        <v>19</v>
      </c>
      <c r="B21" s="823"/>
      <c r="C21" s="831"/>
      <c r="D21" s="831"/>
      <c r="E21" s="831"/>
      <c r="F21" s="823"/>
    </row>
    <row r="22" spans="1:6" ht="16.899999999999999">
      <c r="A22" s="2">
        <v>20</v>
      </c>
      <c r="B22" s="823"/>
      <c r="C22" s="823"/>
      <c r="D22" s="823"/>
      <c r="E22" s="823"/>
      <c r="F22" s="823"/>
    </row>
    <row r="23" spans="1:6" ht="16.899999999999999">
      <c r="A23" s="2">
        <v>21</v>
      </c>
    </row>
    <row r="24" spans="1:6" ht="16.899999999999999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/>
  </sheetViews>
  <sheetFormatPr defaultRowHeight="12.75"/>
  <cols>
    <col min="1" max="1" width="14" customWidth="1"/>
    <col min="2" max="2" width="19.59765625" customWidth="1"/>
    <col min="3" max="3" width="29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834" t="s">
        <v>127</v>
      </c>
      <c r="C2" s="835"/>
      <c r="D2" s="50"/>
      <c r="E2" s="51"/>
      <c r="F2" s="52"/>
      <c r="G2" s="35"/>
    </row>
    <row r="3" spans="1:38" ht="16.899999999999999">
      <c r="A3" s="2">
        <v>1</v>
      </c>
      <c r="B3" s="7" t="s">
        <v>80</v>
      </c>
      <c r="C3" s="16" t="s">
        <v>124</v>
      </c>
      <c r="D3" s="22"/>
      <c r="E3" s="20"/>
      <c r="F3" s="19"/>
    </row>
    <row r="4" spans="1:38" ht="16.899999999999999">
      <c r="A4" s="2">
        <v>2</v>
      </c>
      <c r="B4" s="7" t="s">
        <v>81</v>
      </c>
      <c r="C4" s="16" t="s">
        <v>125</v>
      </c>
      <c r="D4" s="22"/>
      <c r="E4" s="43"/>
      <c r="F4" s="24"/>
    </row>
    <row r="5" spans="1:38" ht="16.899999999999999">
      <c r="A5" s="2">
        <v>3</v>
      </c>
      <c r="B5" s="58"/>
      <c r="C5" s="59"/>
      <c r="D5" s="45"/>
      <c r="E5" s="45"/>
      <c r="F5" s="47"/>
    </row>
    <row r="6" spans="1:38" ht="16.899999999999999">
      <c r="A6" s="2">
        <v>4</v>
      </c>
      <c r="B6" s="7" t="s">
        <v>82</v>
      </c>
      <c r="C6" s="10" t="s">
        <v>126</v>
      </c>
      <c r="D6" s="22"/>
      <c r="E6" s="45"/>
      <c r="F6" s="19"/>
    </row>
    <row r="7" spans="1:38" ht="16.899999999999999">
      <c r="A7" s="2">
        <v>5</v>
      </c>
      <c r="B7" s="63"/>
      <c r="C7" s="64"/>
      <c r="D7" s="19"/>
      <c r="E7" s="20"/>
      <c r="F7" s="19"/>
    </row>
    <row r="8" spans="1:38" ht="16.899999999999999">
      <c r="A8" s="60">
        <v>6</v>
      </c>
      <c r="B8" s="65"/>
      <c r="C8" s="61"/>
      <c r="D8" s="44"/>
      <c r="E8" s="43"/>
      <c r="F8" s="24"/>
    </row>
    <row r="9" spans="1:38" ht="16.899999999999999">
      <c r="A9" s="2">
        <v>7</v>
      </c>
      <c r="B9" s="66"/>
      <c r="C9" s="61"/>
      <c r="D9" s="46"/>
      <c r="E9" s="17"/>
      <c r="F9" s="19"/>
    </row>
    <row r="10" spans="1:38" ht="18.75">
      <c r="A10" s="60">
        <v>8</v>
      </c>
      <c r="B10" s="65"/>
      <c r="C10" s="62"/>
      <c r="D10" s="49"/>
      <c r="E10" s="49"/>
      <c r="F10" s="48"/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1</xdr:row>
                    <xdr:rowOff>285750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/>
  </sheetViews>
  <sheetFormatPr defaultRowHeight="12.75"/>
  <cols>
    <col min="1" max="1" width="14" customWidth="1"/>
    <col min="2" max="2" width="29" customWidth="1"/>
    <col min="3" max="3" width="26.73046875" customWidth="1"/>
    <col min="4" max="4" width="19.265625" bestFit="1" customWidth="1"/>
    <col min="5" max="5" width="8.2656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2.5">
      <c r="A2" s="3">
        <v>0</v>
      </c>
      <c r="B2" s="836" t="s">
        <v>0</v>
      </c>
      <c r="C2" s="837"/>
      <c r="D2" s="837"/>
      <c r="E2" s="107"/>
    </row>
    <row r="3" spans="1:38" ht="17.649999999999999">
      <c r="A3" s="2">
        <v>1</v>
      </c>
      <c r="B3" s="108" t="s">
        <v>1</v>
      </c>
      <c r="C3" s="109" t="s">
        <v>130</v>
      </c>
      <c r="D3" s="110"/>
      <c r="E3" s="22"/>
    </row>
    <row r="4" spans="1:38" ht="17.649999999999999">
      <c r="A4" s="2">
        <v>2</v>
      </c>
      <c r="B4" s="108" t="s">
        <v>2</v>
      </c>
      <c r="C4" s="109" t="s">
        <v>3</v>
      </c>
      <c r="D4" s="110"/>
      <c r="E4" s="22"/>
    </row>
    <row r="5" spans="1:38" ht="17.649999999999999">
      <c r="A5" s="2">
        <v>3</v>
      </c>
      <c r="B5" s="108" t="s">
        <v>4</v>
      </c>
      <c r="C5" s="109" t="s">
        <v>5</v>
      </c>
      <c r="D5" s="110"/>
      <c r="E5" s="22"/>
    </row>
    <row r="6" spans="1:38" ht="17.649999999999999">
      <c r="A6" s="2">
        <v>4</v>
      </c>
      <c r="B6" s="108" t="s">
        <v>6</v>
      </c>
      <c r="C6" s="109" t="s">
        <v>7</v>
      </c>
      <c r="D6" s="110"/>
      <c r="E6" s="22"/>
    </row>
    <row r="7" spans="1:38" ht="17.649999999999999">
      <c r="A7" s="2">
        <v>5</v>
      </c>
      <c r="B7" s="108" t="s">
        <v>8</v>
      </c>
      <c r="C7" s="109" t="s">
        <v>9</v>
      </c>
      <c r="D7" s="110"/>
      <c r="E7" s="22"/>
    </row>
    <row r="8" spans="1:38" ht="17.649999999999999">
      <c r="A8" s="2">
        <v>6</v>
      </c>
      <c r="B8" s="108" t="s">
        <v>10</v>
      </c>
      <c r="C8" s="109" t="s">
        <v>11</v>
      </c>
      <c r="D8" s="110"/>
      <c r="E8" s="22"/>
    </row>
    <row r="9" spans="1:38" ht="17.649999999999999">
      <c r="A9" s="2">
        <v>7</v>
      </c>
      <c r="B9" s="108" t="s">
        <v>131</v>
      </c>
      <c r="C9" s="109" t="s">
        <v>132</v>
      </c>
      <c r="D9" s="110"/>
      <c r="E9" s="22"/>
    </row>
    <row r="10" spans="1:38" ht="17.649999999999999">
      <c r="A10" s="2">
        <v>8</v>
      </c>
      <c r="B10" s="108" t="s">
        <v>133</v>
      </c>
      <c r="C10" s="109" t="s">
        <v>134</v>
      </c>
      <c r="D10" s="110"/>
      <c r="E10" s="22"/>
    </row>
    <row r="11" spans="1:38" ht="17.649999999999999">
      <c r="A11" s="2">
        <v>9</v>
      </c>
      <c r="B11" s="108" t="s">
        <v>12</v>
      </c>
      <c r="C11" s="109" t="s">
        <v>13</v>
      </c>
      <c r="D11" s="111" t="s">
        <v>14</v>
      </c>
      <c r="E11" s="22"/>
    </row>
    <row r="12" spans="1:38" ht="17.649999999999999">
      <c r="A12" s="2">
        <v>10</v>
      </c>
      <c r="B12" s="108" t="s">
        <v>15</v>
      </c>
      <c r="C12" s="109" t="s">
        <v>16</v>
      </c>
      <c r="D12" s="110"/>
      <c r="E12" s="22"/>
    </row>
    <row r="13" spans="1:38" ht="17.649999999999999">
      <c r="A13" s="2">
        <v>11</v>
      </c>
      <c r="B13" s="112"/>
      <c r="C13" s="113"/>
      <c r="D13" s="114"/>
      <c r="E13" s="19"/>
    </row>
    <row r="14" spans="1:38" ht="17.649999999999999">
      <c r="A14" s="2">
        <v>12</v>
      </c>
      <c r="B14" s="108" t="s">
        <v>17</v>
      </c>
      <c r="C14" s="109" t="s">
        <v>18</v>
      </c>
      <c r="D14" s="110"/>
      <c r="E14" s="22"/>
    </row>
    <row r="15" spans="1:38" ht="17.649999999999999">
      <c r="A15" s="2">
        <v>13</v>
      </c>
      <c r="B15" s="108" t="s">
        <v>19</v>
      </c>
      <c r="C15" s="109" t="s">
        <v>3</v>
      </c>
      <c r="D15" s="110"/>
      <c r="E15" s="22"/>
    </row>
    <row r="16" spans="1:38" ht="17.649999999999999">
      <c r="A16" s="2">
        <v>14</v>
      </c>
      <c r="B16" s="108" t="s">
        <v>135</v>
      </c>
      <c r="C16" s="109" t="s">
        <v>129</v>
      </c>
      <c r="D16" s="110"/>
      <c r="E16" s="105"/>
    </row>
    <row r="17" spans="1:6" ht="17.649999999999999">
      <c r="A17" s="2">
        <v>15</v>
      </c>
      <c r="B17" s="108" t="s">
        <v>20</v>
      </c>
      <c r="C17" s="109" t="s">
        <v>21</v>
      </c>
      <c r="D17" s="110"/>
      <c r="E17" s="105"/>
    </row>
    <row r="18" spans="1:6" ht="17.649999999999999">
      <c r="A18" s="2">
        <v>16</v>
      </c>
      <c r="B18" s="115"/>
      <c r="C18" s="116"/>
      <c r="D18" s="117"/>
      <c r="E18" s="19"/>
    </row>
    <row r="19" spans="1:6" ht="17.649999999999999">
      <c r="A19" s="2">
        <v>17</v>
      </c>
      <c r="B19" s="108" t="s">
        <v>136</v>
      </c>
      <c r="C19" s="118">
        <v>45455</v>
      </c>
      <c r="D19" s="110"/>
      <c r="E19" s="105"/>
    </row>
    <row r="20" spans="1:6" ht="17.649999999999999">
      <c r="A20" s="2">
        <v>18</v>
      </c>
      <c r="B20" s="104"/>
      <c r="C20" s="102"/>
      <c r="D20" s="103"/>
      <c r="E20" s="24"/>
    </row>
    <row r="21" spans="1:6" ht="17.649999999999999">
      <c r="A21" s="2">
        <v>19</v>
      </c>
      <c r="B21" s="76" t="s">
        <v>597</v>
      </c>
      <c r="C21" s="79">
        <f>'참여기업 정보'!D34</f>
        <v>0</v>
      </c>
      <c r="D21" s="77"/>
      <c r="E21" s="75"/>
      <c r="F21" s="18"/>
    </row>
    <row r="22" spans="1:6" ht="17.649999999999999">
      <c r="A22" s="2">
        <v>20</v>
      </c>
      <c r="B22" s="101" t="s">
        <v>598</v>
      </c>
      <c r="C22" s="79"/>
      <c r="D22" s="77"/>
      <c r="E22" s="77"/>
    </row>
    <row r="23" spans="1:6" ht="17.649999999999999">
      <c r="A23" s="2">
        <v>21</v>
      </c>
      <c r="B23" s="69"/>
      <c r="C23" s="80"/>
      <c r="D23" s="70"/>
      <c r="E23" s="70"/>
    </row>
    <row r="24" spans="1:6" ht="17.649999999999999">
      <c r="A24" s="60">
        <v>22</v>
      </c>
      <c r="B24" s="106"/>
      <c r="C24" s="79"/>
      <c r="D24" s="77"/>
      <c r="E24" s="77"/>
    </row>
    <row r="25" spans="1:6" ht="17.649999999999999">
      <c r="A25" s="2">
        <v>23</v>
      </c>
      <c r="B25" s="69"/>
      <c r="C25" s="81"/>
      <c r="D25" s="70"/>
      <c r="E25" s="70"/>
    </row>
    <row r="26" spans="1:6" ht="17.649999999999999">
      <c r="A26" s="60">
        <v>24</v>
      </c>
      <c r="B26" s="106"/>
      <c r="C26" s="79"/>
      <c r="D26" s="77"/>
      <c r="E26" s="77"/>
      <c r="F26" s="100"/>
    </row>
    <row r="27" spans="1:6" ht="17.649999999999999">
      <c r="A27" s="2">
        <v>25</v>
      </c>
      <c r="B27" s="95"/>
      <c r="C27" s="99"/>
      <c r="D27" s="71"/>
      <c r="E27" s="71"/>
    </row>
    <row r="28" spans="1:6" ht="17.649999999999999">
      <c r="A28" s="2">
        <v>26</v>
      </c>
      <c r="B28" s="91"/>
      <c r="C28" s="92"/>
      <c r="D28" s="77"/>
      <c r="E28" s="77"/>
    </row>
    <row r="29" spans="1:6" ht="17.649999999999999">
      <c r="A29" s="60">
        <v>27</v>
      </c>
      <c r="B29" s="106"/>
      <c r="C29" s="92"/>
      <c r="D29" s="77"/>
      <c r="E29" s="77"/>
    </row>
    <row r="30" spans="1:6" ht="17.649999999999999">
      <c r="A30" s="2">
        <v>28</v>
      </c>
      <c r="B30" s="91"/>
      <c r="C30" s="92"/>
      <c r="D30" s="77"/>
      <c r="E30" s="93"/>
    </row>
    <row r="31" spans="1:6" ht="17.649999999999999">
      <c r="A31" s="2">
        <v>29</v>
      </c>
      <c r="B31" s="69"/>
      <c r="C31" s="81"/>
      <c r="D31" s="70"/>
      <c r="E31" s="73"/>
    </row>
    <row r="32" spans="1:6" ht="17.649999999999999">
      <c r="A32" s="2">
        <v>30</v>
      </c>
      <c r="B32" s="91"/>
      <c r="C32" s="79"/>
      <c r="D32" s="77"/>
      <c r="E32" s="72"/>
    </row>
    <row r="33" spans="1:5" ht="17.649999999999999">
      <c r="A33" s="2">
        <v>31</v>
      </c>
      <c r="B33" s="69"/>
      <c r="C33" s="81"/>
      <c r="D33" s="70"/>
      <c r="E33" s="72"/>
    </row>
    <row r="34" spans="1:5" ht="17.649999999999999">
      <c r="A34" s="2">
        <v>32</v>
      </c>
      <c r="B34" s="91"/>
      <c r="C34" s="79"/>
      <c r="D34" s="77"/>
      <c r="E34" s="93"/>
    </row>
    <row r="35" spans="1:5" ht="17.649999999999999">
      <c r="A35" s="2">
        <v>33</v>
      </c>
      <c r="B35" s="69"/>
      <c r="C35" s="82"/>
      <c r="D35" s="70"/>
      <c r="E35" s="73"/>
    </row>
    <row r="36" spans="1:5" ht="17.649999999999999">
      <c r="A36" s="2">
        <v>34</v>
      </c>
      <c r="B36" s="91"/>
      <c r="C36" s="79"/>
      <c r="D36" s="77"/>
      <c r="E36" s="93"/>
    </row>
    <row r="37" spans="1:5" ht="17.649999999999999">
      <c r="A37" s="96">
        <v>35</v>
      </c>
      <c r="B37" s="69"/>
      <c r="C37" s="81"/>
      <c r="D37" s="70"/>
      <c r="E37" s="73"/>
    </row>
    <row r="38" spans="1:5" ht="17.649999999999999">
      <c r="A38" s="97">
        <v>36</v>
      </c>
      <c r="B38" s="76"/>
      <c r="C38" s="85"/>
      <c r="D38" s="86"/>
      <c r="E38" s="94"/>
    </row>
    <row r="39" spans="1:5" ht="17.649999999999999">
      <c r="A39" s="98">
        <v>37</v>
      </c>
      <c r="B39" s="91"/>
      <c r="C39" s="89"/>
      <c r="D39" s="90"/>
      <c r="E39" s="83"/>
    </row>
    <row r="40" spans="1:5" ht="17.649999999999999">
      <c r="A40" s="98">
        <v>38</v>
      </c>
      <c r="B40" s="95"/>
      <c r="C40" s="87"/>
      <c r="D40" s="74"/>
      <c r="E40" s="88"/>
    </row>
    <row r="41" spans="1:5" ht="16.899999999999999">
      <c r="A41" s="2">
        <v>39</v>
      </c>
      <c r="C41" s="21"/>
      <c r="D41" s="78"/>
      <c r="E41" s="84"/>
    </row>
    <row r="42" spans="1:5" ht="16.899999999999999">
      <c r="A42" s="2">
        <v>40</v>
      </c>
    </row>
    <row r="43" spans="1:5" ht="16.899999999999999">
      <c r="A43" s="2">
        <v>41</v>
      </c>
    </row>
    <row r="44" spans="1:5" ht="16.899999999999999">
      <c r="A44" s="2">
        <v>42</v>
      </c>
    </row>
    <row r="45" spans="1:5" ht="16.899999999999999">
      <c r="A45" s="2">
        <v>43</v>
      </c>
    </row>
    <row r="46" spans="1:5" ht="16.899999999999999">
      <c r="A46" s="2">
        <v>44</v>
      </c>
    </row>
    <row r="47" spans="1:5" ht="16.899999999999999">
      <c r="A47" s="2">
        <v>45</v>
      </c>
    </row>
    <row r="48" spans="1:5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  <row r="65" spans="1:1" ht="16.899999999999999">
      <c r="A65" s="2">
        <v>63</v>
      </c>
    </row>
    <row r="66" spans="1:1" ht="16.899999999999999">
      <c r="A66" s="2">
        <v>64</v>
      </c>
    </row>
  </sheetData>
  <mergeCells count="1">
    <mergeCell ref="B2:D2"/>
  </mergeCells>
  <phoneticPr fontId="16" type="noConversion"/>
  <dataValidations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285750</xdr:rowOff>
                  </from>
                  <to>
                    <xdr:col>8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/>
  </sheetViews>
  <sheetFormatPr defaultRowHeight="12.75"/>
  <cols>
    <col min="1" max="1" width="14" customWidth="1"/>
    <col min="2" max="2" width="31.86328125" customWidth="1"/>
    <col min="3" max="3" width="49.73046875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834" t="s">
        <v>137</v>
      </c>
      <c r="C2" s="835"/>
    </row>
    <row r="3" spans="1:38" ht="19.5">
      <c r="A3" s="2">
        <v>1</v>
      </c>
      <c r="B3" s="7" t="s">
        <v>140</v>
      </c>
      <c r="C3" s="151" t="s">
        <v>292</v>
      </c>
    </row>
    <row r="4" spans="1:38" ht="16.899999999999999">
      <c r="A4" s="2">
        <v>2</v>
      </c>
      <c r="B4" s="7" t="s">
        <v>84</v>
      </c>
      <c r="C4" s="10" t="s">
        <v>138</v>
      </c>
    </row>
    <row r="5" spans="1:38" ht="16.899999999999999">
      <c r="A5" s="2">
        <v>3</v>
      </c>
      <c r="B5" s="7" t="s">
        <v>85</v>
      </c>
      <c r="C5" s="10" t="s">
        <v>110</v>
      </c>
    </row>
    <row r="6" spans="1:38" ht="16.899999999999999">
      <c r="A6" s="2">
        <v>4</v>
      </c>
      <c r="B6" s="7" t="s">
        <v>141</v>
      </c>
      <c r="C6" s="10" t="s">
        <v>142</v>
      </c>
    </row>
    <row r="7" spans="1:38" ht="16.899999999999999">
      <c r="A7" s="2">
        <v>5</v>
      </c>
      <c r="B7" s="7" t="s">
        <v>143</v>
      </c>
      <c r="C7" s="10" t="s">
        <v>144</v>
      </c>
    </row>
    <row r="8" spans="1:38" ht="16.899999999999999">
      <c r="A8" s="2">
        <v>6</v>
      </c>
      <c r="B8" s="7" t="s">
        <v>93</v>
      </c>
      <c r="C8" s="10" t="s">
        <v>145</v>
      </c>
    </row>
    <row r="9" spans="1:38" ht="16.899999999999999">
      <c r="A9" s="2">
        <v>7</v>
      </c>
      <c r="B9" s="7" t="s">
        <v>92</v>
      </c>
      <c r="C9" s="10" t="s">
        <v>146</v>
      </c>
    </row>
    <row r="10" spans="1:38" ht="16.899999999999999">
      <c r="A10" s="2">
        <v>8</v>
      </c>
      <c r="B10" s="7" t="s">
        <v>147</v>
      </c>
      <c r="C10" s="10" t="s">
        <v>139</v>
      </c>
    </row>
    <row r="11" spans="1:38" ht="16.899999999999999">
      <c r="A11" s="2">
        <v>9</v>
      </c>
      <c r="B11" s="25"/>
      <c r="C11" s="67"/>
      <c r="D11" s="18"/>
    </row>
    <row r="12" spans="1:38" ht="16.899999999999999">
      <c r="A12" s="2">
        <v>10</v>
      </c>
      <c r="B12" s="7" t="s">
        <v>148</v>
      </c>
      <c r="C12" s="10" t="s">
        <v>149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/>
  </sheetViews>
  <sheetFormatPr defaultRowHeight="12.75"/>
  <cols>
    <col min="1" max="1" width="14" customWidth="1"/>
    <col min="2" max="2" width="25.59765625" bestFit="1" customWidth="1"/>
    <col min="3" max="3" width="44.1328125" customWidth="1"/>
    <col min="4" max="4" width="6.265625" bestFit="1" customWidth="1"/>
    <col min="5" max="5" width="13.3984375" bestFit="1" customWidth="1"/>
    <col min="6" max="6" width="21.863281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838" t="s">
        <v>295</v>
      </c>
      <c r="C2" s="839"/>
      <c r="E2" s="840" t="s">
        <v>194</v>
      </c>
      <c r="F2" s="835"/>
    </row>
    <row r="3" spans="1:38" ht="19.5">
      <c r="A3" s="2">
        <v>1</v>
      </c>
      <c r="B3" s="154" t="s">
        <v>262</v>
      </c>
      <c r="C3" s="10" t="s">
        <v>160</v>
      </c>
    </row>
    <row r="4" spans="1:38" ht="19.5">
      <c r="A4" s="2">
        <v>2</v>
      </c>
      <c r="B4" s="146" t="s">
        <v>263</v>
      </c>
      <c r="C4" s="10" t="s">
        <v>162</v>
      </c>
    </row>
    <row r="5" spans="1:38" ht="19.5">
      <c r="A5" s="2">
        <v>3</v>
      </c>
      <c r="B5" s="146" t="s">
        <v>264</v>
      </c>
      <c r="C5" s="10" t="s">
        <v>163</v>
      </c>
    </row>
    <row r="6" spans="1:38" ht="19.5">
      <c r="A6" s="2">
        <v>4</v>
      </c>
      <c r="B6" s="146" t="s">
        <v>260</v>
      </c>
      <c r="C6" s="10" t="s">
        <v>164</v>
      </c>
    </row>
    <row r="7" spans="1:38" ht="19.5">
      <c r="A7" s="2">
        <v>5</v>
      </c>
      <c r="B7" s="146" t="s">
        <v>265</v>
      </c>
      <c r="C7" s="10" t="s">
        <v>165</v>
      </c>
    </row>
    <row r="8" spans="1:38" ht="19.5">
      <c r="A8" s="2">
        <v>6</v>
      </c>
      <c r="B8" s="146" t="s">
        <v>263</v>
      </c>
      <c r="C8" s="10" t="s">
        <v>161</v>
      </c>
    </row>
    <row r="9" spans="1:38" ht="19.5">
      <c r="A9" s="2">
        <v>7</v>
      </c>
      <c r="B9" s="146" t="s">
        <v>266</v>
      </c>
      <c r="C9" s="10" t="s">
        <v>166</v>
      </c>
    </row>
    <row r="10" spans="1:38" ht="19.5">
      <c r="A10" s="2">
        <v>8</v>
      </c>
      <c r="B10" s="146" t="s">
        <v>268</v>
      </c>
      <c r="C10" s="10" t="s">
        <v>155</v>
      </c>
      <c r="E10" s="140"/>
    </row>
    <row r="11" spans="1:38" ht="19.5">
      <c r="A11" s="2">
        <v>9</v>
      </c>
      <c r="B11" s="154" t="s">
        <v>267</v>
      </c>
      <c r="C11" s="10" t="s">
        <v>112</v>
      </c>
    </row>
    <row r="12" spans="1:38" ht="19.5">
      <c r="A12" s="2">
        <v>10</v>
      </c>
      <c r="B12" s="146" t="s">
        <v>260</v>
      </c>
      <c r="C12" s="10" t="s">
        <v>261</v>
      </c>
    </row>
    <row r="13" spans="1:38" ht="19.5">
      <c r="A13" s="2">
        <v>11</v>
      </c>
      <c r="B13" s="146" t="s">
        <v>247</v>
      </c>
      <c r="C13" s="123">
        <v>45518</v>
      </c>
    </row>
    <row r="14" spans="1:38" ht="16.899999999999999">
      <c r="A14" s="2">
        <v>12</v>
      </c>
      <c r="D14" s="18"/>
    </row>
    <row r="15" spans="1:38" ht="16.899999999999999">
      <c r="A15" s="2">
        <v>13</v>
      </c>
      <c r="B15" s="7" t="s">
        <v>156</v>
      </c>
      <c r="C15" s="7" t="s">
        <v>157</v>
      </c>
      <c r="D15" s="7" t="s">
        <v>158</v>
      </c>
      <c r="E15" s="7" t="s">
        <v>159</v>
      </c>
      <c r="F15" s="7" t="s">
        <v>271</v>
      </c>
    </row>
    <row r="16" spans="1:38" ht="16.899999999999999">
      <c r="A16" s="2">
        <v>14</v>
      </c>
      <c r="B16" s="58" t="s">
        <v>272</v>
      </c>
      <c r="C16" s="58">
        <v>501111</v>
      </c>
      <c r="D16" s="58" t="s">
        <v>269</v>
      </c>
      <c r="E16" s="58" t="s">
        <v>105</v>
      </c>
      <c r="F16" s="58" t="s">
        <v>273</v>
      </c>
    </row>
    <row r="17" spans="1:7" ht="16.899999999999999">
      <c r="A17" s="2">
        <v>15</v>
      </c>
      <c r="B17" s="58" t="s">
        <v>274</v>
      </c>
      <c r="C17" s="58">
        <v>111111</v>
      </c>
      <c r="D17" s="58" t="s">
        <v>275</v>
      </c>
      <c r="E17" s="58" t="s">
        <v>270</v>
      </c>
      <c r="F17" s="58" t="s">
        <v>276</v>
      </c>
    </row>
    <row r="18" spans="1:7" ht="16.899999999999999">
      <c r="A18" s="2">
        <v>16</v>
      </c>
    </row>
    <row r="19" spans="1:7" ht="16.899999999999999">
      <c r="A19" s="2">
        <v>17</v>
      </c>
    </row>
    <row r="20" spans="1:7" ht="16.899999999999999">
      <c r="A20" s="2">
        <v>18</v>
      </c>
    </row>
    <row r="21" spans="1:7" ht="16.899999999999999">
      <c r="A21" s="2">
        <v>19</v>
      </c>
    </row>
    <row r="22" spans="1:7" ht="16.899999999999999">
      <c r="A22" s="2">
        <v>20</v>
      </c>
    </row>
    <row r="23" spans="1:7" ht="16.899999999999999">
      <c r="A23" s="2">
        <v>21</v>
      </c>
      <c r="G23" s="58"/>
    </row>
    <row r="24" spans="1:7" ht="16.899999999999999">
      <c r="A24" s="2">
        <v>22</v>
      </c>
    </row>
    <row r="25" spans="1:7" ht="16.899999999999999">
      <c r="A25" s="2">
        <v>23</v>
      </c>
      <c r="B25" s="58"/>
    </row>
    <row r="26" spans="1:7" ht="16.899999999999999">
      <c r="A26" s="2">
        <v>24</v>
      </c>
      <c r="B26" s="58"/>
    </row>
    <row r="27" spans="1:7" ht="16.899999999999999">
      <c r="A27" s="2">
        <v>25</v>
      </c>
      <c r="B27" s="58"/>
    </row>
    <row r="28" spans="1:7" ht="16.899999999999999">
      <c r="A28" s="2">
        <v>26</v>
      </c>
      <c r="B28" s="58"/>
    </row>
    <row r="29" spans="1:7" ht="16.899999999999999">
      <c r="A29" s="2">
        <v>27</v>
      </c>
      <c r="B29" s="58"/>
    </row>
    <row r="30" spans="1:7" ht="16.899999999999999">
      <c r="A30" s="2">
        <v>28</v>
      </c>
      <c r="B30" s="58"/>
    </row>
    <row r="31" spans="1:7" ht="16.899999999999999">
      <c r="A31" s="2">
        <v>29</v>
      </c>
      <c r="B31" s="58"/>
    </row>
    <row r="32" spans="1:7" ht="16.899999999999999">
      <c r="A32" s="2">
        <v>30</v>
      </c>
      <c r="B32" s="58"/>
    </row>
    <row r="33" spans="1:2" ht="16.899999999999999">
      <c r="A33" s="2">
        <v>31</v>
      </c>
      <c r="B33" s="58"/>
    </row>
    <row r="34" spans="1:2" ht="16.899999999999999">
      <c r="A34" s="2">
        <v>32</v>
      </c>
      <c r="B34" s="58"/>
    </row>
    <row r="35" spans="1:2" ht="16.899999999999999">
      <c r="A35" s="2">
        <v>33</v>
      </c>
      <c r="B35" s="58"/>
    </row>
    <row r="36" spans="1:2" ht="16.899999999999999">
      <c r="A36" s="2">
        <v>34</v>
      </c>
      <c r="B36" s="58"/>
    </row>
    <row r="37" spans="1:2" ht="16.899999999999999">
      <c r="A37" s="2">
        <v>35</v>
      </c>
      <c r="B37" s="58"/>
    </row>
    <row r="38" spans="1:2" ht="16.899999999999999">
      <c r="A38" s="2">
        <v>36</v>
      </c>
      <c r="B38" s="58"/>
    </row>
    <row r="39" spans="1:2" ht="16.899999999999999">
      <c r="A39" s="2">
        <v>37</v>
      </c>
      <c r="B39" s="58"/>
    </row>
    <row r="40" spans="1:2" ht="16.899999999999999">
      <c r="A40" s="2">
        <v>38</v>
      </c>
      <c r="B40" s="58"/>
    </row>
    <row r="41" spans="1:2" ht="16.899999999999999">
      <c r="A41" s="2">
        <v>39</v>
      </c>
      <c r="B41" s="58"/>
    </row>
    <row r="42" spans="1:2" ht="16.899999999999999">
      <c r="A42" s="2">
        <v>40</v>
      </c>
      <c r="B42" s="58"/>
    </row>
    <row r="43" spans="1:2" ht="16.899999999999999">
      <c r="A43" s="2">
        <v>41</v>
      </c>
      <c r="B43" s="58"/>
    </row>
    <row r="44" spans="1:2" ht="16.899999999999999">
      <c r="A44" s="2">
        <v>42</v>
      </c>
      <c r="B44" s="58"/>
    </row>
    <row r="45" spans="1:2" ht="16.899999999999999">
      <c r="A45" s="2">
        <v>43</v>
      </c>
      <c r="B45" s="58"/>
    </row>
    <row r="46" spans="1:2" ht="16.899999999999999">
      <c r="A46" s="2">
        <v>44</v>
      </c>
      <c r="B46" s="58"/>
    </row>
    <row r="47" spans="1:2" ht="16.899999999999999">
      <c r="A47" s="2">
        <v>45</v>
      </c>
      <c r="B47" s="58"/>
    </row>
    <row r="48" spans="1:2" ht="16.899999999999999">
      <c r="A48" s="2">
        <v>46</v>
      </c>
      <c r="B48" s="58"/>
    </row>
    <row r="49" spans="1:2" ht="16.899999999999999">
      <c r="A49" s="2">
        <v>47</v>
      </c>
      <c r="B49" s="58"/>
    </row>
    <row r="50" spans="1:2" ht="16.899999999999999">
      <c r="A50" s="2">
        <v>48</v>
      </c>
      <c r="B50" s="58"/>
    </row>
    <row r="51" spans="1:2" ht="16.899999999999999">
      <c r="A51" s="2">
        <v>49</v>
      </c>
      <c r="B51" s="58"/>
    </row>
    <row r="52" spans="1:2" ht="16.899999999999999">
      <c r="A52" s="2">
        <v>50</v>
      </c>
      <c r="B52" s="58"/>
    </row>
    <row r="53" spans="1:2" ht="16.899999999999999">
      <c r="A53" s="2">
        <v>51</v>
      </c>
      <c r="B53" s="58"/>
    </row>
    <row r="54" spans="1:2" ht="16.899999999999999">
      <c r="A54" s="2">
        <v>52</v>
      </c>
      <c r="B54" s="58"/>
    </row>
    <row r="55" spans="1:2" ht="16.899999999999999">
      <c r="A55" s="2">
        <v>53</v>
      </c>
      <c r="B55" s="58"/>
    </row>
    <row r="56" spans="1:2" ht="16.899999999999999">
      <c r="A56" s="2">
        <v>54</v>
      </c>
      <c r="B56" s="58"/>
    </row>
    <row r="57" spans="1:2" ht="16.899999999999999">
      <c r="A57" s="2">
        <v>55</v>
      </c>
      <c r="B57" s="58"/>
    </row>
    <row r="58" spans="1:2" ht="16.899999999999999">
      <c r="A58" s="2">
        <v>56</v>
      </c>
      <c r="B58" s="58"/>
    </row>
    <row r="59" spans="1:2" ht="16.899999999999999">
      <c r="A59" s="2">
        <v>57</v>
      </c>
      <c r="B59" s="58"/>
    </row>
    <row r="60" spans="1:2" ht="16.899999999999999">
      <c r="A60" s="2">
        <v>58</v>
      </c>
      <c r="B60" s="58"/>
    </row>
    <row r="61" spans="1:2" ht="16.899999999999999">
      <c r="A61" s="2">
        <v>59</v>
      </c>
      <c r="B61" s="58"/>
    </row>
    <row r="62" spans="1:2" ht="16.899999999999999">
      <c r="A62" s="2">
        <v>60</v>
      </c>
      <c r="B62" s="58"/>
    </row>
    <row r="63" spans="1:2" ht="16.899999999999999">
      <c r="A63" s="2">
        <v>61</v>
      </c>
      <c r="B63" s="58"/>
    </row>
  </sheetData>
  <mergeCells count="2">
    <mergeCell ref="B2:C2"/>
    <mergeCell ref="E2:F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7</xdr:col>
                    <xdr:colOff>647700</xdr:colOff>
                    <xdr:row>2</xdr:row>
                    <xdr:rowOff>0</xdr:rowOff>
                  </from>
                  <to>
                    <xdr:col>11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840" t="s">
        <v>228</v>
      </c>
      <c r="C2" s="835"/>
    </row>
    <row r="3" spans="1:38" ht="16.5">
      <c r="A3" s="144">
        <v>1</v>
      </c>
      <c r="B3" s="7" t="s">
        <v>227</v>
      </c>
      <c r="C3" s="10" t="s">
        <v>201</v>
      </c>
    </row>
    <row r="4" spans="1:38" ht="16.5">
      <c r="A4" s="144">
        <v>2</v>
      </c>
      <c r="B4" s="7" t="s">
        <v>85</v>
      </c>
      <c r="C4" s="10" t="s">
        <v>110</v>
      </c>
    </row>
    <row r="5" spans="1:38" ht="16.5">
      <c r="A5" s="144">
        <v>3</v>
      </c>
      <c r="B5" s="7" t="s">
        <v>202</v>
      </c>
      <c r="C5" s="10" t="s">
        <v>203</v>
      </c>
    </row>
    <row r="6" spans="1:38" ht="16.5">
      <c r="A6" s="144">
        <v>4</v>
      </c>
      <c r="B6" s="7" t="s">
        <v>204</v>
      </c>
      <c r="C6" s="10" t="s">
        <v>205</v>
      </c>
    </row>
    <row r="7" spans="1:38" ht="16.5">
      <c r="A7" s="144">
        <v>5</v>
      </c>
      <c r="B7" s="7" t="s">
        <v>206</v>
      </c>
      <c r="C7" s="10" t="s">
        <v>164</v>
      </c>
    </row>
    <row r="8" spans="1:38" ht="16.5">
      <c r="A8" s="144">
        <v>6</v>
      </c>
      <c r="B8" s="7" t="s">
        <v>207</v>
      </c>
      <c r="C8" s="10" t="s">
        <v>208</v>
      </c>
    </row>
    <row r="9" spans="1:38" ht="16.5">
      <c r="A9" s="144">
        <v>7</v>
      </c>
      <c r="B9" s="7" t="s">
        <v>209</v>
      </c>
      <c r="C9" s="10" t="s">
        <v>210</v>
      </c>
    </row>
    <row r="10" spans="1:38" ht="16.5">
      <c r="A10" s="144">
        <v>8</v>
      </c>
      <c r="B10" s="7" t="s">
        <v>211</v>
      </c>
      <c r="C10" s="10" t="s">
        <v>195</v>
      </c>
    </row>
    <row r="11" spans="1:38" ht="16.5">
      <c r="A11" s="144">
        <v>9</v>
      </c>
      <c r="B11" s="7" t="s">
        <v>212</v>
      </c>
      <c r="C11" s="145" t="s">
        <v>196</v>
      </c>
    </row>
    <row r="12" spans="1:38" ht="13.5">
      <c r="A12" s="144">
        <v>10</v>
      </c>
    </row>
    <row r="13" spans="1:38" ht="16.5">
      <c r="A13" s="144">
        <v>11</v>
      </c>
      <c r="B13" s="7" t="s">
        <v>160</v>
      </c>
      <c r="C13" s="10" t="s">
        <v>213</v>
      </c>
    </row>
    <row r="14" spans="1:38" ht="16.5">
      <c r="A14" s="144">
        <v>12</v>
      </c>
      <c r="B14" s="7" t="s">
        <v>161</v>
      </c>
      <c r="C14" s="10" t="s">
        <v>213</v>
      </c>
    </row>
    <row r="15" spans="1:38" ht="16.5">
      <c r="A15" s="144">
        <v>13</v>
      </c>
      <c r="B15" s="7" t="s">
        <v>214</v>
      </c>
      <c r="C15" s="10" t="s">
        <v>213</v>
      </c>
    </row>
    <row r="16" spans="1:38" ht="16.5">
      <c r="A16" s="144">
        <v>14</v>
      </c>
      <c r="B16" s="7" t="s">
        <v>215</v>
      </c>
      <c r="C16" s="10" t="s">
        <v>197</v>
      </c>
    </row>
    <row r="17" spans="1:6" ht="16.5">
      <c r="A17" s="144">
        <v>15</v>
      </c>
      <c r="B17" s="7" t="s">
        <v>216</v>
      </c>
      <c r="C17" s="10" t="s">
        <v>203</v>
      </c>
    </row>
    <row r="18" spans="1:6" ht="16.5">
      <c r="A18" s="144">
        <v>16</v>
      </c>
      <c r="B18" s="7" t="s">
        <v>217</v>
      </c>
      <c r="C18" s="10" t="s">
        <v>167</v>
      </c>
    </row>
    <row r="19" spans="1:6" ht="13.5">
      <c r="A19" s="144">
        <v>17</v>
      </c>
    </row>
    <row r="20" spans="1:6" ht="16.5">
      <c r="A20" s="144">
        <v>18</v>
      </c>
      <c r="B20" s="7" t="s">
        <v>168</v>
      </c>
      <c r="C20" s="10" t="s">
        <v>218</v>
      </c>
    </row>
    <row r="21" spans="1:6" ht="13.5">
      <c r="A21" s="144">
        <v>19</v>
      </c>
    </row>
    <row r="22" spans="1:6" ht="16.5">
      <c r="A22" s="144">
        <v>20</v>
      </c>
      <c r="B22" s="7" t="s">
        <v>219</v>
      </c>
      <c r="C22" s="7" t="s">
        <v>157</v>
      </c>
      <c r="D22" s="7" t="s">
        <v>158</v>
      </c>
      <c r="E22" s="7" t="s">
        <v>220</v>
      </c>
      <c r="F22" s="7" t="s">
        <v>169</v>
      </c>
    </row>
    <row r="23" spans="1:6" ht="13.5">
      <c r="A23" s="144">
        <v>21</v>
      </c>
      <c r="B23" s="58" t="s">
        <v>221</v>
      </c>
      <c r="C23" s="58">
        <v>121212</v>
      </c>
      <c r="D23" s="58" t="s">
        <v>222</v>
      </c>
      <c r="E23" s="58" t="s">
        <v>223</v>
      </c>
      <c r="F23" s="58" t="s">
        <v>198</v>
      </c>
    </row>
    <row r="24" spans="1:6" ht="13.5">
      <c r="A24" s="144">
        <v>22</v>
      </c>
      <c r="B24" s="58" t="s">
        <v>224</v>
      </c>
      <c r="C24" s="58">
        <v>212121</v>
      </c>
      <c r="D24" s="58" t="s">
        <v>225</v>
      </c>
      <c r="E24" s="58" t="s">
        <v>226</v>
      </c>
      <c r="F24" s="58" t="s">
        <v>199</v>
      </c>
    </row>
    <row r="25" spans="1:6" ht="13.5">
      <c r="A25" s="144">
        <v>23</v>
      </c>
    </row>
    <row r="26" spans="1:6" ht="13.5">
      <c r="A26" s="144">
        <v>24</v>
      </c>
    </row>
    <row r="27" spans="1:6" ht="13.5">
      <c r="A27" s="144">
        <v>25</v>
      </c>
    </row>
    <row r="28" spans="1:6" ht="13.5">
      <c r="A28" s="144">
        <v>26</v>
      </c>
    </row>
    <row r="29" spans="1:6" ht="13.5">
      <c r="A29" s="144">
        <v>27</v>
      </c>
    </row>
    <row r="30" spans="1:6" ht="13.5">
      <c r="A30" s="144">
        <v>28</v>
      </c>
    </row>
    <row r="31" spans="1:6" ht="13.5">
      <c r="A31" s="144">
        <v>29</v>
      </c>
    </row>
    <row r="32" spans="1:6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hyperlinks>
    <hyperlink ref="C11" r:id="rId1" xr:uid="{694FA870-8D8E-4790-B77E-F471C440482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841" t="s">
        <v>229</v>
      </c>
      <c r="C2" s="835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231</v>
      </c>
      <c r="C4" s="151" t="s">
        <v>242</v>
      </c>
    </row>
    <row r="5" spans="1:38" ht="19.5">
      <c r="A5" s="144">
        <v>3</v>
      </c>
      <c r="B5" s="146" t="s">
        <v>232</v>
      </c>
      <c r="C5" s="10" t="s">
        <v>203</v>
      </c>
    </row>
    <row r="6" spans="1:38" ht="19.5">
      <c r="A6" s="144">
        <v>4</v>
      </c>
      <c r="B6" s="147" t="s">
        <v>234</v>
      </c>
      <c r="C6" s="10" t="s">
        <v>243</v>
      </c>
    </row>
    <row r="7" spans="1:38" ht="19.5">
      <c r="A7" s="144">
        <v>5</v>
      </c>
      <c r="B7" s="147" t="s">
        <v>233</v>
      </c>
      <c r="C7" s="145" t="s">
        <v>244</v>
      </c>
    </row>
    <row r="8" spans="1:38" ht="13.5">
      <c r="A8" s="144">
        <v>6</v>
      </c>
    </row>
    <row r="9" spans="1:38" ht="19.5">
      <c r="A9" s="144">
        <v>7</v>
      </c>
      <c r="B9" s="146" t="s">
        <v>247</v>
      </c>
      <c r="C9" s="10" t="s">
        <v>248</v>
      </c>
    </row>
    <row r="10" spans="1:38" ht="13.5">
      <c r="A10" s="144">
        <v>8</v>
      </c>
    </row>
    <row r="11" spans="1:38" ht="19.5">
      <c r="A11" s="144">
        <v>9</v>
      </c>
      <c r="B11" s="146" t="s">
        <v>235</v>
      </c>
      <c r="C11" s="146" t="s">
        <v>236</v>
      </c>
      <c r="D11" s="146" t="s">
        <v>237</v>
      </c>
      <c r="E11" s="146" t="s">
        <v>238</v>
      </c>
      <c r="F11" s="146" t="s">
        <v>239</v>
      </c>
    </row>
    <row r="12" spans="1:38" ht="15.75">
      <c r="A12" s="144">
        <v>10</v>
      </c>
      <c r="B12" s="149" t="s">
        <v>246</v>
      </c>
      <c r="D12" s="148" t="s">
        <v>191</v>
      </c>
      <c r="E12" s="124" t="s">
        <v>240</v>
      </c>
      <c r="F12" s="150" t="s">
        <v>241</v>
      </c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hyperlinks>
    <hyperlink ref="C7" r:id="rId1" xr:uid="{050DC29C-09B4-4A4E-96B2-D6A0345664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6BC7-28C8-4BDD-A414-B501214D4FD6}">
  <sheetPr codeName="Sheet16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841" t="s">
        <v>249</v>
      </c>
      <c r="C2" s="835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231</v>
      </c>
      <c r="C4" s="151" t="s">
        <v>242</v>
      </c>
    </row>
    <row r="5" spans="1:38" ht="13.5">
      <c r="A5" s="144">
        <v>3</v>
      </c>
    </row>
    <row r="6" spans="1:38" ht="19.5">
      <c r="A6" s="144">
        <v>4</v>
      </c>
      <c r="B6" s="146" t="s">
        <v>247</v>
      </c>
      <c r="C6" s="10" t="s">
        <v>248</v>
      </c>
    </row>
    <row r="7" spans="1:38" ht="13.5">
      <c r="A7" s="144">
        <v>5</v>
      </c>
    </row>
    <row r="8" spans="1:38" ht="13.5">
      <c r="A8" s="144">
        <v>6</v>
      </c>
    </row>
    <row r="9" spans="1:38" ht="13.5">
      <c r="A9" s="144">
        <v>7</v>
      </c>
    </row>
    <row r="10" spans="1:38" ht="13.5">
      <c r="A10" s="144">
        <v>8</v>
      </c>
    </row>
    <row r="11" spans="1:38" ht="13.5">
      <c r="A11" s="144">
        <v>9</v>
      </c>
    </row>
    <row r="12" spans="1:38" ht="15.75">
      <c r="A12" s="144">
        <v>10</v>
      </c>
      <c r="B12" s="149"/>
      <c r="D12" s="148"/>
      <c r="E12" s="124"/>
      <c r="F12" s="150"/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8C0-8DB8-45A7-818D-87232189135A}">
  <sheetPr codeName="Sheet17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841" t="s">
        <v>250</v>
      </c>
      <c r="C2" s="835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157</v>
      </c>
      <c r="C4" s="152">
        <v>123412</v>
      </c>
    </row>
    <row r="5" spans="1:38" ht="13.5">
      <c r="A5" s="144">
        <v>3</v>
      </c>
    </row>
    <row r="6" spans="1:38" ht="19.5">
      <c r="A6" s="144">
        <v>4</v>
      </c>
      <c r="B6" s="146" t="s">
        <v>247</v>
      </c>
      <c r="C6" s="10" t="s">
        <v>248</v>
      </c>
    </row>
    <row r="7" spans="1:38" ht="13.5">
      <c r="A7" s="144">
        <v>5</v>
      </c>
    </row>
    <row r="8" spans="1:38" ht="13.5">
      <c r="A8" s="144">
        <v>6</v>
      </c>
    </row>
    <row r="9" spans="1:38" ht="13.5">
      <c r="A9" s="144">
        <v>7</v>
      </c>
    </row>
    <row r="10" spans="1:38" ht="13.5">
      <c r="A10" s="144">
        <v>8</v>
      </c>
    </row>
    <row r="11" spans="1:38" ht="13.5">
      <c r="A11" s="144">
        <v>9</v>
      </c>
    </row>
    <row r="12" spans="1:38" ht="15.75">
      <c r="A12" s="144">
        <v>10</v>
      </c>
      <c r="B12" s="149"/>
      <c r="D12" s="148"/>
      <c r="E12" s="124"/>
      <c r="F12" s="150"/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40FF-A388-47C3-ACB9-35E43920EAEA}">
  <sheetPr codeName="Sheet18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841" t="s">
        <v>250</v>
      </c>
      <c r="C2" s="835"/>
    </row>
    <row r="3" spans="1:38" ht="19.5">
      <c r="A3" s="144">
        <v>1</v>
      </c>
      <c r="B3" s="146" t="s">
        <v>230</v>
      </c>
      <c r="C3" s="151"/>
    </row>
    <row r="4" spans="1:38" ht="19.5">
      <c r="A4" s="144">
        <v>2</v>
      </c>
      <c r="B4" s="146" t="s">
        <v>157</v>
      </c>
      <c r="C4" s="152"/>
    </row>
    <row r="5" spans="1:38" ht="13.5">
      <c r="A5" s="144">
        <v>3</v>
      </c>
    </row>
    <row r="6" spans="1:38" ht="19.5">
      <c r="A6" s="144">
        <v>4</v>
      </c>
      <c r="B6" s="146" t="s">
        <v>251</v>
      </c>
      <c r="C6" s="123" t="s">
        <v>258</v>
      </c>
    </row>
    <row r="7" spans="1:38" ht="19.5">
      <c r="A7" s="144">
        <v>5</v>
      </c>
      <c r="B7" s="146" t="s">
        <v>252</v>
      </c>
      <c r="C7" s="123" t="s">
        <v>259</v>
      </c>
    </row>
    <row r="8" spans="1:38" ht="19.5">
      <c r="A8" s="144">
        <v>6</v>
      </c>
      <c r="B8" s="146" t="s">
        <v>253</v>
      </c>
      <c r="C8" s="153" t="s">
        <v>254</v>
      </c>
    </row>
    <row r="9" spans="1:38" ht="19.5">
      <c r="A9" s="144">
        <v>7</v>
      </c>
      <c r="B9" s="146" t="s">
        <v>232</v>
      </c>
      <c r="C9" s="153" t="s">
        <v>255</v>
      </c>
    </row>
    <row r="10" spans="1:38" ht="19.5">
      <c r="A10" s="144">
        <v>8</v>
      </c>
      <c r="B10" s="146" t="s">
        <v>256</v>
      </c>
      <c r="C10" s="10" t="s">
        <v>257</v>
      </c>
    </row>
    <row r="11" spans="1:38" ht="13.5">
      <c r="A11" s="144">
        <v>9</v>
      </c>
    </row>
    <row r="12" spans="1:38" ht="15.75">
      <c r="A12" s="144">
        <v>10</v>
      </c>
      <c r="B12" s="149"/>
      <c r="D12" s="148"/>
      <c r="E12" s="124"/>
      <c r="F12" s="150"/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6F95-63F2-400C-8EDD-C6945A92C58B}">
  <sheetPr codeName="Sheet20"/>
  <dimension ref="A1:AL63"/>
  <sheetViews>
    <sheetView workbookViewId="0"/>
  </sheetViews>
  <sheetFormatPr defaultRowHeight="12.75"/>
  <cols>
    <col min="1" max="1" width="14" customWidth="1"/>
    <col min="2" max="2" width="31" bestFit="1" customWidth="1"/>
    <col min="3" max="3" width="33.73046875" bestFit="1" customWidth="1"/>
    <col min="4" max="4" width="33.73046875" customWidth="1"/>
    <col min="5" max="5" width="13.1328125" bestFit="1" customWidth="1"/>
    <col min="8" max="8" width="5.3984375" bestFit="1" customWidth="1"/>
    <col min="9" max="10" width="2.73046875" bestFit="1" customWidth="1"/>
    <col min="11" max="30" width="3.73046875" bestFit="1" customWidth="1"/>
    <col min="31" max="31" width="14.1328125" bestFit="1" customWidth="1"/>
    <col min="32" max="35" width="3.73046875" bestFit="1" customWidth="1"/>
    <col min="36" max="36" width="14.13281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8.5">
      <c r="A2" s="3">
        <v>0</v>
      </c>
      <c r="B2" s="841" t="s">
        <v>277</v>
      </c>
      <c r="C2" s="835"/>
      <c r="H2" s="842" t="s">
        <v>454</v>
      </c>
      <c r="I2" s="843"/>
      <c r="J2" s="843"/>
      <c r="K2" s="843"/>
      <c r="L2" s="843"/>
      <c r="M2" s="843"/>
      <c r="N2" s="843"/>
      <c r="O2" s="843"/>
      <c r="P2" s="843"/>
      <c r="Q2" s="843"/>
      <c r="R2" s="843"/>
      <c r="S2" s="843"/>
      <c r="T2" s="843"/>
      <c r="U2" s="843"/>
      <c r="V2" s="843"/>
      <c r="W2" s="843"/>
      <c r="X2" s="843"/>
      <c r="Y2" s="843"/>
      <c r="Z2" s="843"/>
      <c r="AA2" s="843"/>
      <c r="AB2" s="843"/>
      <c r="AC2" s="843"/>
      <c r="AD2" s="843"/>
      <c r="AE2" s="843"/>
    </row>
    <row r="3" spans="1:38" ht="19.5">
      <c r="A3" s="2">
        <v>1</v>
      </c>
      <c r="B3" s="146" t="s">
        <v>278</v>
      </c>
      <c r="C3" s="153" t="s">
        <v>291</v>
      </c>
      <c r="H3" s="844"/>
      <c r="I3" s="844"/>
      <c r="J3" s="844"/>
      <c r="K3" s="844"/>
      <c r="L3" s="844"/>
      <c r="M3" s="844"/>
      <c r="N3" s="844"/>
      <c r="O3" s="844"/>
      <c r="P3" s="844"/>
      <c r="Q3" s="844"/>
      <c r="R3" s="844"/>
      <c r="S3" s="844"/>
      <c r="T3" s="844"/>
      <c r="U3" s="844"/>
      <c r="V3" s="844"/>
      <c r="W3" s="844"/>
      <c r="X3" s="844"/>
      <c r="Y3" s="844"/>
      <c r="Z3" s="844"/>
      <c r="AA3" s="844"/>
      <c r="AB3" s="844"/>
      <c r="AC3" s="844"/>
      <c r="AD3" s="844"/>
      <c r="AE3" s="844"/>
    </row>
    <row r="4" spans="1:38" ht="20.25" customHeight="1">
      <c r="A4" s="2">
        <v>2</v>
      </c>
      <c r="B4" s="146" t="s">
        <v>279</v>
      </c>
      <c r="C4" s="151" t="s">
        <v>170</v>
      </c>
      <c r="H4" s="844"/>
      <c r="I4" s="844"/>
      <c r="J4" s="844"/>
      <c r="K4" s="844"/>
      <c r="L4" s="844"/>
      <c r="M4" s="844"/>
      <c r="N4" s="844"/>
      <c r="O4" s="844"/>
      <c r="P4" s="844"/>
      <c r="Q4" s="844"/>
      <c r="R4" s="844"/>
      <c r="S4" s="844"/>
      <c r="T4" s="844"/>
      <c r="U4" s="844"/>
      <c r="V4" s="844"/>
      <c r="W4" s="844"/>
      <c r="X4" s="844"/>
      <c r="Y4" s="844"/>
      <c r="Z4" s="844"/>
      <c r="AA4" s="844"/>
      <c r="AB4" s="844"/>
      <c r="AC4" s="844"/>
      <c r="AD4" s="844"/>
      <c r="AE4" s="844"/>
    </row>
    <row r="5" spans="1:38" ht="39">
      <c r="A5" s="2">
        <v>3</v>
      </c>
      <c r="B5" s="155" t="s">
        <v>281</v>
      </c>
      <c r="C5" s="180" t="s">
        <v>457</v>
      </c>
      <c r="H5" s="850" t="s">
        <v>410</v>
      </c>
      <c r="I5" s="850"/>
      <c r="J5" s="850"/>
      <c r="K5" s="850"/>
      <c r="L5" s="850"/>
      <c r="M5" s="850"/>
      <c r="N5" s="850"/>
      <c r="O5" s="850"/>
      <c r="P5" s="850"/>
      <c r="Q5" s="850"/>
      <c r="R5" s="850"/>
      <c r="S5" s="850"/>
      <c r="T5" s="850"/>
      <c r="U5" s="850"/>
      <c r="V5" s="850"/>
      <c r="W5" s="850"/>
      <c r="X5" s="850"/>
      <c r="Y5" s="850"/>
      <c r="Z5" s="850"/>
      <c r="AA5" s="850"/>
      <c r="AB5" s="850"/>
      <c r="AC5" s="850"/>
      <c r="AD5" s="850"/>
      <c r="AE5" s="850"/>
    </row>
    <row r="6" spans="1:38" ht="19.5">
      <c r="A6" s="2">
        <v>4</v>
      </c>
      <c r="B6" s="146" t="s">
        <v>280</v>
      </c>
      <c r="C6" s="10">
        <v>121212121</v>
      </c>
      <c r="H6" s="562" t="s">
        <v>411</v>
      </c>
      <c r="I6" s="562"/>
      <c r="J6" s="709"/>
      <c r="K6" s="709"/>
      <c r="L6" s="709"/>
      <c r="M6" s="709"/>
      <c r="N6" s="709"/>
      <c r="O6" s="709"/>
      <c r="P6" s="709"/>
      <c r="Q6" s="709"/>
      <c r="R6" s="709"/>
      <c r="S6" s="709"/>
      <c r="T6" s="710"/>
      <c r="U6" s="565" t="s">
        <v>412</v>
      </c>
      <c r="V6" s="562"/>
      <c r="W6" s="562"/>
      <c r="X6" s="562"/>
      <c r="Y6" s="562"/>
      <c r="Z6" s="562"/>
      <c r="AA6" s="562"/>
      <c r="AB6" s="711"/>
      <c r="AC6" s="711"/>
      <c r="AD6" s="711"/>
      <c r="AE6" s="711"/>
    </row>
    <row r="7" spans="1:38" ht="19.5">
      <c r="A7" s="2">
        <v>5</v>
      </c>
      <c r="B7" s="146" t="s">
        <v>282</v>
      </c>
      <c r="C7" s="181" t="s">
        <v>458</v>
      </c>
      <c r="H7" s="545"/>
      <c r="I7" s="545"/>
      <c r="J7" s="545"/>
      <c r="K7" s="545"/>
      <c r="L7" s="545"/>
      <c r="M7" s="545"/>
      <c r="N7" s="545"/>
      <c r="O7" s="545"/>
      <c r="P7" s="545"/>
      <c r="Q7" s="545"/>
      <c r="R7" s="545"/>
      <c r="S7" s="545"/>
      <c r="T7" s="545"/>
      <c r="U7" s="545"/>
      <c r="V7" s="545"/>
      <c r="W7" s="545"/>
      <c r="X7" s="545"/>
      <c r="Y7" s="545"/>
      <c r="Z7" s="545"/>
      <c r="AA7" s="545"/>
      <c r="AB7" s="545"/>
      <c r="AC7" s="545"/>
      <c r="AD7" s="545"/>
      <c r="AE7" s="545"/>
    </row>
    <row r="8" spans="1:38" ht="16.5" customHeight="1">
      <c r="A8" s="2">
        <v>6</v>
      </c>
      <c r="B8" s="146" t="s">
        <v>283</v>
      </c>
      <c r="C8" s="182" t="s">
        <v>459</v>
      </c>
      <c r="H8" s="693" t="s">
        <v>455</v>
      </c>
      <c r="I8" s="693"/>
      <c r="J8" s="693"/>
      <c r="K8" s="693"/>
      <c r="L8" s="694"/>
      <c r="M8" s="851" t="str">
        <f>C3</f>
        <v>㈜노마드랩</v>
      </c>
      <c r="N8" s="549"/>
      <c r="O8" s="549"/>
      <c r="P8" s="549"/>
      <c r="Q8" s="549"/>
      <c r="R8" s="549"/>
      <c r="S8" s="549"/>
      <c r="T8" s="550"/>
      <c r="U8" s="698" t="s">
        <v>456</v>
      </c>
      <c r="V8" s="693"/>
      <c r="W8" s="693"/>
      <c r="X8" s="693"/>
      <c r="Y8" s="693"/>
      <c r="Z8" s="693"/>
      <c r="AA8" s="694"/>
      <c r="AB8" s="852" t="str">
        <f>C4</f>
        <v>홍길동</v>
      </c>
      <c r="AC8" s="853"/>
      <c r="AD8" s="853"/>
      <c r="AE8" s="853"/>
    </row>
    <row r="9" spans="1:38" ht="16.5" customHeight="1">
      <c r="A9" s="2">
        <v>7</v>
      </c>
      <c r="B9" s="146" t="s">
        <v>284</v>
      </c>
      <c r="C9" s="10">
        <v>123</v>
      </c>
      <c r="H9" s="682" t="s">
        <v>413</v>
      </c>
      <c r="I9" s="682"/>
      <c r="J9" s="682"/>
      <c r="K9" s="682"/>
      <c r="L9" s="683"/>
      <c r="M9" s="856" t="str">
        <f>C5</f>
        <v>11111-1111-111
(121212121)</v>
      </c>
      <c r="N9" s="857"/>
      <c r="O9" s="857"/>
      <c r="P9" s="857"/>
      <c r="Q9" s="857"/>
      <c r="R9" s="857"/>
      <c r="S9" s="857"/>
      <c r="T9" s="858"/>
      <c r="U9" s="705" t="s">
        <v>415</v>
      </c>
      <c r="V9" s="682"/>
      <c r="W9" s="682"/>
      <c r="X9" s="682"/>
      <c r="Y9" s="682"/>
      <c r="Z9" s="682"/>
      <c r="AA9" s="683"/>
      <c r="AB9" s="856">
        <f>C6</f>
        <v>121212121</v>
      </c>
      <c r="AC9" s="857"/>
      <c r="AD9" s="857"/>
      <c r="AE9" s="857"/>
    </row>
    <row r="10" spans="1:38" ht="16.5" customHeight="1">
      <c r="A10" s="2">
        <v>8</v>
      </c>
      <c r="B10" s="146" t="s">
        <v>285</v>
      </c>
      <c r="C10" s="145" t="s">
        <v>460</v>
      </c>
      <c r="E10" s="140"/>
      <c r="H10" s="706" t="s">
        <v>414</v>
      </c>
      <c r="I10" s="706"/>
      <c r="J10" s="706"/>
      <c r="K10" s="706"/>
      <c r="L10" s="707"/>
      <c r="M10" s="859"/>
      <c r="N10" s="860"/>
      <c r="O10" s="860"/>
      <c r="P10" s="860"/>
      <c r="Q10" s="860"/>
      <c r="R10" s="860"/>
      <c r="S10" s="860"/>
      <c r="T10" s="861"/>
      <c r="U10" s="708" t="s">
        <v>416</v>
      </c>
      <c r="V10" s="706"/>
      <c r="W10" s="706"/>
      <c r="X10" s="706"/>
      <c r="Y10" s="706"/>
      <c r="Z10" s="706"/>
      <c r="AA10" s="707"/>
      <c r="AB10" s="859"/>
      <c r="AC10" s="860"/>
      <c r="AD10" s="860"/>
      <c r="AE10" s="860"/>
    </row>
    <row r="11" spans="1:38" ht="19.5">
      <c r="A11" s="2">
        <v>9</v>
      </c>
      <c r="B11" s="146" t="s">
        <v>286</v>
      </c>
      <c r="C11" s="10"/>
      <c r="H11" s="678" t="s">
        <v>10</v>
      </c>
      <c r="I11" s="678"/>
      <c r="J11" s="678"/>
      <c r="K11" s="678"/>
      <c r="L11" s="679"/>
      <c r="M11" s="845" t="str">
        <f>C7</f>
        <v>부산광역시 부산진구</v>
      </c>
      <c r="N11" s="846"/>
      <c r="O11" s="846"/>
      <c r="P11" s="846"/>
      <c r="Q11" s="846"/>
      <c r="R11" s="846"/>
      <c r="S11" s="846"/>
      <c r="T11" s="846"/>
      <c r="U11" s="846"/>
      <c r="V11" s="846"/>
      <c r="W11" s="846"/>
      <c r="X11" s="846"/>
      <c r="Y11" s="846"/>
      <c r="Z11" s="846"/>
      <c r="AA11" s="846"/>
      <c r="AB11" s="846"/>
      <c r="AC11" s="846"/>
      <c r="AD11" s="846"/>
      <c r="AE11" s="846"/>
    </row>
    <row r="12" spans="1:38" ht="19.5">
      <c r="A12" s="2">
        <v>10</v>
      </c>
      <c r="B12" s="146" t="s">
        <v>247</v>
      </c>
      <c r="C12" s="123">
        <v>45518</v>
      </c>
      <c r="H12" s="682" t="s">
        <v>417</v>
      </c>
      <c r="I12" s="682"/>
      <c r="J12" s="682"/>
      <c r="K12" s="682"/>
      <c r="L12" s="683"/>
      <c r="M12" s="686" t="s">
        <v>175</v>
      </c>
      <c r="N12" s="679"/>
      <c r="O12" s="599" t="str">
        <f>C8</f>
        <v>이순신</v>
      </c>
      <c r="P12" s="597"/>
      <c r="Q12" s="597"/>
      <c r="R12" s="597"/>
      <c r="S12" s="597"/>
      <c r="T12" s="597"/>
      <c r="U12" s="597"/>
      <c r="V12" s="597"/>
      <c r="W12" s="598"/>
      <c r="X12" s="686" t="s">
        <v>418</v>
      </c>
      <c r="Y12" s="678"/>
      <c r="Z12" s="678"/>
      <c r="AA12" s="678"/>
      <c r="AB12" s="679"/>
      <c r="AC12" s="599">
        <f>C9</f>
        <v>123</v>
      </c>
      <c r="AD12" s="597"/>
      <c r="AE12" s="597"/>
    </row>
    <row r="13" spans="1:38" ht="16.899999999999999">
      <c r="A13" s="2">
        <v>11</v>
      </c>
      <c r="H13" s="684"/>
      <c r="I13" s="684"/>
      <c r="J13" s="684"/>
      <c r="K13" s="684"/>
      <c r="L13" s="685"/>
      <c r="M13" s="687" t="s">
        <v>20</v>
      </c>
      <c r="N13" s="688"/>
      <c r="O13" s="847" t="str">
        <f>C10</f>
        <v>KJH5848@GMAIL.COM</v>
      </c>
      <c r="P13" s="848"/>
      <c r="Q13" s="848"/>
      <c r="R13" s="848"/>
      <c r="S13" s="848"/>
      <c r="T13" s="848"/>
      <c r="U13" s="848"/>
      <c r="V13" s="848"/>
      <c r="W13" s="849"/>
      <c r="X13" s="687" t="s">
        <v>419</v>
      </c>
      <c r="Y13" s="692"/>
      <c r="Z13" s="692"/>
      <c r="AA13" s="692"/>
      <c r="AB13" s="688"/>
      <c r="AC13" s="582">
        <f>C11</f>
        <v>0</v>
      </c>
      <c r="AD13" s="583"/>
      <c r="AE13" s="583"/>
    </row>
    <row r="14" spans="1:38" ht="16.5" customHeight="1">
      <c r="A14" s="2">
        <v>12</v>
      </c>
      <c r="B14" s="156" t="s">
        <v>290</v>
      </c>
      <c r="C14" s="156" t="s">
        <v>289</v>
      </c>
      <c r="D14" s="156" t="s">
        <v>288</v>
      </c>
      <c r="E14" s="156" t="s">
        <v>287</v>
      </c>
      <c r="H14" s="584"/>
      <c r="I14" s="584"/>
      <c r="J14" s="584"/>
      <c r="K14" s="584"/>
      <c r="L14" s="584"/>
      <c r="M14" s="584"/>
      <c r="N14" s="584"/>
      <c r="O14" s="584"/>
      <c r="P14" s="584"/>
      <c r="Q14" s="584"/>
      <c r="R14" s="584"/>
      <c r="S14" s="584"/>
      <c r="T14" s="584"/>
      <c r="U14" s="584"/>
      <c r="V14" s="584"/>
      <c r="W14" s="584"/>
      <c r="X14" s="584"/>
      <c r="Y14" s="584"/>
      <c r="Z14" s="584"/>
      <c r="AA14" s="584"/>
      <c r="AB14" s="584"/>
      <c r="AC14" s="584"/>
      <c r="AD14" s="584"/>
      <c r="AE14" s="584"/>
    </row>
    <row r="15" spans="1:38" ht="16.5" customHeight="1">
      <c r="A15" s="2">
        <v>13</v>
      </c>
      <c r="B15" s="58" t="s">
        <v>272</v>
      </c>
      <c r="C15" s="58">
        <v>501111</v>
      </c>
      <c r="D15" s="58" t="s">
        <v>269</v>
      </c>
      <c r="E15" s="58">
        <v>140</v>
      </c>
      <c r="H15" s="671" t="s">
        <v>420</v>
      </c>
      <c r="I15" s="671"/>
      <c r="J15" s="671"/>
      <c r="K15" s="671"/>
      <c r="L15" s="672"/>
      <c r="M15" s="673"/>
      <c r="N15" s="674"/>
      <c r="O15" s="674"/>
      <c r="P15" s="674"/>
      <c r="Q15" s="674"/>
      <c r="R15" s="674"/>
      <c r="S15" s="674"/>
      <c r="T15" s="674"/>
      <c r="U15" s="674"/>
      <c r="V15" s="674"/>
      <c r="W15" s="674"/>
      <c r="X15" s="674"/>
      <c r="Y15" s="674"/>
      <c r="Z15" s="674"/>
      <c r="AA15" s="674"/>
      <c r="AB15" s="674"/>
      <c r="AC15" s="674"/>
      <c r="AD15" s="674"/>
      <c r="AE15" s="674"/>
    </row>
    <row r="16" spans="1:38" ht="16.5" customHeight="1">
      <c r="A16" s="2">
        <v>14</v>
      </c>
      <c r="B16" s="58" t="s">
        <v>274</v>
      </c>
      <c r="C16" s="58">
        <v>111111</v>
      </c>
      <c r="D16" s="58" t="s">
        <v>225</v>
      </c>
      <c r="E16" s="58">
        <v>140</v>
      </c>
      <c r="H16" s="675" t="s">
        <v>421</v>
      </c>
      <c r="I16" s="675"/>
      <c r="J16" s="675"/>
      <c r="K16" s="675"/>
      <c r="L16" s="676"/>
      <c r="M16" s="677" t="s">
        <v>423</v>
      </c>
      <c r="N16" s="675"/>
      <c r="O16" s="675"/>
      <c r="P16" s="676"/>
      <c r="Q16" s="677" t="s">
        <v>425</v>
      </c>
      <c r="R16" s="675"/>
      <c r="S16" s="675"/>
      <c r="T16" s="675"/>
      <c r="U16" s="675"/>
      <c r="V16" s="675"/>
      <c r="W16" s="675"/>
      <c r="X16" s="675"/>
      <c r="Y16" s="675"/>
      <c r="Z16" s="675"/>
      <c r="AA16" s="675"/>
      <c r="AB16" s="675"/>
      <c r="AC16" s="675"/>
      <c r="AD16" s="676"/>
      <c r="AE16" s="176" t="s">
        <v>427</v>
      </c>
    </row>
    <row r="17" spans="1:31" ht="16.5" customHeight="1">
      <c r="A17" s="2">
        <v>15</v>
      </c>
      <c r="H17" s="555" t="s">
        <v>422</v>
      </c>
      <c r="I17" s="555"/>
      <c r="J17" s="555"/>
      <c r="K17" s="555"/>
      <c r="L17" s="559"/>
      <c r="M17" s="554" t="s">
        <v>424</v>
      </c>
      <c r="N17" s="555"/>
      <c r="O17" s="555"/>
      <c r="P17" s="559"/>
      <c r="Q17" s="554" t="s">
        <v>426</v>
      </c>
      <c r="R17" s="555"/>
      <c r="S17" s="555"/>
      <c r="T17" s="555"/>
      <c r="U17" s="555"/>
      <c r="V17" s="555"/>
      <c r="W17" s="555"/>
      <c r="X17" s="555"/>
      <c r="Y17" s="555"/>
      <c r="Z17" s="555"/>
      <c r="AA17" s="555"/>
      <c r="AB17" s="555"/>
      <c r="AC17" s="555"/>
      <c r="AD17" s="559"/>
      <c r="AE17" s="177" t="s">
        <v>428</v>
      </c>
    </row>
    <row r="18" spans="1:31" ht="16.899999999999999">
      <c r="A18" s="2">
        <v>16</v>
      </c>
      <c r="H18" s="597" t="str">
        <f>B15</f>
        <v>홍길동</v>
      </c>
      <c r="I18" s="597"/>
      <c r="J18" s="597"/>
      <c r="K18" s="597"/>
      <c r="L18" s="598"/>
      <c r="M18" s="599">
        <f>C15</f>
        <v>501111</v>
      </c>
      <c r="N18" s="597"/>
      <c r="O18" s="597"/>
      <c r="P18" s="598"/>
      <c r="Q18" s="599" t="str">
        <f>D15</f>
        <v>남</v>
      </c>
      <c r="R18" s="597"/>
      <c r="S18" s="597"/>
      <c r="T18" s="597"/>
      <c r="U18" s="597"/>
      <c r="V18" s="597"/>
      <c r="W18" s="597"/>
      <c r="X18" s="597"/>
      <c r="Y18" s="597"/>
      <c r="Z18" s="597"/>
      <c r="AA18" s="597"/>
      <c r="AB18" s="597"/>
      <c r="AC18" s="597"/>
      <c r="AD18" s="598"/>
      <c r="AE18" s="178">
        <f>E15</f>
        <v>140</v>
      </c>
    </row>
    <row r="19" spans="1:31" ht="16.899999999999999">
      <c r="A19" s="2">
        <v>17</v>
      </c>
      <c r="H19" s="597" t="str">
        <f t="shared" ref="H19:H25" si="0">B16</f>
        <v>수지</v>
      </c>
      <c r="I19" s="597"/>
      <c r="J19" s="597"/>
      <c r="K19" s="597"/>
      <c r="L19" s="598"/>
      <c r="M19" s="599">
        <f t="shared" ref="M19:M25" si="1">C16</f>
        <v>111111</v>
      </c>
      <c r="N19" s="597"/>
      <c r="O19" s="597"/>
      <c r="P19" s="598"/>
      <c r="Q19" s="599"/>
      <c r="R19" s="597"/>
      <c r="S19" s="597"/>
      <c r="T19" s="597"/>
      <c r="U19" s="597"/>
      <c r="V19" s="597"/>
      <c r="W19" s="597"/>
      <c r="X19" s="597"/>
      <c r="Y19" s="597"/>
      <c r="Z19" s="597"/>
      <c r="AA19" s="597"/>
      <c r="AB19" s="597"/>
      <c r="AC19" s="597"/>
      <c r="AD19" s="598"/>
      <c r="AE19" s="178"/>
    </row>
    <row r="20" spans="1:31" ht="16.899999999999999">
      <c r="A20" s="2">
        <v>18</v>
      </c>
      <c r="H20" s="597">
        <f t="shared" si="0"/>
        <v>0</v>
      </c>
      <c r="I20" s="597"/>
      <c r="J20" s="597"/>
      <c r="K20" s="597"/>
      <c r="L20" s="598"/>
      <c r="M20" s="599">
        <f t="shared" si="1"/>
        <v>0</v>
      </c>
      <c r="N20" s="597"/>
      <c r="O20" s="597"/>
      <c r="P20" s="598"/>
      <c r="Q20" s="599"/>
      <c r="R20" s="597"/>
      <c r="S20" s="597"/>
      <c r="T20" s="597"/>
      <c r="U20" s="597"/>
      <c r="V20" s="597"/>
      <c r="W20" s="597"/>
      <c r="X20" s="597"/>
      <c r="Y20" s="597"/>
      <c r="Z20" s="597"/>
      <c r="AA20" s="597"/>
      <c r="AB20" s="597"/>
      <c r="AC20" s="597"/>
      <c r="AD20" s="598"/>
      <c r="AE20" s="178"/>
    </row>
    <row r="21" spans="1:31" ht="16.899999999999999">
      <c r="A21" s="2">
        <v>19</v>
      </c>
      <c r="H21" s="597">
        <f t="shared" si="0"/>
        <v>0</v>
      </c>
      <c r="I21" s="597"/>
      <c r="J21" s="597"/>
      <c r="K21" s="597"/>
      <c r="L21" s="598"/>
      <c r="M21" s="599">
        <f t="shared" si="1"/>
        <v>0</v>
      </c>
      <c r="N21" s="597"/>
      <c r="O21" s="597"/>
      <c r="P21" s="598"/>
      <c r="Q21" s="599"/>
      <c r="R21" s="597"/>
      <c r="S21" s="597"/>
      <c r="T21" s="597"/>
      <c r="U21" s="597"/>
      <c r="V21" s="597"/>
      <c r="W21" s="597"/>
      <c r="X21" s="597"/>
      <c r="Y21" s="597"/>
      <c r="Z21" s="597"/>
      <c r="AA21" s="597"/>
      <c r="AB21" s="597"/>
      <c r="AC21" s="597"/>
      <c r="AD21" s="598"/>
      <c r="AE21" s="178"/>
    </row>
    <row r="22" spans="1:31" ht="16.899999999999999">
      <c r="A22" s="2">
        <v>20</v>
      </c>
      <c r="H22" s="597">
        <f t="shared" si="0"/>
        <v>0</v>
      </c>
      <c r="I22" s="597"/>
      <c r="J22" s="597"/>
      <c r="K22" s="597"/>
      <c r="L22" s="598"/>
      <c r="M22" s="599">
        <f t="shared" si="1"/>
        <v>0</v>
      </c>
      <c r="N22" s="597"/>
      <c r="O22" s="597"/>
      <c r="P22" s="598"/>
      <c r="Q22" s="599"/>
      <c r="R22" s="597"/>
      <c r="S22" s="597"/>
      <c r="T22" s="597"/>
      <c r="U22" s="597"/>
      <c r="V22" s="597"/>
      <c r="W22" s="597"/>
      <c r="X22" s="597"/>
      <c r="Y22" s="597"/>
      <c r="Z22" s="597"/>
      <c r="AA22" s="597"/>
      <c r="AB22" s="597"/>
      <c r="AC22" s="597"/>
      <c r="AD22" s="598"/>
      <c r="AE22" s="178"/>
    </row>
    <row r="23" spans="1:31" ht="16.899999999999999">
      <c r="A23" s="2">
        <v>21</v>
      </c>
      <c r="H23" s="597">
        <f t="shared" si="0"/>
        <v>0</v>
      </c>
      <c r="I23" s="597"/>
      <c r="J23" s="597"/>
      <c r="K23" s="597"/>
      <c r="L23" s="598"/>
      <c r="M23" s="599">
        <f t="shared" si="1"/>
        <v>0</v>
      </c>
      <c r="N23" s="597"/>
      <c r="O23" s="597"/>
      <c r="P23" s="598"/>
      <c r="Q23" s="599"/>
      <c r="R23" s="597"/>
      <c r="S23" s="597"/>
      <c r="T23" s="597"/>
      <c r="U23" s="597"/>
      <c r="V23" s="597"/>
      <c r="W23" s="597"/>
      <c r="X23" s="597"/>
      <c r="Y23" s="597"/>
      <c r="Z23" s="597"/>
      <c r="AA23" s="597"/>
      <c r="AB23" s="597"/>
      <c r="AC23" s="597"/>
      <c r="AD23" s="598"/>
      <c r="AE23" s="178"/>
    </row>
    <row r="24" spans="1:31" ht="16.899999999999999">
      <c r="A24" s="2">
        <v>22</v>
      </c>
      <c r="H24" s="597">
        <f t="shared" si="0"/>
        <v>0</v>
      </c>
      <c r="I24" s="597"/>
      <c r="J24" s="597"/>
      <c r="K24" s="597"/>
      <c r="L24" s="598"/>
      <c r="M24" s="599">
        <f t="shared" si="1"/>
        <v>0</v>
      </c>
      <c r="N24" s="597"/>
      <c r="O24" s="597"/>
      <c r="P24" s="598"/>
      <c r="Q24" s="599"/>
      <c r="R24" s="597"/>
      <c r="S24" s="597"/>
      <c r="T24" s="597"/>
      <c r="U24" s="597"/>
      <c r="V24" s="597"/>
      <c r="W24" s="597"/>
      <c r="X24" s="597"/>
      <c r="Y24" s="597"/>
      <c r="Z24" s="597"/>
      <c r="AA24" s="597"/>
      <c r="AB24" s="597"/>
      <c r="AC24" s="597"/>
      <c r="AD24" s="598"/>
      <c r="AE24" s="178"/>
    </row>
    <row r="25" spans="1:31" ht="16.5" customHeight="1">
      <c r="A25" s="2">
        <v>23</v>
      </c>
      <c r="B25" s="58"/>
      <c r="H25" s="597">
        <f t="shared" si="0"/>
        <v>0</v>
      </c>
      <c r="I25" s="597"/>
      <c r="J25" s="597"/>
      <c r="K25" s="597"/>
      <c r="L25" s="598"/>
      <c r="M25" s="599">
        <f t="shared" si="1"/>
        <v>0</v>
      </c>
      <c r="N25" s="597"/>
      <c r="O25" s="597"/>
      <c r="P25" s="598"/>
      <c r="Q25" s="599"/>
      <c r="R25" s="597"/>
      <c r="S25" s="597"/>
      <c r="T25" s="597"/>
      <c r="U25" s="597"/>
      <c r="V25" s="597"/>
      <c r="W25" s="597"/>
      <c r="X25" s="597"/>
      <c r="Y25" s="597"/>
      <c r="Z25" s="597"/>
      <c r="AA25" s="597"/>
      <c r="AB25" s="597"/>
      <c r="AC25" s="597"/>
      <c r="AD25" s="598"/>
      <c r="AE25" s="178"/>
    </row>
    <row r="26" spans="1:31" ht="16.5" customHeight="1">
      <c r="A26" s="2">
        <v>24</v>
      </c>
      <c r="B26" s="58"/>
      <c r="H26" s="600" t="s">
        <v>429</v>
      </c>
      <c r="I26" s="600"/>
      <c r="J26" s="600"/>
      <c r="K26" s="600"/>
      <c r="L26" s="600"/>
      <c r="M26" s="600"/>
      <c r="N26" s="600"/>
      <c r="O26" s="600"/>
      <c r="P26" s="600" t="s">
        <v>430</v>
      </c>
      <c r="Q26" s="600"/>
      <c r="R26" s="600"/>
      <c r="S26" s="600"/>
      <c r="T26" s="600"/>
      <c r="U26" s="600"/>
      <c r="V26" s="600"/>
      <c r="W26" s="600" t="s">
        <v>427</v>
      </c>
      <c r="X26" s="600"/>
      <c r="Y26" s="600"/>
      <c r="Z26" s="600"/>
      <c r="AA26" s="600" t="s">
        <v>431</v>
      </c>
      <c r="AB26" s="600"/>
      <c r="AC26" s="600"/>
      <c r="AD26" s="600"/>
      <c r="AE26" s="600"/>
    </row>
    <row r="27" spans="1:31" ht="16.5" customHeight="1">
      <c r="A27" s="2">
        <v>25</v>
      </c>
      <c r="B27" s="58"/>
      <c r="H27" s="601"/>
      <c r="I27" s="601"/>
      <c r="J27" s="601"/>
      <c r="K27" s="601"/>
      <c r="L27" s="601"/>
      <c r="M27" s="601"/>
      <c r="N27" s="601"/>
      <c r="O27" s="601"/>
      <c r="P27" s="601"/>
      <c r="Q27" s="601"/>
      <c r="R27" s="601"/>
      <c r="S27" s="601"/>
      <c r="T27" s="601"/>
      <c r="U27" s="601"/>
      <c r="V27" s="601"/>
      <c r="W27" s="601"/>
      <c r="X27" s="601"/>
      <c r="Y27" s="601"/>
      <c r="Z27" s="601"/>
      <c r="AA27" s="601"/>
      <c r="AB27" s="601"/>
      <c r="AC27" s="601"/>
      <c r="AD27" s="601"/>
      <c r="AE27" s="601"/>
    </row>
    <row r="28" spans="1:31" ht="16.5" customHeight="1">
      <c r="A28" s="2">
        <v>26</v>
      </c>
      <c r="H28" s="607" t="s">
        <v>432</v>
      </c>
      <c r="I28" s="607"/>
      <c r="J28" s="607"/>
      <c r="K28" s="607"/>
      <c r="L28" s="663"/>
      <c r="M28" s="604" t="s">
        <v>433</v>
      </c>
      <c r="N28" s="605"/>
      <c r="O28" s="605"/>
      <c r="P28" s="605"/>
      <c r="Q28" s="605"/>
      <c r="R28" s="605"/>
      <c r="S28" s="855"/>
      <c r="T28" s="855"/>
      <c r="U28" s="855"/>
      <c r="V28" s="855"/>
      <c r="W28" s="855"/>
      <c r="X28" s="855"/>
      <c r="Y28" s="855"/>
      <c r="Z28" s="855"/>
      <c r="AA28" s="855"/>
      <c r="AB28" s="855"/>
      <c r="AC28" s="607" t="s">
        <v>434</v>
      </c>
      <c r="AD28" s="607"/>
      <c r="AE28" s="607"/>
    </row>
    <row r="29" spans="1:31" ht="16.5" customHeight="1">
      <c r="A29" s="2">
        <v>27</v>
      </c>
      <c r="H29" s="608"/>
      <c r="I29" s="608"/>
      <c r="J29" s="608"/>
      <c r="K29" s="608"/>
      <c r="L29" s="608"/>
      <c r="M29" s="608"/>
      <c r="N29" s="608"/>
      <c r="O29" s="608"/>
      <c r="P29" s="608"/>
      <c r="Q29" s="608"/>
      <c r="R29" s="608"/>
      <c r="S29" s="608"/>
      <c r="T29" s="608"/>
      <c r="U29" s="608"/>
      <c r="V29" s="608"/>
      <c r="W29" s="608"/>
      <c r="X29" s="608"/>
      <c r="Y29" s="608"/>
      <c r="Z29" s="608"/>
      <c r="AA29" s="608"/>
      <c r="AB29" s="608"/>
      <c r="AC29" s="608"/>
      <c r="AD29" s="608"/>
      <c r="AE29" s="608"/>
    </row>
    <row r="30" spans="1:31" ht="16.5" customHeight="1">
      <c r="A30" s="2">
        <v>28</v>
      </c>
      <c r="H30" s="609" t="s">
        <v>435</v>
      </c>
      <c r="I30" s="609"/>
      <c r="J30" s="609"/>
      <c r="K30" s="609"/>
      <c r="L30" s="609"/>
      <c r="M30" s="609"/>
      <c r="N30" s="609"/>
      <c r="O30" s="609"/>
      <c r="P30" s="609"/>
      <c r="Q30" s="609"/>
      <c r="R30" s="609"/>
      <c r="S30" s="609"/>
      <c r="T30" s="609"/>
      <c r="U30" s="609"/>
      <c r="V30" s="609"/>
      <c r="W30" s="609"/>
      <c r="X30" s="609"/>
      <c r="Y30" s="609"/>
      <c r="Z30" s="609"/>
      <c r="AA30" s="609"/>
      <c r="AB30" s="609"/>
      <c r="AC30" s="609"/>
      <c r="AD30" s="609"/>
      <c r="AE30" s="609"/>
    </row>
    <row r="31" spans="1:31" ht="22.5" customHeight="1">
      <c r="A31" s="2">
        <v>29</v>
      </c>
      <c r="H31" s="610" t="s">
        <v>436</v>
      </c>
      <c r="I31" s="610"/>
      <c r="J31" s="610"/>
      <c r="K31" s="610"/>
      <c r="L31" s="610"/>
      <c r="M31" s="610"/>
      <c r="N31" s="610"/>
      <c r="O31" s="610"/>
      <c r="P31" s="610"/>
      <c r="Q31" s="610"/>
      <c r="R31" s="610"/>
      <c r="S31" s="610"/>
      <c r="T31" s="610"/>
      <c r="U31" s="610"/>
      <c r="V31" s="610"/>
      <c r="W31" s="610"/>
      <c r="X31" s="610"/>
      <c r="Y31" s="610"/>
      <c r="Z31" s="610"/>
      <c r="AA31" s="610"/>
      <c r="AB31" s="610"/>
      <c r="AC31" s="610"/>
      <c r="AD31" s="610"/>
      <c r="AE31" s="610"/>
    </row>
    <row r="32" spans="1:31" ht="17.25" customHeight="1">
      <c r="A32" s="2">
        <v>30</v>
      </c>
      <c r="H32" s="661"/>
      <c r="I32" s="661"/>
      <c r="J32" s="661"/>
      <c r="K32" s="661"/>
      <c r="L32" s="661"/>
      <c r="M32" s="661"/>
      <c r="N32" s="661"/>
      <c r="O32" s="661"/>
      <c r="P32" s="661"/>
      <c r="Q32" s="661"/>
      <c r="R32" s="661"/>
      <c r="S32" s="661"/>
      <c r="T32" s="613" t="s">
        <v>437</v>
      </c>
      <c r="U32" s="613"/>
      <c r="V32" s="613"/>
      <c r="W32" s="613"/>
      <c r="X32" s="613"/>
      <c r="Y32" s="613"/>
      <c r="Z32" s="854"/>
      <c r="AA32" s="854"/>
      <c r="AB32" s="854"/>
      <c r="AC32" s="854"/>
      <c r="AD32" s="854"/>
      <c r="AE32" s="179" t="s">
        <v>438</v>
      </c>
    </row>
    <row r="33" spans="1:31" ht="17.25" customHeight="1" thickBot="1">
      <c r="A33" s="2">
        <v>31</v>
      </c>
      <c r="H33" s="614" t="s">
        <v>439</v>
      </c>
      <c r="I33" s="614"/>
      <c r="J33" s="614"/>
      <c r="K33" s="614"/>
      <c r="L33" s="614"/>
      <c r="M33" s="614"/>
      <c r="N33" s="614"/>
      <c r="O33" s="614"/>
      <c r="P33" s="614"/>
      <c r="Q33" s="614"/>
      <c r="R33" s="614"/>
      <c r="S33" s="614"/>
      <c r="T33" s="614"/>
      <c r="U33" s="614"/>
      <c r="V33" s="614"/>
      <c r="W33" s="614"/>
      <c r="X33" s="614"/>
      <c r="Y33" s="614"/>
      <c r="Z33" s="614"/>
      <c r="AA33" s="615" t="s">
        <v>440</v>
      </c>
      <c r="AB33" s="615"/>
      <c r="AC33" s="615"/>
      <c r="AD33" s="615"/>
      <c r="AE33" s="615"/>
    </row>
    <row r="34" spans="1:31" ht="16.5" customHeight="1" thickTop="1">
      <c r="A34" s="2">
        <v>32</v>
      </c>
      <c r="H34" s="616"/>
      <c r="I34" s="616"/>
      <c r="J34" s="616"/>
      <c r="K34" s="616"/>
      <c r="L34" s="616"/>
      <c r="M34" s="616"/>
      <c r="N34" s="616"/>
      <c r="O34" s="616"/>
      <c r="P34" s="616"/>
      <c r="Q34" s="616"/>
      <c r="R34" s="616"/>
      <c r="S34" s="616"/>
      <c r="T34" s="616"/>
      <c r="U34" s="616"/>
      <c r="V34" s="616"/>
      <c r="W34" s="616"/>
      <c r="X34" s="616"/>
      <c r="Y34" s="616"/>
      <c r="Z34" s="616"/>
      <c r="AA34" s="616"/>
      <c r="AB34" s="616"/>
      <c r="AC34" s="616"/>
      <c r="AD34" s="616"/>
      <c r="AE34" s="616"/>
    </row>
    <row r="35" spans="1:31" ht="16.5" customHeight="1">
      <c r="A35" s="2">
        <v>33</v>
      </c>
      <c r="H35" s="617" t="s">
        <v>441</v>
      </c>
      <c r="I35" s="617"/>
      <c r="J35" s="618"/>
      <c r="K35" s="621" t="s">
        <v>442</v>
      </c>
      <c r="L35" s="622"/>
      <c r="M35" s="622"/>
      <c r="N35" s="622"/>
      <c r="O35" s="622"/>
      <c r="P35" s="622"/>
      <c r="Q35" s="622"/>
      <c r="R35" s="622"/>
      <c r="S35" s="622"/>
      <c r="T35" s="622"/>
      <c r="U35" s="622"/>
      <c r="V35" s="622"/>
      <c r="W35" s="622"/>
      <c r="X35" s="622"/>
      <c r="Y35" s="622"/>
      <c r="Z35" s="622"/>
      <c r="AA35" s="622"/>
      <c r="AB35" s="622"/>
      <c r="AC35" s="622"/>
      <c r="AD35" s="622"/>
      <c r="AE35" s="622"/>
    </row>
    <row r="36" spans="1:31" ht="17.25" customHeight="1" thickBot="1">
      <c r="A36" s="2">
        <v>34</v>
      </c>
      <c r="H36" s="619"/>
      <c r="I36" s="619"/>
      <c r="J36" s="620"/>
      <c r="K36" s="623" t="s">
        <v>443</v>
      </c>
      <c r="L36" s="624"/>
      <c r="M36" s="624"/>
      <c r="N36" s="624"/>
      <c r="O36" s="624"/>
      <c r="P36" s="624"/>
      <c r="Q36" s="624"/>
      <c r="R36" s="624"/>
      <c r="S36" s="624"/>
      <c r="T36" s="624"/>
      <c r="U36" s="624"/>
      <c r="V36" s="624"/>
      <c r="W36" s="624"/>
      <c r="X36" s="624"/>
      <c r="Y36" s="624"/>
      <c r="Z36" s="624"/>
      <c r="AA36" s="624"/>
      <c r="AB36" s="624"/>
      <c r="AC36" s="624"/>
      <c r="AD36" s="624"/>
      <c r="AE36" s="624"/>
    </row>
    <row r="37" spans="1:31" ht="17.25" customHeight="1" thickBot="1">
      <c r="A37" s="2">
        <v>35</v>
      </c>
      <c r="H37" s="625" t="s">
        <v>444</v>
      </c>
      <c r="I37" s="625"/>
      <c r="J37" s="625"/>
      <c r="K37" s="625"/>
      <c r="L37" s="625"/>
      <c r="M37" s="625"/>
      <c r="N37" s="625"/>
      <c r="O37" s="625"/>
      <c r="P37" s="625"/>
      <c r="Q37" s="625"/>
      <c r="R37" s="625"/>
      <c r="S37" s="625"/>
      <c r="T37" s="625"/>
      <c r="U37" s="625"/>
      <c r="V37" s="625"/>
      <c r="W37" s="625"/>
      <c r="X37" s="625"/>
      <c r="Y37" s="625"/>
      <c r="Z37" s="625"/>
      <c r="AA37" s="625"/>
      <c r="AB37" s="625"/>
      <c r="AC37" s="625"/>
      <c r="AD37" s="625"/>
      <c r="AE37" s="625"/>
    </row>
    <row r="38" spans="1:31" ht="16.5" customHeight="1">
      <c r="A38" s="2">
        <v>36</v>
      </c>
      <c r="H38" s="626" t="s">
        <v>445</v>
      </c>
      <c r="I38" s="628" t="s">
        <v>446</v>
      </c>
      <c r="J38" s="629"/>
      <c r="K38" s="629"/>
      <c r="L38" s="629"/>
      <c r="M38" s="629"/>
      <c r="N38" s="629"/>
      <c r="O38" s="629"/>
      <c r="P38" s="629"/>
      <c r="Q38" s="630"/>
      <c r="R38" s="628" t="s">
        <v>411</v>
      </c>
      <c r="S38" s="629"/>
      <c r="T38" s="629"/>
      <c r="U38" s="629"/>
      <c r="V38" s="629"/>
      <c r="W38" s="629"/>
      <c r="X38" s="630"/>
      <c r="Y38" s="628" t="s">
        <v>447</v>
      </c>
      <c r="Z38" s="629"/>
      <c r="AA38" s="629"/>
      <c r="AB38" s="629"/>
      <c r="AC38" s="629"/>
      <c r="AD38" s="629"/>
      <c r="AE38" s="629"/>
    </row>
    <row r="39" spans="1:31" ht="16.5" customHeight="1">
      <c r="A39" s="2">
        <v>37</v>
      </c>
      <c r="H39" s="627"/>
      <c r="I39" s="631"/>
      <c r="J39" s="632"/>
      <c r="K39" s="632"/>
      <c r="L39" s="632"/>
      <c r="M39" s="632"/>
      <c r="N39" s="632"/>
      <c r="O39" s="632"/>
      <c r="P39" s="632"/>
      <c r="Q39" s="633"/>
      <c r="R39" s="634"/>
      <c r="S39" s="635"/>
      <c r="T39" s="635"/>
      <c r="U39" s="635"/>
      <c r="V39" s="635"/>
      <c r="W39" s="635"/>
      <c r="X39" s="636"/>
      <c r="Y39" s="631"/>
      <c r="Z39" s="632"/>
      <c r="AA39" s="632"/>
      <c r="AB39" s="632"/>
      <c r="AC39" s="632"/>
      <c r="AD39" s="632"/>
      <c r="AE39" s="632"/>
    </row>
    <row r="40" spans="1:31" ht="16.5" customHeight="1">
      <c r="A40" s="2">
        <v>38</v>
      </c>
      <c r="H40" s="653" t="s">
        <v>448</v>
      </c>
      <c r="I40" s="637" t="s">
        <v>449</v>
      </c>
      <c r="J40" s="638"/>
      <c r="K40" s="639"/>
      <c r="L40" s="655"/>
      <c r="M40" s="656"/>
      <c r="N40" s="637" t="s">
        <v>450</v>
      </c>
      <c r="O40" s="638"/>
      <c r="P40" s="638"/>
      <c r="Q40" s="639"/>
      <c r="R40" s="655"/>
      <c r="S40" s="659"/>
      <c r="T40" s="659"/>
      <c r="U40" s="656"/>
      <c r="V40" s="637" t="s">
        <v>451</v>
      </c>
      <c r="W40" s="638"/>
      <c r="X40" s="639"/>
      <c r="Y40" s="643"/>
      <c r="Z40" s="644"/>
      <c r="AA40" s="644"/>
      <c r="AB40" s="644"/>
      <c r="AC40" s="645"/>
      <c r="AD40" s="649" t="s">
        <v>452</v>
      </c>
      <c r="AE40" s="650"/>
    </row>
    <row r="41" spans="1:31" ht="17.25" customHeight="1" thickBot="1">
      <c r="A41" s="2">
        <v>39</v>
      </c>
      <c r="H41" s="654"/>
      <c r="I41" s="640"/>
      <c r="J41" s="641"/>
      <c r="K41" s="642"/>
      <c r="L41" s="657"/>
      <c r="M41" s="658"/>
      <c r="N41" s="640"/>
      <c r="O41" s="641"/>
      <c r="P41" s="641"/>
      <c r="Q41" s="642"/>
      <c r="R41" s="657"/>
      <c r="S41" s="660"/>
      <c r="T41" s="660"/>
      <c r="U41" s="658"/>
      <c r="V41" s="640"/>
      <c r="W41" s="641"/>
      <c r="X41" s="642"/>
      <c r="Y41" s="646"/>
      <c r="Z41" s="647"/>
      <c r="AA41" s="647"/>
      <c r="AB41" s="647"/>
      <c r="AC41" s="648"/>
      <c r="AD41" s="651" t="s">
        <v>453</v>
      </c>
      <c r="AE41" s="652"/>
    </row>
    <row r="42" spans="1:31" ht="16.899999999999999">
      <c r="A42" s="2">
        <v>40</v>
      </c>
    </row>
    <row r="43" spans="1:31" ht="16.899999999999999">
      <c r="A43" s="2">
        <v>41</v>
      </c>
    </row>
    <row r="44" spans="1:31" ht="16.899999999999999">
      <c r="A44" s="2">
        <v>42</v>
      </c>
    </row>
    <row r="45" spans="1:31" ht="16.899999999999999">
      <c r="A45" s="2">
        <v>43</v>
      </c>
    </row>
    <row r="46" spans="1:31" ht="16.899999999999999">
      <c r="A46" s="2">
        <v>44</v>
      </c>
    </row>
    <row r="47" spans="1:31" ht="16.899999999999999">
      <c r="A47" s="2">
        <v>45</v>
      </c>
    </row>
    <row r="48" spans="1:3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00">
    <mergeCell ref="H17:L17"/>
    <mergeCell ref="M17:P17"/>
    <mergeCell ref="Q17:AD17"/>
    <mergeCell ref="H7:AE7"/>
    <mergeCell ref="H18:L18"/>
    <mergeCell ref="M18:P18"/>
    <mergeCell ref="Q18:AD18"/>
    <mergeCell ref="M9:T10"/>
    <mergeCell ref="U10:AA10"/>
    <mergeCell ref="AB9:AE10"/>
    <mergeCell ref="H8:L8"/>
    <mergeCell ref="H9:L9"/>
    <mergeCell ref="H15:L15"/>
    <mergeCell ref="H16:L16"/>
    <mergeCell ref="M16:P16"/>
    <mergeCell ref="Q16:AD16"/>
    <mergeCell ref="H19:L19"/>
    <mergeCell ref="M19:P19"/>
    <mergeCell ref="Q19:AD19"/>
    <mergeCell ref="H20:L20"/>
    <mergeCell ref="M20:P20"/>
    <mergeCell ref="Q20:AD20"/>
    <mergeCell ref="H21:L21"/>
    <mergeCell ref="M21:P21"/>
    <mergeCell ref="Q21:AD21"/>
    <mergeCell ref="H22:L22"/>
    <mergeCell ref="M22:P22"/>
    <mergeCell ref="Q22:AD22"/>
    <mergeCell ref="H23:L23"/>
    <mergeCell ref="M23:P23"/>
    <mergeCell ref="Q23:AD23"/>
    <mergeCell ref="H24:L24"/>
    <mergeCell ref="M24:P24"/>
    <mergeCell ref="Q24:AD24"/>
    <mergeCell ref="H25:L25"/>
    <mergeCell ref="M25:P25"/>
    <mergeCell ref="Q25:AD25"/>
    <mergeCell ref="H26:O26"/>
    <mergeCell ref="P26:V26"/>
    <mergeCell ref="W26:Z26"/>
    <mergeCell ref="AA26:AE26"/>
    <mergeCell ref="H27:AE27"/>
    <mergeCell ref="H29:AE29"/>
    <mergeCell ref="H28:L28"/>
    <mergeCell ref="M28:R28"/>
    <mergeCell ref="S28:AB28"/>
    <mergeCell ref="AC28:AE28"/>
    <mergeCell ref="H14:AE14"/>
    <mergeCell ref="M15:AE15"/>
    <mergeCell ref="I38:Q38"/>
    <mergeCell ref="R38:X38"/>
    <mergeCell ref="Y38:AE38"/>
    <mergeCell ref="K35:AE35"/>
    <mergeCell ref="H33:Z33"/>
    <mergeCell ref="AA33:AE33"/>
    <mergeCell ref="H34:AE34"/>
    <mergeCell ref="H35:J36"/>
    <mergeCell ref="K36:AE36"/>
    <mergeCell ref="H30:AE30"/>
    <mergeCell ref="H31:AE31"/>
    <mergeCell ref="H32:S32"/>
    <mergeCell ref="T32:Y32"/>
    <mergeCell ref="Z32:AD32"/>
    <mergeCell ref="AD40:AE40"/>
    <mergeCell ref="H37:AE37"/>
    <mergeCell ref="H38:H39"/>
    <mergeCell ref="I39:Q39"/>
    <mergeCell ref="R39:X39"/>
    <mergeCell ref="X13:AB13"/>
    <mergeCell ref="AC13:AE13"/>
    <mergeCell ref="H5:AE5"/>
    <mergeCell ref="H6:I6"/>
    <mergeCell ref="J6:T6"/>
    <mergeCell ref="U6:AA6"/>
    <mergeCell ref="AB6:AE6"/>
    <mergeCell ref="M12:N12"/>
    <mergeCell ref="O12:W12"/>
    <mergeCell ref="X12:AB12"/>
    <mergeCell ref="AC12:AE12"/>
    <mergeCell ref="U8:AA8"/>
    <mergeCell ref="U9:AA9"/>
    <mergeCell ref="H10:L10"/>
    <mergeCell ref="M8:T8"/>
    <mergeCell ref="AB8:AE8"/>
    <mergeCell ref="H2:AE4"/>
    <mergeCell ref="B2:C2"/>
    <mergeCell ref="Y39:AE39"/>
    <mergeCell ref="H40:H41"/>
    <mergeCell ref="I40:K41"/>
    <mergeCell ref="L40:M41"/>
    <mergeCell ref="N40:Q41"/>
    <mergeCell ref="R40:U41"/>
    <mergeCell ref="V40:X41"/>
    <mergeCell ref="Y40:AC41"/>
    <mergeCell ref="AD41:AE41"/>
    <mergeCell ref="H11:L11"/>
    <mergeCell ref="M11:AE11"/>
    <mergeCell ref="H12:L13"/>
    <mergeCell ref="M13:N13"/>
    <mergeCell ref="O13:W13"/>
  </mergeCells>
  <phoneticPr fontId="16" type="noConversion"/>
  <hyperlinks>
    <hyperlink ref="C10" r:id="rId1" xr:uid="{EC903CE3-7DC3-4F26-9899-6C75C2FB79B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Drop Down 1">
              <controlPr defaultSize="0" autoLine="0" autoPict="0" macro="[0]!목차드롭다운">
                <anchor moveWithCells="1">
                  <from>
                    <xdr:col>31</xdr:col>
                    <xdr:colOff>95250</xdr:colOff>
                    <xdr:row>1</xdr:row>
                    <xdr:rowOff>38100</xdr:rowOff>
                  </from>
                  <to>
                    <xdr:col>36</xdr:col>
                    <xdr:colOff>390525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체크리스트</vt:lpstr>
      <vt:lpstr>목차</vt:lpstr>
      <vt:lpstr>기본양식</vt:lpstr>
      <vt:lpstr>참여자명단</vt:lpstr>
      <vt:lpstr>참여기업 정보</vt:lpstr>
      <vt:lpstr>13. 참여기업 지원금 지급 신청서</vt:lpstr>
      <vt:lpstr>Sheet1</vt:lpstr>
      <vt:lpstr>108. 일경험 운영 계획서</vt:lpstr>
      <vt:lpstr>멘토일지</vt:lpstr>
      <vt:lpstr>종합보고서</vt:lpstr>
      <vt:lpstr>중간점검일지</vt:lpstr>
      <vt:lpstr>102. 사전직무교육 운영 계획서</vt:lpstr>
      <vt:lpstr>12. 청년 일경험 프로그램 참여기업 신청서 </vt:lpstr>
      <vt:lpstr>42. 청년 일경험 지원사업 기업 참여 의향서</vt:lpstr>
      <vt:lpstr>125. (공통직무교육기관) 사전직무교육 실시보고</vt:lpstr>
      <vt:lpstr>34. 인턴형 일경험 실시보고</vt:lpstr>
      <vt:lpstr>33. 인턴형 일경험 참여신청서</vt:lpstr>
      <vt:lpstr>40. 개인정보 활용에 관한 동의서</vt:lpstr>
      <vt:lpstr>46. 참여 청년용 확인서</vt:lpstr>
      <vt:lpstr>118. 인턴형 프로그램 표준계약서</vt:lpstr>
      <vt:lpstr>기본양식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SO YEON LEE</cp:lastModifiedBy>
  <dcterms:created xsi:type="dcterms:W3CDTF">2024-11-21T06:22:48Z</dcterms:created>
  <dcterms:modified xsi:type="dcterms:W3CDTF">2024-12-09T07:04:19Z</dcterms:modified>
</cp:coreProperties>
</file>