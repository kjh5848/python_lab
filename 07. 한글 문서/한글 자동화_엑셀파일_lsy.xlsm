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DE37BEB1-FD35-4632-99B1-56EC366286E6}" xr6:coauthVersionLast="47" xr6:coauthVersionMax="47" xr10:uidLastSave="{00000000-0000-0000-0000-000000000000}"/>
  <bookViews>
    <workbookView xWindow="-28920" yWindow="6225" windowWidth="29040" windowHeight="15720" activeTab="3" xr2:uid="{00000000-000D-0000-FFFF-FFFF00000000}"/>
  </bookViews>
  <sheets>
    <sheet name="목차" sheetId="22" r:id="rId1"/>
    <sheet name="기본양식" sheetId="6" r:id="rId2"/>
    <sheet name="참여자명단" sheetId="24" r:id="rId3"/>
    <sheet name="참여기업 정보" sheetId="7" r:id="rId4"/>
    <sheet name="일경험 운영계획서" sheetId="8" r:id="rId5"/>
    <sheet name="멘토일지" sheetId="9" r:id="rId6"/>
    <sheet name="종합보고서" sheetId="10" r:id="rId7"/>
    <sheet name="중간점검일지" sheetId="11" r:id="rId8"/>
    <sheet name="102. 사전직무교육 운영 계획서" sheetId="16" r:id="rId9"/>
    <sheet name="108. 일경험 운영 계획서" sheetId="17" r:id="rId10"/>
    <sheet name="12. 청년 일경험 프로그램 참여기업 신청서 " sheetId="18" r:id="rId11"/>
    <sheet name="42. 청년 일경험 지원사업 기업 참여 의향서" sheetId="21" r:id="rId12"/>
    <sheet name="125. (공통직무교육기관) 사전직무교육 실시보고" sheetId="20" r:id="rId13"/>
    <sheet name="34. 인턴형 일경험 실시보고" sheetId="19" r:id="rId14"/>
    <sheet name="33. 인턴형 일경험 참여신청서" sheetId="25" r:id="rId15"/>
    <sheet name="40. 개인정보 활용에 관한 동의서" sheetId="26" r:id="rId16"/>
    <sheet name="46. 참여 청년용 확인서" sheetId="27" r:id="rId17"/>
    <sheet name="118. 인턴형 프로그램 표준계약서" sheetId="28" r:id="rId18"/>
    <sheet name="13. 참여기업 지원금 지급 신청서" sheetId="29" r:id="rId19"/>
    <sheet name="Sheet2" sheetId="30" r:id="rId20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" i="24" l="1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11" i="8"/>
  <c r="C10" i="8"/>
  <c r="C9" i="8"/>
  <c r="C8" i="8"/>
  <c r="C6" i="8"/>
  <c r="C4" i="8"/>
  <c r="C5" i="8"/>
  <c r="C7" i="8"/>
  <c r="C12" i="8"/>
  <c r="C13" i="8"/>
  <c r="C14" i="8"/>
  <c r="C15" i="8"/>
  <c r="C16" i="8"/>
  <c r="C17" i="8"/>
  <c r="C3" i="10"/>
  <c r="C3" i="9"/>
  <c r="C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<sst xmlns="http://schemas.openxmlformats.org/spreadsheetml/2006/main" count="726" uniqueCount="433">
  <si>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</si>
  <si>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</si>
  <si>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</si>
  <si>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</si>
  <si>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</si>
  <si>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</si>
  <si>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</si>
  <si>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</si>
  <si>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</si>
  <si>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</si>
  <si>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</si>
  <si>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</si>
  <si>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</si>
  <si>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</si>
  <si>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</si>
  <si>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</si>
  <si>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</si>
  <si>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</si>
  <si>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</si>
  <si>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전화번호</t>
  </si>
  <si>
    <t>111-1111-1111</t>
  </si>
  <si>
    <t>담당자명</t>
  </si>
  <si>
    <t>이메일</t>
  </si>
  <si>
    <t>abc@hanmail.com</t>
  </si>
  <si>
    <t>수행업무(직무)</t>
  </si>
  <si>
    <t>참여자자격요건</t>
  </si>
  <si>
    <t>없음</t>
  </si>
  <si>
    <t>있음일경우에만 자격내용</t>
  </si>
  <si>
    <t>자격내용1</t>
  </si>
  <si>
    <t>작성날짜</t>
  </si>
  <si>
    <t>참여기업 담당자</t>
  </si>
  <si>
    <t>김주혁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</si>
  <si>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</si>
  <si>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</si>
  <si>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</si>
  <si>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</si>
  <si>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</si>
  <si>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</si>
  <si>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</si>
  <si>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</si>
  <si>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</si>
  <si>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이소연</t>
  </si>
  <si>
    <t>멘토 부서명</t>
  </si>
  <si>
    <t>연구 1팀</t>
  </si>
  <si>
    <t>멘토 직위</t>
  </si>
  <si>
    <t>멘토 연락처</t>
  </si>
  <si>
    <t>멘토 이메일</t>
  </si>
  <si>
    <t>멘토 일경험 기간</t>
  </si>
  <si>
    <t>참여자 직무</t>
  </si>
  <si>
    <t>IT</t>
  </si>
  <si>
    <t>참여자 근무부서</t>
  </si>
  <si>
    <t>개발팀</t>
  </si>
  <si>
    <t>참여자 주요업무</t>
  </si>
  <si>
    <t>소프트웨어 개발 업무에 대한 전반적인 기초 능력 배양 및 현업에 대한 경험</t>
  </si>
  <si>
    <t>참여기업</t>
  </si>
  <si>
    <t>주차별 업무는 협회측에서 임의 계획서로 작성하였으며 변경 및 수정 가능합니다.</t>
  </si>
  <si>
    <t>주차별 업무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</si>
  <si>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</si>
  <si>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</si>
  <si>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</si>
  <si>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</si>
  <si>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</si>
  <si>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</si>
  <si>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</si>
  <si>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</si>
  <si>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</si>
  <si>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</si>
  <si>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</si>
  <si>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</si>
  <si>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</si>
  <si>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</si>
  <si>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</si>
  <si>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</si>
  <si>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</si>
  <si>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</si>
  <si>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</si>
  <si>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</si>
  <si>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</si>
  <si>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</si>
  <si>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</si>
  <si>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</si>
  <si>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</si>
  <si>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</si>
  <si>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</si>
  <si>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</si>
  <si>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</si>
  <si>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</si>
  <si>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</si>
  <si>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</si>
  <si>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</si>
  <si>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</si>
  <si>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8" type="noConversion"/>
  </si>
  <si>
    <r>
      <t>(</t>
    </r>
    <r>
      <rPr>
        <sz val="12"/>
        <color theme="1"/>
        <rFont val="돋움체"/>
        <family val="2"/>
        <charset val="129"/>
      </rPr>
      <t>주</t>
    </r>
    <r>
      <rPr>
        <sz val="12"/>
        <color theme="1"/>
        <rFont val="Arial"/>
        <family val="2"/>
        <scheme val="minor"/>
      </rPr>
      <t>)</t>
    </r>
    <r>
      <rPr>
        <sz val="12"/>
        <color theme="1"/>
        <rFont val="돋움체"/>
        <family val="2"/>
        <charset val="129"/>
      </rPr>
      <t>소연</t>
    </r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</si>
  <si>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</si>
  <si>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</si>
  <si>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</si>
  <si>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</si>
  <si>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</si>
  <si>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</si>
  <si>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</si>
  <si>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</si>
  <si>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</si>
  <si>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</si>
  <si>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</si>
  <si>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</si>
  <si>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</si>
  <si>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</si>
  <si>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</si>
  <si>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</si>
  <si>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</si>
  <si>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</si>
  <si>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</si>
  <si>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</si>
  <si>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</si>
  <si>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</si>
  <si>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1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</si>
  <si>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2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</si>
  <si>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3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</si>
  <si>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4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</si>
  <si>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</si>
  <si>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6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</si>
  <si>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7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</si>
  <si>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8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</si>
  <si>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</si>
  <si>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</si>
  <si>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7" type="noConversion"/>
  </si>
  <si>
    <t>111-2222</t>
    <phoneticPr fontId="17" type="noConversion"/>
  </si>
  <si>
    <t>www.example.com</t>
    <phoneticPr fontId="17" type="noConversion"/>
  </si>
  <si>
    <t>010-111-2222</t>
    <phoneticPr fontId="17" type="noConversion"/>
  </si>
  <si>
    <t>www.example2.com</t>
    <phoneticPr fontId="17" type="noConversion"/>
  </si>
  <si>
    <t>2024.11.18 ~ 2025.01.10</t>
    <phoneticPr fontId="17" type="noConversion"/>
  </si>
  <si>
    <t>2024.11.18 ~ 2025.01.10</t>
    <phoneticPr fontId="17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</si>
  <si>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</si>
  <si>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7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</si>
  <si>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</si>
  <si>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</si>
  <si>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</si>
  <si>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</si>
  <si>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</si>
  <si>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</si>
  <si>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</si>
  <si>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</si>
  <si>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</si>
  <si>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</si>
  <si>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</si>
  <si>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</si>
  <si>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</si>
  <si>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</si>
  <si>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</si>
  <si>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</si>
  <si>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7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</si>
  <si>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7" type="noConversion"/>
  </si>
  <si>
    <t>111-222-3333</t>
    <phoneticPr fontId="17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</si>
  <si>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</si>
  <si>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7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</si>
  <si>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</si>
  <si>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7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</si>
  <si>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</si>
  <si>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7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</si>
  <si>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</si>
  <si>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7" type="noConversion"/>
  </si>
  <si>
    <t>000-111-2222</t>
    <phoneticPr fontId="17" type="noConversion"/>
  </si>
  <si>
    <t>010-0000-0000</t>
    <phoneticPr fontId="17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</si>
  <si>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</si>
  <si>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</si>
  <si>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</si>
  <si>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</si>
  <si>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</si>
  <si>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</si>
  <si>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</si>
  <si>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</si>
  <si>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7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</si>
  <si>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</si>
  <si>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b/>
        <sz val="18"/>
        <color theme="1"/>
        <rFont val="맑은 고딕"/>
        <family val="3"/>
        <charset val="129"/>
      </rPr>
      <t>참여기업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및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일경험정보</t>
    </r>
    <phoneticPr fontId="17" type="noConversion"/>
  </si>
  <si>
    <t>시트 명</t>
    <phoneticPr fontId="17" type="noConversion"/>
  </si>
  <si>
    <t>102. 사전직무교육 운영 계획서</t>
    <phoneticPr fontId="17" type="noConversion"/>
  </si>
  <si>
    <t>108. 일경험 운영 계획서</t>
    <phoneticPr fontId="17" type="noConversion"/>
  </si>
  <si>
    <t>12. 청년 일경험 프로ㅡ램 참여기업 신청서</t>
    <phoneticPr fontId="17" type="noConversion"/>
  </si>
  <si>
    <t>42. 청년 일경험 지원사업 기업 참여 의향서</t>
    <phoneticPr fontId="17" type="noConversion"/>
  </si>
  <si>
    <r>
      <rPr>
        <sz val="12"/>
        <color rgb="FF000000"/>
        <rFont val="Arial"/>
        <family val="3"/>
        <charset val="129"/>
        <scheme val="minor"/>
      </rPr>
      <t>기본양식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</si>
  <si>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참여기업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정보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</si>
  <si>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일경험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운영계획서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</si>
  <si>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멘토일지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</si>
  <si>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종합보고서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</si>
  <si>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중간점검일지</t>
    </r>
    <phoneticPr fontId="17" type="noConversion"/>
  </si>
  <si>
    <r>
      <t>125. (</t>
    </r>
    <r>
      <rPr>
        <sz val="12"/>
        <color rgb="FF000000"/>
        <rFont val="Arial"/>
        <family val="2"/>
        <charset val="129"/>
        <scheme val="minor"/>
      </rPr>
      <t>공통직무교육기관</t>
    </r>
    <r>
      <rPr>
        <sz val="12"/>
        <color rgb="FF000000"/>
        <rFont val="Arial"/>
        <family val="2"/>
        <scheme val="minor"/>
      </rPr>
      <t xml:space="preserve">) </t>
    </r>
    <r>
      <rPr>
        <sz val="12"/>
        <color rgb="FF000000"/>
        <rFont val="Arial"/>
        <family val="2"/>
        <charset val="129"/>
        <scheme val="minor"/>
      </rPr>
      <t>사전직무교육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charset val="129"/>
        <scheme val="minor"/>
      </rPr>
      <t>실시보고</t>
    </r>
    <phoneticPr fontId="17" type="noConversion"/>
  </si>
  <si>
    <t>24.08.14 ~ 24.08.28</t>
    <phoneticPr fontId="17" type="noConversion"/>
  </si>
  <si>
    <t>이름</t>
    <phoneticPr fontId="17" type="noConversion"/>
  </si>
  <si>
    <t>생년월일</t>
    <phoneticPr fontId="17" type="noConversion"/>
  </si>
  <si>
    <t>성별</t>
    <phoneticPr fontId="17" type="noConversion"/>
  </si>
  <si>
    <t>연락처</t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</si>
  <si>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</si>
  <si>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</si>
  <si>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</si>
  <si>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7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</si>
  <si>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</si>
  <si>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</si>
  <si>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</si>
  <si>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</si>
  <si>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</si>
  <si>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7" type="noConversion"/>
  </si>
  <si>
    <t>홍길동</t>
    <phoneticPr fontId="17" type="noConversion"/>
  </si>
  <si>
    <t>작성날짜</t>
    <phoneticPr fontId="18" type="noConversion"/>
  </si>
  <si>
    <t>특이사항 기재</t>
  </si>
  <si>
    <t>순번</t>
  </si>
  <si>
    <t>프로그램명</t>
  </si>
  <si>
    <t>성명</t>
  </si>
  <si>
    <t>주민등록번호</t>
    <phoneticPr fontId="18" type="noConversion"/>
  </si>
  <si>
    <t>연락처</t>
    <phoneticPr fontId="18" type="noConversion"/>
  </si>
  <si>
    <t>이메일</t>
    <phoneticPr fontId="18" type="noConversion"/>
  </si>
  <si>
    <t>학년</t>
  </si>
  <si>
    <t>최종학교명</t>
    <phoneticPr fontId="18" type="noConversion"/>
  </si>
  <si>
    <t>최종학과</t>
  </si>
  <si>
    <t>주소</t>
    <phoneticPr fontId="18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</si>
  <si>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</si>
  <si>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</si>
  <si>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</si>
  <si>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</si>
  <si>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</si>
  <si>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</si>
  <si>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8" type="noConversion"/>
  </si>
  <si>
    <t>지역</t>
  </si>
  <si>
    <t>졸업</t>
    <phoneticPr fontId="18" type="noConversion"/>
  </si>
  <si>
    <t>국민은행</t>
  </si>
  <si>
    <t>참여자명단</t>
    <phoneticPr fontId="17" type="noConversion"/>
  </si>
  <si>
    <t>참고용</t>
    <phoneticPr fontId="17" type="noConversion"/>
  </si>
  <si>
    <t>051-123-1234</t>
    <phoneticPr fontId="17" type="noConversion"/>
  </si>
  <si>
    <t>asd@asd.net</t>
    <phoneticPr fontId="17" type="noConversion"/>
  </si>
  <si>
    <t>2024.00.00 ~ 2024.00.00</t>
    <phoneticPr fontId="17" type="noConversion"/>
  </si>
  <si>
    <t>010-1234-1233</t>
    <phoneticPr fontId="17" type="noConversion"/>
  </si>
  <si>
    <t>010-2134-2134</t>
    <phoneticPr fontId="17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</si>
  <si>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8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</si>
  <si>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</si>
  <si>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</si>
  <si>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</si>
  <si>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</si>
  <si>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</si>
  <si>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</si>
  <si>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7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</si>
  <si>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</si>
  <si>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</si>
  <si>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</si>
  <si>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</si>
  <si>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</si>
  <si>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</si>
  <si>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</si>
  <si>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</si>
  <si>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</si>
  <si>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7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</si>
  <si>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</si>
  <si>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</si>
  <si>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</si>
  <si>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</si>
  <si>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7" type="noConversion"/>
  </si>
  <si>
    <t>2024년 00월 00일</t>
    <phoneticPr fontId="17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</si>
  <si>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</si>
  <si>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7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</si>
  <si>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</si>
  <si>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7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</si>
  <si>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7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</si>
  <si>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7" type="noConversion"/>
  </si>
  <si>
    <t>성명</t>
    <phoneticPr fontId="17" type="noConversion"/>
  </si>
  <si>
    <t>주민등록번호</t>
    <phoneticPr fontId="17" type="noConversion"/>
  </si>
  <si>
    <t>주소</t>
    <phoneticPr fontId="17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</si>
  <si>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7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</si>
  <si>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7" type="noConversion"/>
  </si>
  <si>
    <t>최종학력구분</t>
    <phoneticPr fontId="17" type="noConversion"/>
  </si>
  <si>
    <t>학년</t>
    <phoneticPr fontId="17" type="noConversion"/>
  </si>
  <si>
    <t>최종학력상태</t>
    <phoneticPr fontId="17" type="noConversion"/>
  </si>
  <si>
    <t>최종학교명</t>
    <phoneticPr fontId="17" type="noConversion"/>
  </si>
  <si>
    <t>최종학과</t>
    <phoneticPr fontId="17" type="noConversion"/>
  </si>
  <si>
    <t>동의대학교</t>
    <phoneticPr fontId="17" type="noConversion"/>
  </si>
  <si>
    <t>일본어학과</t>
    <phoneticPr fontId="17" type="noConversion"/>
  </si>
  <si>
    <t>123412-1212221</t>
    <phoneticPr fontId="17" type="noConversion"/>
  </si>
  <si>
    <t>010-1233-1223</t>
    <phoneticPr fontId="17" type="noConversion"/>
  </si>
  <si>
    <t>example@nate.com</t>
    <phoneticPr fontId="17" type="noConversion"/>
  </si>
  <si>
    <t>최종학력구분</t>
    <phoneticPr fontId="17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</si>
  <si>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8" type="noConversion"/>
  </si>
  <si>
    <r>
      <t xml:space="preserve">34. </t>
    </r>
    <r>
      <rPr>
        <sz val="12"/>
        <color rgb="FF000000"/>
        <rFont val="Arial"/>
        <family val="3"/>
        <charset val="129"/>
        <scheme val="minor"/>
      </rPr>
      <t>인턴형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일경험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실시보고</t>
    </r>
    <phoneticPr fontId="17" type="noConversion"/>
  </si>
  <si>
    <r>
      <t xml:space="preserve">33. </t>
    </r>
    <r>
      <rPr>
        <sz val="12"/>
        <color rgb="FF000000"/>
        <rFont val="Arial"/>
        <family val="3"/>
        <charset val="129"/>
        <scheme val="minor"/>
      </rPr>
      <t>인턴형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일경험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참여신청서</t>
    </r>
  </si>
  <si>
    <t>작성날짜</t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</si>
  <si>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</si>
  <si>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7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</si>
  <si>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7" type="noConversion"/>
  </si>
  <si>
    <t>일경험기간시작일</t>
    <phoneticPr fontId="17" type="noConversion"/>
  </si>
  <si>
    <t>일경험기간종료일</t>
    <phoneticPr fontId="17" type="noConversion"/>
  </si>
  <si>
    <t>주업무</t>
    <phoneticPr fontId="17" type="noConversion"/>
  </si>
  <si>
    <t>콘텐츠 마케팅</t>
    <phoneticPr fontId="17" type="noConversion"/>
  </si>
  <si>
    <t>부산광역시 금정구</t>
    <phoneticPr fontId="17" type="noConversion"/>
  </si>
  <si>
    <t>계좌번호</t>
    <phoneticPr fontId="17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</si>
  <si>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</si>
  <si>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</si>
  <si>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</si>
  <si>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t xml:space="preserve">40. </t>
    </r>
    <r>
      <rPr>
        <sz val="10"/>
        <color rgb="FF000000"/>
        <rFont val="Arial Unicode MS"/>
        <family val="2"/>
      </rPr>
      <t>개인정보 활용에 관한 동의서</t>
    </r>
    <phoneticPr fontId="17" type="noConversion"/>
  </si>
  <si>
    <r>
      <t xml:space="preserve">46. </t>
    </r>
    <r>
      <rPr>
        <sz val="10"/>
        <color rgb="FF000000"/>
        <rFont val="Arial Unicode MS"/>
        <family val="2"/>
      </rPr>
      <t>참여 청년용 확인서</t>
    </r>
    <phoneticPr fontId="17" type="noConversion"/>
  </si>
  <si>
    <r>
      <t xml:space="preserve">118. </t>
    </r>
    <r>
      <rPr>
        <sz val="10"/>
        <color rgb="FF000000"/>
        <rFont val="Arial Unicode MS"/>
        <family val="2"/>
      </rPr>
      <t>인턴형 프로그램 표준계약서</t>
    </r>
    <phoneticPr fontId="17" type="noConversion"/>
  </si>
  <si>
    <t>참여인원</t>
    <phoneticPr fontId="17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</si>
  <si>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7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</si>
  <si>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7" type="noConversion"/>
  </si>
  <si>
    <t>직무분야</t>
    <phoneticPr fontId="17" type="noConversion"/>
  </si>
  <si>
    <t>운영기관명</t>
    <phoneticPr fontId="17" type="noConversion"/>
  </si>
  <si>
    <t>직무교육명</t>
    <phoneticPr fontId="17" type="noConversion"/>
  </si>
  <si>
    <t>교육주요내용</t>
    <phoneticPr fontId="17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</si>
  <si>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7" type="noConversion"/>
  </si>
  <si>
    <t>교육기간</t>
    <phoneticPr fontId="17" type="noConversion"/>
  </si>
  <si>
    <t>남</t>
    <phoneticPr fontId="17" type="noConversion"/>
  </si>
  <si>
    <t>010-111-2223</t>
    <phoneticPr fontId="17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</si>
  <si>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</si>
  <si>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</si>
  <si>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</si>
  <si>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</si>
  <si>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</si>
  <si>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7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</si>
  <si>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7" type="noConversion"/>
  </si>
  <si>
    <t>사업장명</t>
    <phoneticPr fontId="17" type="noConversion"/>
  </si>
  <si>
    <t>대표자명</t>
    <phoneticPr fontId="17" type="noConversion"/>
  </si>
  <si>
    <t>고용보험사업장관리번호</t>
    <phoneticPr fontId="17" type="noConversion"/>
  </si>
  <si>
    <t>사업자등록번호
(법인등록번호)</t>
    <phoneticPr fontId="17" type="noConversion"/>
  </si>
  <si>
    <t>소재지</t>
    <phoneticPr fontId="17" type="noConversion"/>
  </si>
  <si>
    <t>담당자성명</t>
    <phoneticPr fontId="17" type="noConversion"/>
  </si>
  <si>
    <t>담당자전화번호</t>
    <phoneticPr fontId="17" type="noConversion"/>
  </si>
  <si>
    <t>담당자이메일</t>
    <phoneticPr fontId="17" type="noConversion"/>
  </si>
  <si>
    <t>담당자팩스번호</t>
    <phoneticPr fontId="17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</si>
  <si>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</si>
  <si>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</si>
  <si>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</si>
  <si>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7" type="noConversion"/>
  </si>
  <si>
    <r>
      <t xml:space="preserve">13. </t>
    </r>
    <r>
      <rPr>
        <sz val="10"/>
        <color rgb="FF000000"/>
        <rFont val="맑은 고딕"/>
        <family val="3"/>
        <charset val="129"/>
      </rPr>
      <t>참여기업</t>
    </r>
    <r>
      <rPr>
        <sz val="10"/>
        <color rgb="FF000000"/>
        <rFont val="Arial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지원금</t>
    </r>
    <r>
      <rPr>
        <sz val="10"/>
        <color rgb="FF000000"/>
        <rFont val="Arial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지급</t>
    </r>
    <r>
      <rPr>
        <sz val="10"/>
        <color rgb="FF000000"/>
        <rFont val="Arial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신청서</t>
    </r>
    <phoneticPr fontId="17" type="noConversion"/>
  </si>
  <si>
    <t>㈜노마드랩</t>
    <phoneticPr fontId="17" type="noConversion"/>
  </si>
  <si>
    <t>㈜노마드</t>
    <phoneticPr fontId="17" type="noConversion"/>
  </si>
  <si>
    <t>한국무선인터넷솔루션협회</t>
    <phoneticPr fontId="17" type="noConversion"/>
  </si>
  <si>
    <r>
      <rPr>
        <sz val="10"/>
        <color rgb="FF000000"/>
        <rFont val="맑은 고딕"/>
        <family val="3"/>
        <charset val="129"/>
      </rPr>
      <t>일경험</t>
    </r>
    <r>
      <rPr>
        <sz val="10"/>
        <color rgb="FF000000"/>
        <rFont val="Arial Unicode MS"/>
        <family val="2"/>
      </rPr>
      <t>(5~8</t>
    </r>
    <r>
      <rPr>
        <sz val="10"/>
        <color rgb="FF000000"/>
        <rFont val="맑은 고딕"/>
        <family val="3"/>
        <charset val="129"/>
      </rPr>
      <t>주</t>
    </r>
    <r>
      <rPr>
        <sz val="10"/>
        <color rgb="FF000000"/>
        <rFont val="Arial"/>
        <family val="2"/>
      </rPr>
      <t>)</t>
    </r>
    <phoneticPr fontId="17" type="noConversion"/>
  </si>
  <si>
    <r>
      <rPr>
        <sz val="10"/>
        <color rgb="FF000000"/>
        <rFont val="맑은 고딕"/>
        <family val="3"/>
        <charset val="129"/>
      </rPr>
      <t>일경험</t>
    </r>
    <r>
      <rPr>
        <sz val="10"/>
        <color rgb="FF000000"/>
        <rFont val="Arial Unicode MS"/>
        <family val="2"/>
      </rPr>
      <t>(1~4</t>
    </r>
    <r>
      <rPr>
        <sz val="10"/>
        <color rgb="FF000000"/>
        <rFont val="맑은 고딕"/>
        <family val="3"/>
        <charset val="129"/>
      </rPr>
      <t>주</t>
    </r>
    <r>
      <rPr>
        <sz val="10"/>
        <color rgb="FF000000"/>
        <rFont val="Arial"/>
        <family val="2"/>
      </rPr>
      <t>)</t>
    </r>
    <phoneticPr fontId="17" type="noConversion"/>
  </si>
  <si>
    <t>2024.11.18 ~ 2024.12.13</t>
    <phoneticPr fontId="17" type="noConversion"/>
  </si>
  <si>
    <t>참여일</t>
    <phoneticPr fontId="17" type="noConversion"/>
  </si>
  <si>
    <t>2024.11.18</t>
    <phoneticPr fontId="17" type="noConversion"/>
  </si>
  <si>
    <t>2024.12.16</t>
    <phoneticPr fontId="17" type="noConversion"/>
  </si>
  <si>
    <t>2024.12.16 ~ 2024.01.07</t>
    <phoneticPr fontId="17" type="noConversion"/>
  </si>
  <si>
    <t>참여기간</t>
    <phoneticPr fontId="17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</si>
  <si>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7" type="noConversion"/>
  </si>
  <si>
    <t>대학교_2년제</t>
  </si>
  <si>
    <t>합계</t>
  </si>
  <si>
    <t>평균</t>
    <phoneticPr fontId="17" type="noConversion"/>
  </si>
  <si>
    <t>누계</t>
    <phoneticPr fontId="17" type="noConversion"/>
  </si>
  <si>
    <t>개수</t>
    <phoneticPr fontId="17" type="noConversion"/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</si>
  <si>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</si>
  <si>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</si>
  <si>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</si>
  <si>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</si>
  <si>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</si>
  <si>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</si>
  <si>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</si>
  <si>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</si>
  <si>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</si>
  <si>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</si>
  <si>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</si>
  <si>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</si>
  <si>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</si>
  <si>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</si>
  <si>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</si>
  <si>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</si>
  <si>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</si>
  <si>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</si>
  <si>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</si>
  <si>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</si>
  <si>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</si>
  <si>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</si>
  <si>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</si>
  <si>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</si>
  <si>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</si>
  <si>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</si>
  <si>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</si>
  <si>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</si>
  <si>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</si>
  <si>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</si>
  <si>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</si>
  <si>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</si>
  <si>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</si>
  <si>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</si>
  <si>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</si>
  <si>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</si>
  <si>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</si>
  <si>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</si>
  <si>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</si>
  <si>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</si>
  <si>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</si>
  <si>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</si>
  <si>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</si>
  <si>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</si>
  <si>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</si>
  <si>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</si>
  <si>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</si>
  <si>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</si>
  <si>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</si>
  <si>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</si>
  <si>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</si>
  <si>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</si>
  <si>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</si>
  <si>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</si>
  <si>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</si>
  <si>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</si>
  <si>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</si>
  <si>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</si>
  <si>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</si>
  <si>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</si>
  <si>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</si>
  <si>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</si>
  <si>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7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</si>
  <si>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7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</si>
  <si>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7" type="noConversion"/>
  </si>
  <si>
    <t xml:space="preserve"> 경상남도 부산진구</t>
    <phoneticPr fontId="17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</si>
  <si>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7" type="noConversion"/>
  </si>
  <si>
    <t>제주특별시</t>
    <phoneticPr fontId="17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</si>
  <si>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</si>
  <si>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</si>
  <si>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</si>
  <si>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</si>
  <si>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</si>
  <si>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</si>
  <si>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</si>
  <si>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</si>
  <si>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</si>
  <si>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</si>
  <si>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</si>
  <si>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</si>
  <si>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7" type="noConversion"/>
  </si>
  <si>
    <t>001199-3301932</t>
    <phoneticPr fontId="17" type="noConversion"/>
  </si>
  <si>
    <t>020699-3626178</t>
    <phoneticPr fontId="17" type="noConversion"/>
  </si>
  <si>
    <t>[SY컴퍼니] 마케팅 인턴십</t>
    <phoneticPr fontId="17" type="noConversion"/>
  </si>
  <si>
    <t>2024년 12월 03일</t>
    <phoneticPr fontId="18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</si>
  <si>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7" type="noConversion"/>
  </si>
  <si>
    <t>김주혁</t>
    <phoneticPr fontId="17" type="noConversion"/>
  </si>
  <si>
    <t>디자인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</si>
</sst>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</numFmts>
  <fonts count="86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0"/>
      <color theme="1"/>
      <name val="함초롬바탕"/>
      <family val="1"/>
      <charset val="128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2"/>
      <color theme="1"/>
      <name val="돋움체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18"/>
      <name val="Arial"/>
      <family val="2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b/>
      <sz val="18"/>
      <color theme="1"/>
      <name val="Arial"/>
      <family val="3"/>
      <charset val="129"/>
      <scheme val="minor"/>
    </font>
    <font>
      <b/>
      <sz val="18"/>
      <color theme="1"/>
      <name val="맑은 고딕"/>
      <family val="3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4"/>
      <color rgb="FF000000"/>
      <name val="Arial Unicode MS"/>
      <family val="2"/>
    </font>
    <font>
      <sz val="14"/>
      <color rgb="FF000000"/>
      <name val="맑은 고딕"/>
      <family val="3"/>
      <charset val="129"/>
    </font>
    <font>
      <sz val="12"/>
      <color rgb="FF000000"/>
      <name val="Arial"/>
      <family val="3"/>
      <charset val="129"/>
      <scheme val="minor"/>
    </font>
    <font>
      <sz val="12"/>
      <color rgb="FF000000"/>
      <name val="Arial"/>
      <family val="2"/>
      <charset val="129"/>
      <scheme val="minor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돋움"/>
      <family val="3"/>
      <charset val="129"/>
    </font>
    <font>
      <sz val="10"/>
      <color rgb="FF000000"/>
      <name val="Arial Unicode MS"/>
      <family val="3"/>
      <charset val="129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219">
    <xf numFmtId="0" fontId="0" fillId="0" borderId="0" xfId="0"/>
    <xf numFmtId="0" fontId="16" fillId="6" borderId="2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8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0" fillId="0" borderId="9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1" fillId="2" borderId="1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4" fillId="8" borderId="22" xfId="0" applyFont="1" applyFill="1" applyBorder="1" applyAlignment="1">
      <alignment vertical="center"/>
    </xf>
    <xf numFmtId="0" fontId="29" fillId="0" borderId="0" xfId="0" applyFont="1"/>
    <xf numFmtId="0" fontId="32" fillId="2" borderId="16" xfId="0" applyFont="1" applyFill="1" applyBorder="1" applyAlignment="1">
      <alignment vertical="center"/>
    </xf>
    <xf numFmtId="0" fontId="32" fillId="2" borderId="9" xfId="0" applyFont="1" applyFill="1" applyBorder="1" applyAlignment="1">
      <alignment vertical="center"/>
    </xf>
    <xf numFmtId="0" fontId="32" fillId="2" borderId="10" xfId="0" applyFont="1" applyFill="1" applyBorder="1" applyAlignment="1">
      <alignment vertical="center"/>
    </xf>
    <xf numFmtId="0" fontId="32" fillId="2" borderId="12" xfId="0" applyFont="1" applyFill="1" applyBorder="1" applyAlignment="1">
      <alignment vertical="center"/>
    </xf>
    <xf numFmtId="0" fontId="32" fillId="2" borderId="0" xfId="0" applyFont="1" applyFill="1" applyAlignment="1">
      <alignment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33" fillId="0" borderId="12" xfId="0" applyFont="1" applyBorder="1"/>
    <xf numFmtId="0" fontId="33" fillId="0" borderId="0" xfId="0" applyFont="1"/>
    <xf numFmtId="0" fontId="33" fillId="0" borderId="15" xfId="0" applyFont="1" applyBorder="1"/>
    <xf numFmtId="0" fontId="33" fillId="0" borderId="8" xfId="0" applyFont="1" applyBorder="1"/>
    <xf numFmtId="0" fontId="0" fillId="7" borderId="6" xfId="0" applyFill="1" applyBorder="1"/>
    <xf numFmtId="0" fontId="29" fillId="9" borderId="18" xfId="0" applyFont="1" applyFill="1" applyBorder="1"/>
    <xf numFmtId="0" fontId="0" fillId="0" borderId="26" xfId="0" applyBorder="1"/>
    <xf numFmtId="0" fontId="29" fillId="0" borderId="11" xfId="0" applyFont="1" applyBorder="1"/>
    <xf numFmtId="0" fontId="29" fillId="9" borderId="27" xfId="0" applyFont="1" applyFill="1" applyBorder="1"/>
    <xf numFmtId="0" fontId="29" fillId="9" borderId="17" xfId="0" applyFont="1" applyFill="1" applyBorder="1"/>
    <xf numFmtId="0" fontId="4" fillId="4" borderId="3" xfId="0" applyFont="1" applyFill="1" applyBorder="1" applyAlignment="1">
      <alignment vertical="center"/>
    </xf>
    <xf numFmtId="0" fontId="26" fillId="0" borderId="6" xfId="0" applyFont="1" applyBorder="1"/>
    <xf numFmtId="0" fontId="26" fillId="0" borderId="1" xfId="0" applyFont="1" applyBorder="1"/>
    <xf numFmtId="0" fontId="26" fillId="0" borderId="19" xfId="0" applyFont="1" applyBorder="1"/>
    <xf numFmtId="0" fontId="26" fillId="0" borderId="3" xfId="0" applyFont="1" applyBorder="1"/>
    <xf numFmtId="0" fontId="1" fillId="2" borderId="29" xfId="0" applyFont="1" applyFill="1" applyBorder="1" applyAlignment="1">
      <alignment vertical="center"/>
    </xf>
    <xf numFmtId="0" fontId="1" fillId="2" borderId="3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1" fillId="0" borderId="21" xfId="0" applyFont="1" applyBorder="1"/>
    <xf numFmtId="0" fontId="31" fillId="0" borderId="17" xfId="0" applyFont="1" applyBorder="1"/>
    <xf numFmtId="0" fontId="31" fillId="0" borderId="20" xfId="0" applyFont="1" applyBorder="1"/>
    <xf numFmtId="0" fontId="27" fillId="2" borderId="4" xfId="1" applyFill="1" applyBorder="1" applyAlignment="1">
      <alignment vertical="center"/>
    </xf>
    <xf numFmtId="0" fontId="27" fillId="0" borderId="1" xfId="1" applyBorder="1"/>
    <xf numFmtId="0" fontId="26" fillId="0" borderId="3" xfId="0" applyFont="1" applyBorder="1" applyAlignment="1">
      <alignment horizontal="left"/>
    </xf>
    <xf numFmtId="0" fontId="26" fillId="0" borderId="1" xfId="0" applyFont="1" applyBorder="1" applyAlignment="1">
      <alignment horizontal="left"/>
    </xf>
    <xf numFmtId="0" fontId="26" fillId="0" borderId="19" xfId="0" applyFont="1" applyBorder="1" applyAlignment="1">
      <alignment horizontal="left"/>
    </xf>
    <xf numFmtId="0" fontId="26" fillId="0" borderId="0" xfId="0" applyFont="1"/>
    <xf numFmtId="0" fontId="26" fillId="0" borderId="24" xfId="0" applyFont="1" applyBorder="1"/>
    <xf numFmtId="0" fontId="19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3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4" fillId="12" borderId="32" xfId="0" applyFont="1" applyFill="1" applyBorder="1" applyAlignment="1">
      <alignment vertical="center"/>
    </xf>
    <xf numFmtId="0" fontId="4" fillId="8" borderId="16" xfId="0" applyFont="1" applyFill="1" applyBorder="1" applyAlignment="1">
      <alignment vertical="center"/>
    </xf>
    <xf numFmtId="0" fontId="4" fillId="8" borderId="12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8" fillId="2" borderId="9" xfId="0" applyFont="1" applyFill="1" applyBorder="1" applyAlignment="1">
      <alignment horizontal="center" vertical="center"/>
    </xf>
    <xf numFmtId="0" fontId="0" fillId="9" borderId="28" xfId="0" applyFill="1" applyBorder="1"/>
    <xf numFmtId="0" fontId="0" fillId="0" borderId="28" xfId="0" applyBorder="1"/>
    <xf numFmtId="0" fontId="22" fillId="8" borderId="0" xfId="0" applyFont="1" applyFill="1" applyAlignment="1">
      <alignment vertical="center"/>
    </xf>
    <xf numFmtId="0" fontId="1" fillId="12" borderId="31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34" xfId="0" applyFont="1" applyFill="1" applyBorder="1" applyAlignment="1">
      <alignment vertical="center"/>
    </xf>
    <xf numFmtId="0" fontId="1" fillId="12" borderId="25" xfId="0" applyFont="1" applyFill="1" applyBorder="1" applyAlignment="1">
      <alignment vertical="center"/>
    </xf>
    <xf numFmtId="0" fontId="0" fillId="9" borderId="30" xfId="0" applyFill="1" applyBorder="1"/>
    <xf numFmtId="0" fontId="1" fillId="12" borderId="12" xfId="0" applyFont="1" applyFill="1" applyBorder="1" applyAlignment="1">
      <alignment vertical="center"/>
    </xf>
    <xf numFmtId="0" fontId="22" fillId="8" borderId="15" xfId="0" applyFont="1" applyFill="1" applyBorder="1" applyAlignment="1">
      <alignment vertical="center"/>
    </xf>
    <xf numFmtId="0" fontId="1" fillId="12" borderId="13" xfId="0" applyFont="1" applyFill="1" applyBorder="1" applyAlignment="1">
      <alignment vertical="center"/>
    </xf>
    <xf numFmtId="0" fontId="0" fillId="0" borderId="30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5" xfId="0" applyNumberFormat="1" applyFont="1" applyFill="1" applyBorder="1" applyAlignment="1">
      <alignment horizontal="left" vertical="center"/>
    </xf>
    <xf numFmtId="0" fontId="5" fillId="12" borderId="25" xfId="0" applyFont="1" applyFill="1" applyBorder="1" applyAlignment="1">
      <alignment horizontal="left" vertical="center"/>
    </xf>
    <xf numFmtId="0" fontId="7" fillId="12" borderId="25" xfId="0" applyFont="1" applyFill="1" applyBorder="1" applyAlignment="1">
      <alignment horizontal="left" vertical="center"/>
    </xf>
    <xf numFmtId="0" fontId="0" fillId="9" borderId="25" xfId="0" applyFill="1" applyBorder="1"/>
    <xf numFmtId="0" fontId="0" fillId="0" borderId="25" xfId="0" applyBorder="1"/>
    <xf numFmtId="0" fontId="5" fillId="9" borderId="34" xfId="0" applyFont="1" applyFill="1" applyBorder="1" applyAlignment="1">
      <alignment horizontal="left"/>
    </xf>
    <xf numFmtId="0" fontId="0" fillId="9" borderId="33" xfId="0" applyFill="1" applyBorder="1"/>
    <xf numFmtId="0" fontId="5" fillId="9" borderId="18" xfId="0" applyFont="1" applyFill="1" applyBorder="1" applyAlignment="1">
      <alignment horizontal="left"/>
    </xf>
    <xf numFmtId="0" fontId="0" fillId="9" borderId="18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3" xfId="0" applyFill="1" applyBorder="1"/>
    <xf numFmtId="0" fontId="22" fillId="8" borderId="12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2" fillId="8" borderId="29" xfId="0" applyFont="1" applyFill="1" applyBorder="1" applyAlignment="1">
      <alignment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6" borderId="37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left" vertical="center"/>
    </xf>
    <xf numFmtId="0" fontId="0" fillId="0" borderId="13" xfId="0" applyBorder="1"/>
    <xf numFmtId="0" fontId="22" fillId="8" borderId="11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vertical="center"/>
    </xf>
    <xf numFmtId="0" fontId="22" fillId="8" borderId="38" xfId="0" applyFont="1" applyFill="1" applyBorder="1" applyAlignment="1">
      <alignment vertical="center"/>
    </xf>
    <xf numFmtId="0" fontId="1" fillId="2" borderId="39" xfId="0" applyFont="1" applyFill="1" applyBorder="1" applyAlignment="1">
      <alignment vertical="center"/>
    </xf>
    <xf numFmtId="0" fontId="22" fillId="8" borderId="16" xfId="0" applyFont="1" applyFill="1" applyBorder="1" applyAlignment="1">
      <alignment vertical="center"/>
    </xf>
    <xf numFmtId="0" fontId="38" fillId="0" borderId="38" xfId="0" applyFont="1" applyBorder="1"/>
    <xf numFmtId="0" fontId="40" fillId="4" borderId="1" xfId="0" applyFont="1" applyFill="1" applyBorder="1" applyAlignment="1">
      <alignment vertical="center"/>
    </xf>
    <xf numFmtId="0" fontId="41" fillId="2" borderId="1" xfId="0" applyFont="1" applyFill="1" applyBorder="1" applyAlignment="1">
      <alignment horizontal="left" vertical="center"/>
    </xf>
    <xf numFmtId="0" fontId="32" fillId="2" borderId="1" xfId="0" applyFont="1" applyFill="1" applyBorder="1" applyAlignment="1">
      <alignment vertical="center"/>
    </xf>
    <xf numFmtId="0" fontId="32" fillId="4" borderId="1" xfId="0" applyFont="1" applyFill="1" applyBorder="1" applyAlignment="1">
      <alignment vertical="center"/>
    </xf>
    <xf numFmtId="0" fontId="40" fillId="8" borderId="4" xfId="0" applyFont="1" applyFill="1" applyBorder="1" applyAlignment="1">
      <alignment vertical="center"/>
    </xf>
    <xf numFmtId="0" fontId="41" fillId="12" borderId="40" xfId="0" applyFont="1" applyFill="1" applyBorder="1" applyAlignment="1">
      <alignment horizontal="left" vertical="center"/>
    </xf>
    <xf numFmtId="0" fontId="32" fillId="12" borderId="40" xfId="0" applyFont="1" applyFill="1" applyBorder="1" applyAlignment="1">
      <alignment vertical="center"/>
    </xf>
    <xf numFmtId="0" fontId="40" fillId="8" borderId="22" xfId="0" applyFont="1" applyFill="1" applyBorder="1" applyAlignment="1">
      <alignment vertical="center"/>
    </xf>
    <xf numFmtId="0" fontId="41" fillId="12" borderId="5" xfId="0" applyFont="1" applyFill="1" applyBorder="1" applyAlignment="1">
      <alignment horizontal="left" vertical="center"/>
    </xf>
    <xf numFmtId="0" fontId="32" fillId="12" borderId="35" xfId="0" applyFont="1" applyFill="1" applyBorder="1" applyAlignment="1">
      <alignment vertical="center"/>
    </xf>
    <xf numFmtId="176" fontId="41" fillId="2" borderId="1" xfId="0" applyNumberFormat="1" applyFont="1" applyFill="1" applyBorder="1" applyAlignment="1">
      <alignment horizontal="left" vertical="center"/>
    </xf>
    <xf numFmtId="0" fontId="47" fillId="0" borderId="0" xfId="0" applyFont="1" applyAlignment="1">
      <alignment vertical="center"/>
    </xf>
    <xf numFmtId="0" fontId="0" fillId="0" borderId="0" xfId="0" applyAlignment="1">
      <alignment vertical="center"/>
    </xf>
    <xf numFmtId="0" fontId="46" fillId="0" borderId="0" xfId="0" applyFont="1" applyAlignment="1">
      <alignment vertical="center"/>
    </xf>
    <xf numFmtId="0" fontId="0" fillId="0" borderId="29" xfId="0" applyBorder="1" applyAlignment="1">
      <alignment vertical="center"/>
    </xf>
    <xf numFmtId="0" fontId="48" fillId="9" borderId="10" xfId="0" applyFont="1" applyFill="1" applyBorder="1" applyAlignment="1">
      <alignment vertical="center"/>
    </xf>
    <xf numFmtId="0" fontId="4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55" fillId="0" borderId="0" xfId="0" applyFont="1"/>
    <xf numFmtId="0" fontId="59" fillId="14" borderId="41" xfId="0" applyFont="1" applyFill="1" applyBorder="1" applyAlignment="1">
      <alignment horizontal="center" vertical="center"/>
    </xf>
    <xf numFmtId="0" fontId="59" fillId="14" borderId="42" xfId="0" applyFont="1" applyFill="1" applyBorder="1" applyAlignment="1">
      <alignment horizontal="center" vertical="center"/>
    </xf>
    <xf numFmtId="0" fontId="59" fillId="14" borderId="43" xfId="0" applyFont="1" applyFill="1" applyBorder="1" applyAlignment="1">
      <alignment horizontal="center" vertical="center"/>
    </xf>
    <xf numFmtId="0" fontId="60" fillId="2" borderId="42" xfId="0" applyFont="1" applyFill="1" applyBorder="1" applyAlignment="1">
      <alignment horizontal="center" vertical="center"/>
    </xf>
    <xf numFmtId="0" fontId="60" fillId="2" borderId="44" xfId="0" applyFont="1" applyFill="1" applyBorder="1" applyAlignment="1">
      <alignment horizontal="center" vertical="center"/>
    </xf>
    <xf numFmtId="0" fontId="61" fillId="2" borderId="46" xfId="0" applyFont="1" applyFill="1" applyBorder="1" applyAlignment="1">
      <alignment horizontal="center" vertical="center"/>
    </xf>
    <xf numFmtId="49" fontId="58" fillId="0" borderId="44" xfId="0" applyNumberFormat="1" applyFont="1" applyBorder="1" applyAlignment="1">
      <alignment horizontal="center" vertical="center"/>
    </xf>
    <xf numFmtId="0" fontId="58" fillId="0" borderId="44" xfId="0" applyFont="1" applyBorder="1" applyAlignment="1">
      <alignment horizontal="center" vertical="center"/>
    </xf>
    <xf numFmtId="0" fontId="58" fillId="0" borderId="43" xfId="0" applyFont="1" applyBorder="1" applyAlignment="1">
      <alignment horizontal="center" vertical="center"/>
    </xf>
    <xf numFmtId="49" fontId="58" fillId="0" borderId="43" xfId="0" applyNumberFormat="1" applyFont="1" applyBorder="1" applyAlignment="1">
      <alignment horizontal="center" vertical="center"/>
    </xf>
    <xf numFmtId="0" fontId="58" fillId="0" borderId="42" xfId="0" applyFont="1" applyBorder="1" applyAlignment="1">
      <alignment horizontal="center" vertical="center"/>
    </xf>
    <xf numFmtId="179" fontId="58" fillId="0" borderId="45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58" fillId="0" borderId="1" xfId="0" applyNumberFormat="1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62" fillId="0" borderId="0" xfId="0" applyFont="1"/>
    <xf numFmtId="0" fontId="63" fillId="6" borderId="2" xfId="0" applyFont="1" applyFill="1" applyBorder="1" applyAlignment="1">
      <alignment horizontal="left" vertical="center" wrapText="1"/>
    </xf>
    <xf numFmtId="0" fontId="26" fillId="7" borderId="1" xfId="0" applyFont="1" applyFill="1" applyBorder="1"/>
    <xf numFmtId="0" fontId="65" fillId="6" borderId="3" xfId="0" applyFont="1" applyFill="1" applyBorder="1" applyAlignment="1">
      <alignment horizontal="center" vertical="center"/>
    </xf>
    <xf numFmtId="0" fontId="65" fillId="6" borderId="1" xfId="0" applyFont="1" applyFill="1" applyBorder="1" applyAlignment="1">
      <alignment horizontal="center" vertical="center"/>
    </xf>
    <xf numFmtId="0" fontId="27" fillId="2" borderId="1" xfId="1" applyFill="1" applyBorder="1" applyAlignment="1">
      <alignment vertical="center"/>
    </xf>
    <xf numFmtId="0" fontId="69" fillId="4" borderId="1" xfId="0" applyFont="1" applyFill="1" applyBorder="1" applyAlignment="1">
      <alignment vertical="center"/>
    </xf>
    <xf numFmtId="0" fontId="71" fillId="4" borderId="1" xfId="0" applyFont="1" applyFill="1" applyBorder="1" applyAlignment="1">
      <alignment vertical="center"/>
    </xf>
    <xf numFmtId="0" fontId="47" fillId="0" borderId="0" xfId="0" applyFont="1"/>
    <xf numFmtId="0" fontId="73" fillId="0" borderId="0" xfId="0" applyFont="1"/>
    <xf numFmtId="0" fontId="74" fillId="0" borderId="0" xfId="0" applyFont="1"/>
    <xf numFmtId="0" fontId="69" fillId="2" borderId="1" xfId="0" applyFont="1" applyFill="1" applyBorder="1" applyAlignment="1">
      <alignment vertical="center"/>
    </xf>
    <xf numFmtId="0" fontId="69" fillId="2" borderId="1" xfId="0" applyFont="1" applyFill="1" applyBorder="1" applyAlignment="1">
      <alignment horizontal="left" vertical="center"/>
    </xf>
    <xf numFmtId="0" fontId="21" fillId="2" borderId="1" xfId="0" applyFont="1" applyFill="1" applyBorder="1" applyAlignment="1">
      <alignment vertical="center"/>
    </xf>
    <xf numFmtId="0" fontId="26" fillId="0" borderId="0" xfId="0" applyFont="1" applyAlignment="1">
      <alignment vertical="center"/>
    </xf>
    <xf numFmtId="0" fontId="53" fillId="4" borderId="1" xfId="0" applyFont="1" applyFill="1" applyBorder="1" applyAlignment="1">
      <alignment vertical="center"/>
    </xf>
    <xf numFmtId="0" fontId="50" fillId="13" borderId="0" xfId="0" applyFont="1" applyFill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0" fontId="24" fillId="0" borderId="5" xfId="0" applyFont="1" applyBorder="1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25" fillId="2" borderId="1" xfId="0" applyFont="1" applyFill="1" applyBorder="1" applyAlignment="1">
      <alignment vertical="center" wrapText="1"/>
    </xf>
    <xf numFmtId="178" fontId="10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7" fontId="13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/>
    <xf numFmtId="0" fontId="34" fillId="3" borderId="4" xfId="0" applyFont="1" applyFill="1" applyBorder="1" applyAlignment="1">
      <alignment horizontal="center" vertical="center"/>
    </xf>
    <xf numFmtId="0" fontId="34" fillId="3" borderId="2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5" fillId="11" borderId="4" xfId="0" applyFont="1" applyFill="1" applyBorder="1" applyAlignment="1">
      <alignment horizontal="center" vertical="center"/>
    </xf>
    <xf numFmtId="0" fontId="34" fillId="11" borderId="5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" vertical="center"/>
    </xf>
    <xf numFmtId="0" fontId="39" fillId="3" borderId="5" xfId="0" applyFont="1" applyFill="1" applyBorder="1" applyAlignment="1">
      <alignment horizontal="center" vertical="center"/>
    </xf>
    <xf numFmtId="0" fontId="56" fillId="3" borderId="4" xfId="0" applyFont="1" applyFill="1" applyBorder="1" applyAlignment="1">
      <alignment horizontal="center" vertical="center"/>
    </xf>
    <xf numFmtId="0" fontId="68" fillId="3" borderId="4" xfId="0" applyFont="1" applyFill="1" applyBorder="1" applyAlignment="1">
      <alignment horizontal="center" vertical="center"/>
    </xf>
    <xf numFmtId="0" fontId="69" fillId="4" borderId="1" xfId="0" applyFont="1" applyFill="1" applyBorder="1" applyAlignment="1">
      <alignment vertical="center" wrapText="1"/>
    </xf>
    <xf numFmtId="0" fontId="71" fillId="4" borderId="1" xfId="0" applyFont="1" applyFill="1" applyBorder="1" applyAlignment="1">
      <alignment vertical="center" wrapText="1"/>
    </xf>
    <xf numFmtId="0" fontId="76" fillId="0" borderId="0" xfId="0" applyFont="1"/>
    <xf numFmtId="0" fontId="78" fillId="0" borderId="0" xfId="0" applyFont="1"/>
    <xf numFmtId="0" fontId="77" fillId="0" borderId="0" xfId="0" applyFont="1"/>
    <xf numFmtId="0" fontId="80" fillId="3" borderId="4" xfId="0" applyFont="1" applyFill="1" applyBorder="1" applyAlignment="1">
      <alignment horizontal="center" vertical="center"/>
    </xf>
    <xf numFmtId="0" fontId="80" fillId="3" borderId="23" xfId="0" applyFont="1" applyFill="1" applyBorder="1" applyAlignment="1">
      <alignment horizontal="center" vertical="center"/>
    </xf>
    <xf numFmtId="0" fontId="73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60" fillId="2" borderId="45" xfId="0" applyFont="1" applyFill="1" applyBorder="1" applyAlignment="1">
      <alignment horizontal="center" vertical="center"/>
    </xf>
    <xf numFmtId="0" fontId="46" fillId="0" borderId="0" xfId="0" applyFont="1"/>
    <xf numFmtId="0" fontId="82" fillId="0" borderId="1" xfId="0" applyFont="1" applyBorder="1" applyAlignment="1">
      <alignment horizontal="center" vertical="center"/>
    </xf>
    <xf numFmtId="0" fontId="58" fillId="0" borderId="47" xfId="0" applyFont="1" applyBorder="1" applyAlignment="1">
      <alignment horizontal="center" vertical="center"/>
    </xf>
    <xf numFmtId="49" fontId="58" fillId="0" borderId="47" xfId="0" applyNumberFormat="1" applyFont="1" applyBorder="1" applyAlignment="1">
      <alignment horizontal="center" vertical="center"/>
    </xf>
    <xf numFmtId="0" fontId="85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목차!$B$1" fmlaRange="$C$5:$C$28" noThreeD="1" sel="2" val="14"/>
</file>

<file path=xl/ctrlProps/ctrlProp2.xml><?xml version="1.0" encoding="utf-8"?>
<formControlPr xmlns="http://schemas.microsoft.com/office/spreadsheetml/2009/9/main" objectType="Drop" dropStyle="combo" dx="22" fmlaLink="목차!$B$1" fmlaRange="목차!$C$5:$C$42" noThreeD="1" sel="2" val="3"/>
</file>

<file path=xl/ctrlProps/ctrlProp3.xml><?xml version="1.0" encoding="utf-8"?>
<formControlPr xmlns="http://schemas.microsoft.com/office/spreadsheetml/2009/9/main" objectType="Drop" dropStyle="combo" dx="22" fmlaLink="목차!$B$1" fmlaRange="목차!$C$5:$C$42" noThreeD="1" sel="2"/>
</file>

<file path=xl/ctrlProps/ctrlProp4.xml><?xml version="1.0" encoding="utf-8"?>
<formControlPr xmlns="http://schemas.microsoft.com/office/spreadsheetml/2009/9/main" objectType="Drop" dropStyle="combo" dx="22" fmlaLink="목차!$B$1" fmlaRange="목차!$C$5:$C$42" noThreeD="1" sel="2" val="3"/>
</file>

<file path=xl/ctrlProps/ctrlProp5.xml><?xml version="1.0" encoding="utf-8"?>
<formControlPr xmlns="http://schemas.microsoft.com/office/spreadsheetml/2009/9/main" objectType="Drop" dropStyle="combo" dx="22" fmlaLink="목차!$B$1" fmlaRange="목차!$C$5:$C$42" noThreeD="1" sel="2" val="0"/>
</file>

<file path=xl/ctrlProps/ctrlProp6.xml><?xml version="1.0" encoding="utf-8"?>
<formControlPr xmlns="http://schemas.microsoft.com/office/spreadsheetml/2009/9/main" objectType="Drop" dropStyle="combo" dx="22" fmlaLink="목차!$B$1" fmlaRange="목차!$C$5:$C$42" noThreeD="1" sel="2" val="3"/>
</file>

<file path=xl/ctrlProps/ctrlProp7.xml><?xml version="1.0" encoding="utf-8"?>
<formControlPr xmlns="http://schemas.microsoft.com/office/spreadsheetml/2009/9/main" objectType="Drop" dropStyle="combo" dx="22" fmlaLink="목차!$B$1" fmlaRange="목차!$C$5:$C$42" noThreeD="1" sel="2" val="4"/>
</file>

<file path=xl/ctrlProps/ctrlProp8.xml><?xml version="1.0" encoding="utf-8"?>
<formControlPr xmlns="http://schemas.microsoft.com/office/spreadsheetml/2009/9/main" objectType="Drop" dropStyle="combo" dx="22" fmlaLink="목차!$B$1" fmlaRange="목차!$C$5:$C$42" noThreeD="1" sel="2" val="3"/>
</file>

<file path=xl/ctrlProps/ctrlProp9.xml><?xml version="1.0" encoding="utf-8"?>
<formControlPr xmlns="http://schemas.microsoft.com/office/spreadsheetml/2009/9/main" objectType="Drop" dropStyle="combo" dx="22" fmlaLink="목차!$B$1" fmlaRange="목차!$C$5:$C$42" noThreeD="1" sel="2" val="0"/>
</file>

<file path=xl/ctrlProps/ctrlProp10.xml><?xml version="1.0" encoding="utf-8"?>
<formControlPr xmlns="http://schemas.microsoft.com/office/spreadsheetml/2009/9/main" objectType="Drop" dropStyle="combo" dx="22" fmlaLink="목차!$B$1" fmlaRange="목차!$C$5:$C$42" noThreeD="1" sel="2" val="3"/>
</file>

<file path=xl/ctrlProps/ctrlProp11.xml><?xml version="1.0" encoding="utf-8"?>
<formControlPr xmlns="http://schemas.microsoft.com/office/spreadsheetml/2009/9/main" objectType="Drop" dropStyle="combo" dx="22" fmlaLink="목차!$B$1" fmlaRange="목차!$C$5:$C$42" noThreeD="1" sel="2" val="0"/>
</file>

<file path=xl/ctrlProps/ctrlProp12.xml><?xml version="1.0" encoding="utf-8"?>
<formControlPr xmlns="http://schemas.microsoft.com/office/spreadsheetml/2009/9/main" objectType="Drop" dropStyle="combo" dx="22" fmlaLink="목차!$B$1" fmlaRange="목차!$C$5:$C$42" noThreeD="1" sel="2" val="0"/>
</file>

<file path=xl/ctrlProps/ctrlProp13.xml><?xml version="1.0" encoding="utf-8"?>
<formControlPr xmlns="http://schemas.microsoft.com/office/spreadsheetml/2009/9/main" objectType="Drop" dropStyle="combo" dx="22" fmlaLink="목차!$B$1" fmlaRange="목차!$C$5:$C$42" noThreeD="1" sel="2" val="0"/>
</file>

<file path=xl/ctrlProps/ctrlProp14.xml><?xml version="1.0" encoding="utf-8"?>
<formControlPr xmlns="http://schemas.microsoft.com/office/spreadsheetml/2009/9/main" objectType="Drop" dropStyle="combo" dx="22" fmlaLink="목차!$B$1" fmlaRange="목차!$C$5:$C$42" noThreeD="1" sel="2" val="0"/>
</file>

<file path=xl/ctrlProps/ctrlProp15.xml><?xml version="1.0" encoding="utf-8"?>
<formControlPr xmlns="http://schemas.microsoft.com/office/spreadsheetml/2009/9/main" objectType="Drop" dropStyle="combo" dx="22" fmlaLink="목차!$B$1" fmlaRange="목차!$C$5:$C$42" noThreeD="1" sel="2" val="0"/>
</file>

<file path=xl/ctrlProps/ctrlProp16.xml><?xml version="1.0" encoding="utf-8"?>
<formControlPr xmlns="http://schemas.microsoft.com/office/spreadsheetml/2009/9/main" objectType="Drop" dropStyle="combo" dx="22" fmlaLink="목차!$B$1" fmlaRange="목차!$C$5:$C$42" noThreeD="1" sel="2" val="8"/>
</file>

<file path=xl/ctrlProps/ctrlProp17.xml><?xml version="1.0" encoding="utf-8"?>
<formControlPr xmlns="http://schemas.microsoft.com/office/spreadsheetml/2009/9/main" objectType="Drop" dropStyle="combo" dx="22" fmlaLink="목차!$B$1" fmlaRange="목차!$C$5:$C$42" noThreeD="1" sel="2"/>
</file>

<file path=xl/ctrlProps/ctrlProp18.xml><?xml version="1.0" encoding="utf-8"?>
<formControlPr xmlns="http://schemas.microsoft.com/office/spreadsheetml/2009/9/main" objectType="Drop" dropStyle="combo" dx="22" fmlaLink="목차!$B$1" fmlaRange="목차!$C$5:$C$42" noThreeD="1" sel="2" val="13"/>
</file>

<file path=xl/ctrlProps/ctrlProp19.xml><?xml version="1.0" encoding="utf-8"?>
<formControlPr xmlns="http://schemas.microsoft.com/office/spreadsheetml/2009/9/main" objectType="Drop" dropStyle="combo" dx="22" fmlaLink="목차!$B$1" fmlaRange="목차!$C$5:$C$42" noThreeD="1" sel="2" val="0"/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14288</xdr:rowOff>
        </xdr:from>
        <xdr:to>
          <xdr:col>7</xdr:col>
          <xdr:colOff>400050</xdr:colOff>
          <xdr:row>6</xdr:row>
          <xdr:rowOff>76200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642938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128588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147638</xdr:rowOff>
        </xdr:from>
        <xdr:to>
          <xdr:col>8</xdr:col>
          <xdr:colOff>533400</xdr:colOff>
          <xdr:row>4</xdr:row>
          <xdr:rowOff>152400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14288</xdr:colOff>
          <xdr:row>2</xdr:row>
          <xdr:rowOff>0</xdr:rowOff>
        </xdr:from>
        <xdr:to>
          <xdr:col>9</xdr:col>
          <xdr:colOff>419100</xdr:colOff>
          <xdr:row>5</xdr:row>
          <xdr:rowOff>147638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2</xdr:row>
          <xdr:rowOff>14288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642938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395288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414338</xdr:colOff>
          <xdr:row>5</xdr:row>
          <xdr:rowOff>109538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228600</xdr:rowOff>
        </xdr:from>
        <xdr:to>
          <xdr:col>6</xdr:col>
          <xdr:colOff>471488</xdr:colOff>
          <xdr:row>5</xdr:row>
          <xdr:rowOff>33338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280988</xdr:rowOff>
        </xdr:from>
        <xdr:to>
          <xdr:col>8</xdr:col>
          <xdr:colOff>452438</xdr:colOff>
          <xdr:row>5</xdr:row>
          <xdr:rowOff>109538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123825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642938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166688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14288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4763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2</xdr:row>
          <xdr:rowOff>0</xdr:rowOff>
        </xdr:from>
        <xdr:to>
          <xdr:col>5</xdr:col>
          <xdr:colOff>0</xdr:colOff>
          <xdr:row>4</xdr:row>
          <xdr:rowOff>295275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9A417BD-C9B2-44AF-80B8-96388A129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76200</xdr:colOff>
      <xdr:row>1</xdr:row>
      <xdr:rowOff>66675</xdr:rowOff>
    </xdr:from>
    <xdr:to>
      <xdr:col>10</xdr:col>
      <xdr:colOff>104252</xdr:colOff>
      <xdr:row>22</xdr:row>
      <xdr:rowOff>18333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6D053AF-8970-E599-908E-8BAB66A61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400050"/>
          <a:ext cx="4180952" cy="57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4"/>
  <sheetViews>
    <sheetView workbookViewId="0">
      <selection activeCell="H4" sqref="H4"/>
    </sheetView>
  </sheetViews>
  <sheetFormatPr defaultColWidth="9.06640625" defaultRowHeight="12.75"/>
  <cols>
    <col min="1" max="2" width="9.06640625" style="138"/>
    <col min="3" max="3" width="50.06640625" style="138" customWidth="1"/>
    <col min="4" max="16384" width="9.06640625" style="138"/>
  </cols>
  <sheetData>
    <row r="1" spans="1:13" ht="15.75">
      <c r="A1" s="137"/>
      <c r="B1" s="138">
        <v>2</v>
      </c>
    </row>
    <row r="2" spans="1:13">
      <c r="A2" s="139"/>
      <c r="B2" s="140"/>
    </row>
    <row r="3" spans="1:13" ht="12.75" customHeight="1">
      <c r="A3" s="139"/>
      <c r="B3" s="141"/>
      <c r="C3" s="177" t="s">
        <v>174</v>
      </c>
      <c r="D3" s="142"/>
      <c r="E3" s="142"/>
      <c r="F3" s="142"/>
      <c r="G3" s="142"/>
      <c r="H3" s="142"/>
    </row>
    <row r="4" spans="1:13" ht="12.75" customHeight="1">
      <c r="B4" s="141"/>
      <c r="C4" s="177"/>
      <c r="D4" s="142"/>
      <c r="E4" s="142"/>
      <c r="F4" s="142"/>
      <c r="G4" s="142"/>
      <c r="H4" s="142"/>
    </row>
    <row r="5" spans="1:13" ht="15.75">
      <c r="B5" s="137"/>
      <c r="C5" s="143" t="s">
        <v>179</v>
      </c>
    </row>
    <row r="6" spans="1:13" ht="15.75">
      <c r="B6" s="137"/>
      <c r="C6" s="143" t="s">
        <v>224</v>
      </c>
    </row>
    <row r="7" spans="1:13" ht="15.75">
      <c r="B7" s="137"/>
      <c r="C7" s="143" t="s">
        <v>180</v>
      </c>
      <c r="D7" s="137"/>
      <c r="E7" s="137"/>
      <c r="F7" s="137"/>
      <c r="G7" s="137"/>
      <c r="J7" s="137"/>
      <c r="L7" s="137"/>
    </row>
    <row r="8" spans="1:13" ht="15.75">
      <c r="B8" s="137"/>
      <c r="C8" s="143" t="s">
        <v>181</v>
      </c>
      <c r="D8" s="139"/>
      <c r="E8" s="139"/>
      <c r="F8" s="139"/>
      <c r="G8" s="139"/>
      <c r="J8" s="139"/>
      <c r="L8" s="139"/>
      <c r="M8" s="137"/>
    </row>
    <row r="9" spans="1:13" ht="15.75">
      <c r="B9" s="137"/>
      <c r="C9" s="143" t="s">
        <v>182</v>
      </c>
      <c r="D9" s="139"/>
      <c r="E9" s="139"/>
      <c r="F9" s="139"/>
      <c r="G9" s="139"/>
      <c r="J9" s="139"/>
      <c r="L9" s="139"/>
      <c r="M9" s="139"/>
    </row>
    <row r="10" spans="1:13" ht="15.75">
      <c r="B10" s="137"/>
      <c r="C10" s="143" t="s">
        <v>183</v>
      </c>
      <c r="L10" s="139"/>
      <c r="M10" s="139"/>
    </row>
    <row r="11" spans="1:13" ht="15.75">
      <c r="B11" s="137"/>
      <c r="C11" s="143" t="s">
        <v>184</v>
      </c>
    </row>
    <row r="12" spans="1:13" ht="15.75">
      <c r="B12" s="137"/>
      <c r="C12" s="143" t="s">
        <v>175</v>
      </c>
    </row>
    <row r="13" spans="1:13" ht="15.75">
      <c r="B13" s="137"/>
      <c r="C13" s="143" t="s">
        <v>176</v>
      </c>
    </row>
    <row r="14" spans="1:13" ht="15.75">
      <c r="B14" s="137"/>
      <c r="C14" s="143" t="s">
        <v>177</v>
      </c>
    </row>
    <row r="15" spans="1:13" ht="15.75">
      <c r="B15" s="137"/>
      <c r="C15" s="143" t="s">
        <v>178</v>
      </c>
    </row>
    <row r="16" spans="1:13" ht="15.75">
      <c r="B16" s="137"/>
      <c r="C16" s="143" t="s">
        <v>185</v>
      </c>
    </row>
    <row r="17" spans="2:3" ht="15.75">
      <c r="B17" s="137"/>
      <c r="C17" s="143" t="s">
        <v>278</v>
      </c>
    </row>
    <row r="18" spans="2:3" ht="15.75">
      <c r="B18" s="137"/>
      <c r="C18" s="143" t="s">
        <v>279</v>
      </c>
    </row>
    <row r="19" spans="2:3" ht="15.75">
      <c r="B19" s="137"/>
      <c r="C19" s="175" t="s">
        <v>293</v>
      </c>
    </row>
    <row r="20" spans="2:3" ht="15.75">
      <c r="B20" s="137"/>
      <c r="C20" s="175" t="s">
        <v>294</v>
      </c>
    </row>
    <row r="21" spans="2:3" ht="15.75">
      <c r="B21" s="137"/>
      <c r="C21" s="175" t="s">
        <v>295</v>
      </c>
    </row>
    <row r="22" spans="2:3" ht="15.75">
      <c r="B22" s="137"/>
      <c r="C22" s="175" t="s">
        <v>327</v>
      </c>
    </row>
    <row r="23" spans="2:3" ht="15.75">
      <c r="B23" s="137"/>
    </row>
    <row r="24" spans="2:3" ht="15.75">
      <c r="B24" s="137"/>
    </row>
  </sheetData>
  <mergeCells count="1">
    <mergeCell ref="C3:C4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14288</xdr:rowOff>
                  </from>
                  <to>
                    <xdr:col>7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sqref="A1:XFD1"/>
    </sheetView>
  </sheetViews>
  <sheetFormatPr defaultRowHeight="12.75"/>
  <cols>
    <col min="1" max="1" width="14" customWidth="1"/>
  </cols>
  <sheetData>
    <row r="1" spans="1:38" ht="26.25">
      <c r="A1" s="1" t="s">
        <v>91</v>
      </c>
      <c r="B1" s="4">
        <v>2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642938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zoomScaleNormal="100" workbookViewId="0">
      <selection activeCell="N11" sqref="N11"/>
    </sheetView>
  </sheetViews>
  <sheetFormatPr defaultRowHeight="12.75"/>
  <cols>
    <col min="1" max="1" width="14" customWidth="1"/>
    <col min="2" max="2" width="13.9296875" bestFit="1" customWidth="1"/>
    <col min="3" max="3" width="11" bestFit="1" customWidth="1"/>
    <col min="4" max="4" width="4.46484375" bestFit="1" customWidth="1"/>
    <col min="5" max="5" width="29.59765625" bestFit="1" customWidth="1"/>
    <col min="6" max="6" width="12.06640625" customWidth="1"/>
    <col min="7" max="7" width="12.19921875" bestFit="1" customWidth="1"/>
    <col min="8" max="8" width="12.19921875" customWidth="1"/>
    <col min="9" max="9" width="16.46484375" customWidth="1"/>
    <col min="10" max="10" width="18.86328125" customWidth="1"/>
    <col min="11" max="11" width="18.796875" customWidth="1"/>
    <col min="12" max="12" width="20.73046875" customWidth="1"/>
    <col min="13" max="13" width="17" customWidth="1"/>
    <col min="14" max="14" width="37.6640625" customWidth="1"/>
    <col min="15" max="15" width="20.73046875" customWidth="1"/>
    <col min="16" max="16" width="21.3984375" bestFit="1" customWidth="1"/>
    <col min="17" max="17" width="22.59765625" customWidth="1"/>
    <col min="18" max="18" width="34.46484375" customWidth="1"/>
    <col min="19" max="19" width="33.265625" bestFit="1" customWidth="1"/>
    <col min="20" max="20" width="22.73046875" bestFit="1" customWidth="1"/>
    <col min="21" max="21" width="14.06640625" bestFit="1" customWidth="1"/>
    <col min="22" max="22" width="22.59765625" bestFit="1" customWidth="1"/>
    <col min="23" max="23" width="8.19921875" bestFit="1" customWidth="1"/>
    <col min="24" max="25" width="9.53125" bestFit="1" customWidth="1"/>
    <col min="26" max="26" width="8.19921875" bestFit="1" customWidth="1"/>
    <col min="27" max="27" width="5.53125" customWidth="1"/>
    <col min="28" max="28" width="3.33203125" customWidth="1"/>
    <col min="29" max="29" width="16.33203125" bestFit="1" customWidth="1"/>
    <col min="30" max="30" width="30.33203125" customWidth="1"/>
    <col min="31" max="31" width="5.53125" customWidth="1"/>
    <col min="32" max="32" width="14.06640625" bestFit="1" customWidth="1"/>
    <col min="33" max="33" width="9.53125" bestFit="1" customWidth="1"/>
    <col min="34" max="34" width="8.19921875" bestFit="1" customWidth="1"/>
    <col min="35" max="38" width="7.06640625" bestFit="1" customWidth="1"/>
  </cols>
  <sheetData>
    <row r="1" spans="1:38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46" t="s">
        <v>202</v>
      </c>
      <c r="C2" s="147" t="s">
        <v>203</v>
      </c>
      <c r="D2" s="147" t="s">
        <v>204</v>
      </c>
      <c r="E2" s="147" t="s">
        <v>205</v>
      </c>
      <c r="F2" s="147" t="s">
        <v>206</v>
      </c>
      <c r="G2" s="147" t="s">
        <v>207</v>
      </c>
      <c r="H2" s="147" t="s">
        <v>208</v>
      </c>
      <c r="I2" s="147" t="s">
        <v>209</v>
      </c>
      <c r="J2" s="147" t="s">
        <v>276</v>
      </c>
      <c r="K2" s="147" t="s">
        <v>210</v>
      </c>
      <c r="L2" s="147" t="s">
        <v>268</v>
      </c>
      <c r="M2" s="147" t="s">
        <v>211</v>
      </c>
      <c r="N2" s="147" t="s">
        <v>212</v>
      </c>
      <c r="O2" s="148" t="s">
        <v>213</v>
      </c>
      <c r="P2" s="148" t="s">
        <v>214</v>
      </c>
      <c r="Q2" s="148" t="s">
        <v>215</v>
      </c>
      <c r="R2" s="212" t="s">
        <v>216</v>
      </c>
      <c r="S2" s="149" t="s">
        <v>217</v>
      </c>
      <c r="T2" s="150" t="s">
        <v>218</v>
      </c>
      <c r="U2" s="150" t="s">
        <v>219</v>
      </c>
      <c r="V2" s="151" t="s">
        <v>220</v>
      </c>
      <c r="W2" s="149" t="s">
        <v>221</v>
      </c>
    </row>
    <row r="3" spans="1:38" ht="16.899999999999999">
      <c r="A3" s="2">
        <v>1</v>
      </c>
      <c r="B3" s="152" t="s">
        <v>429</v>
      </c>
      <c r="C3" s="153"/>
      <c r="D3" s="154">
        <v>1</v>
      </c>
      <c r="E3" s="155" t="s">
        <v>428</v>
      </c>
      <c r="F3" s="155" t="s">
        <v>345</v>
      </c>
      <c r="G3" s="155" t="s">
        <v>413</v>
      </c>
      <c r="H3" s="155" t="s">
        <v>407</v>
      </c>
      <c r="I3" s="155" t="s">
        <v>346</v>
      </c>
      <c r="J3" s="155" t="s">
        <v>347</v>
      </c>
      <c r="K3" s="156">
        <v>3</v>
      </c>
      <c r="L3" s="156" t="s">
        <v>348</v>
      </c>
      <c r="M3" s="156" t="s">
        <v>404</v>
      </c>
      <c r="N3" s="157"/>
      <c r="O3" s="209" t="s">
        <v>406</v>
      </c>
      <c r="P3" s="210" t="s">
        <v>349</v>
      </c>
      <c r="Q3" s="211" t="s">
        <v>350</v>
      </c>
      <c r="R3" s="158" t="str">
        <f>P3&amp; "/" &amp;Q3</f>
        <v>신한은행/605-2241-148731</v>
      </c>
      <c r="S3" s="158" t="str">
        <f>IF(OR(MID(G3, 8, 1) = "3", MOD(MID(G3, 8, 1), 2) = 1), "남", "여")</f>
        <v>남</v>
      </c>
      <c r="T3" s="158" t="str">
        <f>LEFT(G3, 6)</f>
        <v>900699</v>
      </c>
      <c r="U3" s="158" t="str">
        <f>IF(VALUE(MID(G3, 8, 1)) &lt;= 2, "19" &amp; LEFT(G3, 2), "20" &amp; LEFT(G3, 2))</f>
        <v>1990</v>
      </c>
      <c r="V3" s="158">
        <f ca="1">YEAR(TODAY()) - VALUE(IF(VALUE(MID(G3, 8, 1)) &lt;= 2, "19" &amp; LEFT(G3, 2), "20" &amp; LEFT(G3, 2)))</f>
        <v>34</v>
      </c>
      <c r="W3" s="158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52" t="s">
        <v>429</v>
      </c>
      <c r="C4" s="160"/>
      <c r="D4" s="154">
        <v>2</v>
      </c>
      <c r="E4" s="155" t="s">
        <v>428</v>
      </c>
      <c r="F4" s="159" t="s">
        <v>351</v>
      </c>
      <c r="G4" s="159" t="s">
        <v>414</v>
      </c>
      <c r="H4" s="155" t="s">
        <v>407</v>
      </c>
      <c r="I4" s="159" t="s">
        <v>352</v>
      </c>
      <c r="J4" s="159" t="s">
        <v>347</v>
      </c>
      <c r="K4" s="156">
        <v>3</v>
      </c>
      <c r="L4" s="156" t="s">
        <v>348</v>
      </c>
      <c r="M4" s="156" t="s">
        <v>403</v>
      </c>
      <c r="N4" s="157"/>
      <c r="O4" s="209" t="s">
        <v>353</v>
      </c>
      <c r="P4" s="210" t="s">
        <v>223</v>
      </c>
      <c r="Q4" s="211" t="s">
        <v>354</v>
      </c>
      <c r="R4" s="158" t="str">
        <f>P4&amp; "/" &amp;Q4</f>
        <v>국민은행/296-6536-108357</v>
      </c>
      <c r="S4" s="158" t="str">
        <f t="shared" ref="S4:S17" si="0">IF(OR(MID(G4, 8, 1) = "3", MOD(MID(G4, 8, 1), 2) = 1), "남", "여")</f>
        <v>여</v>
      </c>
      <c r="T4" s="158" t="str">
        <f t="shared" ref="T4:T17" si="1">LEFT(G4, 6)</f>
        <v>950499</v>
      </c>
      <c r="U4" s="158" t="str">
        <f t="shared" ref="U4:U17" si="2">IF(VALUE(MID(G4, 8, 1)) &lt;= 2, "19" &amp; LEFT(G4, 2), "20" &amp; LEFT(G4, 2))</f>
        <v>1995</v>
      </c>
      <c r="V4" s="158">
        <f t="shared" ref="V4:V17" ca="1" si="3">YEAR(TODAY()) - VALUE(IF(VALUE(MID(G4, 8, 1)) &lt;= 2, "19" &amp; LEFT(G4, 2), "20" &amp; LEFT(G4, 2)))</f>
        <v>29</v>
      </c>
      <c r="W4" s="158" t="str">
        <f t="shared" ref="W4:W17" si="4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52" t="s">
        <v>429</v>
      </c>
      <c r="C5" s="160"/>
      <c r="D5" s="154">
        <v>3</v>
      </c>
      <c r="E5" s="155" t="s">
        <v>428</v>
      </c>
      <c r="F5" s="159" t="s">
        <v>355</v>
      </c>
      <c r="G5" s="159" t="s">
        <v>415</v>
      </c>
      <c r="H5" s="155" t="s">
        <v>407</v>
      </c>
      <c r="I5" s="159" t="s">
        <v>356</v>
      </c>
      <c r="J5" s="159" t="s">
        <v>340</v>
      </c>
      <c r="K5" s="156">
        <v>2</v>
      </c>
      <c r="L5" s="156" t="s">
        <v>357</v>
      </c>
      <c r="M5" s="156" t="s">
        <v>358</v>
      </c>
      <c r="N5" s="157" t="s">
        <v>359</v>
      </c>
      <c r="O5" s="209" t="s">
        <v>405</v>
      </c>
      <c r="P5" s="210" t="s">
        <v>349</v>
      </c>
      <c r="Q5" s="211" t="s">
        <v>360</v>
      </c>
      <c r="R5" s="158" t="str">
        <f>P5&amp; "/" &amp;Q5</f>
        <v>신한은행/309-4311-417843</v>
      </c>
      <c r="S5" s="158" t="str">
        <f>IF(OR(MID(G5, 8, 1) = "3", MOD(MID(G5, 8, 1), 2) = 1), "남", "여")</f>
        <v>여</v>
      </c>
      <c r="T5" s="158" t="str">
        <f t="shared" si="1"/>
        <v>960399</v>
      </c>
      <c r="U5" s="158" t="str">
        <f t="shared" si="2"/>
        <v>1996</v>
      </c>
      <c r="V5" s="158">
        <f t="shared" ca="1" si="3"/>
        <v>28</v>
      </c>
      <c r="W5" s="158" t="str">
        <f t="shared" si="4"/>
        <v>경상권</v>
      </c>
    </row>
    <row r="6" spans="1:38" ht="16.899999999999999">
      <c r="A6" s="2">
        <v>4</v>
      </c>
      <c r="B6" s="152" t="s">
        <v>429</v>
      </c>
      <c r="C6" s="160"/>
      <c r="D6" s="154">
        <v>4</v>
      </c>
      <c r="E6" s="155" t="s">
        <v>428</v>
      </c>
      <c r="F6" s="159" t="s">
        <v>361</v>
      </c>
      <c r="G6" s="159" t="s">
        <v>416</v>
      </c>
      <c r="H6" s="155" t="s">
        <v>407</v>
      </c>
      <c r="I6" s="159" t="s">
        <v>362</v>
      </c>
      <c r="J6" s="159" t="s">
        <v>340</v>
      </c>
      <c r="K6" s="156">
        <v>2</v>
      </c>
      <c r="L6" s="156" t="s">
        <v>357</v>
      </c>
      <c r="M6" s="156" t="s">
        <v>358</v>
      </c>
      <c r="N6" s="157" t="s">
        <v>363</v>
      </c>
      <c r="O6" s="209" t="s">
        <v>353</v>
      </c>
      <c r="P6" s="210" t="s">
        <v>349</v>
      </c>
      <c r="Q6" s="211" t="s">
        <v>364</v>
      </c>
      <c r="R6" s="158" t="str">
        <f>P6&amp; "/" &amp;Q6</f>
        <v>신한은행/916-4781-629387</v>
      </c>
      <c r="S6" s="158" t="str">
        <f t="shared" si="0"/>
        <v>남</v>
      </c>
      <c r="T6" s="158" t="str">
        <f t="shared" si="1"/>
        <v>930699</v>
      </c>
      <c r="U6" s="158" t="str">
        <f t="shared" si="2"/>
        <v>1993</v>
      </c>
      <c r="V6" s="158">
        <f t="shared" ca="1" si="3"/>
        <v>31</v>
      </c>
      <c r="W6" s="158" t="str">
        <f t="shared" si="4"/>
        <v>경상권</v>
      </c>
    </row>
    <row r="7" spans="1:38" ht="16.899999999999999">
      <c r="A7" s="2">
        <v>5</v>
      </c>
      <c r="B7" s="152" t="s">
        <v>429</v>
      </c>
      <c r="C7" s="160"/>
      <c r="D7" s="154">
        <v>5</v>
      </c>
      <c r="E7" s="155" t="s">
        <v>428</v>
      </c>
      <c r="F7" s="159" t="s">
        <v>345</v>
      </c>
      <c r="G7" s="159" t="s">
        <v>427</v>
      </c>
      <c r="H7" s="155" t="s">
        <v>407</v>
      </c>
      <c r="I7" s="159" t="s">
        <v>346</v>
      </c>
      <c r="J7" s="159" t="s">
        <v>365</v>
      </c>
      <c r="K7" s="156">
        <v>4</v>
      </c>
      <c r="L7" s="156" t="s">
        <v>348</v>
      </c>
      <c r="M7" s="156" t="s">
        <v>366</v>
      </c>
      <c r="N7" s="157" t="s">
        <v>367</v>
      </c>
      <c r="O7" s="209" t="s">
        <v>406</v>
      </c>
      <c r="P7" s="210" t="s">
        <v>368</v>
      </c>
      <c r="Q7" s="211" t="s">
        <v>369</v>
      </c>
      <c r="R7" s="158" t="str">
        <f>P7&amp; "/" &amp;Q7</f>
        <v>우리은행/165-6075-449479</v>
      </c>
      <c r="S7" s="158" t="str">
        <f t="shared" si="0"/>
        <v>남</v>
      </c>
      <c r="T7" s="158" t="str">
        <f t="shared" si="1"/>
        <v>020699</v>
      </c>
      <c r="U7" s="158" t="str">
        <f t="shared" si="2"/>
        <v>2002</v>
      </c>
      <c r="V7" s="158">
        <f t="shared" ca="1" si="3"/>
        <v>22</v>
      </c>
      <c r="W7" s="158" t="str">
        <f t="shared" si="4"/>
        <v>경상권</v>
      </c>
    </row>
    <row r="8" spans="1:38" ht="16.899999999999999">
      <c r="A8" s="2">
        <v>6</v>
      </c>
      <c r="B8" s="152" t="s">
        <v>429</v>
      </c>
      <c r="C8" s="160"/>
      <c r="D8" s="154">
        <v>6</v>
      </c>
      <c r="E8" s="155" t="s">
        <v>428</v>
      </c>
      <c r="F8" s="159" t="s">
        <v>370</v>
      </c>
      <c r="G8" s="159" t="s">
        <v>417</v>
      </c>
      <c r="H8" s="155" t="s">
        <v>407</v>
      </c>
      <c r="I8" s="159" t="s">
        <v>371</v>
      </c>
      <c r="J8" s="159" t="s">
        <v>340</v>
      </c>
      <c r="K8" s="156">
        <v>1</v>
      </c>
      <c r="L8" s="156" t="s">
        <v>372</v>
      </c>
      <c r="M8" s="156" t="s">
        <v>358</v>
      </c>
      <c r="N8" s="157" t="s">
        <v>373</v>
      </c>
      <c r="O8" s="209" t="s">
        <v>353</v>
      </c>
      <c r="P8" s="210" t="s">
        <v>374</v>
      </c>
      <c r="Q8" s="211" t="s">
        <v>375</v>
      </c>
      <c r="R8" s="158" t="str">
        <f>P8&amp; "/" &amp;Q8</f>
        <v>농협/894-4629-468857</v>
      </c>
      <c r="S8" s="158" t="str">
        <f t="shared" si="0"/>
        <v>남</v>
      </c>
      <c r="T8" s="158" t="str">
        <f t="shared" si="1"/>
        <v>930899</v>
      </c>
      <c r="U8" s="158" t="str">
        <f t="shared" si="2"/>
        <v>1993</v>
      </c>
      <c r="V8" s="158">
        <f t="shared" ca="1" si="3"/>
        <v>31</v>
      </c>
      <c r="W8" s="158" t="str">
        <f t="shared" si="4"/>
        <v>경상권</v>
      </c>
    </row>
    <row r="9" spans="1:38" ht="16.899999999999999">
      <c r="A9" s="2">
        <v>7</v>
      </c>
      <c r="B9" s="152" t="s">
        <v>429</v>
      </c>
      <c r="C9" s="160"/>
      <c r="D9" s="154">
        <v>7</v>
      </c>
      <c r="E9" s="155" t="s">
        <v>428</v>
      </c>
      <c r="F9" s="159" t="s">
        <v>376</v>
      </c>
      <c r="G9" s="159" t="s">
        <v>426</v>
      </c>
      <c r="H9" s="155" t="s">
        <v>407</v>
      </c>
      <c r="I9" s="159" t="s">
        <v>377</v>
      </c>
      <c r="J9" s="159" t="s">
        <v>378</v>
      </c>
      <c r="K9" s="156">
        <v>2</v>
      </c>
      <c r="L9" s="156" t="s">
        <v>372</v>
      </c>
      <c r="M9" s="156" t="s">
        <v>358</v>
      </c>
      <c r="N9" s="157" t="s">
        <v>379</v>
      </c>
      <c r="O9" s="209" t="s">
        <v>406</v>
      </c>
      <c r="P9" s="210" t="s">
        <v>374</v>
      </c>
      <c r="Q9" s="211" t="s">
        <v>380</v>
      </c>
      <c r="R9" s="158" t="str">
        <f>P9&amp; "/" &amp;Q9</f>
        <v>농협/273-7528-862196</v>
      </c>
      <c r="S9" s="158" t="str">
        <f t="shared" si="0"/>
        <v>남</v>
      </c>
      <c r="T9" s="158" t="str">
        <f t="shared" si="1"/>
        <v>001199</v>
      </c>
      <c r="U9" s="158" t="str">
        <f t="shared" si="2"/>
        <v>2000</v>
      </c>
      <c r="V9" s="158">
        <f t="shared" ca="1" si="3"/>
        <v>24</v>
      </c>
      <c r="W9" s="158" t="str">
        <f t="shared" si="4"/>
        <v>경상권</v>
      </c>
    </row>
    <row r="10" spans="1:38" ht="16.899999999999999">
      <c r="A10" s="2">
        <v>8</v>
      </c>
      <c r="B10" s="152" t="s">
        <v>429</v>
      </c>
      <c r="C10" s="160"/>
      <c r="D10" s="154">
        <v>8</v>
      </c>
      <c r="E10" s="155" t="s">
        <v>428</v>
      </c>
      <c r="F10" s="159" t="s">
        <v>381</v>
      </c>
      <c r="G10" s="159" t="s">
        <v>418</v>
      </c>
      <c r="H10" s="155" t="s">
        <v>407</v>
      </c>
      <c r="I10" s="159" t="s">
        <v>382</v>
      </c>
      <c r="J10" s="159" t="s">
        <v>365</v>
      </c>
      <c r="K10" s="156">
        <v>4</v>
      </c>
      <c r="L10" s="156" t="s">
        <v>357</v>
      </c>
      <c r="M10" s="156" t="s">
        <v>366</v>
      </c>
      <c r="N10" s="157" t="s">
        <v>373</v>
      </c>
      <c r="O10" s="209" t="s">
        <v>405</v>
      </c>
      <c r="P10" s="210" t="s">
        <v>368</v>
      </c>
      <c r="Q10" s="211" t="s">
        <v>383</v>
      </c>
      <c r="R10" s="158" t="str">
        <f>P10&amp; "/" &amp;Q10</f>
        <v>우리은행/295-1855-371274</v>
      </c>
      <c r="S10" s="158" t="str">
        <f t="shared" si="0"/>
        <v>남</v>
      </c>
      <c r="T10" s="158" t="str">
        <f t="shared" si="1"/>
        <v>920699</v>
      </c>
      <c r="U10" s="158" t="str">
        <f t="shared" si="2"/>
        <v>1992</v>
      </c>
      <c r="V10" s="158">
        <f t="shared" ca="1" si="3"/>
        <v>32</v>
      </c>
      <c r="W10" s="158" t="str">
        <f t="shared" si="4"/>
        <v>경상권</v>
      </c>
    </row>
    <row r="11" spans="1:38" ht="16.899999999999999">
      <c r="A11" s="2">
        <v>9</v>
      </c>
      <c r="B11" s="152" t="s">
        <v>429</v>
      </c>
      <c r="C11" s="160"/>
      <c r="D11" s="154">
        <v>9</v>
      </c>
      <c r="E11" s="155" t="s">
        <v>428</v>
      </c>
      <c r="F11" s="159" t="s">
        <v>370</v>
      </c>
      <c r="G11" s="159" t="s">
        <v>419</v>
      </c>
      <c r="H11" s="155" t="s">
        <v>407</v>
      </c>
      <c r="I11" s="159" t="s">
        <v>384</v>
      </c>
      <c r="J11" s="159" t="s">
        <v>378</v>
      </c>
      <c r="K11" s="156">
        <v>2</v>
      </c>
      <c r="L11" s="156" t="s">
        <v>357</v>
      </c>
      <c r="M11" s="156" t="s">
        <v>366</v>
      </c>
      <c r="N11" s="157" t="s">
        <v>373</v>
      </c>
      <c r="O11" s="209" t="s">
        <v>406</v>
      </c>
      <c r="P11" s="210" t="s">
        <v>385</v>
      </c>
      <c r="Q11" s="211" t="s">
        <v>386</v>
      </c>
      <c r="R11" s="158" t="str">
        <f>P11&amp; "/" &amp;Q11</f>
        <v>하나은행/869-2828-526225</v>
      </c>
      <c r="S11" s="158" t="str">
        <f t="shared" si="0"/>
        <v>여</v>
      </c>
      <c r="T11" s="158" t="str">
        <f t="shared" si="1"/>
        <v>900699</v>
      </c>
      <c r="U11" s="158" t="str">
        <f t="shared" si="2"/>
        <v>1990</v>
      </c>
      <c r="V11" s="158">
        <f t="shared" ca="1" si="3"/>
        <v>34</v>
      </c>
      <c r="W11" s="158" t="str">
        <f t="shared" si="4"/>
        <v>경상권</v>
      </c>
    </row>
    <row r="12" spans="1:38" ht="16.899999999999999">
      <c r="A12" s="2">
        <v>10</v>
      </c>
      <c r="B12" s="152" t="s">
        <v>429</v>
      </c>
      <c r="C12" s="160"/>
      <c r="D12" s="154">
        <v>10</v>
      </c>
      <c r="E12" s="155" t="s">
        <v>428</v>
      </c>
      <c r="F12" s="159" t="s">
        <v>387</v>
      </c>
      <c r="G12" s="159" t="s">
        <v>420</v>
      </c>
      <c r="H12" s="155" t="s">
        <v>407</v>
      </c>
      <c r="I12" s="159" t="s">
        <v>388</v>
      </c>
      <c r="J12" s="159" t="s">
        <v>365</v>
      </c>
      <c r="K12" s="156">
        <v>3</v>
      </c>
      <c r="L12" s="156" t="s">
        <v>357</v>
      </c>
      <c r="M12" s="156" t="s">
        <v>389</v>
      </c>
      <c r="N12" s="157" t="s">
        <v>359</v>
      </c>
      <c r="O12" s="209" t="s">
        <v>353</v>
      </c>
      <c r="P12" s="210" t="s">
        <v>374</v>
      </c>
      <c r="Q12" s="211" t="s">
        <v>390</v>
      </c>
      <c r="R12" s="158" t="str">
        <f>P12&amp; "/" &amp;Q12</f>
        <v>농협/954-9797-760181</v>
      </c>
      <c r="S12" s="158" t="str">
        <f t="shared" si="0"/>
        <v>남</v>
      </c>
      <c r="T12" s="158" t="str">
        <f t="shared" si="1"/>
        <v>900799</v>
      </c>
      <c r="U12" s="158" t="str">
        <f t="shared" si="2"/>
        <v>1990</v>
      </c>
      <c r="V12" s="158">
        <f t="shared" ca="1" si="3"/>
        <v>34</v>
      </c>
      <c r="W12" s="158" t="str">
        <f t="shared" si="4"/>
        <v>경상권</v>
      </c>
    </row>
    <row r="13" spans="1:38" ht="16.899999999999999">
      <c r="A13" s="2">
        <v>11</v>
      </c>
      <c r="B13" s="152" t="s">
        <v>429</v>
      </c>
      <c r="C13" s="160"/>
      <c r="D13" s="154">
        <v>11</v>
      </c>
      <c r="E13" s="155" t="s">
        <v>428</v>
      </c>
      <c r="F13" s="159" t="s">
        <v>351</v>
      </c>
      <c r="G13" s="159" t="s">
        <v>421</v>
      </c>
      <c r="H13" s="155" t="s">
        <v>407</v>
      </c>
      <c r="I13" s="159" t="s">
        <v>352</v>
      </c>
      <c r="J13" s="159" t="s">
        <v>340</v>
      </c>
      <c r="K13" s="156">
        <v>2</v>
      </c>
      <c r="L13" s="156" t="s">
        <v>348</v>
      </c>
      <c r="M13" s="156" t="s">
        <v>391</v>
      </c>
      <c r="N13" s="157" t="s">
        <v>367</v>
      </c>
      <c r="O13" s="210" t="s">
        <v>412</v>
      </c>
      <c r="P13" s="210" t="s">
        <v>349</v>
      </c>
      <c r="Q13" s="211" t="s">
        <v>392</v>
      </c>
      <c r="R13" s="158" t="str">
        <f>P13&amp; "/" &amp;Q13</f>
        <v>신한은행/129-2235-418768</v>
      </c>
      <c r="S13" s="158" t="str">
        <f t="shared" si="0"/>
        <v>남</v>
      </c>
      <c r="T13" s="158" t="str">
        <f t="shared" si="1"/>
        <v>910699</v>
      </c>
      <c r="U13" s="158" t="str">
        <f t="shared" si="2"/>
        <v>1991</v>
      </c>
      <c r="V13" s="158">
        <f t="shared" ca="1" si="3"/>
        <v>33</v>
      </c>
      <c r="W13" s="158" t="str">
        <f t="shared" si="4"/>
        <v>제주</v>
      </c>
    </row>
    <row r="14" spans="1:38" ht="16.899999999999999">
      <c r="A14" s="2">
        <v>12</v>
      </c>
      <c r="B14" s="152" t="s">
        <v>429</v>
      </c>
      <c r="C14" s="160"/>
      <c r="D14" s="154">
        <v>12</v>
      </c>
      <c r="E14" s="155" t="s">
        <v>428</v>
      </c>
      <c r="F14" s="159" t="s">
        <v>393</v>
      </c>
      <c r="G14" s="159" t="s">
        <v>425</v>
      </c>
      <c r="H14" s="155" t="s">
        <v>407</v>
      </c>
      <c r="I14" s="159" t="s">
        <v>394</v>
      </c>
      <c r="J14" s="159" t="s">
        <v>340</v>
      </c>
      <c r="K14" s="156">
        <v>1</v>
      </c>
      <c r="L14" s="156" t="s">
        <v>372</v>
      </c>
      <c r="M14" s="156" t="s">
        <v>358</v>
      </c>
      <c r="N14" s="157" t="s">
        <v>379</v>
      </c>
      <c r="O14" s="214" t="s">
        <v>411</v>
      </c>
      <c r="P14" s="210" t="s">
        <v>368</v>
      </c>
      <c r="Q14" s="211" t="s">
        <v>395</v>
      </c>
      <c r="R14" s="158" t="str">
        <f>P14&amp; "/" &amp;Q14</f>
        <v>우리은행/404-5984-950896</v>
      </c>
      <c r="S14" s="158" t="str">
        <f t="shared" si="0"/>
        <v>여</v>
      </c>
      <c r="T14" s="158" t="str">
        <f t="shared" si="1"/>
        <v>000899</v>
      </c>
      <c r="U14" s="158" t="str">
        <f t="shared" si="2"/>
        <v>2000</v>
      </c>
      <c r="V14" s="158">
        <f ca="1">YEAR(TODAY()) - VALUE(IF(VALUE(MID(G14, 8, 1)) &lt;= 2, "19" &amp; LEFT(G14, 2), "20" &amp; LEFT(G14, 2)))</f>
        <v>24</v>
      </c>
      <c r="W14" s="158" t="str">
        <f t="shared" si="4"/>
        <v>충청권</v>
      </c>
    </row>
    <row r="15" spans="1:38" ht="16.899999999999999">
      <c r="A15" s="2">
        <v>13</v>
      </c>
      <c r="B15" s="152" t="s">
        <v>429</v>
      </c>
      <c r="C15" s="160"/>
      <c r="D15" s="154">
        <v>13</v>
      </c>
      <c r="E15" s="155" t="s">
        <v>428</v>
      </c>
      <c r="F15" s="159" t="s">
        <v>396</v>
      </c>
      <c r="G15" s="159" t="s">
        <v>422</v>
      </c>
      <c r="H15" s="155" t="s">
        <v>407</v>
      </c>
      <c r="I15" s="159" t="s">
        <v>397</v>
      </c>
      <c r="J15" s="159" t="s">
        <v>340</v>
      </c>
      <c r="K15" s="156">
        <v>2</v>
      </c>
      <c r="L15" s="156" t="s">
        <v>357</v>
      </c>
      <c r="M15" s="156" t="s">
        <v>358</v>
      </c>
      <c r="N15" s="157" t="s">
        <v>367</v>
      </c>
      <c r="O15" s="210" t="s">
        <v>410</v>
      </c>
      <c r="P15" s="210" t="s">
        <v>374</v>
      </c>
      <c r="Q15" s="211" t="s">
        <v>398</v>
      </c>
      <c r="R15" s="158" t="str">
        <f>P15&amp; "/" &amp;Q15</f>
        <v>농협/756-6616-606584</v>
      </c>
      <c r="S15" s="158" t="str">
        <f t="shared" si="0"/>
        <v>여</v>
      </c>
      <c r="T15" s="158" t="str">
        <f t="shared" si="1"/>
        <v>921299</v>
      </c>
      <c r="U15" s="158" t="str">
        <f t="shared" si="2"/>
        <v>1992</v>
      </c>
      <c r="V15" s="158">
        <f t="shared" ca="1" si="3"/>
        <v>32</v>
      </c>
      <c r="W15" s="158" t="str">
        <f t="shared" si="4"/>
        <v>경상권</v>
      </c>
    </row>
    <row r="16" spans="1:38" ht="16.899999999999999">
      <c r="A16" s="2">
        <v>14</v>
      </c>
      <c r="B16" s="152" t="s">
        <v>429</v>
      </c>
      <c r="C16" s="160"/>
      <c r="D16" s="154">
        <v>14</v>
      </c>
      <c r="E16" s="155" t="s">
        <v>428</v>
      </c>
      <c r="F16" s="159" t="s">
        <v>376</v>
      </c>
      <c r="G16" s="159" t="s">
        <v>423</v>
      </c>
      <c r="H16" s="155" t="s">
        <v>407</v>
      </c>
      <c r="I16" s="159" t="s">
        <v>377</v>
      </c>
      <c r="J16" s="159" t="s">
        <v>378</v>
      </c>
      <c r="K16" s="156">
        <v>2</v>
      </c>
      <c r="L16" s="156" t="s">
        <v>357</v>
      </c>
      <c r="M16" s="156" t="s">
        <v>366</v>
      </c>
      <c r="N16" s="157" t="s">
        <v>363</v>
      </c>
      <c r="O16" s="209" t="s">
        <v>409</v>
      </c>
      <c r="P16" s="210" t="s">
        <v>385</v>
      </c>
      <c r="Q16" s="211" t="s">
        <v>399</v>
      </c>
      <c r="R16" s="158" t="str">
        <f>P16&amp; "/" &amp;Q16</f>
        <v>하나은행/588-1300-685386</v>
      </c>
      <c r="S16" s="158" t="str">
        <f t="shared" si="0"/>
        <v>남</v>
      </c>
      <c r="T16" s="158" t="str">
        <f t="shared" si="1"/>
        <v>901199</v>
      </c>
      <c r="U16" s="158" t="str">
        <f t="shared" si="2"/>
        <v>1990</v>
      </c>
      <c r="V16" s="158">
        <f t="shared" ca="1" si="3"/>
        <v>34</v>
      </c>
      <c r="W16" s="158" t="str">
        <f t="shared" si="4"/>
        <v>호남권</v>
      </c>
    </row>
    <row r="17" spans="1:23" ht="16.899999999999999">
      <c r="A17" s="2">
        <v>15</v>
      </c>
      <c r="B17" s="152" t="s">
        <v>429</v>
      </c>
      <c r="C17" s="160"/>
      <c r="D17" s="154">
        <v>15</v>
      </c>
      <c r="E17" s="155" t="s">
        <v>428</v>
      </c>
      <c r="F17" s="159" t="s">
        <v>400</v>
      </c>
      <c r="G17" s="159" t="s">
        <v>424</v>
      </c>
      <c r="H17" s="216" t="s">
        <v>407</v>
      </c>
      <c r="I17" s="159" t="s">
        <v>401</v>
      </c>
      <c r="J17" s="159" t="s">
        <v>365</v>
      </c>
      <c r="K17" s="215">
        <v>1</v>
      </c>
      <c r="L17" s="156" t="s">
        <v>372</v>
      </c>
      <c r="M17" s="156" t="s">
        <v>389</v>
      </c>
      <c r="N17" s="157" t="s">
        <v>379</v>
      </c>
      <c r="O17" s="209" t="s">
        <v>408</v>
      </c>
      <c r="P17" s="210" t="s">
        <v>385</v>
      </c>
      <c r="Q17" s="211" t="s">
        <v>402</v>
      </c>
      <c r="R17" s="158" t="str">
        <f>P17&amp; "/" &amp;Q17</f>
        <v>하나은행/694-9043-121446</v>
      </c>
      <c r="S17" s="158" t="str">
        <f t="shared" si="0"/>
        <v>남</v>
      </c>
      <c r="T17" s="158" t="str">
        <f t="shared" si="1"/>
        <v>941099</v>
      </c>
      <c r="U17" s="158" t="str">
        <f t="shared" si="2"/>
        <v>1994</v>
      </c>
      <c r="V17" s="158">
        <f t="shared" ca="1" si="3"/>
        <v>30</v>
      </c>
      <c r="W17" s="158" t="str">
        <f t="shared" si="4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3"/>
      <c r="R21" s="213"/>
    </row>
    <row r="22" spans="1:23" ht="16.899999999999999">
      <c r="A22" s="2">
        <v>20</v>
      </c>
      <c r="G22" s="213"/>
      <c r="J22" s="213"/>
      <c r="K22" s="213"/>
      <c r="M22" s="213"/>
      <c r="P22" s="213"/>
      <c r="Q22" s="213"/>
    </row>
    <row r="23" spans="1:23" ht="16.899999999999999">
      <c r="A23" s="2">
        <v>21</v>
      </c>
      <c r="G23" s="213"/>
      <c r="J23" s="213"/>
      <c r="K23" s="213"/>
      <c r="M23" s="213"/>
      <c r="P23" s="213"/>
      <c r="Q23" s="213"/>
    </row>
    <row r="24" spans="1:23" ht="16.899999999999999">
      <c r="A24" s="2">
        <v>22</v>
      </c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</row>
    <row r="25" spans="1:23" ht="16.899999999999999">
      <c r="A25" s="2">
        <v>23</v>
      </c>
      <c r="E25" s="213"/>
      <c r="G25" s="213"/>
      <c r="H25" s="213"/>
      <c r="I25" s="213"/>
      <c r="J25" s="213"/>
      <c r="K25" s="213"/>
      <c r="L25" s="169"/>
      <c r="M25" s="213"/>
      <c r="N25" s="213"/>
      <c r="O25" s="213"/>
      <c r="P25" s="213"/>
      <c r="Q25" s="213"/>
    </row>
    <row r="26" spans="1:23" ht="16.899999999999999">
      <c r="A26" s="2">
        <v>24</v>
      </c>
      <c r="E26" s="213"/>
      <c r="G26" s="213"/>
      <c r="H26" s="213"/>
      <c r="I26" s="213"/>
      <c r="J26" s="213"/>
      <c r="K26" s="213"/>
      <c r="L26" s="204"/>
      <c r="M26" s="213"/>
      <c r="N26" s="213"/>
      <c r="O26" s="213"/>
      <c r="P26" s="213"/>
      <c r="Q26" s="213"/>
    </row>
    <row r="27" spans="1:23" ht="16.899999999999999">
      <c r="A27" s="2">
        <v>25</v>
      </c>
      <c r="E27" s="213"/>
      <c r="G27" s="213"/>
      <c r="H27" s="213"/>
      <c r="I27" s="213"/>
      <c r="J27" s="213"/>
      <c r="K27" s="213"/>
      <c r="L27" s="213"/>
      <c r="M27" s="213"/>
      <c r="N27" s="169"/>
      <c r="O27" s="213"/>
      <c r="P27" s="213"/>
      <c r="Q27" s="213"/>
    </row>
    <row r="28" spans="1:23" ht="16.899999999999999">
      <c r="A28" s="2">
        <v>26</v>
      </c>
      <c r="E28" s="213"/>
      <c r="G28" s="213"/>
      <c r="H28" s="213"/>
      <c r="I28" s="213"/>
      <c r="J28" s="213"/>
      <c r="K28" s="213"/>
      <c r="L28" s="213"/>
      <c r="M28" s="213"/>
      <c r="N28" s="213"/>
      <c r="O28" s="213"/>
      <c r="P28" s="213"/>
      <c r="Q28" s="213"/>
    </row>
    <row r="29" spans="1:23" ht="16.899999999999999">
      <c r="A29" s="2">
        <v>27</v>
      </c>
      <c r="E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</row>
    <row r="30" spans="1:23" ht="16.899999999999999">
      <c r="A30" s="2">
        <v>28</v>
      </c>
      <c r="E30" s="213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</row>
    <row r="31" spans="1:23" ht="16.899999999999999">
      <c r="A31" s="2">
        <v>29</v>
      </c>
      <c r="E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</row>
    <row r="32" spans="1:23" ht="16.899999999999999">
      <c r="A32" s="2">
        <v>30</v>
      </c>
      <c r="E32" s="213"/>
      <c r="G32" s="213"/>
      <c r="H32" s="213"/>
      <c r="I32" s="213"/>
      <c r="J32" s="213"/>
      <c r="K32" s="213"/>
      <c r="L32" s="213"/>
      <c r="M32" s="213"/>
      <c r="N32" s="169"/>
      <c r="O32" s="213"/>
      <c r="P32" s="213"/>
      <c r="Q32" s="213"/>
    </row>
    <row r="33" spans="1:17" ht="16.899999999999999">
      <c r="A33" s="2">
        <v>31</v>
      </c>
      <c r="E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</row>
    <row r="34" spans="1:17" ht="16.899999999999999">
      <c r="A34" s="2">
        <v>32</v>
      </c>
      <c r="E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</row>
    <row r="35" spans="1:17" ht="16.899999999999999">
      <c r="A35" s="2">
        <v>33</v>
      </c>
      <c r="E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</row>
    <row r="36" spans="1:17" ht="16.899999999999999">
      <c r="A36" s="2">
        <v>34</v>
      </c>
      <c r="E36" s="213"/>
      <c r="G36" s="213"/>
      <c r="H36" s="213"/>
      <c r="I36" s="213"/>
      <c r="J36" s="213"/>
      <c r="K36" s="213"/>
      <c r="L36" s="213"/>
      <c r="M36" s="213"/>
      <c r="N36" s="169"/>
      <c r="O36" s="213"/>
      <c r="P36" s="213"/>
      <c r="Q36" s="213"/>
    </row>
    <row r="37" spans="1:17" ht="16.899999999999999">
      <c r="A37" s="2">
        <v>35</v>
      </c>
      <c r="E37" s="213"/>
      <c r="H37" s="213"/>
      <c r="I37" s="213"/>
      <c r="K37" s="213"/>
      <c r="L37" s="213"/>
      <c r="M37" s="213"/>
      <c r="N37" s="213"/>
      <c r="O37" s="213"/>
    </row>
    <row r="38" spans="1:17" ht="16.899999999999999">
      <c r="A38" s="2">
        <v>36</v>
      </c>
      <c r="E38" s="213"/>
      <c r="H38" s="213"/>
      <c r="I38" s="213"/>
      <c r="K38" s="213"/>
      <c r="L38" s="213"/>
      <c r="M38" s="213"/>
      <c r="N38" s="169"/>
      <c r="O38" s="213"/>
    </row>
    <row r="39" spans="1:17" ht="16.899999999999999">
      <c r="A39" s="2">
        <v>37</v>
      </c>
      <c r="E39" s="213"/>
      <c r="H39" s="213"/>
      <c r="I39" s="213"/>
      <c r="K39" s="213"/>
      <c r="L39" s="213"/>
      <c r="M39" s="213"/>
      <c r="N39" s="213"/>
      <c r="O39" s="213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7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128588</xdr:rowOff>
                  </from>
                  <to>
                    <xdr:col>4</xdr:col>
                    <xdr:colOff>1509713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tabSelected="1" workbookViewId="0">
      <selection activeCell="C3" sqref="C3"/>
    </sheetView>
  </sheetViews>
  <sheetFormatPr defaultRowHeight="12.75"/>
  <cols>
    <col min="1" max="1" width="14" customWidth="1"/>
    <col min="2" max="2" width="31.06640625" bestFit="1" customWidth="1"/>
    <col min="3" max="3" width="70.73046875" bestFit="1" customWidth="1"/>
    <col min="4" max="4" width="23.265625" customWidth="1"/>
    <col min="5" max="5" width="22.73046875" customWidth="1"/>
  </cols>
  <sheetData>
    <row r="1" spans="1:9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7">
      <c r="A2" s="3">
        <v>0</v>
      </c>
      <c r="B2" s="178" t="s">
        <v>173</v>
      </c>
      <c r="C2" s="179"/>
      <c r="D2" s="179"/>
      <c r="E2" s="179"/>
    </row>
    <row r="3" spans="1:9" ht="17.649999999999999">
      <c r="A3" s="2">
        <v>1</v>
      </c>
      <c r="B3" s="22" t="s">
        <v>1</v>
      </c>
      <c r="C3" s="8" t="s">
        <v>92</v>
      </c>
      <c r="D3" s="22" t="s">
        <v>29</v>
      </c>
      <c r="E3" s="10">
        <v>45455</v>
      </c>
    </row>
    <row r="4" spans="1:9" ht="17.649999999999999">
      <c r="A4" s="2">
        <v>2</v>
      </c>
      <c r="B4" s="22" t="s">
        <v>2</v>
      </c>
      <c r="C4" s="8" t="s">
        <v>3</v>
      </c>
      <c r="D4" s="5"/>
      <c r="E4" s="5"/>
    </row>
    <row r="5" spans="1:9" ht="17.649999999999999">
      <c r="A5" s="2">
        <v>3</v>
      </c>
      <c r="B5" s="22" t="s">
        <v>4</v>
      </c>
      <c r="C5" s="8" t="s">
        <v>5</v>
      </c>
      <c r="D5" s="5"/>
      <c r="E5" s="5"/>
    </row>
    <row r="6" spans="1:9" ht="17.649999999999999">
      <c r="A6" s="2">
        <v>4</v>
      </c>
      <c r="B6" s="22" t="s">
        <v>6</v>
      </c>
      <c r="C6" s="8" t="s">
        <v>7</v>
      </c>
      <c r="D6" s="5"/>
      <c r="E6" s="5"/>
    </row>
    <row r="7" spans="1:9" ht="17.649999999999999">
      <c r="A7" s="2">
        <v>5</v>
      </c>
      <c r="B7" s="22" t="s">
        <v>8</v>
      </c>
      <c r="C7" s="8" t="s">
        <v>9</v>
      </c>
      <c r="D7" s="5"/>
      <c r="E7" s="5"/>
    </row>
    <row r="8" spans="1:9" ht="19.149999999999999">
      <c r="A8" s="2">
        <v>6</v>
      </c>
      <c r="B8" s="22" t="s">
        <v>10</v>
      </c>
      <c r="C8" s="217" t="s">
        <v>430</v>
      </c>
      <c r="D8" s="5"/>
      <c r="E8" s="5"/>
    </row>
    <row r="9" spans="1:9" ht="17.649999999999999">
      <c r="A9" s="2">
        <v>7</v>
      </c>
      <c r="B9" s="22" t="s">
        <v>12</v>
      </c>
      <c r="C9" s="8" t="s">
        <v>13</v>
      </c>
      <c r="D9" s="9" t="s">
        <v>14</v>
      </c>
      <c r="E9" s="5"/>
    </row>
    <row r="10" spans="1:9" ht="17.649999999999999">
      <c r="A10" s="2">
        <v>8</v>
      </c>
      <c r="B10" s="22" t="s">
        <v>15</v>
      </c>
      <c r="C10" s="8" t="s">
        <v>16</v>
      </c>
      <c r="D10" s="5"/>
      <c r="E10" s="5"/>
    </row>
    <row r="11" spans="1:9" ht="17.649999999999999">
      <c r="A11" s="2">
        <v>9</v>
      </c>
      <c r="B11" s="22" t="s">
        <v>17</v>
      </c>
      <c r="C11" s="8" t="s">
        <v>18</v>
      </c>
      <c r="D11" s="5"/>
      <c r="E11" s="5"/>
    </row>
    <row r="12" spans="1:9" ht="17.649999999999999">
      <c r="A12" s="2">
        <v>10</v>
      </c>
      <c r="B12" s="22" t="s">
        <v>19</v>
      </c>
      <c r="C12" s="8" t="s">
        <v>20</v>
      </c>
      <c r="D12" s="5"/>
      <c r="E12" s="5"/>
    </row>
    <row r="13" spans="1:9" ht="19.149999999999999">
      <c r="A13" s="2">
        <v>11</v>
      </c>
      <c r="B13" s="22" t="s">
        <v>21</v>
      </c>
      <c r="C13" s="218" t="s">
        <v>431</v>
      </c>
      <c r="D13" s="5"/>
      <c r="E13" s="5"/>
    </row>
    <row r="14" spans="1:9" ht="17.649999999999999">
      <c r="A14" s="2">
        <v>12</v>
      </c>
      <c r="B14" s="22" t="s">
        <v>22</v>
      </c>
      <c r="C14" s="10" t="s">
        <v>39</v>
      </c>
      <c r="D14" s="5"/>
      <c r="E14" s="5"/>
    </row>
    <row r="15" spans="1:9" ht="19.149999999999999">
      <c r="A15" s="2">
        <v>13</v>
      </c>
      <c r="B15" s="22" t="s">
        <v>24</v>
      </c>
      <c r="C15" s="218" t="s">
        <v>432</v>
      </c>
      <c r="D15" s="5"/>
      <c r="E15" s="5"/>
    </row>
    <row r="16" spans="1:9" ht="17.649999999999999">
      <c r="A16" s="2">
        <v>14</v>
      </c>
      <c r="B16" s="22" t="s">
        <v>25</v>
      </c>
      <c r="C16" s="8" t="s">
        <v>26</v>
      </c>
      <c r="D16" s="5" t="s">
        <v>27</v>
      </c>
      <c r="E16" s="5" t="s">
        <v>28</v>
      </c>
    </row>
    <row r="17" spans="1:5" ht="17.649999999999999">
      <c r="A17" s="2">
        <v>15</v>
      </c>
      <c r="B17" s="22" t="s">
        <v>30</v>
      </c>
      <c r="C17" s="10" t="s">
        <v>31</v>
      </c>
      <c r="D17" s="5"/>
      <c r="E17" s="5"/>
    </row>
    <row r="18" spans="1:5" ht="17.649999999999999">
      <c r="A18" s="2">
        <v>16</v>
      </c>
      <c r="B18" s="22" t="s">
        <v>32</v>
      </c>
      <c r="C18" s="10" t="s">
        <v>33</v>
      </c>
      <c r="D18" s="5"/>
      <c r="E18" s="5"/>
    </row>
    <row r="19" spans="1:5" ht="17.649999999999999">
      <c r="A19" s="2">
        <v>17</v>
      </c>
      <c r="B19" s="22" t="s">
        <v>34</v>
      </c>
      <c r="C19" s="10" t="s">
        <v>35</v>
      </c>
      <c r="D19" s="5"/>
      <c r="E19" s="5"/>
    </row>
    <row r="20" spans="1:5" ht="17.649999999999999">
      <c r="A20" s="2">
        <v>18</v>
      </c>
      <c r="B20" s="22" t="s">
        <v>36</v>
      </c>
      <c r="C20" s="10" t="s">
        <v>37</v>
      </c>
      <c r="D20" s="5"/>
      <c r="E20" s="5"/>
    </row>
    <row r="21" spans="1:5" ht="17.649999999999999">
      <c r="A21" s="2">
        <v>19</v>
      </c>
      <c r="B21" s="22" t="s">
        <v>38</v>
      </c>
      <c r="C21" s="10" t="s">
        <v>39</v>
      </c>
      <c r="D21" s="5"/>
      <c r="E21" s="5"/>
    </row>
    <row r="22" spans="1:5" ht="17.649999999999999">
      <c r="A22" s="2">
        <v>20</v>
      </c>
      <c r="B22" s="22" t="s">
        <v>40</v>
      </c>
      <c r="C22" s="10" t="s">
        <v>41</v>
      </c>
      <c r="D22" s="5"/>
      <c r="E22" s="5"/>
    </row>
    <row r="23" spans="1:5" ht="17.649999999999999">
      <c r="A23" s="2">
        <v>21</v>
      </c>
      <c r="B23" s="22" t="s">
        <v>42</v>
      </c>
      <c r="C23" s="10" t="s">
        <v>43</v>
      </c>
      <c r="D23" s="5"/>
      <c r="E23" s="5"/>
    </row>
    <row r="24" spans="1:5" ht="17.649999999999999">
      <c r="A24" s="2">
        <v>22</v>
      </c>
      <c r="B24" s="22" t="s">
        <v>44</v>
      </c>
      <c r="C24" s="10" t="s">
        <v>33</v>
      </c>
      <c r="D24" s="5"/>
      <c r="E24" s="5"/>
    </row>
    <row r="25" spans="1:5" ht="17.649999999999999">
      <c r="A25" s="2">
        <v>23</v>
      </c>
      <c r="B25" s="22" t="s">
        <v>45</v>
      </c>
      <c r="C25" s="10" t="s">
        <v>37</v>
      </c>
      <c r="D25" s="5"/>
      <c r="E25" s="5"/>
    </row>
    <row r="26" spans="1:5" ht="17.649999999999999">
      <c r="A26" s="2">
        <v>24</v>
      </c>
      <c r="B26" s="22" t="s">
        <v>46</v>
      </c>
      <c r="C26" s="10" t="s">
        <v>39</v>
      </c>
      <c r="D26" s="5"/>
      <c r="E26" s="5"/>
    </row>
    <row r="27" spans="1:5" ht="17.649999999999999">
      <c r="A27" s="2">
        <v>25</v>
      </c>
      <c r="B27" s="22" t="s">
        <v>47</v>
      </c>
      <c r="C27" s="10" t="s">
        <v>130</v>
      </c>
      <c r="D27" s="5"/>
      <c r="E27" s="5"/>
    </row>
    <row r="28" spans="1:5" ht="17.649999999999999">
      <c r="A28" s="2">
        <v>26</v>
      </c>
      <c r="B28" s="22" t="s">
        <v>48</v>
      </c>
      <c r="C28" s="10" t="s">
        <v>49</v>
      </c>
      <c r="D28" s="6"/>
      <c r="E28" s="6"/>
    </row>
    <row r="29" spans="1:5" ht="17.649999999999999">
      <c r="A29" s="2">
        <v>27</v>
      </c>
      <c r="B29" s="22" t="s">
        <v>50</v>
      </c>
      <c r="C29" s="10" t="s">
        <v>51</v>
      </c>
      <c r="D29" s="6"/>
      <c r="E29" s="6"/>
    </row>
    <row r="30" spans="1:5" ht="17.649999999999999">
      <c r="A30" s="2">
        <v>28</v>
      </c>
      <c r="B30" s="22" t="s">
        <v>52</v>
      </c>
      <c r="C30" s="10" t="s">
        <v>53</v>
      </c>
      <c r="D30" s="6"/>
      <c r="E30" s="6"/>
    </row>
    <row r="31" spans="1:5" ht="16.899999999999999">
      <c r="A31" s="2">
        <v>29</v>
      </c>
      <c r="C31" s="206" t="s">
        <v>338</v>
      </c>
      <c r="D31" s="206" t="s">
        <v>334</v>
      </c>
    </row>
    <row r="32" spans="1:5" ht="16.899999999999999">
      <c r="A32" s="2">
        <v>30</v>
      </c>
      <c r="B32" s="205" t="s">
        <v>332</v>
      </c>
      <c r="C32" s="74" t="s">
        <v>333</v>
      </c>
      <c r="D32" s="74" t="s">
        <v>335</v>
      </c>
    </row>
    <row r="33" spans="1:4" ht="16.899999999999999">
      <c r="A33" s="2">
        <v>31</v>
      </c>
      <c r="B33" s="205" t="s">
        <v>331</v>
      </c>
      <c r="C33" s="74" t="s">
        <v>337</v>
      </c>
      <c r="D33" s="74" t="s">
        <v>336</v>
      </c>
    </row>
    <row r="34" spans="1:4" ht="16.899999999999999">
      <c r="A34" s="2">
        <v>32</v>
      </c>
    </row>
    <row r="35" spans="1:4" ht="16.899999999999999">
      <c r="A35" s="2">
        <v>33</v>
      </c>
    </row>
    <row r="36" spans="1:4" ht="16.899999999999999">
      <c r="A36" s="2">
        <v>34</v>
      </c>
    </row>
    <row r="37" spans="1:4" ht="16.899999999999999">
      <c r="A37" s="2">
        <v>35</v>
      </c>
    </row>
    <row r="38" spans="1:4" ht="16.899999999999999">
      <c r="A38" s="2">
        <v>36</v>
      </c>
    </row>
    <row r="39" spans="1:4" ht="16.899999999999999">
      <c r="A39" s="2">
        <v>37</v>
      </c>
    </row>
    <row r="40" spans="1:4" ht="16.899999999999999">
      <c r="A40" s="2">
        <v>38</v>
      </c>
    </row>
    <row r="41" spans="1:4" ht="16.899999999999999">
      <c r="A41" s="2">
        <v>39</v>
      </c>
    </row>
    <row r="42" spans="1:4" ht="16.899999999999999">
      <c r="A42" s="2">
        <v>40</v>
      </c>
    </row>
  </sheetData>
  <mergeCells count="1">
    <mergeCell ref="B2:E2"/>
  </mergeCells>
  <phoneticPr fontId="17" type="noConversion"/>
  <dataValidations count="3">
    <dataValidation type="list" allowBlank="1" showErrorMessage="1" sqref="C16" xr:uid="{B1C39882-0A20-49F2-82BF-F7CFE28AFBA5}">
      <formula1>"없음,있음"</formula1>
    </dataValidation>
    <dataValidation type="list" allowBlank="1" showErrorMessage="1" sqref="E9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9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5</xdr:col>
                    <xdr:colOff>114300</xdr:colOff>
                    <xdr:row>1</xdr:row>
                    <xdr:rowOff>147638</xdr:rowOff>
                  </from>
                  <to>
                    <xdr:col>8</xdr:col>
                    <xdr:colOff>528638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62543-FD84-47D6-A4CA-C9F636400998}">
  <sheetPr codeName="Sheet3"/>
  <dimension ref="A1:I32"/>
  <sheetViews>
    <sheetView workbookViewId="0">
      <selection activeCell="C3" sqref="C3"/>
    </sheetView>
  </sheetViews>
  <sheetFormatPr defaultRowHeight="12.75"/>
  <cols>
    <col min="1" max="1" width="14" customWidth="1"/>
    <col min="2" max="2" width="34.73046875" customWidth="1"/>
    <col min="3" max="3" width="70.73046875" bestFit="1" customWidth="1"/>
  </cols>
  <sheetData>
    <row r="1" spans="1:9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80" t="s">
        <v>0</v>
      </c>
      <c r="C2" s="181"/>
      <c r="D2" s="181"/>
      <c r="E2" s="181"/>
    </row>
    <row r="3" spans="1:9" ht="16.899999999999999">
      <c r="A3" s="2">
        <v>1</v>
      </c>
      <c r="B3" s="7" t="s">
        <v>54</v>
      </c>
      <c r="C3" s="8" t="str">
        <f>'참여기업 정보'!C3</f>
        <v>(주)소연</v>
      </c>
      <c r="D3" s="5"/>
      <c r="E3" s="5"/>
    </row>
    <row r="4" spans="1:9" ht="16.899999999999999">
      <c r="A4" s="2">
        <v>2</v>
      </c>
      <c r="B4" s="7" t="s">
        <v>30</v>
      </c>
      <c r="C4" s="8" t="str">
        <f>'참여기업 정보'!C17</f>
        <v>김주혁</v>
      </c>
      <c r="D4" s="5"/>
      <c r="E4" s="5"/>
    </row>
    <row r="5" spans="1:9" ht="16.899999999999999">
      <c r="A5" s="2">
        <v>3</v>
      </c>
      <c r="B5" s="7" t="s">
        <v>32</v>
      </c>
      <c r="C5" s="8" t="str">
        <f>'참여기업 정보'!C18</f>
        <v>프로</v>
      </c>
      <c r="D5" s="5"/>
      <c r="E5" s="5"/>
    </row>
    <row r="6" spans="1:9" ht="16.899999999999999">
      <c r="A6" s="2">
        <v>4</v>
      </c>
      <c r="B6" s="7" t="s">
        <v>34</v>
      </c>
      <c r="C6" s="8" t="str">
        <f>'참여기업 정보'!C19</f>
        <v>마케팅팀</v>
      </c>
      <c r="D6" s="5"/>
      <c r="E6" s="5"/>
    </row>
    <row r="7" spans="1:9" ht="16.899999999999999">
      <c r="A7" s="2">
        <v>5</v>
      </c>
      <c r="B7" s="7" t="s">
        <v>36</v>
      </c>
      <c r="C7" s="8" t="str">
        <f>'참여기업 정보'!C20</f>
        <v>010-0000-0000</v>
      </c>
      <c r="D7" s="5"/>
      <c r="E7" s="5"/>
    </row>
    <row r="8" spans="1:9" ht="16.899999999999999">
      <c r="A8" s="2">
        <v>6</v>
      </c>
      <c r="B8" s="7" t="s">
        <v>38</v>
      </c>
      <c r="C8" s="8" t="str">
        <f>'참여기업 정보'!C21</f>
        <v>work@kseta.or.kr</v>
      </c>
      <c r="D8" s="5"/>
      <c r="E8" s="5"/>
    </row>
    <row r="9" spans="1:9" ht="16.899999999999999">
      <c r="A9" s="2">
        <v>7</v>
      </c>
      <c r="B9" s="7" t="s">
        <v>40</v>
      </c>
      <c r="C9" s="8" t="str">
        <f>'참여기업 정보'!C22</f>
        <v>이소연</v>
      </c>
      <c r="D9" s="5"/>
      <c r="E9" s="5"/>
    </row>
    <row r="10" spans="1:9" ht="16.899999999999999">
      <c r="A10" s="2">
        <v>8</v>
      </c>
      <c r="B10" s="7" t="s">
        <v>42</v>
      </c>
      <c r="C10" s="8" t="str">
        <f>'참여기업 정보'!C23</f>
        <v>연구 1팀</v>
      </c>
      <c r="D10" s="5"/>
      <c r="E10" s="5"/>
    </row>
    <row r="11" spans="1:9" ht="16.899999999999999">
      <c r="A11" s="2">
        <v>9</v>
      </c>
      <c r="B11" s="7" t="s">
        <v>44</v>
      </c>
      <c r="C11" s="8" t="str">
        <f>'참여기업 정보'!C24</f>
        <v>프로</v>
      </c>
      <c r="D11" s="5"/>
      <c r="E11" s="5"/>
    </row>
    <row r="12" spans="1:9" ht="16.899999999999999">
      <c r="A12" s="2">
        <v>10</v>
      </c>
      <c r="B12" s="7" t="s">
        <v>45</v>
      </c>
      <c r="C12" s="8" t="str">
        <f>'참여기업 정보'!C25</f>
        <v>010-0000-0000</v>
      </c>
      <c r="D12" s="5"/>
      <c r="E12" s="5"/>
    </row>
    <row r="13" spans="1:9" ht="16.899999999999999">
      <c r="A13" s="2">
        <v>11</v>
      </c>
      <c r="B13" s="7" t="s">
        <v>46</v>
      </c>
      <c r="C13" s="8" t="str">
        <f>'참여기업 정보'!C26</f>
        <v>work@kseta.or.kr</v>
      </c>
      <c r="D13" s="5"/>
      <c r="E13" s="5"/>
    </row>
    <row r="14" spans="1:9" ht="16.899999999999999">
      <c r="A14" s="2">
        <v>12</v>
      </c>
      <c r="B14" s="7" t="s">
        <v>47</v>
      </c>
      <c r="C14" s="8" t="str">
        <f>'참여기업 정보'!C27</f>
        <v>2024.11.18 ~ 2025.01.10</v>
      </c>
      <c r="D14" s="5"/>
      <c r="E14" s="5"/>
    </row>
    <row r="15" spans="1:9" ht="16.899999999999999">
      <c r="A15" s="2">
        <v>13</v>
      </c>
      <c r="B15" s="7" t="s">
        <v>48</v>
      </c>
      <c r="C15" s="8" t="str">
        <f>'참여기업 정보'!C28</f>
        <v>IT</v>
      </c>
      <c r="D15" s="6"/>
      <c r="E15" s="6"/>
    </row>
    <row r="16" spans="1:9" ht="16.899999999999999">
      <c r="A16" s="2">
        <v>14</v>
      </c>
      <c r="B16" s="7" t="s">
        <v>50</v>
      </c>
      <c r="C16" s="8" t="str">
        <f>'참여기업 정보'!C29</f>
        <v>개발팀</v>
      </c>
      <c r="D16" s="6"/>
      <c r="E16" s="6"/>
    </row>
    <row r="17" spans="1:5" ht="16.899999999999999">
      <c r="A17" s="2">
        <v>15</v>
      </c>
      <c r="B17" s="7" t="s">
        <v>52</v>
      </c>
      <c r="C17" s="8" t="str">
        <f>'참여기업 정보'!C30</f>
        <v>소프트웨어 개발 업무에 대한 전반적인 기초 능력 배양 및 현업에 대한 경험</v>
      </c>
      <c r="D17" s="6"/>
      <c r="E17" s="6"/>
    </row>
    <row r="18" spans="1:5" ht="16.899999999999999">
      <c r="A18" s="2">
        <v>16</v>
      </c>
      <c r="B18" s="11"/>
      <c r="C18" s="11"/>
      <c r="D18" s="6"/>
      <c r="E18" s="6"/>
    </row>
    <row r="19" spans="1:5" ht="16.899999999999999">
      <c r="A19" s="2">
        <v>17</v>
      </c>
      <c r="B19" s="12" t="s">
        <v>55</v>
      </c>
      <c r="C19" s="11"/>
      <c r="D19" s="11"/>
      <c r="E19" s="6"/>
    </row>
    <row r="20" spans="1:5" ht="18.75">
      <c r="A20" s="2">
        <v>18</v>
      </c>
      <c r="B20" s="180" t="s">
        <v>56</v>
      </c>
      <c r="C20" s="181"/>
      <c r="D20" s="181"/>
      <c r="E20" s="181"/>
    </row>
    <row r="21" spans="1:5" ht="19.5">
      <c r="A21" s="2">
        <v>19</v>
      </c>
      <c r="B21" s="13" t="s">
        <v>57</v>
      </c>
      <c r="C21" s="14" t="s">
        <v>58</v>
      </c>
      <c r="D21" s="15"/>
      <c r="E21" s="15"/>
    </row>
    <row r="22" spans="1:5" ht="19.5">
      <c r="A22" s="2">
        <v>20</v>
      </c>
      <c r="B22" s="13" t="s">
        <v>59</v>
      </c>
      <c r="C22" s="14" t="s">
        <v>60</v>
      </c>
      <c r="D22" s="15"/>
      <c r="E22" s="15"/>
    </row>
    <row r="23" spans="1:5" ht="19.5">
      <c r="A23" s="2">
        <v>21</v>
      </c>
      <c r="B23" s="13" t="s">
        <v>61</v>
      </c>
      <c r="C23" s="14" t="s">
        <v>62</v>
      </c>
      <c r="D23" s="15"/>
      <c r="E23" s="15"/>
    </row>
    <row r="24" spans="1:5" ht="19.5">
      <c r="A24" s="2">
        <v>22</v>
      </c>
      <c r="B24" s="13" t="s">
        <v>63</v>
      </c>
      <c r="C24" s="14" t="s">
        <v>64</v>
      </c>
      <c r="D24" s="15"/>
      <c r="E24" s="15"/>
    </row>
    <row r="25" spans="1:5" ht="19.5">
      <c r="A25" s="2">
        <v>23</v>
      </c>
      <c r="B25" s="13" t="s">
        <v>65</v>
      </c>
      <c r="C25" s="14" t="s">
        <v>66</v>
      </c>
      <c r="D25" s="15"/>
      <c r="E25" s="15"/>
    </row>
    <row r="26" spans="1:5" ht="19.5">
      <c r="A26" s="2">
        <v>24</v>
      </c>
      <c r="B26" s="13" t="s">
        <v>67</v>
      </c>
      <c r="C26" s="14" t="s">
        <v>68</v>
      </c>
      <c r="D26" s="15"/>
      <c r="E26" s="15"/>
    </row>
    <row r="27" spans="1:5" ht="19.5">
      <c r="A27" s="2">
        <v>25</v>
      </c>
      <c r="B27" s="13" t="s">
        <v>69</v>
      </c>
      <c r="C27" s="14" t="s">
        <v>70</v>
      </c>
      <c r="D27" s="15"/>
      <c r="E27" s="15"/>
    </row>
    <row r="28" spans="1:5" ht="19.5">
      <c r="A28" s="2">
        <v>26</v>
      </c>
      <c r="B28" s="13" t="s">
        <v>71</v>
      </c>
      <c r="C28" s="14" t="s">
        <v>72</v>
      </c>
      <c r="D28" s="15"/>
      <c r="E28" s="15"/>
    </row>
    <row r="29" spans="1:5" ht="16.899999999999999">
      <c r="A29" s="2">
        <v>27</v>
      </c>
    </row>
    <row r="30" spans="1:5" ht="16.899999999999999">
      <c r="A30" s="2">
        <v>28</v>
      </c>
    </row>
    <row r="31" spans="1:5" ht="16.899999999999999">
      <c r="A31" s="2">
        <v>29</v>
      </c>
    </row>
    <row r="32" spans="1:5" ht="16.899999999999999">
      <c r="A32" s="2">
        <v>30</v>
      </c>
    </row>
  </sheetData>
  <mergeCells count="2">
    <mergeCell ref="B2:E2"/>
    <mergeCell ref="B20:E20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Drop Down 4">
              <controlPr defaultSize="0" autoLine="0" autoPict="0" macro="[0]!목차드롭다운">
                <anchor moveWithCells="1">
                  <from>
                    <xdr:col>6</xdr:col>
                    <xdr:colOff>14288</xdr:colOff>
                    <xdr:row>2</xdr:row>
                    <xdr:rowOff>0</xdr:rowOff>
                  </from>
                  <to>
                    <xdr:col>9</xdr:col>
                    <xdr:colOff>419100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>
      <selection activeCell="C9" sqref="C9"/>
    </sheetView>
  </sheetViews>
  <sheetFormatPr defaultRowHeight="12.75"/>
  <cols>
    <col min="1" max="1" width="14" customWidth="1"/>
    <col min="2" max="2" width="23.73046875" customWidth="1"/>
    <col min="3" max="3" width="28.46484375" bestFit="1" customWidth="1"/>
    <col min="4" max="4" width="30" customWidth="1"/>
  </cols>
  <sheetData>
    <row r="1" spans="1:9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80" t="s">
        <v>73</v>
      </c>
      <c r="C2" s="181"/>
      <c r="D2" s="181"/>
      <c r="E2" s="181"/>
      <c r="F2" s="181"/>
    </row>
    <row r="3" spans="1:9" ht="16.899999999999999">
      <c r="A3" s="2">
        <v>1</v>
      </c>
      <c r="B3" s="7" t="s">
        <v>54</v>
      </c>
      <c r="C3" s="8" t="str">
        <f>'참여기업 정보'!C3</f>
        <v>(주)소연</v>
      </c>
      <c r="D3" s="5"/>
      <c r="E3" s="5"/>
      <c r="F3" s="5"/>
    </row>
    <row r="4" spans="1:9" ht="16.899999999999999">
      <c r="A4" s="2">
        <v>2</v>
      </c>
      <c r="B4" s="7" t="s">
        <v>40</v>
      </c>
      <c r="C4" s="16" t="str">
        <f>'참여기업 정보'!C22</f>
        <v>이소연</v>
      </c>
      <c r="D4" s="5"/>
      <c r="E4" s="5"/>
      <c r="F4" s="5"/>
    </row>
    <row r="5" spans="1:9" ht="16.899999999999999">
      <c r="A5" s="2">
        <v>3</v>
      </c>
      <c r="B5" s="7" t="s">
        <v>42</v>
      </c>
      <c r="C5" s="16" t="str">
        <f>'참여기업 정보'!C23</f>
        <v>연구 1팀</v>
      </c>
      <c r="D5" s="5"/>
      <c r="E5" s="5"/>
      <c r="F5" s="5"/>
    </row>
    <row r="6" spans="1:9" ht="16.899999999999999">
      <c r="A6" s="2">
        <v>4</v>
      </c>
      <c r="B6" s="7" t="s">
        <v>44</v>
      </c>
      <c r="C6" s="16" t="str">
        <f>'참여기업 정보'!C24</f>
        <v>프로</v>
      </c>
      <c r="D6" s="5"/>
      <c r="E6" s="5"/>
      <c r="F6" s="5"/>
    </row>
    <row r="7" spans="1:9" ht="16.899999999999999">
      <c r="A7" s="2">
        <v>5</v>
      </c>
      <c r="B7" s="7" t="s">
        <v>45</v>
      </c>
      <c r="C7" s="16" t="str">
        <f>'참여기업 정보'!C25</f>
        <v>010-0000-0000</v>
      </c>
      <c r="D7" s="5"/>
      <c r="E7" s="5"/>
      <c r="F7" s="5"/>
    </row>
    <row r="8" spans="1:9" ht="16.899999999999999">
      <c r="A8" s="2">
        <v>6</v>
      </c>
      <c r="B8" s="7" t="s">
        <v>46</v>
      </c>
      <c r="C8" s="16" t="str">
        <f>'참여기업 정보'!C26</f>
        <v>work@kseta.or.kr</v>
      </c>
      <c r="D8" s="5"/>
      <c r="E8" s="5"/>
      <c r="F8" s="5"/>
    </row>
    <row r="9" spans="1:9" ht="16.899999999999999">
      <c r="A9" s="2">
        <v>7</v>
      </c>
      <c r="B9" s="7" t="s">
        <v>74</v>
      </c>
      <c r="C9" s="16" t="str">
        <f>'참여기업 정보'!C27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17" t="s">
        <v>75</v>
      </c>
      <c r="C11" s="6"/>
      <c r="D11" s="6"/>
      <c r="E11" s="6"/>
      <c r="F11" s="6"/>
    </row>
    <row r="12" spans="1:9" ht="16.899999999999999">
      <c r="A12" s="2">
        <v>10</v>
      </c>
      <c r="B12" s="17" t="s">
        <v>76</v>
      </c>
      <c r="C12" s="6"/>
      <c r="D12" s="6"/>
      <c r="E12" s="6"/>
      <c r="F12" s="6"/>
    </row>
    <row r="13" spans="1:9" ht="18.75">
      <c r="A13" s="2">
        <v>11</v>
      </c>
      <c r="B13" s="180" t="s">
        <v>77</v>
      </c>
      <c r="C13" s="181"/>
      <c r="D13" s="181"/>
      <c r="E13" s="181"/>
      <c r="F13" s="181"/>
    </row>
    <row r="14" spans="1:9" ht="19.5">
      <c r="A14" s="2">
        <v>12</v>
      </c>
      <c r="B14" s="182" t="s">
        <v>57</v>
      </c>
      <c r="C14" s="18" t="s">
        <v>78</v>
      </c>
      <c r="D14" s="186">
        <v>45618</v>
      </c>
      <c r="E14" s="187"/>
      <c r="F14" s="187"/>
    </row>
    <row r="15" spans="1:9" ht="63.75" customHeight="1">
      <c r="A15" s="2">
        <v>13</v>
      </c>
      <c r="B15" s="181"/>
      <c r="C15" s="18" t="s">
        <v>79</v>
      </c>
      <c r="D15" s="185" t="s">
        <v>93</v>
      </c>
      <c r="E15" s="181"/>
      <c r="F15" s="181"/>
    </row>
    <row r="16" spans="1:9" ht="19.5">
      <c r="A16" s="2">
        <v>14</v>
      </c>
      <c r="B16" s="182" t="s">
        <v>59</v>
      </c>
      <c r="C16" s="18" t="s">
        <v>78</v>
      </c>
      <c r="D16" s="183">
        <v>45625</v>
      </c>
      <c r="E16" s="181"/>
      <c r="F16" s="181"/>
    </row>
    <row r="17" spans="1:6" ht="77.25" customHeight="1">
      <c r="A17" s="2">
        <v>15</v>
      </c>
      <c r="B17" s="181"/>
      <c r="C17" s="18" t="s">
        <v>79</v>
      </c>
      <c r="D17" s="185" t="s">
        <v>93</v>
      </c>
      <c r="E17" s="181"/>
      <c r="F17" s="181"/>
    </row>
    <row r="18" spans="1:6" ht="19.5">
      <c r="A18" s="2">
        <v>16</v>
      </c>
      <c r="B18" s="182" t="s">
        <v>61</v>
      </c>
      <c r="C18" s="18" t="s">
        <v>78</v>
      </c>
      <c r="D18" s="183">
        <v>45632</v>
      </c>
      <c r="E18" s="181"/>
      <c r="F18" s="181"/>
    </row>
    <row r="19" spans="1:6" ht="16.899999999999999">
      <c r="A19" s="2">
        <v>17</v>
      </c>
      <c r="B19" s="181"/>
      <c r="C19" s="18" t="s">
        <v>79</v>
      </c>
      <c r="D19" s="184" t="s">
        <v>80</v>
      </c>
      <c r="E19" s="181"/>
      <c r="F19" s="181"/>
    </row>
    <row r="20" spans="1:6" ht="19.5">
      <c r="A20" s="2">
        <v>18</v>
      </c>
      <c r="B20" s="182" t="s">
        <v>63</v>
      </c>
      <c r="C20" s="18" t="s">
        <v>78</v>
      </c>
      <c r="D20" s="183">
        <v>45639</v>
      </c>
      <c r="E20" s="181"/>
      <c r="F20" s="181"/>
    </row>
    <row r="21" spans="1:6" ht="16.899999999999999">
      <c r="A21" s="2">
        <v>19</v>
      </c>
      <c r="B21" s="181"/>
      <c r="C21" s="18" t="s">
        <v>79</v>
      </c>
      <c r="D21" s="184" t="s">
        <v>80</v>
      </c>
      <c r="E21" s="181"/>
      <c r="F21" s="181"/>
    </row>
    <row r="22" spans="1:6" ht="19.5">
      <c r="A22" s="2">
        <v>20</v>
      </c>
      <c r="B22" s="182" t="s">
        <v>65</v>
      </c>
      <c r="C22" s="18" t="s">
        <v>78</v>
      </c>
      <c r="D22" s="183">
        <v>45646</v>
      </c>
      <c r="E22" s="181"/>
      <c r="F22" s="181"/>
    </row>
    <row r="23" spans="1:6" ht="16.899999999999999">
      <c r="A23" s="2">
        <v>21</v>
      </c>
      <c r="B23" s="181"/>
      <c r="C23" s="18" t="s">
        <v>79</v>
      </c>
      <c r="D23" s="184" t="s">
        <v>80</v>
      </c>
      <c r="E23" s="181"/>
      <c r="F23" s="181"/>
    </row>
    <row r="24" spans="1:6" ht="19.5">
      <c r="A24" s="2">
        <v>22</v>
      </c>
      <c r="B24" s="182" t="s">
        <v>67</v>
      </c>
      <c r="C24" s="18" t="s">
        <v>78</v>
      </c>
      <c r="D24" s="183">
        <v>45653</v>
      </c>
      <c r="E24" s="181"/>
      <c r="F24" s="181"/>
    </row>
    <row r="25" spans="1:6" ht="16.899999999999999">
      <c r="A25" s="2">
        <v>23</v>
      </c>
      <c r="B25" s="181"/>
      <c r="C25" s="18" t="s">
        <v>79</v>
      </c>
      <c r="D25" s="184" t="s">
        <v>80</v>
      </c>
      <c r="E25" s="181"/>
      <c r="F25" s="181"/>
    </row>
    <row r="26" spans="1:6" ht="19.5">
      <c r="A26" s="2">
        <v>24</v>
      </c>
      <c r="B26" s="182" t="s">
        <v>69</v>
      </c>
      <c r="C26" s="18" t="s">
        <v>78</v>
      </c>
      <c r="D26" s="183">
        <v>45660</v>
      </c>
      <c r="E26" s="181"/>
      <c r="F26" s="181"/>
    </row>
    <row r="27" spans="1:6" ht="16.899999999999999">
      <c r="A27" s="2">
        <v>25</v>
      </c>
      <c r="B27" s="181"/>
      <c r="C27" s="18" t="s">
        <v>79</v>
      </c>
      <c r="D27" s="184" t="s">
        <v>80</v>
      </c>
      <c r="E27" s="181"/>
      <c r="F27" s="181"/>
    </row>
    <row r="28" spans="1:6" ht="19.5">
      <c r="A28" s="2">
        <v>26</v>
      </c>
      <c r="B28" s="182" t="s">
        <v>71</v>
      </c>
      <c r="C28" s="18" t="s">
        <v>78</v>
      </c>
      <c r="D28" s="183">
        <v>45667</v>
      </c>
      <c r="E28" s="181"/>
      <c r="F28" s="181"/>
    </row>
    <row r="29" spans="1:6" ht="16.899999999999999">
      <c r="A29" s="2">
        <v>27</v>
      </c>
      <c r="B29" s="181"/>
      <c r="C29" s="18" t="s">
        <v>79</v>
      </c>
      <c r="D29" s="184" t="s">
        <v>80</v>
      </c>
      <c r="E29" s="181"/>
      <c r="F29" s="181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16:B17"/>
    <mergeCell ref="D16:F16"/>
    <mergeCell ref="D17:F17"/>
    <mergeCell ref="B2:F2"/>
    <mergeCell ref="B13:F13"/>
    <mergeCell ref="B14:B15"/>
    <mergeCell ref="D14:F14"/>
    <mergeCell ref="D15:F15"/>
    <mergeCell ref="B18:B19"/>
    <mergeCell ref="D18:F18"/>
    <mergeCell ref="D19:F19"/>
    <mergeCell ref="B20:B21"/>
    <mergeCell ref="D20:F20"/>
    <mergeCell ref="D21:F21"/>
    <mergeCell ref="B22:B23"/>
    <mergeCell ref="D22:F22"/>
    <mergeCell ref="D23:F23"/>
    <mergeCell ref="B24:B25"/>
    <mergeCell ref="D24:F24"/>
    <mergeCell ref="D25:F25"/>
    <mergeCell ref="B26:B27"/>
    <mergeCell ref="D26:F26"/>
    <mergeCell ref="D27:F27"/>
    <mergeCell ref="B28:B29"/>
    <mergeCell ref="D28:F28"/>
    <mergeCell ref="D29:F2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14288</xdr:colOff>
                    <xdr:row>2</xdr:row>
                    <xdr:rowOff>14288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>
      <selection activeCell="B2" sqref="B2:F2"/>
    </sheetView>
  </sheetViews>
  <sheetFormatPr defaultRowHeight="12.75"/>
  <cols>
    <col min="1" max="1" width="14" customWidth="1"/>
    <col min="2" max="2" width="11.33203125" bestFit="1" customWidth="1"/>
    <col min="3" max="3" width="30.59765625" bestFit="1" customWidth="1"/>
    <col min="4" max="4" width="34.265625" customWidth="1"/>
  </cols>
  <sheetData>
    <row r="1" spans="1:9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180" t="s">
        <v>73</v>
      </c>
      <c r="C2" s="181"/>
      <c r="D2" s="181"/>
      <c r="E2" s="181"/>
      <c r="F2" s="181"/>
    </row>
    <row r="3" spans="1:9" ht="16.899999999999999">
      <c r="A3" s="2">
        <v>1</v>
      </c>
      <c r="B3" s="7" t="s">
        <v>54</v>
      </c>
      <c r="C3" s="8" t="str">
        <f>'참여기업 정보'!C3</f>
        <v>(주)소연</v>
      </c>
      <c r="D3" s="5"/>
      <c r="E3" s="5"/>
      <c r="F3" s="5"/>
    </row>
    <row r="4" spans="1:9" ht="16.899999999999999">
      <c r="A4" s="2">
        <v>2</v>
      </c>
      <c r="B4" s="7" t="s">
        <v>40</v>
      </c>
      <c r="C4" s="16" t="str">
        <f>'참여기업 정보'!C22</f>
        <v>이소연</v>
      </c>
      <c r="D4" s="5"/>
      <c r="E4" s="5"/>
      <c r="F4" s="5"/>
    </row>
    <row r="5" spans="1:9" ht="16.899999999999999">
      <c r="A5" s="2">
        <v>3</v>
      </c>
      <c r="B5" s="7" t="s">
        <v>42</v>
      </c>
      <c r="C5" s="16" t="str">
        <f>'참여기업 정보'!C23</f>
        <v>연구 1팀</v>
      </c>
      <c r="D5" s="5"/>
      <c r="E5" s="5"/>
      <c r="F5" s="5"/>
    </row>
    <row r="6" spans="1:9" ht="16.899999999999999">
      <c r="A6" s="2">
        <v>4</v>
      </c>
      <c r="B6" s="7" t="s">
        <v>44</v>
      </c>
      <c r="C6" s="16" t="str">
        <f>'참여기업 정보'!C24</f>
        <v>프로</v>
      </c>
      <c r="D6" s="5"/>
      <c r="E6" s="5"/>
      <c r="F6" s="5"/>
    </row>
    <row r="7" spans="1:9" ht="16.899999999999999">
      <c r="A7" s="2">
        <v>5</v>
      </c>
      <c r="B7" s="7" t="s">
        <v>45</v>
      </c>
      <c r="C7" s="16" t="str">
        <f>'참여기업 정보'!C25</f>
        <v>010-0000-0000</v>
      </c>
      <c r="D7" s="5"/>
      <c r="E7" s="5"/>
      <c r="F7" s="5"/>
    </row>
    <row r="8" spans="1:9" ht="16.899999999999999">
      <c r="A8" s="2">
        <v>6</v>
      </c>
      <c r="B8" s="7" t="s">
        <v>46</v>
      </c>
      <c r="C8" s="16" t="str">
        <f>'참여기업 정보'!C26</f>
        <v>work@kseta.or.kr</v>
      </c>
      <c r="D8" s="5"/>
      <c r="E8" s="5"/>
      <c r="F8" s="5"/>
    </row>
    <row r="9" spans="1:9" ht="16.899999999999999">
      <c r="A9" s="2">
        <v>7</v>
      </c>
      <c r="B9" s="7" t="s">
        <v>74</v>
      </c>
      <c r="C9" s="16" t="str">
        <f>'참여기업 정보'!C27</f>
        <v>2024.11.18 ~ 2025.01.10</v>
      </c>
      <c r="D9" s="5"/>
      <c r="E9" s="5"/>
      <c r="F9" s="5"/>
    </row>
    <row r="10" spans="1:9" ht="18.75">
      <c r="A10" s="2">
        <v>8</v>
      </c>
      <c r="B10" s="19"/>
      <c r="C10" s="20"/>
      <c r="D10" s="20"/>
      <c r="E10" s="20"/>
      <c r="F10" s="20"/>
    </row>
    <row r="11" spans="1:9" ht="18.75">
      <c r="A11" s="2">
        <v>9</v>
      </c>
      <c r="B11" s="190" t="s">
        <v>81</v>
      </c>
      <c r="C11" s="191"/>
      <c r="D11" s="191"/>
      <c r="E11" s="191"/>
      <c r="F11" s="191"/>
    </row>
    <row r="12" spans="1:9" ht="18.75">
      <c r="A12" s="2">
        <v>10</v>
      </c>
      <c r="B12" s="180" t="s">
        <v>82</v>
      </c>
      <c r="C12" s="181"/>
      <c r="D12" s="181"/>
      <c r="E12" s="181"/>
      <c r="F12" s="181"/>
    </row>
    <row r="13" spans="1:9" ht="16.899999999999999">
      <c r="A13" s="2">
        <v>11</v>
      </c>
      <c r="B13" s="182" t="s">
        <v>57</v>
      </c>
      <c r="C13" s="18" t="s">
        <v>83</v>
      </c>
      <c r="D13" s="188" t="str">
        <f>'일경험 운영계획서'!C21</f>
        <v>모바일 앱 개발 기초와 필수 도구 소개</v>
      </c>
      <c r="E13" s="181"/>
      <c r="F13" s="181"/>
    </row>
    <row r="14" spans="1:9" ht="16.899999999999999">
      <c r="A14" s="2">
        <v>12</v>
      </c>
      <c r="B14" s="181"/>
      <c r="C14" s="18" t="s">
        <v>84</v>
      </c>
      <c r="D14" s="189"/>
      <c r="E14" s="181"/>
      <c r="F14" s="181"/>
    </row>
    <row r="15" spans="1:9" ht="16.899999999999999">
      <c r="A15" s="2">
        <v>13</v>
      </c>
      <c r="B15" s="181"/>
      <c r="C15" s="18" t="s">
        <v>85</v>
      </c>
      <c r="D15" s="189"/>
      <c r="E15" s="181"/>
      <c r="F15" s="181"/>
    </row>
    <row r="16" spans="1:9" ht="16.899999999999999">
      <c r="A16" s="2">
        <v>14</v>
      </c>
      <c r="B16" s="182" t="s">
        <v>59</v>
      </c>
      <c r="C16" s="18" t="s">
        <v>83</v>
      </c>
      <c r="D16" s="188" t="str">
        <f>'일경험 운영계획서'!C22</f>
        <v>앱 화면 설계 및 사용자 경험(UX) 기초</v>
      </c>
      <c r="E16" s="181"/>
      <c r="F16" s="181"/>
    </row>
    <row r="17" spans="1:6" ht="16.899999999999999">
      <c r="A17" s="2">
        <v>15</v>
      </c>
      <c r="B17" s="181"/>
      <c r="C17" s="18" t="s">
        <v>84</v>
      </c>
      <c r="D17" s="189"/>
      <c r="E17" s="189"/>
      <c r="F17" s="189"/>
    </row>
    <row r="18" spans="1:6" ht="16.899999999999999">
      <c r="A18" s="2">
        <v>16</v>
      </c>
      <c r="B18" s="181"/>
      <c r="C18" s="18" t="s">
        <v>85</v>
      </c>
      <c r="D18" s="189"/>
      <c r="E18" s="189"/>
      <c r="F18" s="189"/>
    </row>
    <row r="19" spans="1:6" ht="16.899999999999999">
      <c r="A19" s="2">
        <v>17</v>
      </c>
      <c r="B19" s="182" t="s">
        <v>61</v>
      </c>
      <c r="C19" s="18" t="s">
        <v>83</v>
      </c>
      <c r="D19" s="188" t="str">
        <f>'일경험 운영계획서'!C23</f>
        <v>앱 레이아웃 구성 – XML 및 기본 위젯 활용</v>
      </c>
      <c r="E19" s="188"/>
      <c r="F19" s="188"/>
    </row>
    <row r="20" spans="1:6" ht="16.899999999999999">
      <c r="A20" s="2">
        <v>18</v>
      </c>
      <c r="B20" s="181"/>
      <c r="C20" s="18" t="s">
        <v>84</v>
      </c>
      <c r="D20" s="189"/>
      <c r="E20" s="189"/>
      <c r="F20" s="189"/>
    </row>
    <row r="21" spans="1:6" ht="16.899999999999999">
      <c r="A21" s="2">
        <v>19</v>
      </c>
      <c r="B21" s="181"/>
      <c r="C21" s="18" t="s">
        <v>85</v>
      </c>
      <c r="D21" s="189"/>
      <c r="E21" s="189"/>
      <c r="F21" s="189"/>
    </row>
    <row r="22" spans="1:6" ht="16.899999999999999">
      <c r="A22" s="2">
        <v>20</v>
      </c>
      <c r="B22" s="182" t="s">
        <v>63</v>
      </c>
      <c r="C22" s="18" t="s">
        <v>83</v>
      </c>
      <c r="D22" s="188" t="str">
        <f>'일경험 운영계획서'!C24</f>
        <v>사용자 인터랙션 추가 – 이벤트 및 터치 기능</v>
      </c>
      <c r="E22" s="188"/>
      <c r="F22" s="188"/>
    </row>
    <row r="23" spans="1:6" ht="16.899999999999999">
      <c r="A23" s="2">
        <v>21</v>
      </c>
      <c r="B23" s="181"/>
      <c r="C23" s="18" t="s">
        <v>84</v>
      </c>
      <c r="D23" s="188"/>
      <c r="E23" s="188"/>
      <c r="F23" s="188"/>
    </row>
    <row r="24" spans="1:6" ht="16.899999999999999">
      <c r="A24" s="2">
        <v>22</v>
      </c>
      <c r="B24" s="181"/>
      <c r="C24" s="18" t="s">
        <v>85</v>
      </c>
      <c r="D24" s="188"/>
      <c r="E24" s="188"/>
      <c r="F24" s="188"/>
    </row>
    <row r="25" spans="1:6" ht="16.899999999999999">
      <c r="A25" s="2">
        <v>23</v>
      </c>
      <c r="B25" s="182" t="s">
        <v>65</v>
      </c>
      <c r="C25" s="18" t="s">
        <v>83</v>
      </c>
      <c r="D25" s="188" t="str">
        <f>'일경험 운영계획서'!C25</f>
        <v>데이터 저장 및 관리 – SQLite와 로컬 데이터</v>
      </c>
      <c r="E25" s="188"/>
      <c r="F25" s="188"/>
    </row>
    <row r="26" spans="1:6" ht="16.899999999999999">
      <c r="A26" s="2">
        <v>24</v>
      </c>
      <c r="B26" s="181"/>
      <c r="C26" s="18" t="s">
        <v>84</v>
      </c>
      <c r="D26" s="188"/>
      <c r="E26" s="181"/>
      <c r="F26" s="181"/>
    </row>
    <row r="27" spans="1:6" ht="16.899999999999999">
      <c r="A27" s="2">
        <v>25</v>
      </c>
      <c r="B27" s="181"/>
      <c r="C27" s="18" t="s">
        <v>85</v>
      </c>
      <c r="D27" s="188"/>
      <c r="E27" s="181"/>
      <c r="F27" s="181"/>
    </row>
    <row r="28" spans="1:6" ht="16.899999999999999">
      <c r="A28" s="2">
        <v>26</v>
      </c>
      <c r="B28" s="182" t="s">
        <v>67</v>
      </c>
      <c r="C28" s="18" t="s">
        <v>83</v>
      </c>
      <c r="D28" s="188" t="str">
        <f>'일경험 운영계획서'!C26</f>
        <v>네트워크 통신 – API 활용 및 데이터 연동</v>
      </c>
      <c r="E28" s="181"/>
      <c r="F28" s="181"/>
    </row>
    <row r="29" spans="1:6" ht="16.899999999999999">
      <c r="A29" s="2">
        <v>27</v>
      </c>
      <c r="B29" s="181"/>
      <c r="C29" s="18" t="s">
        <v>84</v>
      </c>
      <c r="D29" s="189"/>
      <c r="E29" s="181"/>
      <c r="F29" s="181"/>
    </row>
    <row r="30" spans="1:6" ht="16.899999999999999">
      <c r="A30" s="2">
        <v>28</v>
      </c>
      <c r="B30" s="181"/>
      <c r="C30" s="18" t="s">
        <v>85</v>
      </c>
      <c r="D30" s="189"/>
      <c r="E30" s="181"/>
      <c r="F30" s="181"/>
    </row>
    <row r="31" spans="1:6" ht="16.899999999999999">
      <c r="A31" s="2">
        <v>29</v>
      </c>
      <c r="B31" s="182" t="s">
        <v>69</v>
      </c>
      <c r="C31" s="18" t="s">
        <v>83</v>
      </c>
      <c r="D31" s="188" t="str">
        <f>'일경험 운영계획서'!C27</f>
        <v>앱 성능 최적화와 디버깅</v>
      </c>
      <c r="E31" s="181"/>
      <c r="F31" s="181"/>
    </row>
    <row r="32" spans="1:6" ht="16.899999999999999">
      <c r="A32" s="2">
        <v>30</v>
      </c>
      <c r="B32" s="181"/>
      <c r="C32" s="18" t="s">
        <v>84</v>
      </c>
      <c r="D32" s="189"/>
      <c r="E32" s="181"/>
      <c r="F32" s="181"/>
    </row>
    <row r="33" spans="1:6" ht="16.899999999999999">
      <c r="A33" s="2">
        <v>31</v>
      </c>
      <c r="B33" s="181"/>
      <c r="C33" s="18" t="s">
        <v>85</v>
      </c>
      <c r="D33" s="189"/>
      <c r="E33" s="181"/>
      <c r="F33" s="181"/>
    </row>
    <row r="34" spans="1:6" ht="16.899999999999999">
      <c r="A34" s="2">
        <v>32</v>
      </c>
      <c r="B34" s="182" t="s">
        <v>71</v>
      </c>
      <c r="C34" s="18" t="s">
        <v>83</v>
      </c>
      <c r="D34" s="188" t="str">
        <f>'일경험 운영계획서'!C28</f>
        <v>앱 배포 및 유지 관리 전략</v>
      </c>
      <c r="E34" s="181"/>
      <c r="F34" s="181"/>
    </row>
    <row r="35" spans="1:6" ht="16.899999999999999">
      <c r="A35" s="2">
        <v>33</v>
      </c>
      <c r="B35" s="181"/>
      <c r="C35" s="18" t="s">
        <v>84</v>
      </c>
      <c r="D35" s="189"/>
      <c r="E35" s="181"/>
      <c r="F35" s="181"/>
    </row>
    <row r="36" spans="1:6" ht="16.899999999999999">
      <c r="A36" s="2">
        <v>34</v>
      </c>
      <c r="B36" s="181"/>
      <c r="C36" s="18" t="s">
        <v>85</v>
      </c>
      <c r="D36" s="189"/>
      <c r="E36" s="181"/>
      <c r="F36" s="181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2:F2"/>
    <mergeCell ref="B11:F11"/>
    <mergeCell ref="B12:F12"/>
    <mergeCell ref="B13:B15"/>
    <mergeCell ref="D13:F13"/>
    <mergeCell ref="D14:F14"/>
    <mergeCell ref="D15:F15"/>
    <mergeCell ref="B16:B18"/>
    <mergeCell ref="D16:F16"/>
    <mergeCell ref="D17:F17"/>
    <mergeCell ref="D18:F18"/>
    <mergeCell ref="B19:B21"/>
    <mergeCell ref="D19:F19"/>
    <mergeCell ref="D20:F20"/>
    <mergeCell ref="D21:F21"/>
    <mergeCell ref="B22:B24"/>
    <mergeCell ref="D22:F22"/>
    <mergeCell ref="D23:F23"/>
    <mergeCell ref="D24:F24"/>
    <mergeCell ref="B25:B27"/>
    <mergeCell ref="D25:F25"/>
    <mergeCell ref="D26:F26"/>
    <mergeCell ref="D27:F27"/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642938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>
      <selection sqref="A1:F1"/>
    </sheetView>
  </sheetViews>
  <sheetFormatPr defaultRowHeight="12.75"/>
  <cols>
    <col min="1" max="1" width="14" customWidth="1"/>
    <col min="2" max="2" width="16.33203125" bestFit="1" customWidth="1"/>
  </cols>
  <sheetData>
    <row r="1" spans="1:7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180" t="s">
        <v>73</v>
      </c>
      <c r="C2" s="181"/>
      <c r="D2" s="181"/>
      <c r="E2" s="181"/>
      <c r="F2" s="181"/>
    </row>
    <row r="3" spans="1:7" ht="16.899999999999999">
      <c r="A3" s="2">
        <v>1</v>
      </c>
      <c r="B3" s="7" t="s">
        <v>54</v>
      </c>
      <c r="C3" s="16" t="str">
        <f>'참여기업 정보'!C3</f>
        <v>(주)소연</v>
      </c>
      <c r="D3" s="5"/>
      <c r="E3" s="5"/>
      <c r="F3" s="5"/>
    </row>
    <row r="4" spans="1:7" ht="16.899999999999999">
      <c r="A4" s="2">
        <v>2</v>
      </c>
      <c r="B4" s="7" t="s">
        <v>30</v>
      </c>
      <c r="C4" s="16" t="str">
        <f>'참여기업 정보'!C17</f>
        <v>김주혁</v>
      </c>
      <c r="D4" s="5"/>
      <c r="E4" s="5"/>
      <c r="F4" s="5"/>
    </row>
    <row r="5" spans="1:7" ht="16.899999999999999">
      <c r="A5" s="2">
        <v>3</v>
      </c>
      <c r="B5" s="7" t="s">
        <v>32</v>
      </c>
      <c r="C5" s="16" t="str">
        <f>'참여기업 정보'!C18</f>
        <v>프로</v>
      </c>
      <c r="D5" s="5"/>
      <c r="E5" s="5"/>
      <c r="F5" s="5"/>
    </row>
    <row r="6" spans="1:7" ht="16.899999999999999">
      <c r="A6" s="2">
        <v>4</v>
      </c>
      <c r="B6" s="7" t="s">
        <v>34</v>
      </c>
      <c r="C6" s="16" t="str">
        <f>'참여기업 정보'!C19</f>
        <v>마케팅팀</v>
      </c>
      <c r="D6" s="5"/>
      <c r="E6" s="5"/>
      <c r="F6" s="5"/>
    </row>
    <row r="7" spans="1:7" ht="16.899999999999999">
      <c r="A7" s="2">
        <v>5</v>
      </c>
      <c r="B7" s="7" t="s">
        <v>36</v>
      </c>
      <c r="C7" s="16" t="str">
        <f>'참여기업 정보'!C20</f>
        <v>010-0000-0000</v>
      </c>
      <c r="D7" s="5"/>
      <c r="E7" s="5"/>
      <c r="F7" s="5"/>
    </row>
    <row r="8" spans="1:7" ht="16.899999999999999">
      <c r="A8" s="2">
        <v>6</v>
      </c>
      <c r="B8" s="7" t="s">
        <v>38</v>
      </c>
      <c r="C8" s="16" t="str">
        <f>'참여기업 정보'!C21</f>
        <v>work@kseta.or.kr</v>
      </c>
      <c r="D8" s="5"/>
      <c r="E8" s="5"/>
      <c r="F8" s="5"/>
    </row>
    <row r="9" spans="1:7" ht="16.899999999999999">
      <c r="A9" s="2">
        <v>7</v>
      </c>
      <c r="B9" s="7" t="s">
        <v>74</v>
      </c>
      <c r="C9" s="16" t="str">
        <f>'참여기업 정보'!C27</f>
        <v>2024.11.18 ~ 2025.01.10</v>
      </c>
      <c r="D9" s="5"/>
      <c r="E9" s="5"/>
      <c r="F9" s="5"/>
    </row>
    <row r="10" spans="1:7" ht="18.75">
      <c r="A10" s="2">
        <v>8</v>
      </c>
      <c r="B10" s="7" t="s">
        <v>50</v>
      </c>
      <c r="C10" s="16" t="str">
        <f>'참여기업 정보'!C29</f>
        <v>개발팀</v>
      </c>
      <c r="D10" s="20"/>
      <c r="E10" s="20"/>
      <c r="F10" s="20"/>
    </row>
    <row r="11" spans="1:7" ht="18.75">
      <c r="A11" s="2">
        <v>9</v>
      </c>
      <c r="B11" s="21"/>
      <c r="C11" s="20"/>
      <c r="D11" s="20"/>
      <c r="E11" s="20"/>
      <c r="F11" s="20"/>
    </row>
    <row r="12" spans="1:7" ht="18.75">
      <c r="A12" s="2">
        <v>10</v>
      </c>
      <c r="B12" s="190" t="s">
        <v>86</v>
      </c>
      <c r="C12" s="191"/>
      <c r="D12" s="191"/>
      <c r="E12" s="191"/>
      <c r="F12" s="191"/>
    </row>
    <row r="13" spans="1:7" ht="18.75">
      <c r="A13" s="2">
        <v>11</v>
      </c>
      <c r="B13" s="180" t="s">
        <v>87</v>
      </c>
      <c r="C13" s="181"/>
      <c r="D13" s="181"/>
      <c r="E13" s="181"/>
      <c r="F13" s="181"/>
    </row>
    <row r="14" spans="1:7" ht="16.899999999999999">
      <c r="A14" s="2">
        <v>12</v>
      </c>
      <c r="B14" s="182" t="s">
        <v>88</v>
      </c>
      <c r="C14" s="184"/>
      <c r="D14" s="191"/>
      <c r="E14" s="191"/>
      <c r="F14" s="181"/>
    </row>
    <row r="15" spans="1:7" ht="16.899999999999999">
      <c r="A15" s="2">
        <v>13</v>
      </c>
      <c r="B15" s="181"/>
      <c r="C15" s="191"/>
      <c r="D15" s="191"/>
      <c r="E15" s="191"/>
      <c r="F15" s="181"/>
    </row>
    <row r="16" spans="1:7" ht="16.899999999999999">
      <c r="A16" s="2">
        <v>14</v>
      </c>
      <c r="B16" s="181"/>
      <c r="C16" s="181"/>
      <c r="D16" s="181"/>
      <c r="E16" s="181"/>
      <c r="F16" s="181"/>
    </row>
    <row r="17" spans="1:6" ht="16.899999999999999">
      <c r="A17" s="2">
        <v>15</v>
      </c>
      <c r="B17" s="182" t="s">
        <v>89</v>
      </c>
      <c r="C17" s="184"/>
      <c r="D17" s="191"/>
      <c r="E17" s="191"/>
      <c r="F17" s="181"/>
    </row>
    <row r="18" spans="1:6" ht="16.899999999999999">
      <c r="A18" s="2">
        <v>16</v>
      </c>
      <c r="B18" s="181"/>
      <c r="C18" s="191"/>
      <c r="D18" s="191"/>
      <c r="E18" s="191"/>
      <c r="F18" s="181"/>
    </row>
    <row r="19" spans="1:6" ht="16.899999999999999">
      <c r="A19" s="2">
        <v>17</v>
      </c>
      <c r="B19" s="181"/>
      <c r="C19" s="181"/>
      <c r="D19" s="181"/>
      <c r="E19" s="181"/>
      <c r="F19" s="181"/>
    </row>
    <row r="20" spans="1:6" ht="16.899999999999999">
      <c r="A20" s="2">
        <v>18</v>
      </c>
      <c r="B20" s="182" t="s">
        <v>90</v>
      </c>
      <c r="C20" s="184"/>
      <c r="D20" s="191"/>
      <c r="E20" s="191"/>
      <c r="F20" s="181"/>
    </row>
    <row r="21" spans="1:6" ht="16.899999999999999">
      <c r="A21" s="2">
        <v>19</v>
      </c>
      <c r="B21" s="181"/>
      <c r="C21" s="191"/>
      <c r="D21" s="191"/>
      <c r="E21" s="191"/>
      <c r="F21" s="181"/>
    </row>
    <row r="22" spans="1:6" ht="16.899999999999999">
      <c r="A22" s="2">
        <v>20</v>
      </c>
      <c r="B22" s="181"/>
      <c r="C22" s="181"/>
      <c r="D22" s="181"/>
      <c r="E22" s="181"/>
      <c r="F22" s="181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395288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>
      <selection activeCell="C3" sqref="C3"/>
    </sheetView>
  </sheetViews>
  <sheetFormatPr defaultRowHeight="12.75"/>
  <cols>
    <col min="1" max="1" width="14" customWidth="1"/>
    <col min="2" max="2" width="19.59765625" customWidth="1"/>
    <col min="3" max="3" width="29.06640625" customWidth="1"/>
  </cols>
  <sheetData>
    <row r="1" spans="1:38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192" t="s">
        <v>150</v>
      </c>
      <c r="C2" s="193"/>
      <c r="D2" s="66"/>
      <c r="E2" s="67"/>
      <c r="F2" s="68"/>
      <c r="G2" s="50"/>
    </row>
    <row r="3" spans="1:38" ht="16.899999999999999">
      <c r="A3" s="2">
        <v>1</v>
      </c>
      <c r="B3" s="7" t="s">
        <v>94</v>
      </c>
      <c r="C3" s="23" t="s">
        <v>147</v>
      </c>
      <c r="D3" s="32"/>
      <c r="E3" s="27"/>
      <c r="F3" s="26"/>
    </row>
    <row r="4" spans="1:38" ht="16.899999999999999">
      <c r="A4" s="2">
        <v>2</v>
      </c>
      <c r="B4" s="7" t="s">
        <v>95</v>
      </c>
      <c r="C4" s="23" t="s">
        <v>148</v>
      </c>
      <c r="D4" s="32"/>
      <c r="E4" s="59"/>
      <c r="F4" s="34"/>
    </row>
    <row r="5" spans="1:38" ht="16.899999999999999">
      <c r="A5" s="2">
        <v>3</v>
      </c>
      <c r="B5" s="74"/>
      <c r="C5" s="75"/>
      <c r="D5" s="61"/>
      <c r="E5" s="61"/>
      <c r="F5" s="63"/>
    </row>
    <row r="6" spans="1:38" ht="16.899999999999999">
      <c r="A6" s="2">
        <v>4</v>
      </c>
      <c r="B6" s="7" t="s">
        <v>96</v>
      </c>
      <c r="C6" s="16" t="s">
        <v>149</v>
      </c>
      <c r="D6" s="32"/>
      <c r="E6" s="61"/>
      <c r="F6" s="26"/>
    </row>
    <row r="7" spans="1:38" ht="16.899999999999999">
      <c r="A7" s="2">
        <v>5</v>
      </c>
      <c r="B7" s="79"/>
      <c r="C7" s="80"/>
      <c r="D7" s="26"/>
      <c r="E7" s="27"/>
      <c r="F7" s="26"/>
    </row>
    <row r="8" spans="1:38" ht="16.899999999999999">
      <c r="A8" s="76">
        <v>6</v>
      </c>
      <c r="B8" s="81"/>
      <c r="C8" s="77"/>
      <c r="D8" s="60"/>
      <c r="E8" s="59"/>
      <c r="F8" s="34"/>
    </row>
    <row r="9" spans="1:38" ht="16.899999999999999">
      <c r="A9" s="2">
        <v>7</v>
      </c>
      <c r="B9" s="82"/>
      <c r="C9" s="77"/>
      <c r="D9" s="62"/>
      <c r="E9" s="24"/>
      <c r="F9" s="26"/>
    </row>
    <row r="10" spans="1:38" ht="18.75">
      <c r="A10" s="76">
        <v>8</v>
      </c>
      <c r="B10" s="81"/>
      <c r="C10" s="78"/>
      <c r="D10" s="65"/>
      <c r="E10" s="65"/>
      <c r="F10" s="64"/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414338</xdr:colOff>
                    <xdr:row>5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topLeftCell="A4" workbookViewId="0">
      <selection activeCell="G8" sqref="G8"/>
    </sheetView>
  </sheetViews>
  <sheetFormatPr defaultRowHeight="12.75"/>
  <cols>
    <col min="1" max="1" width="14" customWidth="1"/>
    <col min="2" max="2" width="30" bestFit="1" customWidth="1"/>
    <col min="3" max="3" width="22.06640625" bestFit="1" customWidth="1"/>
  </cols>
  <sheetData>
    <row r="1" spans="1:38" ht="26.25">
      <c r="A1" s="1" t="s">
        <v>91</v>
      </c>
      <c r="B1" s="4">
        <v>1</v>
      </c>
      <c r="C1" s="4">
        <v>2</v>
      </c>
      <c r="D1" s="48">
        <v>3</v>
      </c>
      <c r="E1" s="4">
        <v>4</v>
      </c>
      <c r="F1" s="48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196" t="s">
        <v>151</v>
      </c>
      <c r="C2" s="197"/>
      <c r="D2" s="52"/>
      <c r="E2" s="49"/>
      <c r="F2" s="53"/>
      <c r="G2" s="50"/>
    </row>
    <row r="3" spans="1:38" ht="18.75">
      <c r="A3" s="3">
        <v>1</v>
      </c>
      <c r="B3" s="194" t="s">
        <v>110</v>
      </c>
      <c r="C3" s="195"/>
      <c r="D3" s="51"/>
      <c r="E3" s="36"/>
      <c r="F3" s="36"/>
    </row>
    <row r="4" spans="1:38" ht="16.899999999999999">
      <c r="A4" s="3">
        <v>2</v>
      </c>
      <c r="B4" s="54" t="s">
        <v>97</v>
      </c>
      <c r="C4" s="33" t="s">
        <v>132</v>
      </c>
      <c r="D4" s="37"/>
      <c r="E4" s="38"/>
      <c r="F4" s="38"/>
      <c r="G4" s="25"/>
    </row>
    <row r="5" spans="1:38" ht="16.899999999999999">
      <c r="A5" s="3">
        <v>3</v>
      </c>
      <c r="B5" s="7" t="s">
        <v>98</v>
      </c>
      <c r="C5" s="23" t="s">
        <v>126</v>
      </c>
      <c r="D5" s="37"/>
      <c r="E5" s="39"/>
      <c r="F5" s="38"/>
    </row>
    <row r="6" spans="1:38" ht="16.899999999999999">
      <c r="A6" s="3">
        <v>4</v>
      </c>
      <c r="B6" s="7" t="s">
        <v>99</v>
      </c>
      <c r="C6" s="16" t="s">
        <v>133</v>
      </c>
      <c r="D6" s="40"/>
      <c r="E6" s="39"/>
      <c r="F6" s="38"/>
      <c r="G6" s="85"/>
      <c r="H6" s="25"/>
    </row>
    <row r="7" spans="1:38" ht="16.899999999999999">
      <c r="A7" s="3">
        <v>5</v>
      </c>
      <c r="B7" s="7" t="s">
        <v>100</v>
      </c>
      <c r="C7" s="23" t="s">
        <v>134</v>
      </c>
      <c r="D7" s="37"/>
      <c r="E7" s="39"/>
      <c r="F7" s="38"/>
      <c r="G7" s="86"/>
    </row>
    <row r="8" spans="1:38" ht="16.899999999999999">
      <c r="A8" s="3">
        <v>6</v>
      </c>
      <c r="B8" s="7" t="s">
        <v>101</v>
      </c>
      <c r="C8" s="23" t="s">
        <v>135</v>
      </c>
      <c r="D8" s="37"/>
      <c r="E8" s="38"/>
      <c r="F8" s="38"/>
    </row>
    <row r="9" spans="1:38" ht="16.899999999999999">
      <c r="A9" s="3">
        <v>7</v>
      </c>
      <c r="B9" s="7" t="s">
        <v>102</v>
      </c>
      <c r="C9" s="23" t="s">
        <v>135</v>
      </c>
      <c r="D9" s="37"/>
      <c r="E9" s="40"/>
      <c r="F9" s="38"/>
    </row>
    <row r="10" spans="1:38" ht="16.899999999999999">
      <c r="A10" s="3">
        <v>8</v>
      </c>
      <c r="B10" s="7" t="s">
        <v>103</v>
      </c>
      <c r="C10" s="69" t="s">
        <v>127</v>
      </c>
      <c r="D10" s="37"/>
      <c r="E10" s="38"/>
      <c r="F10" s="41"/>
      <c r="G10" s="29"/>
    </row>
    <row r="11" spans="1:38" ht="18.75">
      <c r="A11" s="3">
        <v>9</v>
      </c>
      <c r="B11" s="7" t="s">
        <v>104</v>
      </c>
      <c r="C11" s="23" t="s">
        <v>136</v>
      </c>
      <c r="D11" s="42"/>
      <c r="E11" s="43"/>
      <c r="F11" s="43"/>
      <c r="G11" s="28"/>
    </row>
    <row r="12" spans="1:38" ht="18.75">
      <c r="A12" s="3">
        <v>10</v>
      </c>
      <c r="B12" s="35"/>
      <c r="C12" s="83"/>
      <c r="D12" s="84"/>
      <c r="E12" s="43"/>
      <c r="F12" s="84"/>
      <c r="G12" s="31"/>
    </row>
    <row r="13" spans="1:38" ht="16.899999999999999">
      <c r="A13" s="3">
        <v>11</v>
      </c>
      <c r="B13" s="7" t="s">
        <v>105</v>
      </c>
      <c r="C13" s="55" t="s">
        <v>137</v>
      </c>
      <c r="D13" s="44"/>
      <c r="E13" s="44"/>
      <c r="F13" s="45"/>
      <c r="G13" s="31"/>
    </row>
    <row r="14" spans="1:38" ht="16.899999999999999">
      <c r="A14" s="3">
        <v>12</v>
      </c>
      <c r="B14" s="7" t="s">
        <v>106</v>
      </c>
      <c r="C14" s="56" t="s">
        <v>138</v>
      </c>
      <c r="D14" s="46"/>
      <c r="E14" s="45"/>
      <c r="F14" s="46"/>
      <c r="G14" s="30"/>
    </row>
    <row r="15" spans="1:38" ht="16.899999999999999">
      <c r="A15" s="3">
        <v>13</v>
      </c>
      <c r="B15" s="7" t="s">
        <v>107</v>
      </c>
      <c r="C15" s="57" t="s">
        <v>139</v>
      </c>
      <c r="D15" s="45"/>
      <c r="E15" s="45"/>
      <c r="F15" s="45"/>
    </row>
    <row r="16" spans="1:38" ht="16.899999999999999">
      <c r="A16" s="3">
        <v>14</v>
      </c>
      <c r="B16" s="7" t="s">
        <v>108</v>
      </c>
      <c r="C16" s="56" t="s">
        <v>128</v>
      </c>
      <c r="D16" s="45"/>
      <c r="E16" s="45"/>
      <c r="F16" s="45"/>
    </row>
    <row r="17" spans="1:6" ht="16.899999999999999">
      <c r="A17" s="3">
        <v>15</v>
      </c>
      <c r="B17" s="7" t="s">
        <v>109</v>
      </c>
      <c r="C17" s="70" t="s">
        <v>129</v>
      </c>
      <c r="D17" s="45"/>
      <c r="E17" s="45"/>
      <c r="F17" s="45"/>
    </row>
    <row r="18" spans="1:6" ht="18.75">
      <c r="A18" s="3">
        <v>16</v>
      </c>
      <c r="B18" s="194" t="s">
        <v>140</v>
      </c>
      <c r="C18" s="195"/>
      <c r="D18" s="47"/>
      <c r="E18" s="45"/>
      <c r="F18" s="45"/>
    </row>
    <row r="19" spans="1:6" ht="16.899999999999999">
      <c r="A19" s="3">
        <v>17</v>
      </c>
      <c r="B19" s="7" t="s">
        <v>111</v>
      </c>
      <c r="C19" s="58" t="s">
        <v>131</v>
      </c>
      <c r="D19" s="45"/>
      <c r="E19" s="45"/>
      <c r="F19" s="45"/>
    </row>
    <row r="20" spans="1:6" ht="16.899999999999999">
      <c r="A20" s="3">
        <v>18</v>
      </c>
      <c r="B20" s="7" t="s">
        <v>112</v>
      </c>
      <c r="C20" s="56" t="s">
        <v>141</v>
      </c>
      <c r="D20" s="45"/>
      <c r="E20" s="45"/>
      <c r="F20" s="45"/>
    </row>
    <row r="21" spans="1:6" ht="16.899999999999999">
      <c r="A21" s="3">
        <v>19</v>
      </c>
      <c r="B21" s="7" t="s">
        <v>113</v>
      </c>
      <c r="C21" s="57" t="s">
        <v>142</v>
      </c>
      <c r="D21" s="45"/>
      <c r="E21" s="45"/>
      <c r="F21" s="45"/>
    </row>
    <row r="22" spans="1:6" ht="16.899999999999999">
      <c r="A22" s="3">
        <v>20</v>
      </c>
      <c r="B22" s="7" t="s">
        <v>114</v>
      </c>
      <c r="C22" s="56" t="s">
        <v>143</v>
      </c>
      <c r="D22" s="45"/>
      <c r="E22" s="45"/>
      <c r="F22" s="45"/>
    </row>
    <row r="23" spans="1:6" ht="16.899999999999999">
      <c r="A23" s="3">
        <v>21</v>
      </c>
      <c r="B23" s="7" t="s">
        <v>115</v>
      </c>
      <c r="C23" s="71">
        <v>111</v>
      </c>
      <c r="D23" s="45"/>
      <c r="E23" s="45"/>
      <c r="F23" s="45"/>
    </row>
    <row r="24" spans="1:6" ht="16.899999999999999">
      <c r="A24" s="3">
        <v>22</v>
      </c>
      <c r="B24" s="7" t="s">
        <v>116</v>
      </c>
      <c r="C24" s="72">
        <v>222</v>
      </c>
      <c r="D24" s="45"/>
      <c r="E24" s="45"/>
      <c r="F24" s="45"/>
    </row>
    <row r="25" spans="1:6" ht="16.899999999999999">
      <c r="A25" s="3">
        <v>23</v>
      </c>
      <c r="B25" s="7" t="s">
        <v>117</v>
      </c>
      <c r="C25" s="73">
        <v>3333</v>
      </c>
      <c r="D25" s="45"/>
      <c r="E25" s="45"/>
      <c r="F25" s="45"/>
    </row>
    <row r="26" spans="1:6" ht="16.899999999999999">
      <c r="A26" s="3">
        <v>24</v>
      </c>
      <c r="B26" s="7" t="s">
        <v>118</v>
      </c>
      <c r="C26" s="72">
        <v>444</v>
      </c>
      <c r="D26" s="45"/>
      <c r="E26" s="45"/>
      <c r="F26" s="45"/>
    </row>
    <row r="27" spans="1:6" ht="16.899999999999999">
      <c r="A27" s="3">
        <v>25</v>
      </c>
      <c r="B27" s="7" t="s">
        <v>119</v>
      </c>
      <c r="C27" s="71">
        <v>555</v>
      </c>
      <c r="D27" s="45"/>
      <c r="E27" s="45"/>
      <c r="F27" s="45"/>
    </row>
    <row r="28" spans="1:6" ht="16.899999999999999">
      <c r="A28" s="3">
        <v>26</v>
      </c>
      <c r="B28" s="7" t="s">
        <v>120</v>
      </c>
      <c r="C28" s="72">
        <v>666</v>
      </c>
      <c r="D28" s="45"/>
      <c r="E28" s="45"/>
      <c r="F28" s="45"/>
    </row>
    <row r="29" spans="1:6" ht="16.899999999999999">
      <c r="A29" s="3">
        <v>27</v>
      </c>
      <c r="B29" s="7" t="s">
        <v>121</v>
      </c>
      <c r="C29" s="73">
        <v>777</v>
      </c>
      <c r="D29" s="45"/>
      <c r="E29" s="45"/>
      <c r="F29" s="45"/>
    </row>
    <row r="30" spans="1:6" ht="16.899999999999999">
      <c r="A30" s="3">
        <v>28</v>
      </c>
      <c r="B30" s="7" t="s">
        <v>122</v>
      </c>
      <c r="C30" s="72">
        <v>888</v>
      </c>
      <c r="D30" s="45"/>
      <c r="E30" s="45"/>
      <c r="F30" s="45"/>
    </row>
    <row r="31" spans="1:6" ht="16.899999999999999">
      <c r="A31" s="3">
        <v>29</v>
      </c>
      <c r="B31" s="7" t="s">
        <v>123</v>
      </c>
      <c r="C31" s="56" t="s">
        <v>144</v>
      </c>
    </row>
    <row r="32" spans="1:6" ht="16.899999999999999">
      <c r="A32" s="3">
        <v>30</v>
      </c>
      <c r="B32" s="7" t="s">
        <v>124</v>
      </c>
      <c r="C32" s="56" t="s">
        <v>145</v>
      </c>
    </row>
    <row r="33" spans="1:3" ht="16.899999999999999">
      <c r="A33" s="3">
        <v>31</v>
      </c>
      <c r="B33" s="7" t="s">
        <v>125</v>
      </c>
      <c r="C33" s="56" t="s">
        <v>146</v>
      </c>
    </row>
    <row r="34" spans="1:3" ht="16.899999999999999">
      <c r="A34" s="3">
        <v>32</v>
      </c>
    </row>
    <row r="35" spans="1:3" ht="16.899999999999999">
      <c r="A35" s="3">
        <v>33</v>
      </c>
    </row>
    <row r="36" spans="1:3" ht="16.899999999999999">
      <c r="A36" s="3">
        <v>34</v>
      </c>
    </row>
    <row r="37" spans="1:3" ht="16.899999999999999">
      <c r="A37" s="3">
        <v>35</v>
      </c>
    </row>
    <row r="38" spans="1:3" ht="16.899999999999999">
      <c r="A38" s="3">
        <v>36</v>
      </c>
    </row>
    <row r="39" spans="1:3" ht="16.899999999999999">
      <c r="A39" s="3">
        <v>37</v>
      </c>
    </row>
    <row r="40" spans="1:3" ht="16.899999999999999">
      <c r="A40" s="3">
        <v>38</v>
      </c>
    </row>
    <row r="41" spans="1:3" ht="16.899999999999999">
      <c r="A41" s="3">
        <v>39</v>
      </c>
    </row>
    <row r="42" spans="1:3" ht="16.899999999999999">
      <c r="A42" s="3">
        <v>40</v>
      </c>
    </row>
    <row r="43" spans="1:3" ht="16.899999999999999">
      <c r="A43" s="3">
        <v>41</v>
      </c>
    </row>
    <row r="44" spans="1:3" ht="16.899999999999999">
      <c r="A44" s="3">
        <v>42</v>
      </c>
    </row>
    <row r="45" spans="1:3" ht="16.899999999999999">
      <c r="A45" s="3">
        <v>43</v>
      </c>
    </row>
    <row r="46" spans="1:3" ht="16.899999999999999">
      <c r="A46" s="3">
        <v>44</v>
      </c>
    </row>
    <row r="47" spans="1:3" ht="16.899999999999999">
      <c r="A47" s="3">
        <v>45</v>
      </c>
    </row>
    <row r="48" spans="1:3" ht="16.899999999999999">
      <c r="A48" s="3">
        <v>46</v>
      </c>
    </row>
    <row r="49" spans="1:1" ht="16.899999999999999">
      <c r="A49" s="3">
        <v>47</v>
      </c>
    </row>
    <row r="50" spans="1:1" ht="16.899999999999999">
      <c r="A50" s="3">
        <v>48</v>
      </c>
    </row>
    <row r="51" spans="1:1" ht="16.899999999999999">
      <c r="A51" s="3">
        <v>49</v>
      </c>
    </row>
    <row r="52" spans="1:1" ht="16.899999999999999">
      <c r="A52" s="3">
        <v>50</v>
      </c>
    </row>
    <row r="53" spans="1:1" ht="16.899999999999999">
      <c r="A53" s="3">
        <v>51</v>
      </c>
    </row>
    <row r="54" spans="1:1" ht="16.899999999999999">
      <c r="A54" s="3">
        <v>52</v>
      </c>
    </row>
    <row r="55" spans="1:1" ht="16.899999999999999">
      <c r="A55" s="3">
        <v>53</v>
      </c>
    </row>
    <row r="56" spans="1:1" ht="16.899999999999999">
      <c r="A56" s="3">
        <v>54</v>
      </c>
    </row>
    <row r="57" spans="1:1" ht="16.899999999999999">
      <c r="A57" s="3">
        <v>55</v>
      </c>
    </row>
    <row r="58" spans="1:1" ht="16.899999999999999">
      <c r="A58" s="3">
        <v>56</v>
      </c>
    </row>
    <row r="59" spans="1:1" ht="16.899999999999999">
      <c r="A59" s="3">
        <v>57</v>
      </c>
    </row>
    <row r="60" spans="1:1" ht="16.899999999999999">
      <c r="A60" s="3">
        <v>58</v>
      </c>
    </row>
    <row r="61" spans="1:1" ht="16.899999999999999">
      <c r="A61" s="3">
        <v>59</v>
      </c>
    </row>
    <row r="62" spans="1:1" ht="16.899999999999999">
      <c r="A62" s="3">
        <v>60</v>
      </c>
    </row>
    <row r="63" spans="1:1" ht="16.899999999999999">
      <c r="A63" s="3">
        <v>61</v>
      </c>
    </row>
    <row r="64" spans="1:1" ht="16.899999999999999">
      <c r="A64" s="3">
        <v>62</v>
      </c>
    </row>
    <row r="65" spans="1:1" ht="16.899999999999999">
      <c r="A65" s="3">
        <v>63</v>
      </c>
    </row>
  </sheetData>
  <mergeCells count="3">
    <mergeCell ref="B3:C3"/>
    <mergeCell ref="B2:C2"/>
    <mergeCell ref="B18:C18"/>
  </mergeCells>
  <phoneticPr fontId="17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3</xdr:col>
                    <xdr:colOff>57150</xdr:colOff>
                    <xdr:row>1</xdr:row>
                    <xdr:rowOff>228600</xdr:rowOff>
                  </from>
                  <to>
                    <xdr:col>6</xdr:col>
                    <xdr:colOff>471488</xdr:colOff>
                    <xdr:row>5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>
      <selection activeCell="B2" sqref="B2:D2"/>
    </sheetView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198" t="s">
        <v>0</v>
      </c>
      <c r="C2" s="199"/>
      <c r="D2" s="199"/>
      <c r="E2" s="125"/>
    </row>
    <row r="3" spans="1:38" ht="17.649999999999999">
      <c r="A3" s="2">
        <v>1</v>
      </c>
      <c r="B3" s="126" t="s">
        <v>1</v>
      </c>
      <c r="C3" s="127" t="s">
        <v>153</v>
      </c>
      <c r="D3" s="128"/>
      <c r="E3" s="32"/>
    </row>
    <row r="4" spans="1:38" ht="17.649999999999999">
      <c r="A4" s="2">
        <v>2</v>
      </c>
      <c r="B4" s="126" t="s">
        <v>2</v>
      </c>
      <c r="C4" s="127" t="s">
        <v>3</v>
      </c>
      <c r="D4" s="128"/>
      <c r="E4" s="32"/>
    </row>
    <row r="5" spans="1:38" ht="17.649999999999999">
      <c r="A5" s="2">
        <v>3</v>
      </c>
      <c r="B5" s="126" t="s">
        <v>4</v>
      </c>
      <c r="C5" s="127" t="s">
        <v>5</v>
      </c>
      <c r="D5" s="128"/>
      <c r="E5" s="32"/>
    </row>
    <row r="6" spans="1:38" ht="17.649999999999999">
      <c r="A6" s="2">
        <v>4</v>
      </c>
      <c r="B6" s="126" t="s">
        <v>6</v>
      </c>
      <c r="C6" s="127" t="s">
        <v>7</v>
      </c>
      <c r="D6" s="128"/>
      <c r="E6" s="32"/>
    </row>
    <row r="7" spans="1:38" ht="17.649999999999999">
      <c r="A7" s="2">
        <v>5</v>
      </c>
      <c r="B7" s="126" t="s">
        <v>8</v>
      </c>
      <c r="C7" s="127" t="s">
        <v>9</v>
      </c>
      <c r="D7" s="128"/>
      <c r="E7" s="32"/>
    </row>
    <row r="8" spans="1:38" ht="17.649999999999999">
      <c r="A8" s="2">
        <v>6</v>
      </c>
      <c r="B8" s="126" t="s">
        <v>10</v>
      </c>
      <c r="C8" s="127" t="s">
        <v>11</v>
      </c>
      <c r="D8" s="128"/>
      <c r="E8" s="32"/>
    </row>
    <row r="9" spans="1:38" ht="17.649999999999999">
      <c r="A9" s="2">
        <v>7</v>
      </c>
      <c r="B9" s="126" t="s">
        <v>154</v>
      </c>
      <c r="C9" s="127" t="s">
        <v>155</v>
      </c>
      <c r="D9" s="128"/>
      <c r="E9" s="32"/>
    </row>
    <row r="10" spans="1:38" ht="17.649999999999999">
      <c r="A10" s="2">
        <v>8</v>
      </c>
      <c r="B10" s="126" t="s">
        <v>156</v>
      </c>
      <c r="C10" s="127" t="s">
        <v>157</v>
      </c>
      <c r="D10" s="128"/>
      <c r="E10" s="32"/>
    </row>
    <row r="11" spans="1:38" ht="17.649999999999999">
      <c r="A11" s="2">
        <v>9</v>
      </c>
      <c r="B11" s="126" t="s">
        <v>12</v>
      </c>
      <c r="C11" s="127" t="s">
        <v>13</v>
      </c>
      <c r="D11" s="129" t="s">
        <v>14</v>
      </c>
      <c r="E11" s="32"/>
    </row>
    <row r="12" spans="1:38" ht="17.649999999999999">
      <c r="A12" s="2">
        <v>10</v>
      </c>
      <c r="B12" s="126" t="s">
        <v>15</v>
      </c>
      <c r="C12" s="127" t="s">
        <v>16</v>
      </c>
      <c r="D12" s="128"/>
      <c r="E12" s="32"/>
    </row>
    <row r="13" spans="1:38" ht="17.649999999999999">
      <c r="A13" s="2">
        <v>11</v>
      </c>
      <c r="B13" s="130"/>
      <c r="C13" s="131"/>
      <c r="D13" s="132"/>
      <c r="E13" s="26"/>
    </row>
    <row r="14" spans="1:38" ht="17.649999999999999">
      <c r="A14" s="2">
        <v>12</v>
      </c>
      <c r="B14" s="126" t="s">
        <v>17</v>
      </c>
      <c r="C14" s="127" t="s">
        <v>18</v>
      </c>
      <c r="D14" s="128"/>
      <c r="E14" s="32"/>
    </row>
    <row r="15" spans="1:38" ht="17.649999999999999">
      <c r="A15" s="2">
        <v>13</v>
      </c>
      <c r="B15" s="126" t="s">
        <v>21</v>
      </c>
      <c r="C15" s="127" t="s">
        <v>3</v>
      </c>
      <c r="D15" s="128"/>
      <c r="E15" s="32"/>
    </row>
    <row r="16" spans="1:38" ht="17.649999999999999">
      <c r="A16" s="2">
        <v>14</v>
      </c>
      <c r="B16" s="126" t="s">
        <v>158</v>
      </c>
      <c r="C16" s="127" t="s">
        <v>152</v>
      </c>
      <c r="D16" s="128"/>
      <c r="E16" s="123"/>
    </row>
    <row r="17" spans="1:6" ht="17.649999999999999">
      <c r="A17" s="2">
        <v>15</v>
      </c>
      <c r="B17" s="126" t="s">
        <v>22</v>
      </c>
      <c r="C17" s="127" t="s">
        <v>23</v>
      </c>
      <c r="D17" s="128"/>
      <c r="E17" s="123"/>
    </row>
    <row r="18" spans="1:6" ht="17.649999999999999">
      <c r="A18" s="2">
        <v>16</v>
      </c>
      <c r="B18" s="133"/>
      <c r="C18" s="134"/>
      <c r="D18" s="135"/>
      <c r="E18" s="26"/>
    </row>
    <row r="19" spans="1:6" ht="17.649999999999999">
      <c r="A19" s="2">
        <v>17</v>
      </c>
      <c r="B19" s="126" t="s">
        <v>159</v>
      </c>
      <c r="C19" s="136">
        <v>45455</v>
      </c>
      <c r="D19" s="128"/>
      <c r="E19" s="123"/>
    </row>
    <row r="20" spans="1:6" ht="17.649999999999999">
      <c r="A20" s="2">
        <v>18</v>
      </c>
      <c r="B20" s="122"/>
      <c r="C20" s="120"/>
      <c r="D20" s="121"/>
      <c r="E20" s="34"/>
    </row>
    <row r="21" spans="1:6" ht="17.649999999999999">
      <c r="A21" s="2">
        <v>19</v>
      </c>
      <c r="B21" s="94"/>
      <c r="C21" s="97"/>
      <c r="D21" s="95"/>
      <c r="E21" s="93"/>
      <c r="F21" s="25"/>
    </row>
    <row r="22" spans="1:6" ht="17.649999999999999">
      <c r="A22" s="2">
        <v>20</v>
      </c>
      <c r="B22" s="119"/>
      <c r="C22" s="97"/>
      <c r="D22" s="95"/>
      <c r="E22" s="95"/>
    </row>
    <row r="23" spans="1:6" ht="17.649999999999999">
      <c r="A23" s="2">
        <v>21</v>
      </c>
      <c r="B23" s="87"/>
      <c r="C23" s="98"/>
      <c r="D23" s="88"/>
      <c r="E23" s="88"/>
    </row>
    <row r="24" spans="1:6" ht="17.649999999999999">
      <c r="A24" s="76">
        <v>22</v>
      </c>
      <c r="B24" s="124"/>
      <c r="C24" s="97"/>
      <c r="D24" s="95"/>
      <c r="E24" s="95"/>
    </row>
    <row r="25" spans="1:6" ht="17.649999999999999">
      <c r="A25" s="2">
        <v>23</v>
      </c>
      <c r="B25" s="87"/>
      <c r="C25" s="99"/>
      <c r="D25" s="88"/>
      <c r="E25" s="88"/>
    </row>
    <row r="26" spans="1:6" ht="17.649999999999999">
      <c r="A26" s="76">
        <v>24</v>
      </c>
      <c r="B26" s="124"/>
      <c r="C26" s="97"/>
      <c r="D26" s="95"/>
      <c r="E26" s="95"/>
      <c r="F26" s="118"/>
    </row>
    <row r="27" spans="1:6" ht="17.649999999999999">
      <c r="A27" s="2">
        <v>25</v>
      </c>
      <c r="B27" s="113"/>
      <c r="C27" s="117"/>
      <c r="D27" s="89"/>
      <c r="E27" s="89"/>
    </row>
    <row r="28" spans="1:6" ht="17.649999999999999">
      <c r="A28" s="2">
        <v>26</v>
      </c>
      <c r="B28" s="109"/>
      <c r="C28" s="110"/>
      <c r="D28" s="95"/>
      <c r="E28" s="95"/>
    </row>
    <row r="29" spans="1:6" ht="17.649999999999999">
      <c r="A29" s="76">
        <v>27</v>
      </c>
      <c r="B29" s="124"/>
      <c r="C29" s="110"/>
      <c r="D29" s="95"/>
      <c r="E29" s="95"/>
    </row>
    <row r="30" spans="1:6" ht="17.649999999999999">
      <c r="A30" s="2">
        <v>28</v>
      </c>
      <c r="B30" s="109"/>
      <c r="C30" s="110"/>
      <c r="D30" s="95"/>
      <c r="E30" s="111"/>
    </row>
    <row r="31" spans="1:6" ht="17.649999999999999">
      <c r="A31" s="2">
        <v>29</v>
      </c>
      <c r="B31" s="87"/>
      <c r="C31" s="99"/>
      <c r="D31" s="88"/>
      <c r="E31" s="91"/>
    </row>
    <row r="32" spans="1:6" ht="17.649999999999999">
      <c r="A32" s="2">
        <v>30</v>
      </c>
      <c r="B32" s="109"/>
      <c r="C32" s="97"/>
      <c r="D32" s="95"/>
      <c r="E32" s="90"/>
    </row>
    <row r="33" spans="1:5" ht="17.649999999999999">
      <c r="A33" s="2">
        <v>31</v>
      </c>
      <c r="B33" s="87"/>
      <c r="C33" s="99"/>
      <c r="D33" s="88"/>
      <c r="E33" s="90"/>
    </row>
    <row r="34" spans="1:5" ht="17.649999999999999">
      <c r="A34" s="2">
        <v>32</v>
      </c>
      <c r="B34" s="109"/>
      <c r="C34" s="97"/>
      <c r="D34" s="95"/>
      <c r="E34" s="111"/>
    </row>
    <row r="35" spans="1:5" ht="17.649999999999999">
      <c r="A35" s="2">
        <v>33</v>
      </c>
      <c r="B35" s="87"/>
      <c r="C35" s="100"/>
      <c r="D35" s="88"/>
      <c r="E35" s="91"/>
    </row>
    <row r="36" spans="1:5" ht="17.649999999999999">
      <c r="A36" s="2">
        <v>34</v>
      </c>
      <c r="B36" s="109"/>
      <c r="C36" s="97"/>
      <c r="D36" s="95"/>
      <c r="E36" s="111"/>
    </row>
    <row r="37" spans="1:5" ht="17.649999999999999">
      <c r="A37" s="114">
        <v>35</v>
      </c>
      <c r="B37" s="87"/>
      <c r="C37" s="99"/>
      <c r="D37" s="88"/>
      <c r="E37" s="91"/>
    </row>
    <row r="38" spans="1:5" ht="17.649999999999999">
      <c r="A38" s="115">
        <v>36</v>
      </c>
      <c r="B38" s="94"/>
      <c r="C38" s="103"/>
      <c r="D38" s="104"/>
      <c r="E38" s="112"/>
    </row>
    <row r="39" spans="1:5" ht="17.649999999999999">
      <c r="A39" s="116">
        <v>37</v>
      </c>
      <c r="B39" s="109"/>
      <c r="C39" s="107"/>
      <c r="D39" s="108"/>
      <c r="E39" s="101"/>
    </row>
    <row r="40" spans="1:5" ht="17.649999999999999">
      <c r="A40" s="116">
        <v>38</v>
      </c>
      <c r="B40" s="113"/>
      <c r="C40" s="105"/>
      <c r="D40" s="92"/>
      <c r="E40" s="106"/>
    </row>
    <row r="41" spans="1:5" ht="16.899999999999999">
      <c r="A41" s="2">
        <v>39</v>
      </c>
      <c r="C41" s="29"/>
      <c r="D41" s="96"/>
      <c r="E41" s="102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7" type="noConversion"/>
  <dataValidations disablePrompts="1"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280988</xdr:rowOff>
                  </from>
                  <to>
                    <xdr:col>8</xdr:col>
                    <xdr:colOff>452438</xdr:colOff>
                    <xdr:row>5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>
      <selection activeCell="C11" sqref="C11"/>
    </sheetView>
  </sheetViews>
  <sheetFormatPr defaultRowHeight="12.75"/>
  <cols>
    <col min="1" max="1" width="14" customWidth="1"/>
    <col min="2" max="2" width="31.796875" customWidth="1"/>
    <col min="3" max="3" width="49.73046875" customWidth="1"/>
  </cols>
  <sheetData>
    <row r="1" spans="1:38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192" t="s">
        <v>160</v>
      </c>
      <c r="C2" s="193"/>
    </row>
    <row r="3" spans="1:38" ht="19.5">
      <c r="A3" s="2">
        <v>1</v>
      </c>
      <c r="B3" s="7" t="s">
        <v>163</v>
      </c>
      <c r="C3" s="172" t="s">
        <v>329</v>
      </c>
    </row>
    <row r="4" spans="1:38" ht="16.899999999999999">
      <c r="A4" s="2">
        <v>2</v>
      </c>
      <c r="B4" s="7" t="s">
        <v>98</v>
      </c>
      <c r="C4" s="16" t="s">
        <v>161</v>
      </c>
    </row>
    <row r="5" spans="1:38" ht="16.899999999999999">
      <c r="A5" s="2">
        <v>3</v>
      </c>
      <c r="B5" s="7" t="s">
        <v>99</v>
      </c>
      <c r="C5" s="16" t="s">
        <v>133</v>
      </c>
    </row>
    <row r="6" spans="1:38" ht="16.899999999999999">
      <c r="A6" s="2">
        <v>4</v>
      </c>
      <c r="B6" s="7" t="s">
        <v>164</v>
      </c>
      <c r="C6" s="16" t="s">
        <v>165</v>
      </c>
    </row>
    <row r="7" spans="1:38" ht="16.899999999999999">
      <c r="A7" s="2">
        <v>5</v>
      </c>
      <c r="B7" s="7" t="s">
        <v>166</v>
      </c>
      <c r="C7" s="16" t="s">
        <v>167</v>
      </c>
    </row>
    <row r="8" spans="1:38" ht="16.899999999999999">
      <c r="A8" s="2">
        <v>6</v>
      </c>
      <c r="B8" s="7" t="s">
        <v>107</v>
      </c>
      <c r="C8" s="16" t="s">
        <v>168</v>
      </c>
    </row>
    <row r="9" spans="1:38" ht="16.899999999999999">
      <c r="A9" s="2">
        <v>7</v>
      </c>
      <c r="B9" s="7" t="s">
        <v>106</v>
      </c>
      <c r="C9" s="16" t="s">
        <v>169</v>
      </c>
    </row>
    <row r="10" spans="1:38" ht="16.899999999999999">
      <c r="A10" s="2">
        <v>8</v>
      </c>
      <c r="B10" s="7" t="s">
        <v>170</v>
      </c>
      <c r="C10" s="16" t="s">
        <v>162</v>
      </c>
    </row>
    <row r="11" spans="1:38" ht="16.899999999999999">
      <c r="A11" s="2">
        <v>9</v>
      </c>
      <c r="B11" s="35"/>
      <c r="C11" s="83"/>
      <c r="D11" s="25"/>
    </row>
    <row r="12" spans="1:38" ht="16.899999999999999">
      <c r="A12" s="2">
        <v>10</v>
      </c>
      <c r="B12" s="7" t="s">
        <v>171</v>
      </c>
      <c r="C12" s="16" t="s">
        <v>172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414338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>
      <selection activeCell="C3" sqref="C3"/>
    </sheetView>
  </sheetViews>
  <sheetFormatPr defaultRowHeight="12.75"/>
  <cols>
    <col min="1" max="1" width="14" customWidth="1"/>
    <col min="2" max="2" width="25.53125" bestFit="1" customWidth="1"/>
    <col min="3" max="3" width="44.19921875" customWidth="1"/>
    <col min="4" max="4" width="6.33203125" bestFit="1" customWidth="1"/>
    <col min="5" max="5" width="13.46484375" bestFit="1" customWidth="1"/>
    <col min="6" max="6" width="21.796875" bestFit="1" customWidth="1"/>
  </cols>
  <sheetData>
    <row r="1" spans="1:38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207" t="s">
        <v>339</v>
      </c>
      <c r="C2" s="208"/>
      <c r="E2" s="200" t="s">
        <v>225</v>
      </c>
      <c r="F2" s="193"/>
    </row>
    <row r="3" spans="1:38" ht="19.5">
      <c r="A3" s="2">
        <v>1</v>
      </c>
      <c r="B3" s="176" t="s">
        <v>298</v>
      </c>
      <c r="C3" s="16" t="s">
        <v>191</v>
      </c>
    </row>
    <row r="4" spans="1:38" ht="19.5">
      <c r="A4" s="2">
        <v>2</v>
      </c>
      <c r="B4" s="167" t="s">
        <v>299</v>
      </c>
      <c r="C4" s="16" t="s">
        <v>193</v>
      </c>
    </row>
    <row r="5" spans="1:38" ht="19.5">
      <c r="A5" s="2">
        <v>3</v>
      </c>
      <c r="B5" s="167" t="s">
        <v>300</v>
      </c>
      <c r="C5" s="16" t="s">
        <v>194</v>
      </c>
    </row>
    <row r="6" spans="1:38" ht="19.5">
      <c r="A6" s="2">
        <v>4</v>
      </c>
      <c r="B6" s="167" t="s">
        <v>296</v>
      </c>
      <c r="C6" s="16" t="s">
        <v>195</v>
      </c>
    </row>
    <row r="7" spans="1:38" ht="19.5">
      <c r="A7" s="2">
        <v>5</v>
      </c>
      <c r="B7" s="167" t="s">
        <v>301</v>
      </c>
      <c r="C7" s="16" t="s">
        <v>196</v>
      </c>
    </row>
    <row r="8" spans="1:38" ht="19.5">
      <c r="A8" s="2">
        <v>6</v>
      </c>
      <c r="B8" s="167" t="s">
        <v>299</v>
      </c>
      <c r="C8" s="16" t="s">
        <v>192</v>
      </c>
    </row>
    <row r="9" spans="1:38" ht="19.5">
      <c r="A9" s="2">
        <v>7</v>
      </c>
      <c r="B9" s="167" t="s">
        <v>302</v>
      </c>
      <c r="C9" s="16" t="s">
        <v>197</v>
      </c>
    </row>
    <row r="10" spans="1:38" ht="19.5">
      <c r="A10" s="2">
        <v>8</v>
      </c>
      <c r="B10" s="167" t="s">
        <v>304</v>
      </c>
      <c r="C10" s="16" t="s">
        <v>186</v>
      </c>
      <c r="E10" s="161"/>
    </row>
    <row r="11" spans="1:38" ht="19.5">
      <c r="A11" s="2">
        <v>9</v>
      </c>
      <c r="B11" s="176" t="s">
        <v>303</v>
      </c>
      <c r="C11" s="16" t="s">
        <v>135</v>
      </c>
    </row>
    <row r="12" spans="1:38" ht="19.5">
      <c r="A12" s="2">
        <v>10</v>
      </c>
      <c r="B12" s="167" t="s">
        <v>296</v>
      </c>
      <c r="C12" s="16" t="s">
        <v>297</v>
      </c>
    </row>
    <row r="13" spans="1:38" ht="19.5">
      <c r="A13" s="2">
        <v>11</v>
      </c>
      <c r="B13" s="167" t="s">
        <v>280</v>
      </c>
      <c r="C13" s="144">
        <v>45518</v>
      </c>
    </row>
    <row r="14" spans="1:38" ht="16.899999999999999">
      <c r="A14" s="2">
        <v>12</v>
      </c>
      <c r="D14" s="25"/>
    </row>
    <row r="15" spans="1:38" ht="16.899999999999999">
      <c r="A15" s="2">
        <v>13</v>
      </c>
      <c r="B15" s="7" t="s">
        <v>187</v>
      </c>
      <c r="C15" s="7" t="s">
        <v>188</v>
      </c>
      <c r="D15" s="7" t="s">
        <v>189</v>
      </c>
      <c r="E15" s="7" t="s">
        <v>190</v>
      </c>
      <c r="F15" s="7" t="s">
        <v>307</v>
      </c>
    </row>
    <row r="16" spans="1:38" ht="16.899999999999999">
      <c r="A16" s="2">
        <v>14</v>
      </c>
      <c r="B16" s="74" t="s">
        <v>308</v>
      </c>
      <c r="C16" s="74">
        <v>501111</v>
      </c>
      <c r="D16" s="74" t="s">
        <v>305</v>
      </c>
      <c r="E16" s="74" t="s">
        <v>128</v>
      </c>
      <c r="F16" s="74" t="s">
        <v>309</v>
      </c>
    </row>
    <row r="17" spans="1:7" ht="16.899999999999999">
      <c r="A17" s="2">
        <v>15</v>
      </c>
      <c r="B17" s="74" t="s">
        <v>310</v>
      </c>
      <c r="C17" s="74">
        <v>111111</v>
      </c>
      <c r="D17" s="74" t="s">
        <v>311</v>
      </c>
      <c r="E17" s="74" t="s">
        <v>306</v>
      </c>
      <c r="F17" s="74" t="s">
        <v>312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74"/>
    </row>
    <row r="24" spans="1:7" ht="16.899999999999999">
      <c r="A24" s="2">
        <v>22</v>
      </c>
    </row>
    <row r="25" spans="1:7" ht="16.899999999999999">
      <c r="A25" s="2">
        <v>23</v>
      </c>
      <c r="B25" s="74"/>
    </row>
    <row r="26" spans="1:7" ht="16.899999999999999">
      <c r="A26" s="2">
        <v>24</v>
      </c>
      <c r="B26" s="74"/>
    </row>
    <row r="27" spans="1:7" ht="16.899999999999999">
      <c r="A27" s="2">
        <v>25</v>
      </c>
      <c r="B27" s="74"/>
    </row>
    <row r="28" spans="1:7" ht="16.899999999999999">
      <c r="A28" s="2">
        <v>26</v>
      </c>
      <c r="B28" s="74"/>
    </row>
    <row r="29" spans="1:7" ht="16.899999999999999">
      <c r="A29" s="2">
        <v>27</v>
      </c>
      <c r="B29" s="74"/>
    </row>
    <row r="30" spans="1:7" ht="16.899999999999999">
      <c r="A30" s="2">
        <v>28</v>
      </c>
      <c r="B30" s="74"/>
    </row>
    <row r="31" spans="1:7" ht="16.899999999999999">
      <c r="A31" s="2">
        <v>29</v>
      </c>
      <c r="B31" s="74"/>
    </row>
    <row r="32" spans="1:7" ht="16.899999999999999">
      <c r="A32" s="2">
        <v>30</v>
      </c>
      <c r="B32" s="74"/>
    </row>
    <row r="33" spans="1:2" ht="16.899999999999999">
      <c r="A33" s="2">
        <v>31</v>
      </c>
      <c r="B33" s="74"/>
    </row>
    <row r="34" spans="1:2" ht="16.899999999999999">
      <c r="A34" s="2">
        <v>32</v>
      </c>
      <c r="B34" s="74"/>
    </row>
    <row r="35" spans="1:2" ht="16.899999999999999">
      <c r="A35" s="2">
        <v>33</v>
      </c>
      <c r="B35" s="74"/>
    </row>
    <row r="36" spans="1:2" ht="16.899999999999999">
      <c r="A36" s="2">
        <v>34</v>
      </c>
      <c r="B36" s="74"/>
    </row>
    <row r="37" spans="1:2" ht="16.899999999999999">
      <c r="A37" s="2">
        <v>35</v>
      </c>
      <c r="B37" s="74"/>
    </row>
    <row r="38" spans="1:2" ht="16.899999999999999">
      <c r="A38" s="2">
        <v>36</v>
      </c>
      <c r="B38" s="74"/>
    </row>
    <row r="39" spans="1:2" ht="16.899999999999999">
      <c r="A39" s="2">
        <v>37</v>
      </c>
      <c r="B39" s="74"/>
    </row>
    <row r="40" spans="1:2" ht="16.899999999999999">
      <c r="A40" s="2">
        <v>38</v>
      </c>
      <c r="B40" s="74"/>
    </row>
    <row r="41" spans="1:2" ht="16.899999999999999">
      <c r="A41" s="2">
        <v>39</v>
      </c>
      <c r="B41" s="74"/>
    </row>
    <row r="42" spans="1:2" ht="16.899999999999999">
      <c r="A42" s="2">
        <v>40</v>
      </c>
      <c r="B42" s="74"/>
    </row>
    <row r="43" spans="1:2" ht="16.899999999999999">
      <c r="A43" s="2">
        <v>41</v>
      </c>
      <c r="B43" s="74"/>
    </row>
    <row r="44" spans="1:2" ht="16.899999999999999">
      <c r="A44" s="2">
        <v>42</v>
      </c>
      <c r="B44" s="74"/>
    </row>
    <row r="45" spans="1:2" ht="16.899999999999999">
      <c r="A45" s="2">
        <v>43</v>
      </c>
      <c r="B45" s="74"/>
    </row>
    <row r="46" spans="1:2" ht="16.899999999999999">
      <c r="A46" s="2">
        <v>44</v>
      </c>
      <c r="B46" s="74"/>
    </row>
    <row r="47" spans="1:2" ht="16.899999999999999">
      <c r="A47" s="2">
        <v>45</v>
      </c>
      <c r="B47" s="74"/>
    </row>
    <row r="48" spans="1:2" ht="16.899999999999999">
      <c r="A48" s="2">
        <v>46</v>
      </c>
      <c r="B48" s="74"/>
    </row>
    <row r="49" spans="1:2" ht="16.899999999999999">
      <c r="A49" s="2">
        <v>47</v>
      </c>
      <c r="B49" s="74"/>
    </row>
    <row r="50" spans="1:2" ht="16.899999999999999">
      <c r="A50" s="2">
        <v>48</v>
      </c>
      <c r="B50" s="74"/>
    </row>
    <row r="51" spans="1:2" ht="16.899999999999999">
      <c r="A51" s="2">
        <v>49</v>
      </c>
      <c r="B51" s="74"/>
    </row>
    <row r="52" spans="1:2" ht="16.899999999999999">
      <c r="A52" s="2">
        <v>50</v>
      </c>
      <c r="B52" s="74"/>
    </row>
    <row r="53" spans="1:2" ht="16.899999999999999">
      <c r="A53" s="2">
        <v>51</v>
      </c>
      <c r="B53" s="74"/>
    </row>
    <row r="54" spans="1:2" ht="16.899999999999999">
      <c r="A54" s="2">
        <v>52</v>
      </c>
      <c r="B54" s="74"/>
    </row>
    <row r="55" spans="1:2" ht="16.899999999999999">
      <c r="A55" s="2">
        <v>53</v>
      </c>
      <c r="B55" s="74"/>
    </row>
    <row r="56" spans="1:2" ht="16.899999999999999">
      <c r="A56" s="2">
        <v>54</v>
      </c>
      <c r="B56" s="74"/>
    </row>
    <row r="57" spans="1:2" ht="16.899999999999999">
      <c r="A57" s="2">
        <v>55</v>
      </c>
      <c r="B57" s="74"/>
    </row>
    <row r="58" spans="1:2" ht="16.899999999999999">
      <c r="A58" s="2">
        <v>56</v>
      </c>
      <c r="B58" s="74"/>
    </row>
    <row r="59" spans="1:2" ht="16.899999999999999">
      <c r="A59" s="2">
        <v>57</v>
      </c>
      <c r="B59" s="74"/>
    </row>
    <row r="60" spans="1:2" ht="16.899999999999999">
      <c r="A60" s="2">
        <v>58</v>
      </c>
      <c r="B60" s="74"/>
    </row>
    <row r="61" spans="1:2" ht="16.899999999999999">
      <c r="A61" s="2">
        <v>59</v>
      </c>
      <c r="B61" s="74"/>
    </row>
    <row r="62" spans="1:2" ht="16.899999999999999">
      <c r="A62" s="2">
        <v>60</v>
      </c>
      <c r="B62" s="74"/>
    </row>
    <row r="63" spans="1:2" ht="16.899999999999999">
      <c r="A63" s="2">
        <v>61</v>
      </c>
      <c r="B63" s="74"/>
    </row>
  </sheetData>
  <mergeCells count="2">
    <mergeCell ref="B2:C2"/>
    <mergeCell ref="E2:F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642938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>
      <selection activeCell="C23" sqref="C23"/>
    </sheetView>
  </sheetViews>
  <sheetFormatPr defaultColWidth="8.73046875" defaultRowHeight="12.75"/>
  <cols>
    <col min="1" max="1" width="14" style="74" customWidth="1"/>
    <col min="2" max="2" width="27.53125" style="74" customWidth="1"/>
    <col min="3" max="3" width="37" style="74" customWidth="1"/>
    <col min="4" max="4" width="7.73046875" style="74" customWidth="1"/>
    <col min="5" max="5" width="18.06640625" style="74" customWidth="1"/>
    <col min="6" max="6" width="13.19921875" style="74" customWidth="1"/>
    <col min="7" max="16384" width="8.73046875" style="74"/>
  </cols>
  <sheetData>
    <row r="1" spans="1:38" ht="23.25">
      <c r="A1" s="162" t="s">
        <v>231</v>
      </c>
      <c r="B1" s="163">
        <v>1</v>
      </c>
      <c r="C1" s="163">
        <v>2</v>
      </c>
      <c r="D1" s="163">
        <v>3</v>
      </c>
      <c r="E1" s="163">
        <v>4</v>
      </c>
      <c r="F1" s="163">
        <v>5</v>
      </c>
      <c r="G1" s="163">
        <v>6</v>
      </c>
      <c r="H1" s="163">
        <v>7</v>
      </c>
      <c r="I1" s="163">
        <v>8</v>
      </c>
      <c r="J1" s="163">
        <v>9</v>
      </c>
      <c r="K1" s="163">
        <v>10</v>
      </c>
      <c r="L1" s="163">
        <v>11</v>
      </c>
      <c r="M1" s="163">
        <v>12</v>
      </c>
      <c r="N1" s="163">
        <v>13</v>
      </c>
      <c r="O1" s="163">
        <v>14</v>
      </c>
      <c r="P1" s="163">
        <v>15</v>
      </c>
      <c r="Q1" s="163">
        <v>16</v>
      </c>
      <c r="R1" s="163">
        <v>17</v>
      </c>
      <c r="S1" s="163">
        <v>18</v>
      </c>
      <c r="T1" s="163">
        <v>19</v>
      </c>
      <c r="U1" s="163">
        <v>20</v>
      </c>
      <c r="V1" s="163">
        <v>21</v>
      </c>
      <c r="W1" s="163">
        <v>22</v>
      </c>
      <c r="X1" s="163">
        <v>23</v>
      </c>
      <c r="Y1" s="163">
        <v>24</v>
      </c>
      <c r="Z1" s="163">
        <v>25</v>
      </c>
      <c r="AA1" s="163">
        <v>26</v>
      </c>
      <c r="AB1" s="163">
        <v>27</v>
      </c>
      <c r="AC1" s="163">
        <v>28</v>
      </c>
      <c r="AD1" s="163">
        <v>29</v>
      </c>
      <c r="AE1" s="163">
        <v>30</v>
      </c>
      <c r="AF1" s="163">
        <v>31</v>
      </c>
      <c r="AG1" s="163">
        <v>32</v>
      </c>
      <c r="AH1" s="163">
        <v>33</v>
      </c>
      <c r="AI1" s="163">
        <v>34</v>
      </c>
      <c r="AJ1" s="163">
        <v>35</v>
      </c>
      <c r="AK1" s="163">
        <v>36</v>
      </c>
      <c r="AL1" s="163">
        <v>37</v>
      </c>
    </row>
    <row r="2" spans="1:38" ht="28.5">
      <c r="A2" s="164">
        <v>0</v>
      </c>
      <c r="B2" s="200" t="s">
        <v>259</v>
      </c>
      <c r="C2" s="193"/>
    </row>
    <row r="3" spans="1:38" ht="16.5">
      <c r="A3" s="165">
        <v>1</v>
      </c>
      <c r="B3" s="7" t="s">
        <v>258</v>
      </c>
      <c r="C3" s="16" t="s">
        <v>232</v>
      </c>
    </row>
    <row r="4" spans="1:38" ht="16.5">
      <c r="A4" s="165">
        <v>2</v>
      </c>
      <c r="B4" s="7" t="s">
        <v>99</v>
      </c>
      <c r="C4" s="16" t="s">
        <v>133</v>
      </c>
    </row>
    <row r="5" spans="1:38" ht="16.5">
      <c r="A5" s="165">
        <v>3</v>
      </c>
      <c r="B5" s="7" t="s">
        <v>233</v>
      </c>
      <c r="C5" s="16" t="s">
        <v>234</v>
      </c>
    </row>
    <row r="6" spans="1:38" ht="16.5">
      <c r="A6" s="165">
        <v>4</v>
      </c>
      <c r="B6" s="7" t="s">
        <v>235</v>
      </c>
      <c r="C6" s="16" t="s">
        <v>236</v>
      </c>
    </row>
    <row r="7" spans="1:38" ht="16.5">
      <c r="A7" s="165">
        <v>5</v>
      </c>
      <c r="B7" s="7" t="s">
        <v>237</v>
      </c>
      <c r="C7" s="16" t="s">
        <v>195</v>
      </c>
    </row>
    <row r="8" spans="1:38" ht="16.5">
      <c r="A8" s="165">
        <v>6</v>
      </c>
      <c r="B8" s="7" t="s">
        <v>238</v>
      </c>
      <c r="C8" s="16" t="s">
        <v>239</v>
      </c>
    </row>
    <row r="9" spans="1:38" ht="16.5">
      <c r="A9" s="165">
        <v>7</v>
      </c>
      <c r="B9" s="7" t="s">
        <v>240</v>
      </c>
      <c r="C9" s="16" t="s">
        <v>241</v>
      </c>
    </row>
    <row r="10" spans="1:38" ht="16.5">
      <c r="A10" s="165">
        <v>8</v>
      </c>
      <c r="B10" s="7" t="s">
        <v>242</v>
      </c>
      <c r="C10" s="16" t="s">
        <v>226</v>
      </c>
    </row>
    <row r="11" spans="1:38" ht="16.5">
      <c r="A11" s="165">
        <v>9</v>
      </c>
      <c r="B11" s="7" t="s">
        <v>243</v>
      </c>
      <c r="C11" s="166" t="s">
        <v>227</v>
      </c>
    </row>
    <row r="12" spans="1:38" ht="13.5">
      <c r="A12" s="165">
        <v>10</v>
      </c>
    </row>
    <row r="13" spans="1:38" ht="16.5">
      <c r="A13" s="165">
        <v>11</v>
      </c>
      <c r="B13" s="7" t="s">
        <v>191</v>
      </c>
      <c r="C13" s="16" t="s">
        <v>244</v>
      </c>
    </row>
    <row r="14" spans="1:38" ht="16.5">
      <c r="A14" s="165">
        <v>12</v>
      </c>
      <c r="B14" s="7" t="s">
        <v>192</v>
      </c>
      <c r="C14" s="16" t="s">
        <v>244</v>
      </c>
    </row>
    <row r="15" spans="1:38" ht="16.5">
      <c r="A15" s="165">
        <v>13</v>
      </c>
      <c r="B15" s="7" t="s">
        <v>245</v>
      </c>
      <c r="C15" s="16" t="s">
        <v>244</v>
      </c>
    </row>
    <row r="16" spans="1:38" ht="16.5">
      <c r="A16" s="165">
        <v>14</v>
      </c>
      <c r="B16" s="7" t="s">
        <v>246</v>
      </c>
      <c r="C16" s="16" t="s">
        <v>228</v>
      </c>
    </row>
    <row r="17" spans="1:6" ht="16.5">
      <c r="A17" s="165">
        <v>15</v>
      </c>
      <c r="B17" s="7" t="s">
        <v>247</v>
      </c>
      <c r="C17" s="16" t="s">
        <v>234</v>
      </c>
    </row>
    <row r="18" spans="1:6" ht="16.5">
      <c r="A18" s="165">
        <v>16</v>
      </c>
      <c r="B18" s="7" t="s">
        <v>248</v>
      </c>
      <c r="C18" s="16" t="s">
        <v>198</v>
      </c>
    </row>
    <row r="19" spans="1:6" ht="13.5">
      <c r="A19" s="165">
        <v>17</v>
      </c>
    </row>
    <row r="20" spans="1:6" ht="16.5">
      <c r="A20" s="165">
        <v>18</v>
      </c>
      <c r="B20" s="7" t="s">
        <v>199</v>
      </c>
      <c r="C20" s="16" t="s">
        <v>249</v>
      </c>
    </row>
    <row r="21" spans="1:6" ht="13.5">
      <c r="A21" s="165">
        <v>19</v>
      </c>
    </row>
    <row r="22" spans="1:6" ht="16.5">
      <c r="A22" s="165">
        <v>20</v>
      </c>
      <c r="B22" s="7" t="s">
        <v>250</v>
      </c>
      <c r="C22" s="7" t="s">
        <v>188</v>
      </c>
      <c r="D22" s="7" t="s">
        <v>189</v>
      </c>
      <c r="E22" s="7" t="s">
        <v>251</v>
      </c>
      <c r="F22" s="7" t="s">
        <v>200</v>
      </c>
    </row>
    <row r="23" spans="1:6" ht="13.5">
      <c r="A23" s="165">
        <v>21</v>
      </c>
      <c r="B23" s="74" t="s">
        <v>252</v>
      </c>
      <c r="C23" s="74">
        <v>121212</v>
      </c>
      <c r="D23" s="74" t="s">
        <v>253</v>
      </c>
      <c r="E23" s="74" t="s">
        <v>254</v>
      </c>
      <c r="F23" s="74" t="s">
        <v>229</v>
      </c>
    </row>
    <row r="24" spans="1:6" ht="13.5">
      <c r="A24" s="165">
        <v>22</v>
      </c>
      <c r="B24" s="74" t="s">
        <v>255</v>
      </c>
      <c r="C24" s="74">
        <v>212121</v>
      </c>
      <c r="D24" s="74" t="s">
        <v>256</v>
      </c>
      <c r="E24" s="74" t="s">
        <v>257</v>
      </c>
      <c r="F24" s="74" t="s">
        <v>230</v>
      </c>
    </row>
    <row r="25" spans="1:6" ht="13.5">
      <c r="A25" s="165">
        <v>23</v>
      </c>
    </row>
    <row r="26" spans="1:6" ht="13.5">
      <c r="A26" s="165">
        <v>24</v>
      </c>
    </row>
    <row r="27" spans="1:6" ht="13.5">
      <c r="A27" s="165">
        <v>25</v>
      </c>
    </row>
    <row r="28" spans="1:6" ht="13.5">
      <c r="A28" s="165">
        <v>26</v>
      </c>
    </row>
    <row r="29" spans="1:6" ht="13.5">
      <c r="A29" s="165">
        <v>27</v>
      </c>
    </row>
    <row r="30" spans="1:6" ht="13.5">
      <c r="A30" s="165">
        <v>28</v>
      </c>
    </row>
    <row r="31" spans="1:6" ht="13.5">
      <c r="A31" s="165">
        <v>29</v>
      </c>
    </row>
    <row r="32" spans="1:6" ht="13.5">
      <c r="A32" s="165">
        <v>30</v>
      </c>
    </row>
    <row r="33" spans="1:1" ht="13.5">
      <c r="A33" s="165">
        <v>31</v>
      </c>
    </row>
    <row r="34" spans="1:1" ht="13.5">
      <c r="A34" s="165">
        <v>32</v>
      </c>
    </row>
    <row r="35" spans="1:1" ht="13.5">
      <c r="A35" s="165">
        <v>33</v>
      </c>
    </row>
    <row r="36" spans="1:1" ht="13.5">
      <c r="A36" s="165">
        <v>34</v>
      </c>
    </row>
    <row r="37" spans="1:1" ht="13.5">
      <c r="A37" s="165">
        <v>35</v>
      </c>
    </row>
    <row r="38" spans="1:1" ht="13.5">
      <c r="A38" s="165">
        <v>36</v>
      </c>
    </row>
    <row r="39" spans="1:1" ht="13.5">
      <c r="A39" s="165">
        <v>37</v>
      </c>
    </row>
    <row r="40" spans="1:1" ht="13.5">
      <c r="A40" s="165">
        <v>38</v>
      </c>
    </row>
    <row r="41" spans="1:1" ht="13.5">
      <c r="A41" s="165">
        <v>39</v>
      </c>
    </row>
    <row r="42" spans="1:1" ht="13.5">
      <c r="A42" s="165">
        <v>40</v>
      </c>
    </row>
    <row r="43" spans="1:1" ht="13.5">
      <c r="A43" s="165">
        <v>41</v>
      </c>
    </row>
    <row r="44" spans="1:1" ht="13.5">
      <c r="A44" s="165">
        <v>42</v>
      </c>
    </row>
    <row r="45" spans="1:1" ht="13.5">
      <c r="A45" s="165">
        <v>43</v>
      </c>
    </row>
    <row r="46" spans="1:1" ht="13.5">
      <c r="A46" s="165">
        <v>44</v>
      </c>
    </row>
    <row r="47" spans="1:1" ht="13.5">
      <c r="A47" s="165">
        <v>45</v>
      </c>
    </row>
    <row r="48" spans="1:1" ht="13.5">
      <c r="A48" s="165">
        <v>46</v>
      </c>
    </row>
    <row r="49" spans="1:1" ht="13.5">
      <c r="A49" s="165">
        <v>47</v>
      </c>
    </row>
    <row r="50" spans="1:1" ht="13.5">
      <c r="A50" s="165">
        <v>48</v>
      </c>
    </row>
    <row r="51" spans="1:1" ht="13.5">
      <c r="A51" s="165">
        <v>49</v>
      </c>
    </row>
    <row r="52" spans="1:1" ht="13.5">
      <c r="A52" s="165">
        <v>50</v>
      </c>
    </row>
    <row r="53" spans="1:1" ht="13.5">
      <c r="A53" s="165">
        <v>51</v>
      </c>
    </row>
    <row r="54" spans="1:1" ht="13.5">
      <c r="A54" s="165">
        <v>52</v>
      </c>
    </row>
    <row r="55" spans="1:1" ht="13.5">
      <c r="A55" s="165">
        <v>53</v>
      </c>
    </row>
    <row r="56" spans="1:1" ht="13.5">
      <c r="A56" s="165">
        <v>54</v>
      </c>
    </row>
    <row r="57" spans="1:1" ht="13.5">
      <c r="A57" s="165">
        <v>55</v>
      </c>
    </row>
    <row r="58" spans="1:1" ht="13.5">
      <c r="A58" s="165">
        <v>56</v>
      </c>
    </row>
    <row r="59" spans="1:1" ht="13.5">
      <c r="A59" s="165">
        <v>57</v>
      </c>
    </row>
    <row r="60" spans="1:1" ht="13.5">
      <c r="A60" s="165">
        <v>58</v>
      </c>
    </row>
    <row r="61" spans="1:1" ht="13.5">
      <c r="A61" s="165">
        <v>59</v>
      </c>
    </row>
    <row r="62" spans="1:1" ht="13.5">
      <c r="A62" s="165">
        <v>60</v>
      </c>
    </row>
    <row r="63" spans="1:1" ht="13.5">
      <c r="A63" s="165">
        <v>61</v>
      </c>
    </row>
  </sheetData>
  <mergeCells count="1">
    <mergeCell ref="B2:C2"/>
  </mergeCells>
  <phoneticPr fontId="17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>
      <selection activeCell="C9" sqref="C9"/>
    </sheetView>
  </sheetViews>
  <sheetFormatPr defaultColWidth="8.73046875" defaultRowHeight="12.75"/>
  <cols>
    <col min="1" max="1" width="14" style="74" customWidth="1"/>
    <col min="2" max="2" width="27.53125" style="74" customWidth="1"/>
    <col min="3" max="3" width="37" style="74" customWidth="1"/>
    <col min="4" max="4" width="7.73046875" style="74" customWidth="1"/>
    <col min="5" max="5" width="18.06640625" style="74" customWidth="1"/>
    <col min="6" max="6" width="13.19921875" style="74" customWidth="1"/>
    <col min="7" max="16384" width="8.73046875" style="74"/>
  </cols>
  <sheetData>
    <row r="1" spans="1:38" ht="23.25">
      <c r="A1" s="162" t="s">
        <v>231</v>
      </c>
      <c r="B1" s="163">
        <v>1</v>
      </c>
      <c r="C1" s="163">
        <v>2</v>
      </c>
      <c r="D1" s="163">
        <v>3</v>
      </c>
      <c r="E1" s="163">
        <v>4</v>
      </c>
      <c r="F1" s="163">
        <v>5</v>
      </c>
      <c r="G1" s="163">
        <v>6</v>
      </c>
      <c r="H1" s="163">
        <v>7</v>
      </c>
      <c r="I1" s="163">
        <v>8</v>
      </c>
      <c r="J1" s="163">
        <v>9</v>
      </c>
      <c r="K1" s="163">
        <v>10</v>
      </c>
      <c r="L1" s="163">
        <v>11</v>
      </c>
      <c r="M1" s="163">
        <v>12</v>
      </c>
      <c r="N1" s="163">
        <v>13</v>
      </c>
      <c r="O1" s="163">
        <v>14</v>
      </c>
      <c r="P1" s="163">
        <v>15</v>
      </c>
      <c r="Q1" s="163">
        <v>16</v>
      </c>
      <c r="R1" s="163">
        <v>17</v>
      </c>
      <c r="S1" s="163">
        <v>18</v>
      </c>
      <c r="T1" s="163">
        <v>19</v>
      </c>
      <c r="U1" s="163">
        <v>20</v>
      </c>
      <c r="V1" s="163">
        <v>21</v>
      </c>
      <c r="W1" s="163">
        <v>22</v>
      </c>
      <c r="X1" s="163">
        <v>23</v>
      </c>
      <c r="Y1" s="163">
        <v>24</v>
      </c>
      <c r="Z1" s="163">
        <v>25</v>
      </c>
      <c r="AA1" s="163">
        <v>26</v>
      </c>
      <c r="AB1" s="163">
        <v>27</v>
      </c>
      <c r="AC1" s="163">
        <v>28</v>
      </c>
      <c r="AD1" s="163">
        <v>29</v>
      </c>
      <c r="AE1" s="163">
        <v>30</v>
      </c>
      <c r="AF1" s="163">
        <v>31</v>
      </c>
      <c r="AG1" s="163">
        <v>32</v>
      </c>
      <c r="AH1" s="163">
        <v>33</v>
      </c>
      <c r="AI1" s="163">
        <v>34</v>
      </c>
      <c r="AJ1" s="163">
        <v>35</v>
      </c>
      <c r="AK1" s="163">
        <v>36</v>
      </c>
      <c r="AL1" s="163">
        <v>37</v>
      </c>
    </row>
    <row r="2" spans="1:38" ht="28.5">
      <c r="A2" s="164">
        <v>0</v>
      </c>
      <c r="B2" s="201" t="s">
        <v>260</v>
      </c>
      <c r="C2" s="193"/>
    </row>
    <row r="3" spans="1:38" ht="19.5">
      <c r="A3" s="165">
        <v>1</v>
      </c>
      <c r="B3" s="167" t="s">
        <v>261</v>
      </c>
      <c r="C3" s="172" t="s">
        <v>201</v>
      </c>
    </row>
    <row r="4" spans="1:38" ht="19.5">
      <c r="A4" s="165">
        <v>2</v>
      </c>
      <c r="B4" s="167" t="s">
        <v>262</v>
      </c>
      <c r="C4" s="172" t="s">
        <v>273</v>
      </c>
    </row>
    <row r="5" spans="1:38" ht="19.5">
      <c r="A5" s="165">
        <v>3</v>
      </c>
      <c r="B5" s="167" t="s">
        <v>263</v>
      </c>
      <c r="C5" s="16" t="s">
        <v>234</v>
      </c>
    </row>
    <row r="6" spans="1:38" ht="19.5">
      <c r="A6" s="165">
        <v>4</v>
      </c>
      <c r="B6" s="168" t="s">
        <v>265</v>
      </c>
      <c r="C6" s="16" t="s">
        <v>274</v>
      </c>
    </row>
    <row r="7" spans="1:38" ht="19.5">
      <c r="A7" s="165">
        <v>5</v>
      </c>
      <c r="B7" s="168" t="s">
        <v>264</v>
      </c>
      <c r="C7" s="166" t="s">
        <v>275</v>
      </c>
    </row>
    <row r="8" spans="1:38" ht="13.5">
      <c r="A8" s="165">
        <v>6</v>
      </c>
    </row>
    <row r="9" spans="1:38" ht="19.5">
      <c r="A9" s="165">
        <v>7</v>
      </c>
      <c r="B9" s="167" t="s">
        <v>280</v>
      </c>
      <c r="C9" s="16" t="s">
        <v>281</v>
      </c>
    </row>
    <row r="10" spans="1:38" ht="13.5">
      <c r="A10" s="165">
        <v>8</v>
      </c>
    </row>
    <row r="11" spans="1:38" ht="19.5">
      <c r="A11" s="165">
        <v>9</v>
      </c>
      <c r="B11" s="167" t="s">
        <v>266</v>
      </c>
      <c r="C11" s="167" t="s">
        <v>267</v>
      </c>
      <c r="D11" s="167" t="s">
        <v>268</v>
      </c>
      <c r="E11" s="167" t="s">
        <v>269</v>
      </c>
      <c r="F11" s="167" t="s">
        <v>270</v>
      </c>
    </row>
    <row r="12" spans="1:38" ht="15.75">
      <c r="A12" s="165">
        <v>10</v>
      </c>
      <c r="B12" s="170" t="s">
        <v>277</v>
      </c>
      <c r="D12" s="169" t="s">
        <v>222</v>
      </c>
      <c r="E12" s="145" t="s">
        <v>271</v>
      </c>
      <c r="F12" s="171" t="s">
        <v>272</v>
      </c>
    </row>
    <row r="13" spans="1:38" ht="13.5">
      <c r="A13" s="165">
        <v>11</v>
      </c>
    </row>
    <row r="14" spans="1:38" ht="13.5">
      <c r="A14" s="165">
        <v>12</v>
      </c>
    </row>
    <row r="15" spans="1:38" ht="13.5">
      <c r="A15" s="165">
        <v>13</v>
      </c>
    </row>
    <row r="16" spans="1:38" ht="13.5">
      <c r="A16" s="165">
        <v>14</v>
      </c>
    </row>
    <row r="17" spans="1:1" ht="13.5">
      <c r="A17" s="165">
        <v>15</v>
      </c>
    </row>
    <row r="18" spans="1:1" ht="13.5">
      <c r="A18" s="165">
        <v>16</v>
      </c>
    </row>
    <row r="19" spans="1:1" ht="13.5">
      <c r="A19" s="165">
        <v>17</v>
      </c>
    </row>
    <row r="20" spans="1:1" ht="13.5">
      <c r="A20" s="165">
        <v>18</v>
      </c>
    </row>
    <row r="21" spans="1:1" ht="13.5">
      <c r="A21" s="165">
        <v>19</v>
      </c>
    </row>
    <row r="22" spans="1:1" ht="13.5">
      <c r="A22" s="165">
        <v>20</v>
      </c>
    </row>
    <row r="23" spans="1:1" ht="13.5">
      <c r="A23" s="165">
        <v>21</v>
      </c>
    </row>
    <row r="24" spans="1:1" ht="13.5">
      <c r="A24" s="165">
        <v>22</v>
      </c>
    </row>
    <row r="25" spans="1:1" ht="13.5">
      <c r="A25" s="165">
        <v>23</v>
      </c>
    </row>
    <row r="26" spans="1:1" ht="13.5">
      <c r="A26" s="165">
        <v>24</v>
      </c>
    </row>
    <row r="27" spans="1:1" ht="13.5">
      <c r="A27" s="165">
        <v>25</v>
      </c>
    </row>
    <row r="28" spans="1:1" ht="13.5">
      <c r="A28" s="165">
        <v>26</v>
      </c>
    </row>
    <row r="29" spans="1:1" ht="13.5">
      <c r="A29" s="165">
        <v>27</v>
      </c>
    </row>
    <row r="30" spans="1:1" ht="13.5">
      <c r="A30" s="165">
        <v>28</v>
      </c>
    </row>
    <row r="31" spans="1:1" ht="13.5">
      <c r="A31" s="165">
        <v>29</v>
      </c>
    </row>
    <row r="32" spans="1:1" ht="13.5">
      <c r="A32" s="165">
        <v>30</v>
      </c>
    </row>
    <row r="33" spans="1:1" ht="13.5">
      <c r="A33" s="165">
        <v>31</v>
      </c>
    </row>
    <row r="34" spans="1:1" ht="13.5">
      <c r="A34" s="165">
        <v>32</v>
      </c>
    </row>
    <row r="35" spans="1:1" ht="13.5">
      <c r="A35" s="165">
        <v>33</v>
      </c>
    </row>
    <row r="36" spans="1:1" ht="13.5">
      <c r="A36" s="165">
        <v>34</v>
      </c>
    </row>
    <row r="37" spans="1:1" ht="13.5">
      <c r="A37" s="165">
        <v>35</v>
      </c>
    </row>
    <row r="38" spans="1:1" ht="13.5">
      <c r="A38" s="165">
        <v>36</v>
      </c>
    </row>
    <row r="39" spans="1:1" ht="13.5">
      <c r="A39" s="165">
        <v>37</v>
      </c>
    </row>
    <row r="40" spans="1:1" ht="13.5">
      <c r="A40" s="165">
        <v>38</v>
      </c>
    </row>
    <row r="41" spans="1:1" ht="13.5">
      <c r="A41" s="165">
        <v>39</v>
      </c>
    </row>
    <row r="42" spans="1:1" ht="13.5">
      <c r="A42" s="165">
        <v>40</v>
      </c>
    </row>
    <row r="43" spans="1:1" ht="13.5">
      <c r="A43" s="165">
        <v>41</v>
      </c>
    </row>
    <row r="44" spans="1:1" ht="13.5">
      <c r="A44" s="165">
        <v>42</v>
      </c>
    </row>
    <row r="45" spans="1:1" ht="13.5">
      <c r="A45" s="165">
        <v>43</v>
      </c>
    </row>
    <row r="46" spans="1:1" ht="13.5">
      <c r="A46" s="165">
        <v>44</v>
      </c>
    </row>
    <row r="47" spans="1:1" ht="13.5">
      <c r="A47" s="165">
        <v>45</v>
      </c>
    </row>
    <row r="48" spans="1:1" ht="13.5">
      <c r="A48" s="165">
        <v>46</v>
      </c>
    </row>
    <row r="49" spans="1:1" ht="13.5">
      <c r="A49" s="165">
        <v>47</v>
      </c>
    </row>
    <row r="50" spans="1:1" ht="13.5">
      <c r="A50" s="165">
        <v>48</v>
      </c>
    </row>
    <row r="51" spans="1:1" ht="13.5">
      <c r="A51" s="165">
        <v>49</v>
      </c>
    </row>
    <row r="52" spans="1:1" ht="13.5">
      <c r="A52" s="165">
        <v>50</v>
      </c>
    </row>
    <row r="53" spans="1:1" ht="13.5">
      <c r="A53" s="165">
        <v>51</v>
      </c>
    </row>
    <row r="54" spans="1:1" ht="13.5">
      <c r="A54" s="165">
        <v>52</v>
      </c>
    </row>
    <row r="55" spans="1:1" ht="13.5">
      <c r="A55" s="165">
        <v>53</v>
      </c>
    </row>
    <row r="56" spans="1:1" ht="13.5">
      <c r="A56" s="165">
        <v>54</v>
      </c>
    </row>
    <row r="57" spans="1:1" ht="13.5">
      <c r="A57" s="165">
        <v>55</v>
      </c>
    </row>
    <row r="58" spans="1:1" ht="13.5">
      <c r="A58" s="165">
        <v>56</v>
      </c>
    </row>
    <row r="59" spans="1:1" ht="13.5">
      <c r="A59" s="165">
        <v>57</v>
      </c>
    </row>
    <row r="60" spans="1:1" ht="13.5">
      <c r="A60" s="165">
        <v>58</v>
      </c>
    </row>
    <row r="61" spans="1:1" ht="13.5">
      <c r="A61" s="165">
        <v>59</v>
      </c>
    </row>
    <row r="62" spans="1:1" ht="13.5">
      <c r="A62" s="165">
        <v>60</v>
      </c>
    </row>
    <row r="63" spans="1:1" ht="13.5">
      <c r="A63" s="165">
        <v>61</v>
      </c>
    </row>
  </sheetData>
  <mergeCells count="1">
    <mergeCell ref="B2:C2"/>
  </mergeCells>
  <phoneticPr fontId="17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>
      <selection activeCell="C31" sqref="C31"/>
    </sheetView>
  </sheetViews>
  <sheetFormatPr defaultColWidth="8.73046875" defaultRowHeight="12.75"/>
  <cols>
    <col min="1" max="1" width="14" style="74" customWidth="1"/>
    <col min="2" max="2" width="27.53125" style="74" customWidth="1"/>
    <col min="3" max="3" width="37" style="74" customWidth="1"/>
    <col min="4" max="4" width="7.73046875" style="74" customWidth="1"/>
    <col min="5" max="5" width="18.06640625" style="74" customWidth="1"/>
    <col min="6" max="6" width="13.19921875" style="74" customWidth="1"/>
    <col min="7" max="16384" width="8.73046875" style="74"/>
  </cols>
  <sheetData>
    <row r="1" spans="1:38" ht="23.25">
      <c r="A1" s="162" t="s">
        <v>231</v>
      </c>
      <c r="B1" s="163">
        <v>1</v>
      </c>
      <c r="C1" s="163">
        <v>2</v>
      </c>
      <c r="D1" s="163">
        <v>3</v>
      </c>
      <c r="E1" s="163">
        <v>4</v>
      </c>
      <c r="F1" s="163">
        <v>5</v>
      </c>
      <c r="G1" s="163">
        <v>6</v>
      </c>
      <c r="H1" s="163">
        <v>7</v>
      </c>
      <c r="I1" s="163">
        <v>8</v>
      </c>
      <c r="J1" s="163">
        <v>9</v>
      </c>
      <c r="K1" s="163">
        <v>10</v>
      </c>
      <c r="L1" s="163">
        <v>11</v>
      </c>
      <c r="M1" s="163">
        <v>12</v>
      </c>
      <c r="N1" s="163">
        <v>13</v>
      </c>
      <c r="O1" s="163">
        <v>14</v>
      </c>
      <c r="P1" s="163">
        <v>15</v>
      </c>
      <c r="Q1" s="163">
        <v>16</v>
      </c>
      <c r="R1" s="163">
        <v>17</v>
      </c>
      <c r="S1" s="163">
        <v>18</v>
      </c>
      <c r="T1" s="163">
        <v>19</v>
      </c>
      <c r="U1" s="163">
        <v>20</v>
      </c>
      <c r="V1" s="163">
        <v>21</v>
      </c>
      <c r="W1" s="163">
        <v>22</v>
      </c>
      <c r="X1" s="163">
        <v>23</v>
      </c>
      <c r="Y1" s="163">
        <v>24</v>
      </c>
      <c r="Z1" s="163">
        <v>25</v>
      </c>
      <c r="AA1" s="163">
        <v>26</v>
      </c>
      <c r="AB1" s="163">
        <v>27</v>
      </c>
      <c r="AC1" s="163">
        <v>28</v>
      </c>
      <c r="AD1" s="163">
        <v>29</v>
      </c>
      <c r="AE1" s="163">
        <v>30</v>
      </c>
      <c r="AF1" s="163">
        <v>31</v>
      </c>
      <c r="AG1" s="163">
        <v>32</v>
      </c>
      <c r="AH1" s="163">
        <v>33</v>
      </c>
      <c r="AI1" s="163">
        <v>34</v>
      </c>
      <c r="AJ1" s="163">
        <v>35</v>
      </c>
      <c r="AK1" s="163">
        <v>36</v>
      </c>
      <c r="AL1" s="163">
        <v>37</v>
      </c>
    </row>
    <row r="2" spans="1:38" ht="28.5">
      <c r="A2" s="164">
        <v>0</v>
      </c>
      <c r="B2" s="201" t="s">
        <v>282</v>
      </c>
      <c r="C2" s="193"/>
    </row>
    <row r="3" spans="1:38" ht="19.5">
      <c r="A3" s="165">
        <v>1</v>
      </c>
      <c r="B3" s="167" t="s">
        <v>261</v>
      </c>
      <c r="C3" s="172" t="s">
        <v>201</v>
      </c>
    </row>
    <row r="4" spans="1:38" ht="19.5">
      <c r="A4" s="165">
        <v>2</v>
      </c>
      <c r="B4" s="167" t="s">
        <v>262</v>
      </c>
      <c r="C4" s="172" t="s">
        <v>273</v>
      </c>
    </row>
    <row r="5" spans="1:38" ht="13.5">
      <c r="A5" s="165">
        <v>3</v>
      </c>
    </row>
    <row r="6" spans="1:38" ht="19.5">
      <c r="A6" s="165">
        <v>4</v>
      </c>
      <c r="B6" s="167" t="s">
        <v>280</v>
      </c>
      <c r="C6" s="16" t="s">
        <v>281</v>
      </c>
    </row>
    <row r="7" spans="1:38" ht="13.5">
      <c r="A7" s="165">
        <v>5</v>
      </c>
    </row>
    <row r="8" spans="1:38" ht="13.5">
      <c r="A8" s="165">
        <v>6</v>
      </c>
    </row>
    <row r="9" spans="1:38" ht="13.5">
      <c r="A9" s="165">
        <v>7</v>
      </c>
    </row>
    <row r="10" spans="1:38" ht="13.5">
      <c r="A10" s="165">
        <v>8</v>
      </c>
    </row>
    <row r="11" spans="1:38" ht="13.5">
      <c r="A11" s="165">
        <v>9</v>
      </c>
    </row>
    <row r="12" spans="1:38" ht="15.75">
      <c r="A12" s="165">
        <v>10</v>
      </c>
      <c r="B12" s="170"/>
      <c r="D12" s="169"/>
      <c r="E12" s="145"/>
      <c r="F12" s="171"/>
    </row>
    <row r="13" spans="1:38" ht="13.5">
      <c r="A13" s="165">
        <v>11</v>
      </c>
    </row>
    <row r="14" spans="1:38" ht="13.5">
      <c r="A14" s="165">
        <v>12</v>
      </c>
    </row>
    <row r="15" spans="1:38" ht="13.5">
      <c r="A15" s="165">
        <v>13</v>
      </c>
    </row>
    <row r="16" spans="1:38" ht="13.5">
      <c r="A16" s="165">
        <v>14</v>
      </c>
    </row>
    <row r="17" spans="1:1" ht="13.5">
      <c r="A17" s="165">
        <v>15</v>
      </c>
    </row>
    <row r="18" spans="1:1" ht="13.5">
      <c r="A18" s="165">
        <v>16</v>
      </c>
    </row>
    <row r="19" spans="1:1" ht="13.5">
      <c r="A19" s="165">
        <v>17</v>
      </c>
    </row>
    <row r="20" spans="1:1" ht="13.5">
      <c r="A20" s="165">
        <v>18</v>
      </c>
    </row>
    <row r="21" spans="1:1" ht="13.5">
      <c r="A21" s="165">
        <v>19</v>
      </c>
    </row>
    <row r="22" spans="1:1" ht="13.5">
      <c r="A22" s="165">
        <v>20</v>
      </c>
    </row>
    <row r="23" spans="1:1" ht="13.5">
      <c r="A23" s="165">
        <v>21</v>
      </c>
    </row>
    <row r="24" spans="1:1" ht="13.5">
      <c r="A24" s="165">
        <v>22</v>
      </c>
    </row>
    <row r="25" spans="1:1" ht="13.5">
      <c r="A25" s="165">
        <v>23</v>
      </c>
    </row>
    <row r="26" spans="1:1" ht="13.5">
      <c r="A26" s="165">
        <v>24</v>
      </c>
    </row>
    <row r="27" spans="1:1" ht="13.5">
      <c r="A27" s="165">
        <v>25</v>
      </c>
    </row>
    <row r="28" spans="1:1" ht="13.5">
      <c r="A28" s="165">
        <v>26</v>
      </c>
    </row>
    <row r="29" spans="1:1" ht="13.5">
      <c r="A29" s="165">
        <v>27</v>
      </c>
    </row>
    <row r="30" spans="1:1" ht="13.5">
      <c r="A30" s="165">
        <v>28</v>
      </c>
    </row>
    <row r="31" spans="1:1" ht="13.5">
      <c r="A31" s="165">
        <v>29</v>
      </c>
    </row>
    <row r="32" spans="1:1" ht="13.5">
      <c r="A32" s="165">
        <v>30</v>
      </c>
    </row>
    <row r="33" spans="1:1" ht="13.5">
      <c r="A33" s="165">
        <v>31</v>
      </c>
    </row>
    <row r="34" spans="1:1" ht="13.5">
      <c r="A34" s="165">
        <v>32</v>
      </c>
    </row>
    <row r="35" spans="1:1" ht="13.5">
      <c r="A35" s="165">
        <v>33</v>
      </c>
    </row>
    <row r="36" spans="1:1" ht="13.5">
      <c r="A36" s="165">
        <v>34</v>
      </c>
    </row>
    <row r="37" spans="1:1" ht="13.5">
      <c r="A37" s="165">
        <v>35</v>
      </c>
    </row>
    <row r="38" spans="1:1" ht="13.5">
      <c r="A38" s="165">
        <v>36</v>
      </c>
    </row>
    <row r="39" spans="1:1" ht="13.5">
      <c r="A39" s="165">
        <v>37</v>
      </c>
    </row>
    <row r="40" spans="1:1" ht="13.5">
      <c r="A40" s="165">
        <v>38</v>
      </c>
    </row>
    <row r="41" spans="1:1" ht="13.5">
      <c r="A41" s="165">
        <v>39</v>
      </c>
    </row>
    <row r="42" spans="1:1" ht="13.5">
      <c r="A42" s="165">
        <v>40</v>
      </c>
    </row>
    <row r="43" spans="1:1" ht="13.5">
      <c r="A43" s="165">
        <v>41</v>
      </c>
    </row>
    <row r="44" spans="1:1" ht="13.5">
      <c r="A44" s="165">
        <v>42</v>
      </c>
    </row>
    <row r="45" spans="1:1" ht="13.5">
      <c r="A45" s="165">
        <v>43</v>
      </c>
    </row>
    <row r="46" spans="1:1" ht="13.5">
      <c r="A46" s="165">
        <v>44</v>
      </c>
    </row>
    <row r="47" spans="1:1" ht="13.5">
      <c r="A47" s="165">
        <v>45</v>
      </c>
    </row>
    <row r="48" spans="1:1" ht="13.5">
      <c r="A48" s="165">
        <v>46</v>
      </c>
    </row>
    <row r="49" spans="1:1" ht="13.5">
      <c r="A49" s="165">
        <v>47</v>
      </c>
    </row>
    <row r="50" spans="1:1" ht="13.5">
      <c r="A50" s="165">
        <v>48</v>
      </c>
    </row>
    <row r="51" spans="1:1" ht="13.5">
      <c r="A51" s="165">
        <v>49</v>
      </c>
    </row>
    <row r="52" spans="1:1" ht="13.5">
      <c r="A52" s="165">
        <v>50</v>
      </c>
    </row>
    <row r="53" spans="1:1" ht="13.5">
      <c r="A53" s="165">
        <v>51</v>
      </c>
    </row>
    <row r="54" spans="1:1" ht="13.5">
      <c r="A54" s="165">
        <v>52</v>
      </c>
    </row>
    <row r="55" spans="1:1" ht="13.5">
      <c r="A55" s="165">
        <v>53</v>
      </c>
    </row>
    <row r="56" spans="1:1" ht="13.5">
      <c r="A56" s="165">
        <v>54</v>
      </c>
    </row>
    <row r="57" spans="1:1" ht="13.5">
      <c r="A57" s="165">
        <v>55</v>
      </c>
    </row>
    <row r="58" spans="1:1" ht="13.5">
      <c r="A58" s="165">
        <v>56</v>
      </c>
    </row>
    <row r="59" spans="1:1" ht="13.5">
      <c r="A59" s="165">
        <v>57</v>
      </c>
    </row>
    <row r="60" spans="1:1" ht="13.5">
      <c r="A60" s="165">
        <v>58</v>
      </c>
    </row>
    <row r="61" spans="1:1" ht="13.5">
      <c r="A61" s="165">
        <v>59</v>
      </c>
    </row>
    <row r="62" spans="1:1" ht="13.5">
      <c r="A62" s="165">
        <v>60</v>
      </c>
    </row>
    <row r="63" spans="1:1" ht="13.5">
      <c r="A63" s="165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>
      <selection activeCell="C14" sqref="C14"/>
    </sheetView>
  </sheetViews>
  <sheetFormatPr defaultColWidth="8.73046875" defaultRowHeight="12.75"/>
  <cols>
    <col min="1" max="1" width="14" style="74" customWidth="1"/>
    <col min="2" max="2" width="27.53125" style="74" customWidth="1"/>
    <col min="3" max="3" width="37" style="74" customWidth="1"/>
    <col min="4" max="4" width="7.73046875" style="74" customWidth="1"/>
    <col min="5" max="5" width="18.06640625" style="74" customWidth="1"/>
    <col min="6" max="6" width="13.19921875" style="74" customWidth="1"/>
    <col min="7" max="16384" width="8.73046875" style="74"/>
  </cols>
  <sheetData>
    <row r="1" spans="1:38" ht="23.25">
      <c r="A1" s="162" t="s">
        <v>231</v>
      </c>
      <c r="B1" s="163">
        <v>1</v>
      </c>
      <c r="C1" s="163">
        <v>2</v>
      </c>
      <c r="D1" s="163">
        <v>3</v>
      </c>
      <c r="E1" s="163">
        <v>4</v>
      </c>
      <c r="F1" s="163">
        <v>5</v>
      </c>
      <c r="G1" s="163">
        <v>6</v>
      </c>
      <c r="H1" s="163">
        <v>7</v>
      </c>
      <c r="I1" s="163">
        <v>8</v>
      </c>
      <c r="J1" s="163">
        <v>9</v>
      </c>
      <c r="K1" s="163">
        <v>10</v>
      </c>
      <c r="L1" s="163">
        <v>11</v>
      </c>
      <c r="M1" s="163">
        <v>12</v>
      </c>
      <c r="N1" s="163">
        <v>13</v>
      </c>
      <c r="O1" s="163">
        <v>14</v>
      </c>
      <c r="P1" s="163">
        <v>15</v>
      </c>
      <c r="Q1" s="163">
        <v>16</v>
      </c>
      <c r="R1" s="163">
        <v>17</v>
      </c>
      <c r="S1" s="163">
        <v>18</v>
      </c>
      <c r="T1" s="163">
        <v>19</v>
      </c>
      <c r="U1" s="163">
        <v>20</v>
      </c>
      <c r="V1" s="163">
        <v>21</v>
      </c>
      <c r="W1" s="163">
        <v>22</v>
      </c>
      <c r="X1" s="163">
        <v>23</v>
      </c>
      <c r="Y1" s="163">
        <v>24</v>
      </c>
      <c r="Z1" s="163">
        <v>25</v>
      </c>
      <c r="AA1" s="163">
        <v>26</v>
      </c>
      <c r="AB1" s="163">
        <v>27</v>
      </c>
      <c r="AC1" s="163">
        <v>28</v>
      </c>
      <c r="AD1" s="163">
        <v>29</v>
      </c>
      <c r="AE1" s="163">
        <v>30</v>
      </c>
      <c r="AF1" s="163">
        <v>31</v>
      </c>
      <c r="AG1" s="163">
        <v>32</v>
      </c>
      <c r="AH1" s="163">
        <v>33</v>
      </c>
      <c r="AI1" s="163">
        <v>34</v>
      </c>
      <c r="AJ1" s="163">
        <v>35</v>
      </c>
      <c r="AK1" s="163">
        <v>36</v>
      </c>
      <c r="AL1" s="163">
        <v>37</v>
      </c>
    </row>
    <row r="2" spans="1:38" ht="28.5">
      <c r="A2" s="164">
        <v>0</v>
      </c>
      <c r="B2" s="201" t="s">
        <v>283</v>
      </c>
      <c r="C2" s="193"/>
    </row>
    <row r="3" spans="1:38" ht="19.5">
      <c r="A3" s="165">
        <v>1</v>
      </c>
      <c r="B3" s="167" t="s">
        <v>261</v>
      </c>
      <c r="C3" s="172" t="s">
        <v>201</v>
      </c>
    </row>
    <row r="4" spans="1:38" ht="19.5">
      <c r="A4" s="165">
        <v>2</v>
      </c>
      <c r="B4" s="167" t="s">
        <v>188</v>
      </c>
      <c r="C4" s="173">
        <v>123412</v>
      </c>
    </row>
    <row r="5" spans="1:38" ht="13.5">
      <c r="A5" s="165">
        <v>3</v>
      </c>
    </row>
    <row r="6" spans="1:38" ht="19.5">
      <c r="A6" s="165">
        <v>4</v>
      </c>
      <c r="B6" s="167" t="s">
        <v>280</v>
      </c>
      <c r="C6" s="16" t="s">
        <v>281</v>
      </c>
    </row>
    <row r="7" spans="1:38" ht="13.5">
      <c r="A7" s="165">
        <v>5</v>
      </c>
    </row>
    <row r="8" spans="1:38" ht="13.5">
      <c r="A8" s="165">
        <v>6</v>
      </c>
    </row>
    <row r="9" spans="1:38" ht="13.5">
      <c r="A9" s="165">
        <v>7</v>
      </c>
    </row>
    <row r="10" spans="1:38" ht="13.5">
      <c r="A10" s="165">
        <v>8</v>
      </c>
    </row>
    <row r="11" spans="1:38" ht="13.5">
      <c r="A11" s="165">
        <v>9</v>
      </c>
    </row>
    <row r="12" spans="1:38" ht="15.75">
      <c r="A12" s="165">
        <v>10</v>
      </c>
      <c r="B12" s="170"/>
      <c r="D12" s="169"/>
      <c r="E12" s="145"/>
      <c r="F12" s="171"/>
    </row>
    <row r="13" spans="1:38" ht="13.5">
      <c r="A13" s="165">
        <v>11</v>
      </c>
    </row>
    <row r="14" spans="1:38" ht="13.5">
      <c r="A14" s="165">
        <v>12</v>
      </c>
    </row>
    <row r="15" spans="1:38" ht="13.5">
      <c r="A15" s="165">
        <v>13</v>
      </c>
    </row>
    <row r="16" spans="1:38" ht="13.5">
      <c r="A16" s="165">
        <v>14</v>
      </c>
    </row>
    <row r="17" spans="1:1" ht="13.5">
      <c r="A17" s="165">
        <v>15</v>
      </c>
    </row>
    <row r="18" spans="1:1" ht="13.5">
      <c r="A18" s="165">
        <v>16</v>
      </c>
    </row>
    <row r="19" spans="1:1" ht="13.5">
      <c r="A19" s="165">
        <v>17</v>
      </c>
    </row>
    <row r="20" spans="1:1" ht="13.5">
      <c r="A20" s="165">
        <v>18</v>
      </c>
    </row>
    <row r="21" spans="1:1" ht="13.5">
      <c r="A21" s="165">
        <v>19</v>
      </c>
    </row>
    <row r="22" spans="1:1" ht="13.5">
      <c r="A22" s="165">
        <v>20</v>
      </c>
    </row>
    <row r="23" spans="1:1" ht="13.5">
      <c r="A23" s="165">
        <v>21</v>
      </c>
    </row>
    <row r="24" spans="1:1" ht="13.5">
      <c r="A24" s="165">
        <v>22</v>
      </c>
    </row>
    <row r="25" spans="1:1" ht="13.5">
      <c r="A25" s="165">
        <v>23</v>
      </c>
    </row>
    <row r="26" spans="1:1" ht="13.5">
      <c r="A26" s="165">
        <v>24</v>
      </c>
    </row>
    <row r="27" spans="1:1" ht="13.5">
      <c r="A27" s="165">
        <v>25</v>
      </c>
    </row>
    <row r="28" spans="1:1" ht="13.5">
      <c r="A28" s="165">
        <v>26</v>
      </c>
    </row>
    <row r="29" spans="1:1" ht="13.5">
      <c r="A29" s="165">
        <v>27</v>
      </c>
    </row>
    <row r="30" spans="1:1" ht="13.5">
      <c r="A30" s="165">
        <v>28</v>
      </c>
    </row>
    <row r="31" spans="1:1" ht="13.5">
      <c r="A31" s="165">
        <v>29</v>
      </c>
    </row>
    <row r="32" spans="1:1" ht="13.5">
      <c r="A32" s="165">
        <v>30</v>
      </c>
    </row>
    <row r="33" spans="1:1" ht="13.5">
      <c r="A33" s="165">
        <v>31</v>
      </c>
    </row>
    <row r="34" spans="1:1" ht="13.5">
      <c r="A34" s="165">
        <v>32</v>
      </c>
    </row>
    <row r="35" spans="1:1" ht="13.5">
      <c r="A35" s="165">
        <v>33</v>
      </c>
    </row>
    <row r="36" spans="1:1" ht="13.5">
      <c r="A36" s="165">
        <v>34</v>
      </c>
    </row>
    <row r="37" spans="1:1" ht="13.5">
      <c r="A37" s="165">
        <v>35</v>
      </c>
    </row>
    <row r="38" spans="1:1" ht="13.5">
      <c r="A38" s="165">
        <v>36</v>
      </c>
    </row>
    <row r="39" spans="1:1" ht="13.5">
      <c r="A39" s="165">
        <v>37</v>
      </c>
    </row>
    <row r="40" spans="1:1" ht="13.5">
      <c r="A40" s="165">
        <v>38</v>
      </c>
    </row>
    <row r="41" spans="1:1" ht="13.5">
      <c r="A41" s="165">
        <v>39</v>
      </c>
    </row>
    <row r="42" spans="1:1" ht="13.5">
      <c r="A42" s="165">
        <v>40</v>
      </c>
    </row>
    <row r="43" spans="1:1" ht="13.5">
      <c r="A43" s="165">
        <v>41</v>
      </c>
    </row>
    <row r="44" spans="1:1" ht="13.5">
      <c r="A44" s="165">
        <v>42</v>
      </c>
    </row>
    <row r="45" spans="1:1" ht="13.5">
      <c r="A45" s="165">
        <v>43</v>
      </c>
    </row>
    <row r="46" spans="1:1" ht="13.5">
      <c r="A46" s="165">
        <v>44</v>
      </c>
    </row>
    <row r="47" spans="1:1" ht="13.5">
      <c r="A47" s="165">
        <v>45</v>
      </c>
    </row>
    <row r="48" spans="1:1" ht="13.5">
      <c r="A48" s="165">
        <v>46</v>
      </c>
    </row>
    <row r="49" spans="1:1" ht="13.5">
      <c r="A49" s="165">
        <v>47</v>
      </c>
    </row>
    <row r="50" spans="1:1" ht="13.5">
      <c r="A50" s="165">
        <v>48</v>
      </c>
    </row>
    <row r="51" spans="1:1" ht="13.5">
      <c r="A51" s="165">
        <v>49</v>
      </c>
    </row>
    <row r="52" spans="1:1" ht="13.5">
      <c r="A52" s="165">
        <v>50</v>
      </c>
    </row>
    <row r="53" spans="1:1" ht="13.5">
      <c r="A53" s="165">
        <v>51</v>
      </c>
    </row>
    <row r="54" spans="1:1" ht="13.5">
      <c r="A54" s="165">
        <v>52</v>
      </c>
    </row>
    <row r="55" spans="1:1" ht="13.5">
      <c r="A55" s="165">
        <v>53</v>
      </c>
    </row>
    <row r="56" spans="1:1" ht="13.5">
      <c r="A56" s="165">
        <v>54</v>
      </c>
    </row>
    <row r="57" spans="1:1" ht="13.5">
      <c r="A57" s="165">
        <v>55</v>
      </c>
    </row>
    <row r="58" spans="1:1" ht="13.5">
      <c r="A58" s="165">
        <v>56</v>
      </c>
    </row>
    <row r="59" spans="1:1" ht="13.5">
      <c r="A59" s="165">
        <v>57</v>
      </c>
    </row>
    <row r="60" spans="1:1" ht="13.5">
      <c r="A60" s="165">
        <v>58</v>
      </c>
    </row>
    <row r="61" spans="1:1" ht="13.5">
      <c r="A61" s="165">
        <v>59</v>
      </c>
    </row>
    <row r="62" spans="1:1" ht="13.5">
      <c r="A62" s="165">
        <v>60</v>
      </c>
    </row>
    <row r="63" spans="1:1" ht="13.5">
      <c r="A63" s="165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>
      <selection activeCell="C24" sqref="C24"/>
    </sheetView>
  </sheetViews>
  <sheetFormatPr defaultColWidth="8.73046875" defaultRowHeight="12.75"/>
  <cols>
    <col min="1" max="1" width="14" style="74" customWidth="1"/>
    <col min="2" max="2" width="27.53125" style="74" customWidth="1"/>
    <col min="3" max="3" width="37" style="74" customWidth="1"/>
    <col min="4" max="4" width="7.73046875" style="74" customWidth="1"/>
    <col min="5" max="5" width="18.06640625" style="74" customWidth="1"/>
    <col min="6" max="6" width="13.19921875" style="74" customWidth="1"/>
    <col min="7" max="16384" width="8.73046875" style="74"/>
  </cols>
  <sheetData>
    <row r="1" spans="1:38" ht="23.25">
      <c r="A1" s="162" t="s">
        <v>231</v>
      </c>
      <c r="B1" s="163">
        <v>1</v>
      </c>
      <c r="C1" s="163">
        <v>2</v>
      </c>
      <c r="D1" s="163">
        <v>3</v>
      </c>
      <c r="E1" s="163">
        <v>4</v>
      </c>
      <c r="F1" s="163">
        <v>5</v>
      </c>
      <c r="G1" s="163">
        <v>6</v>
      </c>
      <c r="H1" s="163">
        <v>7</v>
      </c>
      <c r="I1" s="163">
        <v>8</v>
      </c>
      <c r="J1" s="163">
        <v>9</v>
      </c>
      <c r="K1" s="163">
        <v>10</v>
      </c>
      <c r="L1" s="163">
        <v>11</v>
      </c>
      <c r="M1" s="163">
        <v>12</v>
      </c>
      <c r="N1" s="163">
        <v>13</v>
      </c>
      <c r="O1" s="163">
        <v>14</v>
      </c>
      <c r="P1" s="163">
        <v>15</v>
      </c>
      <c r="Q1" s="163">
        <v>16</v>
      </c>
      <c r="R1" s="163">
        <v>17</v>
      </c>
      <c r="S1" s="163">
        <v>18</v>
      </c>
      <c r="T1" s="163">
        <v>19</v>
      </c>
      <c r="U1" s="163">
        <v>20</v>
      </c>
      <c r="V1" s="163">
        <v>21</v>
      </c>
      <c r="W1" s="163">
        <v>22</v>
      </c>
      <c r="X1" s="163">
        <v>23</v>
      </c>
      <c r="Y1" s="163">
        <v>24</v>
      </c>
      <c r="Z1" s="163">
        <v>25</v>
      </c>
      <c r="AA1" s="163">
        <v>26</v>
      </c>
      <c r="AB1" s="163">
        <v>27</v>
      </c>
      <c r="AC1" s="163">
        <v>28</v>
      </c>
      <c r="AD1" s="163">
        <v>29</v>
      </c>
      <c r="AE1" s="163">
        <v>30</v>
      </c>
      <c r="AF1" s="163">
        <v>31</v>
      </c>
      <c r="AG1" s="163">
        <v>32</v>
      </c>
      <c r="AH1" s="163">
        <v>33</v>
      </c>
      <c r="AI1" s="163">
        <v>34</v>
      </c>
      <c r="AJ1" s="163">
        <v>35</v>
      </c>
      <c r="AK1" s="163">
        <v>36</v>
      </c>
      <c r="AL1" s="163">
        <v>37</v>
      </c>
    </row>
    <row r="2" spans="1:38" ht="28.5">
      <c r="A2" s="164">
        <v>0</v>
      </c>
      <c r="B2" s="201" t="s">
        <v>283</v>
      </c>
      <c r="C2" s="193"/>
    </row>
    <row r="3" spans="1:38" ht="19.5">
      <c r="A3" s="165">
        <v>1</v>
      </c>
      <c r="B3" s="167" t="s">
        <v>261</v>
      </c>
      <c r="C3" s="172"/>
    </row>
    <row r="4" spans="1:38" ht="19.5">
      <c r="A4" s="165">
        <v>2</v>
      </c>
      <c r="B4" s="167" t="s">
        <v>188</v>
      </c>
      <c r="C4" s="173"/>
    </row>
    <row r="5" spans="1:38" ht="13.5">
      <c r="A5" s="165">
        <v>3</v>
      </c>
    </row>
    <row r="6" spans="1:38" ht="19.5">
      <c r="A6" s="165">
        <v>4</v>
      </c>
      <c r="B6" s="167" t="s">
        <v>284</v>
      </c>
      <c r="C6" s="144" t="s">
        <v>291</v>
      </c>
    </row>
    <row r="7" spans="1:38" ht="19.5">
      <c r="A7" s="165">
        <v>5</v>
      </c>
      <c r="B7" s="167" t="s">
        <v>285</v>
      </c>
      <c r="C7" s="144" t="s">
        <v>292</v>
      </c>
    </row>
    <row r="8" spans="1:38" ht="19.5">
      <c r="A8" s="165">
        <v>6</v>
      </c>
      <c r="B8" s="167" t="s">
        <v>286</v>
      </c>
      <c r="C8" s="174" t="s">
        <v>287</v>
      </c>
    </row>
    <row r="9" spans="1:38" ht="19.5">
      <c r="A9" s="165">
        <v>7</v>
      </c>
      <c r="B9" s="167" t="s">
        <v>263</v>
      </c>
      <c r="C9" s="174" t="s">
        <v>288</v>
      </c>
    </row>
    <row r="10" spans="1:38" ht="19.5">
      <c r="A10" s="165">
        <v>8</v>
      </c>
      <c r="B10" s="167" t="s">
        <v>289</v>
      </c>
      <c r="C10" s="16" t="s">
        <v>290</v>
      </c>
    </row>
    <row r="11" spans="1:38" ht="13.5">
      <c r="A11" s="165">
        <v>9</v>
      </c>
    </row>
    <row r="12" spans="1:38" ht="15.75">
      <c r="A12" s="165">
        <v>10</v>
      </c>
      <c r="B12" s="170"/>
      <c r="D12" s="169"/>
      <c r="E12" s="145"/>
      <c r="F12" s="171"/>
    </row>
    <row r="13" spans="1:38" ht="13.5">
      <c r="A13" s="165">
        <v>11</v>
      </c>
    </row>
    <row r="14" spans="1:38" ht="13.5">
      <c r="A14" s="165">
        <v>12</v>
      </c>
    </row>
    <row r="15" spans="1:38" ht="13.5">
      <c r="A15" s="165">
        <v>13</v>
      </c>
    </row>
    <row r="16" spans="1:38" ht="13.5">
      <c r="A16" s="165">
        <v>14</v>
      </c>
    </row>
    <row r="17" spans="1:1" ht="13.5">
      <c r="A17" s="165">
        <v>15</v>
      </c>
    </row>
    <row r="18" spans="1:1" ht="13.5">
      <c r="A18" s="165">
        <v>16</v>
      </c>
    </row>
    <row r="19" spans="1:1" ht="13.5">
      <c r="A19" s="165">
        <v>17</v>
      </c>
    </row>
    <row r="20" spans="1:1" ht="13.5">
      <c r="A20" s="165">
        <v>18</v>
      </c>
    </row>
    <row r="21" spans="1:1" ht="13.5">
      <c r="A21" s="165">
        <v>19</v>
      </c>
    </row>
    <row r="22" spans="1:1" ht="13.5">
      <c r="A22" s="165">
        <v>20</v>
      </c>
    </row>
    <row r="23" spans="1:1" ht="13.5">
      <c r="A23" s="165">
        <v>21</v>
      </c>
    </row>
    <row r="24" spans="1:1" ht="13.5">
      <c r="A24" s="165">
        <v>22</v>
      </c>
    </row>
    <row r="25" spans="1:1" ht="13.5">
      <c r="A25" s="165">
        <v>23</v>
      </c>
    </row>
    <row r="26" spans="1:1" ht="13.5">
      <c r="A26" s="165">
        <v>24</v>
      </c>
    </row>
    <row r="27" spans="1:1" ht="13.5">
      <c r="A27" s="165">
        <v>25</v>
      </c>
    </row>
    <row r="28" spans="1:1" ht="13.5">
      <c r="A28" s="165">
        <v>26</v>
      </c>
    </row>
    <row r="29" spans="1:1" ht="13.5">
      <c r="A29" s="165">
        <v>27</v>
      </c>
    </row>
    <row r="30" spans="1:1" ht="13.5">
      <c r="A30" s="165">
        <v>28</v>
      </c>
    </row>
    <row r="31" spans="1:1" ht="13.5">
      <c r="A31" s="165">
        <v>29</v>
      </c>
    </row>
    <row r="32" spans="1:1" ht="13.5">
      <c r="A32" s="165">
        <v>30</v>
      </c>
    </row>
    <row r="33" spans="1:1" ht="13.5">
      <c r="A33" s="165">
        <v>31</v>
      </c>
    </row>
    <row r="34" spans="1:1" ht="13.5">
      <c r="A34" s="165">
        <v>32</v>
      </c>
    </row>
    <row r="35" spans="1:1" ht="13.5">
      <c r="A35" s="165">
        <v>33</v>
      </c>
    </row>
    <row r="36" spans="1:1" ht="13.5">
      <c r="A36" s="165">
        <v>34</v>
      </c>
    </row>
    <row r="37" spans="1:1" ht="13.5">
      <c r="A37" s="165">
        <v>35</v>
      </c>
    </row>
    <row r="38" spans="1:1" ht="13.5">
      <c r="A38" s="165">
        <v>36</v>
      </c>
    </row>
    <row r="39" spans="1:1" ht="13.5">
      <c r="A39" s="165">
        <v>37</v>
      </c>
    </row>
    <row r="40" spans="1:1" ht="13.5">
      <c r="A40" s="165">
        <v>38</v>
      </c>
    </row>
    <row r="41" spans="1:1" ht="13.5">
      <c r="A41" s="165">
        <v>39</v>
      </c>
    </row>
    <row r="42" spans="1:1" ht="13.5">
      <c r="A42" s="165">
        <v>40</v>
      </c>
    </row>
    <row r="43" spans="1:1" ht="13.5">
      <c r="A43" s="165">
        <v>41</v>
      </c>
    </row>
    <row r="44" spans="1:1" ht="13.5">
      <c r="A44" s="165">
        <v>42</v>
      </c>
    </row>
    <row r="45" spans="1:1" ht="13.5">
      <c r="A45" s="165">
        <v>43</v>
      </c>
    </row>
    <row r="46" spans="1:1" ht="13.5">
      <c r="A46" s="165">
        <v>44</v>
      </c>
    </row>
    <row r="47" spans="1:1" ht="13.5">
      <c r="A47" s="165">
        <v>45</v>
      </c>
    </row>
    <row r="48" spans="1:1" ht="13.5">
      <c r="A48" s="165">
        <v>46</v>
      </c>
    </row>
    <row r="49" spans="1:1" ht="13.5">
      <c r="A49" s="165">
        <v>47</v>
      </c>
    </row>
    <row r="50" spans="1:1" ht="13.5">
      <c r="A50" s="165">
        <v>48</v>
      </c>
    </row>
    <row r="51" spans="1:1" ht="13.5">
      <c r="A51" s="165">
        <v>49</v>
      </c>
    </row>
    <row r="52" spans="1:1" ht="13.5">
      <c r="A52" s="165">
        <v>50</v>
      </c>
    </row>
    <row r="53" spans="1:1" ht="13.5">
      <c r="A53" s="165">
        <v>51</v>
      </c>
    </row>
    <row r="54" spans="1:1" ht="13.5">
      <c r="A54" s="165">
        <v>52</v>
      </c>
    </row>
    <row r="55" spans="1:1" ht="13.5">
      <c r="A55" s="165">
        <v>53</v>
      </c>
    </row>
    <row r="56" spans="1:1" ht="13.5">
      <c r="A56" s="165">
        <v>54</v>
      </c>
    </row>
    <row r="57" spans="1:1" ht="13.5">
      <c r="A57" s="165">
        <v>55</v>
      </c>
    </row>
    <row r="58" spans="1:1" ht="13.5">
      <c r="A58" s="165">
        <v>56</v>
      </c>
    </row>
    <row r="59" spans="1:1" ht="13.5">
      <c r="A59" s="165">
        <v>57</v>
      </c>
    </row>
    <row r="60" spans="1:1" ht="13.5">
      <c r="A60" s="165">
        <v>58</v>
      </c>
    </row>
    <row r="61" spans="1:1" ht="13.5">
      <c r="A61" s="165">
        <v>59</v>
      </c>
    </row>
    <row r="62" spans="1:1" ht="13.5">
      <c r="A62" s="165">
        <v>60</v>
      </c>
    </row>
    <row r="63" spans="1:1" ht="13.5">
      <c r="A63" s="165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4763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63"/>
  <sheetViews>
    <sheetView workbookViewId="0">
      <selection activeCell="C3" sqref="C3"/>
    </sheetView>
  </sheetViews>
  <sheetFormatPr defaultRowHeight="12.75"/>
  <cols>
    <col min="1" max="1" width="14" customWidth="1"/>
    <col min="2" max="2" width="34.59765625" customWidth="1"/>
    <col min="3" max="3" width="34.33203125" customWidth="1"/>
    <col min="4" max="4" width="31.59765625" customWidth="1"/>
    <col min="5" max="5" width="17.19921875" customWidth="1"/>
    <col min="6" max="6" width="21.796875" bestFit="1" customWidth="1"/>
  </cols>
  <sheetData>
    <row r="1" spans="1:38" ht="26.25">
      <c r="A1" s="1" t="s">
        <v>91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201" t="s">
        <v>313</v>
      </c>
      <c r="C2" s="193"/>
    </row>
    <row r="3" spans="1:38" ht="19.5">
      <c r="A3" s="2">
        <v>1</v>
      </c>
      <c r="B3" s="167" t="s">
        <v>314</v>
      </c>
      <c r="C3" s="174" t="s">
        <v>328</v>
      </c>
    </row>
    <row r="4" spans="1:38" ht="19.5">
      <c r="A4" s="2">
        <v>2</v>
      </c>
      <c r="B4" s="167" t="s">
        <v>315</v>
      </c>
      <c r="C4" s="172" t="s">
        <v>201</v>
      </c>
    </row>
    <row r="5" spans="1:38" ht="39">
      <c r="A5" s="2">
        <v>3</v>
      </c>
      <c r="B5" s="202" t="s">
        <v>317</v>
      </c>
      <c r="C5" s="172" t="s">
        <v>330</v>
      </c>
    </row>
    <row r="6" spans="1:38" ht="19.5">
      <c r="A6" s="2">
        <v>4</v>
      </c>
      <c r="B6" s="167" t="s">
        <v>316</v>
      </c>
      <c r="C6" s="16" t="s">
        <v>195</v>
      </c>
    </row>
    <row r="7" spans="1:38" ht="19.5">
      <c r="A7" s="2">
        <v>5</v>
      </c>
      <c r="B7" s="167" t="s">
        <v>318</v>
      </c>
      <c r="C7" s="16" t="s">
        <v>196</v>
      </c>
    </row>
    <row r="8" spans="1:38" ht="19.5">
      <c r="A8" s="2">
        <v>6</v>
      </c>
      <c r="B8" s="167" t="s">
        <v>319</v>
      </c>
      <c r="C8" s="16" t="s">
        <v>192</v>
      </c>
    </row>
    <row r="9" spans="1:38" ht="19.5">
      <c r="A9" s="2">
        <v>7</v>
      </c>
      <c r="B9" s="167" t="s">
        <v>320</v>
      </c>
      <c r="C9" s="16" t="s">
        <v>197</v>
      </c>
    </row>
    <row r="10" spans="1:38" ht="19.5">
      <c r="A10" s="2">
        <v>8</v>
      </c>
      <c r="B10" s="167" t="s">
        <v>321</v>
      </c>
      <c r="C10" s="16" t="s">
        <v>186</v>
      </c>
      <c r="E10" s="161"/>
    </row>
    <row r="11" spans="1:38" ht="19.5">
      <c r="A11" s="2">
        <v>9</v>
      </c>
      <c r="B11" s="167" t="s">
        <v>322</v>
      </c>
      <c r="C11" s="16" t="s">
        <v>135</v>
      </c>
    </row>
    <row r="12" spans="1:38" ht="19.5">
      <c r="A12" s="2">
        <v>10</v>
      </c>
      <c r="B12" s="167" t="s">
        <v>280</v>
      </c>
      <c r="C12" s="144">
        <v>45518</v>
      </c>
    </row>
    <row r="13" spans="1:38" ht="16.899999999999999">
      <c r="A13" s="2">
        <v>11</v>
      </c>
    </row>
    <row r="14" spans="1:38" ht="39">
      <c r="A14" s="2">
        <v>12</v>
      </c>
      <c r="B14" s="203" t="s">
        <v>326</v>
      </c>
      <c r="C14" s="203" t="s">
        <v>325</v>
      </c>
      <c r="D14" s="203" t="s">
        <v>324</v>
      </c>
      <c r="E14" s="203" t="s">
        <v>323</v>
      </c>
    </row>
    <row r="15" spans="1:38" ht="16.899999999999999">
      <c r="A15" s="2">
        <v>13</v>
      </c>
      <c r="B15" s="74" t="s">
        <v>308</v>
      </c>
      <c r="C15" s="74">
        <v>501111</v>
      </c>
      <c r="D15" s="74" t="s">
        <v>305</v>
      </c>
      <c r="E15" s="74" t="s">
        <v>128</v>
      </c>
    </row>
    <row r="16" spans="1:38" ht="16.899999999999999">
      <c r="A16" s="2">
        <v>14</v>
      </c>
      <c r="B16" s="74" t="s">
        <v>310</v>
      </c>
      <c r="C16" s="74">
        <v>111111</v>
      </c>
      <c r="D16" s="74" t="s">
        <v>256</v>
      </c>
      <c r="E16" s="74" t="s">
        <v>306</v>
      </c>
    </row>
    <row r="17" spans="1:7" ht="16.899999999999999">
      <c r="A17" s="2">
        <v>15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74"/>
    </row>
    <row r="24" spans="1:7" ht="16.899999999999999">
      <c r="A24" s="2">
        <v>22</v>
      </c>
    </row>
    <row r="25" spans="1:7" ht="16.899999999999999">
      <c r="A25" s="2">
        <v>23</v>
      </c>
      <c r="B25" s="74"/>
    </row>
    <row r="26" spans="1:7" ht="16.899999999999999">
      <c r="A26" s="2">
        <v>24</v>
      </c>
      <c r="B26" s="74"/>
    </row>
    <row r="27" spans="1:7" ht="16.899999999999999">
      <c r="A27" s="2">
        <v>25</v>
      </c>
      <c r="B27" s="74"/>
    </row>
    <row r="28" spans="1:7" ht="16.899999999999999">
      <c r="A28" s="2">
        <v>26</v>
      </c>
      <c r="B28" s="74"/>
    </row>
    <row r="29" spans="1:7" ht="16.899999999999999">
      <c r="A29" s="2">
        <v>27</v>
      </c>
      <c r="B29" s="74"/>
    </row>
    <row r="30" spans="1:7" ht="16.899999999999999">
      <c r="A30" s="2">
        <v>28</v>
      </c>
      <c r="B30" s="74"/>
    </row>
    <row r="31" spans="1:7" ht="16.899999999999999">
      <c r="A31" s="2">
        <v>29</v>
      </c>
      <c r="B31" s="74"/>
    </row>
    <row r="32" spans="1:7" ht="16.899999999999999">
      <c r="A32" s="2">
        <v>30</v>
      </c>
      <c r="B32" s="74"/>
    </row>
    <row r="33" spans="1:2" ht="16.899999999999999">
      <c r="A33" s="2">
        <v>31</v>
      </c>
      <c r="B33" s="74"/>
    </row>
    <row r="34" spans="1:2" ht="16.899999999999999">
      <c r="A34" s="2">
        <v>32</v>
      </c>
      <c r="B34" s="74"/>
    </row>
    <row r="35" spans="1:2" ht="16.899999999999999">
      <c r="A35" s="2">
        <v>33</v>
      </c>
      <c r="B35" s="74"/>
    </row>
    <row r="36" spans="1:2" ht="16.899999999999999">
      <c r="A36" s="2">
        <v>34</v>
      </c>
      <c r="B36" s="74"/>
    </row>
    <row r="37" spans="1:2" ht="16.899999999999999">
      <c r="A37" s="2">
        <v>35</v>
      </c>
      <c r="B37" s="74"/>
    </row>
    <row r="38" spans="1:2" ht="16.899999999999999">
      <c r="A38" s="2">
        <v>36</v>
      </c>
      <c r="B38" s="74"/>
    </row>
    <row r="39" spans="1:2" ht="16.899999999999999">
      <c r="A39" s="2">
        <v>37</v>
      </c>
      <c r="B39" s="74"/>
    </row>
    <row r="40" spans="1:2" ht="16.899999999999999">
      <c r="A40" s="2">
        <v>38</v>
      </c>
      <c r="B40" s="74"/>
    </row>
    <row r="41" spans="1:2" ht="16.899999999999999">
      <c r="A41" s="2">
        <v>39</v>
      </c>
      <c r="B41" s="74"/>
    </row>
    <row r="42" spans="1:2" ht="16.899999999999999">
      <c r="A42" s="2">
        <v>40</v>
      </c>
      <c r="B42" s="74"/>
    </row>
    <row r="43" spans="1:2" ht="16.899999999999999">
      <c r="A43" s="2">
        <v>41</v>
      </c>
      <c r="B43" s="74"/>
    </row>
    <row r="44" spans="1:2" ht="16.899999999999999">
      <c r="A44" s="2">
        <v>42</v>
      </c>
      <c r="B44" s="74"/>
    </row>
    <row r="45" spans="1:2" ht="16.899999999999999">
      <c r="A45" s="2">
        <v>43</v>
      </c>
      <c r="B45" s="74"/>
    </row>
    <row r="46" spans="1:2" ht="16.899999999999999">
      <c r="A46" s="2">
        <v>44</v>
      </c>
      <c r="B46" s="74"/>
    </row>
    <row r="47" spans="1:2" ht="16.899999999999999">
      <c r="A47" s="2">
        <v>45</v>
      </c>
      <c r="B47" s="74"/>
    </row>
    <row r="48" spans="1:2" ht="16.899999999999999">
      <c r="A48" s="2">
        <v>46</v>
      </c>
      <c r="B48" s="74"/>
    </row>
    <row r="49" spans="1:2" ht="16.899999999999999">
      <c r="A49" s="2">
        <v>47</v>
      </c>
      <c r="B49" s="74"/>
    </row>
    <row r="50" spans="1:2" ht="16.899999999999999">
      <c r="A50" s="2">
        <v>48</v>
      </c>
      <c r="B50" s="74"/>
    </row>
    <row r="51" spans="1:2" ht="16.899999999999999">
      <c r="A51" s="2">
        <v>49</v>
      </c>
      <c r="B51" s="74"/>
    </row>
    <row r="52" spans="1:2" ht="16.899999999999999">
      <c r="A52" s="2">
        <v>50</v>
      </c>
      <c r="B52" s="74"/>
    </row>
    <row r="53" spans="1:2" ht="16.899999999999999">
      <c r="A53" s="2">
        <v>51</v>
      </c>
      <c r="B53" s="74"/>
    </row>
    <row r="54" spans="1:2" ht="16.899999999999999">
      <c r="A54" s="2">
        <v>52</v>
      </c>
      <c r="B54" s="74"/>
    </row>
    <row r="55" spans="1:2" ht="16.899999999999999">
      <c r="A55" s="2">
        <v>53</v>
      </c>
      <c r="B55" s="74"/>
    </row>
    <row r="56" spans="1:2" ht="16.899999999999999">
      <c r="A56" s="2">
        <v>54</v>
      </c>
      <c r="B56" s="74"/>
    </row>
    <row r="57" spans="1:2" ht="16.899999999999999">
      <c r="A57" s="2">
        <v>55</v>
      </c>
      <c r="B57" s="74"/>
    </row>
    <row r="58" spans="1:2" ht="16.899999999999999">
      <c r="A58" s="2">
        <v>56</v>
      </c>
      <c r="B58" s="74"/>
    </row>
    <row r="59" spans="1:2" ht="16.899999999999999">
      <c r="A59" s="2">
        <v>57</v>
      </c>
      <c r="B59" s="74"/>
    </row>
    <row r="60" spans="1:2" ht="16.899999999999999">
      <c r="A60" s="2">
        <v>58</v>
      </c>
      <c r="B60" s="74"/>
    </row>
    <row r="61" spans="1:2" ht="16.899999999999999">
      <c r="A61" s="2">
        <v>59</v>
      </c>
      <c r="B61" s="74"/>
    </row>
    <row r="62" spans="1:2" ht="16.899999999999999">
      <c r="A62" s="2">
        <v>60</v>
      </c>
      <c r="B62" s="74"/>
    </row>
    <row r="63" spans="1:2" ht="16.899999999999999">
      <c r="A63" s="2">
        <v>61</v>
      </c>
      <c r="B63" s="74"/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</xdr:col>
                    <xdr:colOff>1143000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802A3-F9E6-4385-B3C1-B2BBEEACC06B}">
  <dimension ref="A1"/>
  <sheetViews>
    <sheetView workbookViewId="0"/>
  </sheetViews>
  <sheetFormatPr defaultRowHeight="12.75"/>
  <sheetData/>
  <phoneticPr fontId="17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목차</vt:lpstr>
      <vt:lpstr>기본양식</vt:lpstr>
      <vt:lpstr>참여자명단</vt:lpstr>
      <vt:lpstr>참여기업 정보</vt:lpstr>
      <vt:lpstr>일경험 운영계획서</vt:lpstr>
      <vt:lpstr>멘토일지</vt:lpstr>
      <vt:lpstr>종합보고서</vt:lpstr>
      <vt:lpstr>중간점검일지</vt:lpstr>
      <vt:lpstr>102. 사전직무교육 운영 계획서</vt:lpstr>
      <vt:lpstr>108. 일경험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13. 참여기업 지원금 지급 신청서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2024-12-03T06:48:43Z</dcterms:modified>
</cp:coreProperties>
</file>