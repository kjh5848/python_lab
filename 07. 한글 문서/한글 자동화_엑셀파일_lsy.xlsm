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.xml" ContentType="application/vnd.openxmlformats-officedocument.drawing+xml"/>
  <Override PartName="/xl/ctrlProps/ctrlProp45.xml" ContentType="application/vnd.ms-excel.controlproperties+xml"/>
  <Override PartName="/xl/drawings/drawing3.xml" ContentType="application/vnd.openxmlformats-officedocument.drawing+xml"/>
  <Override PartName="/xl/ctrlProps/ctrlProp46.xml" ContentType="application/vnd.ms-excel.controlproperties+xml"/>
  <Override PartName="/xl/drawings/drawing4.xml" ContentType="application/vnd.openxmlformats-officedocument.drawing+xml"/>
  <Override PartName="/xl/ctrlProps/ctrlProp47.xml" ContentType="application/vnd.ms-excel.controlproperties+xml"/>
  <Override PartName="/xl/drawings/drawing5.xml" ContentType="application/vnd.openxmlformats-officedocument.drawing+xml"/>
  <Override PartName="/xl/ctrlProps/ctrlProp48.xml" ContentType="application/vnd.ms-excel.controlproperties+xml"/>
  <Override PartName="/xl/drawings/drawing6.xml" ContentType="application/vnd.openxmlformats-officedocument.drawing+xml"/>
  <Override PartName="/xl/ctrlProps/ctrlProp49.xml" ContentType="application/vnd.ms-excel.controlproperties+xml"/>
  <Override PartName="/xl/drawings/drawing7.xml" ContentType="application/vnd.openxmlformats-officedocument.drawing+xml"/>
  <Override PartName="/xl/ctrlProps/ctrlProp50.xml" ContentType="application/vnd.ms-excel.controlproperties+xml"/>
  <Override PartName="/xl/drawings/drawing8.xml" ContentType="application/vnd.openxmlformats-officedocument.drawing+xml"/>
  <Override PartName="/xl/ctrlProps/ctrlProp51.xml" ContentType="application/vnd.ms-excel.controlproperties+xml"/>
  <Override PartName="/xl/drawings/drawing9.xml" ContentType="application/vnd.openxmlformats-officedocument.drawing+xml"/>
  <Override PartName="/xl/ctrlProps/ctrlProp52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53.xml" ContentType="application/vnd.ms-excel.controlproperties+xml"/>
  <Override PartName="/xl/drawings/drawing12.xml" ContentType="application/vnd.openxmlformats-officedocument.drawing+xml"/>
  <Override PartName="/xl/ctrlProps/ctrlProp54.xml" ContentType="application/vnd.ms-excel.controlproperties+xml"/>
  <Override PartName="/xl/drawings/drawing13.xml" ContentType="application/vnd.openxmlformats-officedocument.drawing+xml"/>
  <Override PartName="/xl/ctrlProps/ctrlProp55.xml" ContentType="application/vnd.ms-excel.controlproperties+xml"/>
  <Override PartName="/xl/drawings/drawing14.xml" ContentType="application/vnd.openxmlformats-officedocument.drawing+xml"/>
  <Override PartName="/xl/ctrlProps/ctrlProp5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thdus\Desktop\미래내일일경험\07. 한글 문서\"/>
    </mc:Choice>
  </mc:AlternateContent>
  <xr:revisionPtr revIDLastSave="0" documentId="13_ncr:1_{AE6EA123-F400-4A98-9883-1DC84E059599}" xr6:coauthVersionLast="47" xr6:coauthVersionMax="47" xr10:uidLastSave="{00000000-0000-0000-0000-000000000000}"/>
  <bookViews>
    <workbookView minimized="1" xWindow="-18645" yWindow="10635" windowWidth="16080" windowHeight="7350" firstSheet="20" activeTab="21" xr2:uid="{1D52FBB4-2D5F-4B43-81AC-64D4AED74625}"/>
    <workbookView xWindow="-28920" yWindow="6225" windowWidth="29040" windowHeight="15720" firstSheet="2" activeTab="1" xr2:uid="{2C45AB80-14DA-4CAF-8C61-1D05AA4C012A}"/>
  </bookViews>
  <sheets>
    <sheet name="체크리스트" sheetId="33" r:id="rId1"/>
    <sheet name="목차" sheetId="38" r:id="rId2"/>
    <sheet name="기본양식" sheetId="6" r:id="rId3"/>
    <sheet name="참여자명단" sheetId="24" r:id="rId4"/>
    <sheet name="참여기업 정보" sheetId="35" r:id="rId5"/>
    <sheet name="102. 사전직무교육 운영 계획서" sheetId="44" r:id="rId6"/>
    <sheet name="12. 청년 일경험 프로그램 참여기업 신청서 " sheetId="18" r:id="rId7"/>
    <sheet name="42. 청년 일경험 지원사업 기업 참여 의향서" sheetId="21" r:id="rId8"/>
    <sheet name="46. 참여 청년용 확인서" sheetId="27" r:id="rId9"/>
    <sheet name="40. 개인정보 활용에 관한 동의서" sheetId="26" r:id="rId10"/>
    <sheet name="33. 인턴형 일경험 참여신청서" sheetId="25" r:id="rId11"/>
    <sheet name="103) (공통-직무교육기관) 사전직무교육 출석부" sheetId="39" r:id="rId12"/>
    <sheet name="104) (공통-직무교육기관) 사전직무교육 공가 관리대장" sheetId="40" r:id="rId13"/>
    <sheet name="125. (공통직무교육기관) 사전직무교육 실시보고" sheetId="20" r:id="rId14"/>
    <sheet name="129. (공통-직무교육기관) 사전직무교육 수료 보고서" sheetId="47" r:id="rId15"/>
    <sheet name="34. 인턴형 일경험 실시보고" sheetId="19" r:id="rId16"/>
    <sheet name="118. (인턴형-참여기업청년) 인턴형 프로그램 표준계약" sheetId="28" r:id="rId17"/>
    <sheet name="106) (공통-참여기업) 참여기업 중간점검 일지" sheetId="41" r:id="rId18"/>
    <sheet name="109) (인턴형-참여청년) 인턴형 일경험 종합 보고서" sheetId="43" r:id="rId19"/>
    <sheet name="134-2. 청년일경험 지원사업 인턴형 멘토 결과보고서" sheetId="46" r:id="rId20"/>
    <sheet name="13. 참여기업 지원금 지급 신청서" sheetId="29" r:id="rId21"/>
    <sheet name="35. ()월 인턴형 일경험 결과보고" sheetId="36" r:id="rId22"/>
    <sheet name="108. 일경험 운영 계획서" sheetId="17" r:id="rId23"/>
    <sheet name="36. 인턴형 일경험 실시 결과보고" sheetId="37" r:id="rId2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43" i="47" l="1"/>
  <c r="P44" i="47"/>
  <c r="P45" i="47"/>
  <c r="P46" i="47"/>
  <c r="P47" i="47"/>
  <c r="P48" i="47"/>
  <c r="P49" i="47"/>
  <c r="P50" i="47"/>
  <c r="P51" i="47"/>
  <c r="P52" i="47"/>
  <c r="P53" i="47"/>
  <c r="P54" i="47"/>
  <c r="P55" i="47"/>
  <c r="P56" i="47"/>
  <c r="P57" i="47"/>
  <c r="P58" i="47"/>
  <c r="P59" i="47"/>
  <c r="P60" i="47"/>
  <c r="P61" i="47"/>
  <c r="N43" i="47"/>
  <c r="N44" i="47"/>
  <c r="N45" i="47"/>
  <c r="N46" i="47"/>
  <c r="N47" i="47"/>
  <c r="N48" i="47"/>
  <c r="N49" i="47"/>
  <c r="N50" i="47"/>
  <c r="N51" i="47"/>
  <c r="N52" i="47"/>
  <c r="N53" i="47"/>
  <c r="N54" i="47"/>
  <c r="N55" i="47"/>
  <c r="N56" i="47"/>
  <c r="N57" i="47"/>
  <c r="N58" i="47"/>
  <c r="N59" i="47"/>
  <c r="N60" i="47"/>
  <c r="N61" i="47"/>
  <c r="M43" i="47"/>
  <c r="M44" i="47"/>
  <c r="M45" i="47"/>
  <c r="M46" i="47"/>
  <c r="M47" i="47"/>
  <c r="M48" i="47"/>
  <c r="M49" i="47"/>
  <c r="M50" i="47"/>
  <c r="M51" i="47"/>
  <c r="M52" i="47"/>
  <c r="M53" i="47"/>
  <c r="M54" i="47"/>
  <c r="M55" i="47"/>
  <c r="M56" i="47"/>
  <c r="M57" i="47"/>
  <c r="M58" i="47"/>
  <c r="M59" i="47"/>
  <c r="M60" i="47"/>
  <c r="M61" i="47"/>
  <c r="L43" i="47"/>
  <c r="L44" i="47"/>
  <c r="L45" i="47"/>
  <c r="L46" i="47"/>
  <c r="L47" i="47"/>
  <c r="L48" i="47"/>
  <c r="L49" i="47"/>
  <c r="L50" i="47"/>
  <c r="L51" i="47"/>
  <c r="L52" i="47"/>
  <c r="L53" i="47"/>
  <c r="L54" i="47"/>
  <c r="L55" i="47"/>
  <c r="L56" i="47"/>
  <c r="L57" i="47"/>
  <c r="L58" i="47"/>
  <c r="L59" i="47"/>
  <c r="L60" i="47"/>
  <c r="L61" i="47"/>
  <c r="J43" i="47"/>
  <c r="J44" i="47"/>
  <c r="J45" i="47"/>
  <c r="J46" i="47"/>
  <c r="J47" i="47"/>
  <c r="J48" i="47"/>
  <c r="J49" i="47"/>
  <c r="J50" i="47"/>
  <c r="J51" i="47"/>
  <c r="J52" i="47"/>
  <c r="J53" i="47"/>
  <c r="J54" i="47"/>
  <c r="J55" i="47"/>
  <c r="J56" i="47"/>
  <c r="J57" i="47"/>
  <c r="J58" i="47"/>
  <c r="J59" i="47"/>
  <c r="J60" i="47"/>
  <c r="J61" i="47"/>
  <c r="P42" i="47"/>
  <c r="Q39" i="47"/>
  <c r="N42" i="47"/>
  <c r="M42" i="47"/>
  <c r="L42" i="47"/>
  <c r="J42" i="47"/>
  <c r="O39" i="47"/>
  <c r="M39" i="47"/>
  <c r="K39" i="47"/>
  <c r="I39" i="47"/>
  <c r="L19" i="47"/>
  <c r="L18" i="47"/>
  <c r="L17" i="47"/>
  <c r="L16" i="47"/>
  <c r="J13" i="47"/>
  <c r="O11" i="47"/>
  <c r="J11" i="47"/>
  <c r="O10" i="47"/>
  <c r="L10" i="47"/>
  <c r="J9" i="47"/>
  <c r="O8" i="47"/>
  <c r="J8" i="47"/>
  <c r="P6" i="47"/>
  <c r="L6" i="47"/>
  <c r="J5" i="47"/>
  <c r="P4" i="47"/>
  <c r="J4" i="47"/>
  <c r="M35" i="20"/>
  <c r="M36" i="20"/>
  <c r="M37" i="20"/>
  <c r="M38" i="20"/>
  <c r="M39" i="20"/>
  <c r="M40" i="20"/>
  <c r="M41" i="20"/>
  <c r="M42" i="20"/>
  <c r="M43" i="20"/>
  <c r="M44" i="20"/>
  <c r="M45" i="20"/>
  <c r="M46" i="20"/>
  <c r="M47" i="20"/>
  <c r="M48" i="20"/>
  <c r="M49" i="20"/>
  <c r="M50" i="20"/>
  <c r="M51" i="20"/>
  <c r="M52" i="20"/>
  <c r="M53" i="20"/>
  <c r="M54" i="20"/>
  <c r="M55" i="20"/>
  <c r="M56" i="20"/>
  <c r="M57" i="20"/>
  <c r="M58" i="20"/>
  <c r="M59" i="20"/>
  <c r="M60" i="20"/>
  <c r="M61" i="20"/>
  <c r="M62" i="20"/>
  <c r="M63" i="20"/>
  <c r="L35" i="20"/>
  <c r="L36" i="20"/>
  <c r="L37" i="20"/>
  <c r="L38" i="20"/>
  <c r="L39" i="20"/>
  <c r="L40" i="20"/>
  <c r="L41" i="20"/>
  <c r="L42" i="20"/>
  <c r="L43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59" i="20"/>
  <c r="L60" i="20"/>
  <c r="L61" i="20"/>
  <c r="L62" i="20"/>
  <c r="L63" i="20"/>
  <c r="K35" i="20"/>
  <c r="K36" i="20"/>
  <c r="K37" i="20"/>
  <c r="K38" i="20"/>
  <c r="K39" i="20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K55" i="20"/>
  <c r="K56" i="20"/>
  <c r="K57" i="20"/>
  <c r="K58" i="20"/>
  <c r="K59" i="20"/>
  <c r="K60" i="20"/>
  <c r="K61" i="20"/>
  <c r="K62" i="20"/>
  <c r="K63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J51" i="20"/>
  <c r="J52" i="20"/>
  <c r="J53" i="20"/>
  <c r="J54" i="20"/>
  <c r="J55" i="20"/>
  <c r="J56" i="20"/>
  <c r="J57" i="20"/>
  <c r="J58" i="20"/>
  <c r="J59" i="20"/>
  <c r="J60" i="20"/>
  <c r="J61" i="20"/>
  <c r="J62" i="20"/>
  <c r="J63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M34" i="20"/>
  <c r="L34" i="20"/>
  <c r="K34" i="20"/>
  <c r="J34" i="20"/>
  <c r="I34" i="20"/>
  <c r="H26" i="20"/>
  <c r="K20" i="20"/>
  <c r="K19" i="20"/>
  <c r="K18" i="20"/>
  <c r="K17" i="20"/>
  <c r="P16" i="20"/>
  <c r="K16" i="20"/>
  <c r="P11" i="20"/>
  <c r="N11" i="20"/>
  <c r="L11" i="20"/>
  <c r="I11" i="20"/>
  <c r="I39" i="41" l="1"/>
  <c r="G39" i="41"/>
  <c r="I38" i="41"/>
  <c r="G38" i="41"/>
  <c r="I37" i="41"/>
  <c r="G37" i="41"/>
  <c r="G36" i="41"/>
  <c r="G34" i="41"/>
  <c r="G32" i="41"/>
  <c r="G30" i="41"/>
  <c r="G28" i="41"/>
  <c r="G27" i="41"/>
  <c r="G25" i="41"/>
  <c r="I19" i="41"/>
  <c r="G19" i="41"/>
  <c r="I18" i="41"/>
  <c r="G18" i="41"/>
  <c r="I17" i="41"/>
  <c r="G17" i="41"/>
  <c r="G16" i="41"/>
  <c r="G14" i="41"/>
  <c r="G12" i="41"/>
  <c r="G10" i="41"/>
  <c r="G8" i="41"/>
  <c r="G7" i="41"/>
  <c r="G5" i="41"/>
  <c r="E61" i="39"/>
  <c r="F59" i="39"/>
  <c r="F58" i="39"/>
  <c r="F57" i="39"/>
  <c r="F56" i="39"/>
  <c r="F55" i="39"/>
  <c r="F54" i="39"/>
  <c r="F53" i="39"/>
  <c r="F52" i="39"/>
  <c r="F51" i="39"/>
  <c r="F50" i="39"/>
  <c r="F49" i="39"/>
  <c r="F48" i="39"/>
  <c r="F47" i="39"/>
  <c r="F46" i="39"/>
  <c r="F45" i="39"/>
  <c r="O42" i="39"/>
  <c r="M42" i="39"/>
  <c r="K42" i="39"/>
  <c r="I42" i="39"/>
  <c r="G42" i="39"/>
  <c r="N41" i="39"/>
  <c r="F41" i="39"/>
  <c r="N40" i="39"/>
  <c r="F40" i="39"/>
  <c r="N39" i="39"/>
  <c r="F39" i="39"/>
  <c r="E26" i="39"/>
  <c r="F11" i="39"/>
  <c r="F12" i="39"/>
  <c r="F13" i="39"/>
  <c r="F14" i="39"/>
  <c r="F15" i="39"/>
  <c r="F16" i="39"/>
  <c r="F17" i="39"/>
  <c r="F18" i="39"/>
  <c r="F19" i="39"/>
  <c r="F20" i="39"/>
  <c r="F21" i="39"/>
  <c r="F22" i="39"/>
  <c r="F23" i="39"/>
  <c r="F24" i="39"/>
  <c r="F10" i="39"/>
  <c r="G7" i="39"/>
  <c r="O7" i="39"/>
  <c r="M7" i="39"/>
  <c r="K7" i="39"/>
  <c r="I7" i="39"/>
  <c r="N6" i="39"/>
  <c r="F6" i="39"/>
  <c r="N5" i="39"/>
  <c r="N4" i="39"/>
  <c r="F5" i="39"/>
  <c r="F4" i="39"/>
  <c r="K44" i="36"/>
  <c r="W78" i="36"/>
  <c r="K77" i="36"/>
  <c r="K75" i="36"/>
  <c r="AC73" i="36"/>
  <c r="Y73" i="36"/>
  <c r="V73" i="36"/>
  <c r="T73" i="36"/>
  <c r="R73" i="36"/>
  <c r="Q73" i="36"/>
  <c r="O73" i="36"/>
  <c r="L73" i="36"/>
  <c r="AC72" i="36"/>
  <c r="Y72" i="36"/>
  <c r="V72" i="36"/>
  <c r="T72" i="36"/>
  <c r="R72" i="36"/>
  <c r="Q72" i="36"/>
  <c r="O72" i="36"/>
  <c r="L72" i="36"/>
  <c r="AC71" i="36"/>
  <c r="Y71" i="36"/>
  <c r="V71" i="36"/>
  <c r="T71" i="36"/>
  <c r="R71" i="36"/>
  <c r="Q71" i="36"/>
  <c r="O71" i="36"/>
  <c r="L71" i="36"/>
  <c r="AC70" i="36"/>
  <c r="Y70" i="36"/>
  <c r="V70" i="36"/>
  <c r="T70" i="36"/>
  <c r="R70" i="36"/>
  <c r="Q70" i="36"/>
  <c r="O70" i="36"/>
  <c r="L70" i="36"/>
  <c r="AC69" i="36"/>
  <c r="Y69" i="36"/>
  <c r="V69" i="36"/>
  <c r="T69" i="36"/>
  <c r="R69" i="36"/>
  <c r="Q69" i="36"/>
  <c r="O69" i="36"/>
  <c r="L69" i="36"/>
  <c r="AC68" i="36"/>
  <c r="Y68" i="36"/>
  <c r="V68" i="36"/>
  <c r="T68" i="36"/>
  <c r="R68" i="36"/>
  <c r="Q68" i="36"/>
  <c r="O68" i="36"/>
  <c r="L68" i="36"/>
  <c r="AC67" i="36"/>
  <c r="Y67" i="36"/>
  <c r="V67" i="36"/>
  <c r="T67" i="36"/>
  <c r="R67" i="36"/>
  <c r="Q67" i="36"/>
  <c r="O67" i="36"/>
  <c r="L67" i="36"/>
  <c r="AC66" i="36"/>
  <c r="Y66" i="36"/>
  <c r="V66" i="36"/>
  <c r="T66" i="36"/>
  <c r="R66" i="36"/>
  <c r="Q66" i="36"/>
  <c r="O66" i="36"/>
  <c r="L66" i="36"/>
  <c r="AC65" i="36"/>
  <c r="Y65" i="36"/>
  <c r="V65" i="36"/>
  <c r="T65" i="36"/>
  <c r="R65" i="36"/>
  <c r="Q65" i="36"/>
  <c r="O65" i="36"/>
  <c r="L65" i="36"/>
  <c r="AC64" i="36"/>
  <c r="Y64" i="36"/>
  <c r="V64" i="36"/>
  <c r="T64" i="36"/>
  <c r="R64" i="36"/>
  <c r="Q64" i="36"/>
  <c r="O64" i="36"/>
  <c r="L64" i="36"/>
  <c r="Z60" i="36"/>
  <c r="P60" i="36"/>
  <c r="Z59" i="36"/>
  <c r="P59" i="36"/>
  <c r="P57" i="36"/>
  <c r="P56" i="36"/>
  <c r="AB55" i="36"/>
  <c r="T55" i="36"/>
  <c r="P55" i="36"/>
  <c r="P54" i="36"/>
  <c r="Y53" i="36"/>
  <c r="P53" i="36"/>
  <c r="Y49" i="36"/>
  <c r="P49" i="36"/>
  <c r="Y48" i="36"/>
  <c r="P48" i="36"/>
  <c r="Y47" i="36"/>
  <c r="P47" i="36"/>
  <c r="P46" i="36"/>
  <c r="Y45" i="36"/>
  <c r="P45" i="36"/>
  <c r="K33" i="36"/>
  <c r="T13" i="36"/>
  <c r="K2" i="36"/>
  <c r="J10" i="40"/>
  <c r="J11" i="40"/>
  <c r="J12" i="40"/>
  <c r="J13" i="40"/>
  <c r="J14" i="40"/>
  <c r="J15" i="40"/>
  <c r="J16" i="40"/>
  <c r="J17" i="40"/>
  <c r="J18" i="40"/>
  <c r="I10" i="40"/>
  <c r="I11" i="40"/>
  <c r="I12" i="40"/>
  <c r="I13" i="40"/>
  <c r="I14" i="40"/>
  <c r="I15" i="40"/>
  <c r="I16" i="40"/>
  <c r="I17" i="40"/>
  <c r="I18" i="40"/>
  <c r="G10" i="40"/>
  <c r="G11" i="40"/>
  <c r="G12" i="40"/>
  <c r="G13" i="40"/>
  <c r="G14" i="40"/>
  <c r="G15" i="40"/>
  <c r="G16" i="40"/>
  <c r="G17" i="40"/>
  <c r="G18" i="40"/>
  <c r="J9" i="40"/>
  <c r="I9" i="40"/>
  <c r="G9" i="40"/>
  <c r="K5" i="40"/>
  <c r="G5" i="40"/>
  <c r="K4" i="40"/>
  <c r="G4" i="40"/>
  <c r="W36" i="36" l="1"/>
  <c r="AC23" i="36"/>
  <c r="AC24" i="36"/>
  <c r="AC25" i="36"/>
  <c r="AC26" i="36"/>
  <c r="AC27" i="36"/>
  <c r="AC28" i="36"/>
  <c r="AC29" i="36"/>
  <c r="AC30" i="36"/>
  <c r="AC31" i="36"/>
  <c r="Y23" i="36"/>
  <c r="Y24" i="36"/>
  <c r="Y25" i="36"/>
  <c r="Y26" i="36"/>
  <c r="Y27" i="36"/>
  <c r="Y28" i="36"/>
  <c r="Y29" i="36"/>
  <c r="Y30" i="36"/>
  <c r="Y31" i="36"/>
  <c r="V23" i="36"/>
  <c r="V24" i="36"/>
  <c r="V25" i="36"/>
  <c r="V26" i="36"/>
  <c r="V27" i="36"/>
  <c r="V28" i="36"/>
  <c r="V29" i="36"/>
  <c r="V30" i="36"/>
  <c r="V31" i="36"/>
  <c r="T23" i="36"/>
  <c r="T24" i="36"/>
  <c r="T25" i="36"/>
  <c r="T26" i="36"/>
  <c r="T27" i="36"/>
  <c r="T28" i="36"/>
  <c r="T29" i="36"/>
  <c r="T30" i="36"/>
  <c r="T31" i="36"/>
  <c r="R23" i="36"/>
  <c r="R24" i="36"/>
  <c r="R25" i="36"/>
  <c r="R26" i="36"/>
  <c r="R27" i="36"/>
  <c r="R28" i="36"/>
  <c r="R29" i="36"/>
  <c r="R30" i="36"/>
  <c r="R31" i="36"/>
  <c r="Q23" i="36"/>
  <c r="Q24" i="36"/>
  <c r="Q25" i="36"/>
  <c r="Q26" i="36"/>
  <c r="Q27" i="36"/>
  <c r="Q28" i="36"/>
  <c r="Q29" i="36"/>
  <c r="Q30" i="36"/>
  <c r="Q31" i="36"/>
  <c r="O23" i="36"/>
  <c r="O24" i="36"/>
  <c r="O25" i="36"/>
  <c r="O26" i="36"/>
  <c r="O27" i="36"/>
  <c r="O28" i="36"/>
  <c r="O29" i="36"/>
  <c r="O30" i="36"/>
  <c r="O31" i="36"/>
  <c r="L23" i="36"/>
  <c r="L24" i="36"/>
  <c r="L25" i="36"/>
  <c r="L26" i="36"/>
  <c r="L27" i="36"/>
  <c r="L28" i="36"/>
  <c r="L29" i="36"/>
  <c r="L30" i="36"/>
  <c r="L31" i="36"/>
  <c r="AC22" i="36"/>
  <c r="Y22" i="36"/>
  <c r="V22" i="36"/>
  <c r="T22" i="36"/>
  <c r="R22" i="36"/>
  <c r="Q22" i="36"/>
  <c r="O22" i="36"/>
  <c r="L22" i="36"/>
  <c r="Z18" i="36"/>
  <c r="Z17" i="36"/>
  <c r="P18" i="36"/>
  <c r="P17" i="36"/>
  <c r="AB13" i="36"/>
  <c r="P15" i="36"/>
  <c r="P14" i="36"/>
  <c r="P13" i="36"/>
  <c r="P12" i="36"/>
  <c r="Y11" i="36"/>
  <c r="P11" i="36"/>
  <c r="K35" i="36"/>
  <c r="Y7" i="36"/>
  <c r="P7" i="36"/>
  <c r="Y6" i="36"/>
  <c r="P6" i="36"/>
  <c r="Y5" i="36"/>
  <c r="P5" i="36"/>
  <c r="P4" i="36"/>
  <c r="Y3" i="36"/>
  <c r="P3" i="36"/>
  <c r="F54" i="35" l="1"/>
  <c r="F55" i="35"/>
  <c r="R62" i="19" l="1"/>
  <c r="L62" i="19"/>
  <c r="K62" i="19"/>
  <c r="J62" i="19"/>
  <c r="R61" i="19"/>
  <c r="L61" i="19"/>
  <c r="K61" i="19"/>
  <c r="J61" i="19"/>
  <c r="R60" i="19"/>
  <c r="L60" i="19"/>
  <c r="K60" i="19"/>
  <c r="J60" i="19"/>
  <c r="R59" i="19"/>
  <c r="L59" i="19"/>
  <c r="K59" i="19"/>
  <c r="J59" i="19"/>
  <c r="R58" i="19"/>
  <c r="L58" i="19"/>
  <c r="K58" i="19"/>
  <c r="J58" i="19"/>
  <c r="R57" i="19"/>
  <c r="L57" i="19"/>
  <c r="K57" i="19"/>
  <c r="J57" i="19"/>
  <c r="R56" i="19"/>
  <c r="L56" i="19"/>
  <c r="K56" i="19"/>
  <c r="J56" i="19"/>
  <c r="R55" i="19"/>
  <c r="L55" i="19"/>
  <c r="K55" i="19"/>
  <c r="J55" i="19"/>
  <c r="R54" i="19"/>
  <c r="L54" i="19"/>
  <c r="K54" i="19"/>
  <c r="J54" i="19"/>
  <c r="R53" i="19"/>
  <c r="L53" i="19"/>
  <c r="K53" i="19"/>
  <c r="J53" i="19"/>
  <c r="K49" i="19"/>
  <c r="K48" i="19"/>
  <c r="K47" i="19"/>
  <c r="K46" i="19"/>
  <c r="Q45" i="19"/>
  <c r="K45" i="19"/>
  <c r="Q41" i="19"/>
  <c r="Q40" i="19"/>
  <c r="R20" i="19"/>
  <c r="R21" i="19"/>
  <c r="R22" i="19"/>
  <c r="R23" i="19"/>
  <c r="R24" i="19"/>
  <c r="R25" i="19"/>
  <c r="R26" i="19"/>
  <c r="R27" i="19"/>
  <c r="R28" i="19"/>
  <c r="R19" i="19"/>
  <c r="L20" i="19"/>
  <c r="L21" i="19"/>
  <c r="L22" i="19"/>
  <c r="L23" i="19"/>
  <c r="L24" i="19"/>
  <c r="L25" i="19"/>
  <c r="L26" i="19"/>
  <c r="L27" i="19"/>
  <c r="L28" i="19"/>
  <c r="L19" i="19"/>
  <c r="K20" i="19"/>
  <c r="K21" i="19"/>
  <c r="K22" i="19"/>
  <c r="K23" i="19"/>
  <c r="K24" i="19"/>
  <c r="K25" i="19"/>
  <c r="K26" i="19"/>
  <c r="K27" i="19"/>
  <c r="K28" i="19"/>
  <c r="K19" i="19"/>
  <c r="J20" i="19"/>
  <c r="J21" i="19"/>
  <c r="J22" i="19"/>
  <c r="J23" i="19"/>
  <c r="J24" i="19"/>
  <c r="J25" i="19"/>
  <c r="J26" i="19"/>
  <c r="J27" i="19"/>
  <c r="J28" i="19"/>
  <c r="J19" i="19"/>
  <c r="K15" i="19"/>
  <c r="K14" i="19"/>
  <c r="K13" i="19"/>
  <c r="K12" i="19"/>
  <c r="Q11" i="19"/>
  <c r="K11" i="19"/>
  <c r="E11" i="19"/>
  <c r="K7" i="19" s="1"/>
  <c r="Q6" i="19"/>
  <c r="F59" i="19"/>
  <c r="F60" i="19"/>
  <c r="F61" i="19"/>
  <c r="F62" i="19"/>
  <c r="F58" i="19"/>
  <c r="D59" i="19"/>
  <c r="D60" i="19"/>
  <c r="D61" i="19"/>
  <c r="D62" i="19"/>
  <c r="D58" i="19"/>
  <c r="C59" i="19"/>
  <c r="C60" i="19"/>
  <c r="C61" i="19"/>
  <c r="C62" i="19"/>
  <c r="C58" i="19"/>
  <c r="B59" i="19"/>
  <c r="B60" i="19"/>
  <c r="B61" i="19"/>
  <c r="B62" i="19"/>
  <c r="B58" i="19"/>
  <c r="E46" i="19"/>
  <c r="E45" i="19"/>
  <c r="K41" i="19" s="1"/>
  <c r="E44" i="19"/>
  <c r="K40" i="19" s="1"/>
  <c r="E43" i="19"/>
  <c r="E42" i="19"/>
  <c r="Q39" i="19" s="1"/>
  <c r="E41" i="19"/>
  <c r="K39" i="19" s="1"/>
  <c r="E40" i="19"/>
  <c r="K38" i="19" s="1"/>
  <c r="E39" i="19"/>
  <c r="P66" i="19" s="1"/>
  <c r="E38" i="19"/>
  <c r="K37" i="19" s="1"/>
  <c r="F25" i="19"/>
  <c r="F26" i="19"/>
  <c r="F27" i="19"/>
  <c r="F28" i="19"/>
  <c r="F29" i="19"/>
  <c r="F30" i="19"/>
  <c r="F31" i="19"/>
  <c r="F32" i="19"/>
  <c r="F33" i="19"/>
  <c r="F24" i="19"/>
  <c r="D25" i="19"/>
  <c r="D26" i="19"/>
  <c r="D27" i="19"/>
  <c r="D28" i="19"/>
  <c r="D29" i="19"/>
  <c r="D30" i="19"/>
  <c r="D31" i="19"/>
  <c r="D32" i="19"/>
  <c r="D33" i="19"/>
  <c r="D24" i="19"/>
  <c r="C25" i="19"/>
  <c r="C26" i="19"/>
  <c r="C27" i="19"/>
  <c r="C28" i="19"/>
  <c r="C29" i="19"/>
  <c r="C30" i="19"/>
  <c r="C31" i="19"/>
  <c r="C32" i="19"/>
  <c r="C33" i="19"/>
  <c r="C24" i="19"/>
  <c r="B25" i="19"/>
  <c r="B26" i="19"/>
  <c r="B27" i="19"/>
  <c r="B28" i="19"/>
  <c r="B29" i="19"/>
  <c r="B30" i="19"/>
  <c r="B31" i="19"/>
  <c r="B32" i="19"/>
  <c r="B33" i="19"/>
  <c r="B24" i="19"/>
  <c r="E12" i="19"/>
  <c r="Q7" i="19" s="1"/>
  <c r="E10" i="19"/>
  <c r="K6" i="19" s="1"/>
  <c r="E9" i="19"/>
  <c r="E8" i="19"/>
  <c r="Q5" i="19" s="1"/>
  <c r="E7" i="19"/>
  <c r="K5" i="19" s="1"/>
  <c r="E6" i="19"/>
  <c r="K4" i="19" s="1"/>
  <c r="E5" i="19"/>
  <c r="P32" i="19" s="1"/>
  <c r="E4" i="19"/>
  <c r="K3" i="19" s="1"/>
  <c r="AE24" i="29"/>
  <c r="AE23" i="29"/>
  <c r="AE22" i="29"/>
  <c r="AE21" i="29"/>
  <c r="AE20" i="29"/>
  <c r="AE19" i="29"/>
  <c r="AE18" i="29"/>
  <c r="AE17" i="29"/>
  <c r="AE16" i="29"/>
  <c r="AE15" i="29"/>
  <c r="D55" i="29"/>
  <c r="H62" i="29"/>
  <c r="H63" i="29"/>
  <c r="H64" i="29"/>
  <c r="H65" i="29"/>
  <c r="H66" i="29"/>
  <c r="H61" i="29"/>
  <c r="H60" i="29"/>
  <c r="H59" i="29"/>
  <c r="H58" i="29"/>
  <c r="H57" i="29"/>
  <c r="D58" i="29"/>
  <c r="AC27" i="29" s="1"/>
  <c r="D57" i="29"/>
  <c r="S69" i="29" s="1"/>
  <c r="D56" i="29"/>
  <c r="M27" i="29" s="1"/>
  <c r="D16" i="29"/>
  <c r="D15" i="29"/>
  <c r="S27" i="29" s="1"/>
  <c r="D14" i="29"/>
  <c r="D64" i="29"/>
  <c r="Q58" i="29" s="1"/>
  <c r="D65" i="29"/>
  <c r="Q59" i="29" s="1"/>
  <c r="D66" i="29"/>
  <c r="Q60" i="29" s="1"/>
  <c r="D67" i="29"/>
  <c r="Q61" i="29" s="1"/>
  <c r="D68" i="29"/>
  <c r="Q62" i="29" s="1"/>
  <c r="D69" i="29"/>
  <c r="Q63" i="29" s="1"/>
  <c r="D70" i="29"/>
  <c r="Q64" i="29" s="1"/>
  <c r="D71" i="29"/>
  <c r="Q65" i="29" s="1"/>
  <c r="D72" i="29"/>
  <c r="Q66" i="29" s="1"/>
  <c r="D63" i="29"/>
  <c r="Q57" i="29" s="1"/>
  <c r="C65" i="29"/>
  <c r="M59" i="29" s="1"/>
  <c r="B64" i="29"/>
  <c r="B65" i="29"/>
  <c r="B66" i="29"/>
  <c r="B67" i="29"/>
  <c r="B68" i="29"/>
  <c r="B69" i="29"/>
  <c r="B70" i="29"/>
  <c r="B71" i="29"/>
  <c r="B72" i="29"/>
  <c r="B63" i="29"/>
  <c r="D4" i="29"/>
  <c r="M5" i="29" s="1"/>
  <c r="D5" i="29"/>
  <c r="AB5" i="29" s="1"/>
  <c r="D6" i="29"/>
  <c r="M6" i="29" s="1"/>
  <c r="D7" i="29"/>
  <c r="AB6" i="29" s="1"/>
  <c r="D8" i="29"/>
  <c r="M8" i="29" s="1"/>
  <c r="D9" i="29"/>
  <c r="O9" i="29" s="1"/>
  <c r="D10" i="29"/>
  <c r="AC9" i="29" s="1"/>
  <c r="D11" i="29"/>
  <c r="O10" i="29" s="1"/>
  <c r="D12" i="29"/>
  <c r="AC10" i="29" s="1"/>
  <c r="D13" i="29"/>
  <c r="B21" i="29"/>
  <c r="H15" i="29" s="1"/>
  <c r="D21" i="29"/>
  <c r="Q15" i="29" s="1"/>
  <c r="B22" i="29"/>
  <c r="H16" i="29" s="1"/>
  <c r="D22" i="29"/>
  <c r="Q16" i="29" s="1"/>
  <c r="B23" i="29"/>
  <c r="H17" i="29" s="1"/>
  <c r="C23" i="29"/>
  <c r="M17" i="29" s="1"/>
  <c r="D23" i="29"/>
  <c r="Q17" i="29" s="1"/>
  <c r="B24" i="29"/>
  <c r="H18" i="29" s="1"/>
  <c r="D24" i="29"/>
  <c r="Q18" i="29" s="1"/>
  <c r="B25" i="29"/>
  <c r="H19" i="29" s="1"/>
  <c r="D25" i="29"/>
  <c r="Q19" i="29" s="1"/>
  <c r="B26" i="29"/>
  <c r="H20" i="29" s="1"/>
  <c r="D26" i="29"/>
  <c r="Q20" i="29" s="1"/>
  <c r="B27" i="29"/>
  <c r="H21" i="29" s="1"/>
  <c r="D27" i="29"/>
  <c r="Q21" i="29" s="1"/>
  <c r="B28" i="29"/>
  <c r="H22" i="29" s="1"/>
  <c r="D28" i="29"/>
  <c r="Q22" i="29" s="1"/>
  <c r="B29" i="29"/>
  <c r="H23" i="29" s="1"/>
  <c r="D29" i="29"/>
  <c r="Q23" i="29" s="1"/>
  <c r="B30" i="29"/>
  <c r="H24" i="29" s="1"/>
  <c r="D30" i="29"/>
  <c r="Q24" i="29" s="1"/>
  <c r="D54" i="29"/>
  <c r="AC52" i="29" s="1"/>
  <c r="D53" i="29"/>
  <c r="O52" i="29" s="1"/>
  <c r="D52" i="29"/>
  <c r="AC51" i="29" s="1"/>
  <c r="D51" i="29"/>
  <c r="O51" i="29" s="1"/>
  <c r="D50" i="29"/>
  <c r="M50" i="29" s="1"/>
  <c r="D49" i="29"/>
  <c r="AB48" i="29" s="1"/>
  <c r="D48" i="29"/>
  <c r="Z73" i="29" s="1"/>
  <c r="D47" i="29"/>
  <c r="AB47" i="29" s="1"/>
  <c r="D46" i="29"/>
  <c r="M47" i="29" s="1"/>
  <c r="BV2" i="33"/>
  <c r="BX2" i="33"/>
  <c r="BY3" i="33"/>
  <c r="C29" i="29"/>
  <c r="M23" i="29" s="1"/>
  <c r="C69" i="29"/>
  <c r="M63" i="29" s="1"/>
  <c r="AN10" i="33"/>
  <c r="Y14" i="33" s="1"/>
  <c r="AN9" i="33"/>
  <c r="Y13" i="33" s="1"/>
  <c r="AN8" i="33"/>
  <c r="Y12" i="33" s="1"/>
  <c r="AN7" i="33"/>
  <c r="Y11" i="33" s="1"/>
  <c r="BV6" i="33"/>
  <c r="Y28" i="33" s="1"/>
  <c r="BG6" i="33"/>
  <c r="Y21" i="33" s="1"/>
  <c r="AN6" i="33"/>
  <c r="Y9" i="33" s="1"/>
  <c r="BV5" i="33"/>
  <c r="Y27" i="33" s="1"/>
  <c r="BG5" i="33"/>
  <c r="Y20" i="33" s="1"/>
  <c r="AN5" i="33"/>
  <c r="Y8" i="33" s="1"/>
  <c r="BV4" i="33"/>
  <c r="Y26" i="33" s="1"/>
  <c r="BG4" i="33"/>
  <c r="Y19" i="33" s="1"/>
  <c r="AN4" i="33"/>
  <c r="Y7" i="33" s="1"/>
  <c r="Y4" i="33"/>
  <c r="BG3" i="33"/>
  <c r="Y18" i="33" s="1"/>
  <c r="AN3" i="33"/>
  <c r="Y6" i="33" s="1"/>
  <c r="BG2" i="33"/>
  <c r="Y17" i="33" s="1"/>
  <c r="AN2" i="33"/>
  <c r="Y5" i="33" s="1"/>
  <c r="Y16" i="33"/>
  <c r="C21" i="18"/>
  <c r="Q3" i="19" l="1"/>
  <c r="Q37" i="19"/>
  <c r="AC69" i="29"/>
  <c r="C64" i="29"/>
  <c r="M58" i="29" s="1"/>
  <c r="C21" i="29"/>
  <c r="M15" i="29" s="1"/>
  <c r="C22" i="29"/>
  <c r="M16" i="29" s="1"/>
  <c r="C28" i="29"/>
  <c r="M22" i="29" s="1"/>
  <c r="C27" i="29"/>
  <c r="M21" i="29" s="1"/>
  <c r="C63" i="29"/>
  <c r="M57" i="29" s="1"/>
  <c r="C71" i="29"/>
  <c r="M65" i="29" s="1"/>
  <c r="C68" i="29"/>
  <c r="M62" i="29" s="1"/>
  <c r="C67" i="29"/>
  <c r="M61" i="29" s="1"/>
  <c r="C66" i="29"/>
  <c r="M60" i="29" s="1"/>
  <c r="M69" i="29"/>
  <c r="M48" i="29"/>
  <c r="C26" i="29"/>
  <c r="M20" i="29" s="1"/>
  <c r="C25" i="29"/>
  <c r="M19" i="29" s="1"/>
  <c r="C30" i="29"/>
  <c r="M24" i="29" s="1"/>
  <c r="C72" i="29"/>
  <c r="M66" i="29" s="1"/>
  <c r="C24" i="29"/>
  <c r="M18" i="29" s="1"/>
  <c r="C70" i="29"/>
  <c r="M64" i="29" s="1"/>
  <c r="Z31" i="29"/>
  <c r="BX3" i="33"/>
  <c r="CA3" i="33" s="1"/>
  <c r="Y23" i="33"/>
  <c r="BZ3" i="33" l="1"/>
  <c r="V14" i="24" l="1"/>
  <c r="W3" i="24"/>
  <c r="W4" i="24"/>
  <c r="W5" i="24"/>
  <c r="W6" i="24"/>
  <c r="W7" i="24"/>
  <c r="W8" i="24"/>
  <c r="W9" i="24"/>
  <c r="W10" i="24"/>
  <c r="W11" i="24"/>
  <c r="W12" i="24"/>
  <c r="W13" i="24"/>
  <c r="W14" i="24"/>
  <c r="W15" i="24"/>
  <c r="W16" i="24"/>
  <c r="W17" i="24"/>
  <c r="V4" i="24"/>
  <c r="V5" i="24"/>
  <c r="V6" i="24"/>
  <c r="V7" i="24"/>
  <c r="V8" i="24"/>
  <c r="V9" i="24"/>
  <c r="V10" i="24"/>
  <c r="V11" i="24"/>
  <c r="V12" i="24"/>
  <c r="V13" i="24"/>
  <c r="V15" i="24"/>
  <c r="V16" i="24"/>
  <c r="V17" i="24"/>
  <c r="V3" i="24"/>
  <c r="U4" i="24"/>
  <c r="U5" i="24"/>
  <c r="U6" i="24"/>
  <c r="U7" i="24"/>
  <c r="U8" i="24"/>
  <c r="U9" i="24"/>
  <c r="U10" i="24"/>
  <c r="U11" i="24"/>
  <c r="U12" i="24"/>
  <c r="U13" i="24"/>
  <c r="U14" i="24"/>
  <c r="U15" i="24"/>
  <c r="U16" i="24"/>
  <c r="U17" i="24"/>
  <c r="U3" i="24"/>
  <c r="T4" i="24"/>
  <c r="T5" i="24"/>
  <c r="T6" i="24"/>
  <c r="T7" i="24"/>
  <c r="T8" i="24"/>
  <c r="T9" i="24"/>
  <c r="T10" i="24"/>
  <c r="T11" i="24"/>
  <c r="T12" i="24"/>
  <c r="T13" i="24"/>
  <c r="T14" i="24"/>
  <c r="T15" i="24"/>
  <c r="T16" i="24"/>
  <c r="T17" i="24"/>
  <c r="T3" i="24"/>
  <c r="S5" i="24"/>
  <c r="S4" i="24"/>
  <c r="S6" i="24"/>
  <c r="S7" i="24"/>
  <c r="S8" i="24"/>
  <c r="S9" i="24"/>
  <c r="S10" i="24"/>
  <c r="S11" i="24"/>
  <c r="S12" i="24"/>
  <c r="S13" i="24"/>
  <c r="S14" i="24"/>
  <c r="S15" i="24"/>
  <c r="S16" i="24"/>
  <c r="S17" i="24"/>
  <c r="S3" i="24"/>
  <c r="R3" i="24"/>
  <c r="R6" i="24"/>
  <c r="R7" i="24"/>
  <c r="R9" i="24"/>
  <c r="R10" i="24"/>
  <c r="R13" i="24"/>
  <c r="R14" i="24"/>
  <c r="R15" i="24"/>
  <c r="R16" i="24"/>
  <c r="R4" i="24"/>
  <c r="R5" i="24"/>
  <c r="R8" i="24"/>
  <c r="R11" i="24"/>
  <c r="R12" i="24"/>
  <c r="R17" i="24"/>
  <c r="CA2" i="33" l="1"/>
  <c r="BZ2" i="33"/>
  <c r="BY5" i="33" s="1"/>
  <c r="BY2" i="33"/>
  <c r="BZ5" i="33" l="1"/>
  <c r="BY6" i="33" s="1"/>
  <c r="BZ6" i="33" l="1"/>
  <c r="BV3" i="33" s="1"/>
  <c r="Y25" i="33" s="1"/>
  <c r="Y24" i="3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BB9513D-024D-464C-9AEA-750EB45EAB99}" keepAlive="1" name="쿼리 - pub?gid=1543415697&amp;single=true&amp;output=csv" description="통합 문서의 'pub?gid=1543415697&amp;single=true&amp;output=csv' 쿼리에 대한 연결입니다." type="5" refreshedVersion="8" background="1" saveData="1">
    <dbPr connection="Provider=Microsoft.Mashup.OleDb.1;Data Source=$Workbook$;Location=&quot;pub?gid=1543415697&amp;single=true&amp;output=csv&quot;;Extended Properties=&quot;&quot;" command="SELECT * FROM [pub?gid=1543415697&amp;single=true&amp;output=csv]"/>
  </connection>
  <connection id="2" xr16:uid="{E07A9981-FBBA-4C0C-BA38-E9C105669FD1}" keepAlive="1" name="쿼리 - 테이블 2" description="통합 문서의 '테이블 2' 쿼리에 대한 연결입니다." type="5" refreshedVersion="8" background="1" saveData="1">
    <dbPr connection="Provider=Microsoft.Mashup.OleDb.1;Data Source=$Workbook$;Location=&quot;테이블 2&quot;;Extended Properties=&quot;&quot;" command="SELECT * FROM [테이블 2]"/>
  </connection>
  <connection id="3" xr16:uid="{4A99FB59-54EE-48BC-B323-C30DD7EC9230}" keepAlive="1" name="쿼리 - 테이블 2 (2)" description="통합 문서의 '테이블 2 (2)' 쿼리에 대한 연결입니다." type="5" refreshedVersion="8" background="1" saveData="1">
    <dbPr connection="Provider=Microsoft.Mashup.OleDb.1;Data Source=$Workbook$;Location=&quot;테이블 2 (2)&quot;;Extended Properties=&quot;&quot;" command="SELECT * FROM [테이블 2 (2)]"/>
  </connection>
</connections>
</file>

<file path=xl/sharedStrings.xml><?xml version="1.0" encoding="utf-8"?>
<sst xmlns="http://schemas.openxmlformats.org/spreadsheetml/2006/main" count="2450" uniqueCount="1447">
  <si>
    <t>참여기업 및 일경험정보</t>
  </si>
  <si>
    <t>사업장명</t>
  </si>
  <si>
    <t>대표자명</t>
  </si>
  <si>
    <t>홍길동</t>
  </si>
  <si>
    <t>사업자등록번호
(법인번호)</t>
  </si>
  <si>
    <t>111-11-11111</t>
  </si>
  <si>
    <t>고용보험 사업장 
관리번호</t>
  </si>
  <si>
    <t>222-22-22222-2</t>
  </si>
  <si>
    <t>연락처</t>
  </si>
  <si>
    <t>051)111-1111</t>
  </si>
  <si>
    <t>소재지</t>
  </si>
  <si>
    <t>부산</t>
  </si>
  <si>
    <t xml:space="preserve">기업구분 </t>
  </si>
  <si>
    <t>중소기업</t>
  </si>
  <si>
    <t>중소기업일때만체크</t>
  </si>
  <si>
    <t>회사 소개 및 
주요사업</t>
  </si>
  <si>
    <t>디자인</t>
  </si>
  <si>
    <t>담당부서</t>
  </si>
  <si>
    <t>경영지원</t>
  </si>
  <si>
    <t>담당자명</t>
  </si>
  <si>
    <t>이메일</t>
  </si>
  <si>
    <t>abc@hanmail.com</t>
  </si>
  <si>
    <t>없음</t>
  </si>
  <si>
    <t>자격내용1</t>
  </si>
  <si>
    <t>프로</t>
  </si>
  <si>
    <t>마케팅팀</t>
  </si>
  <si>
    <t>010-0000-0000</t>
  </si>
  <si>
    <t>work@kseta.or.kr</t>
  </si>
  <si>
    <t>연구 1팀</t>
  </si>
  <si>
    <t>IT</t>
  </si>
  <si>
    <t>개발팀</t>
  </si>
  <si>
    <t>소프트웨어 개발 업무에 대한 전반적인 기초 능력 배양 및 현업에 대한 경험</t>
  </si>
  <si>
    <t>모바일 앱 개발 기초와 필수 도구 소개</t>
  </si>
  <si>
    <t>앱 화면 설계 및 사용자 경험(UX) 기초</t>
  </si>
  <si>
    <t>앱 레이아웃 구성 – XML 및 기본 위젯 활용</t>
  </si>
  <si>
    <t>사용자 인터랙션 추가 – 이벤트 및 터치 기능</t>
  </si>
  <si>
    <t>데이터 저장 및 관리 – SQLite와 로컬 데이터</t>
  </si>
  <si>
    <t>네트워크 통신 – API 활용 및 데이터 연동</t>
  </si>
  <si>
    <t>앱 성능 최적화와 디버깅</t>
  </si>
  <si>
    <t>앱 배포 및 유지 관리 전략</t>
  </si>
  <si>
    <t>프로그램 내용</t>
  </si>
  <si>
    <t xml:space="preserve">         로우
인덱스</t>
    <phoneticPr fontId="12" type="noConversion"/>
  </si>
  <si>
    <r>
      <rPr>
        <sz val="13"/>
        <color theme="1"/>
        <rFont val="Arial"/>
        <family val="2"/>
        <charset val="129"/>
        <scheme val="minor"/>
      </rPr>
      <t>기업명</t>
    </r>
    <phoneticPr fontId="11" type="noConversion"/>
  </si>
  <si>
    <r>
      <rPr>
        <sz val="13"/>
        <color theme="1"/>
        <rFont val="Arial"/>
        <family val="2"/>
        <charset val="129"/>
        <scheme val="minor"/>
      </rPr>
      <t>사업자등록번호</t>
    </r>
    <phoneticPr fontId="11" type="noConversion"/>
  </si>
  <si>
    <r>
      <rPr>
        <sz val="13"/>
        <color theme="1"/>
        <rFont val="Arial"/>
        <family val="2"/>
        <charset val="129"/>
        <scheme val="minor"/>
      </rPr>
      <t>대표자명</t>
    </r>
    <phoneticPr fontId="11" type="noConversion"/>
  </si>
  <si>
    <r>
      <rPr>
        <sz val="13"/>
        <color theme="1"/>
        <rFont val="Arial"/>
        <family val="2"/>
        <charset val="129"/>
        <scheme val="minor"/>
      </rPr>
      <t>종업원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수</t>
    </r>
    <phoneticPr fontId="11" type="noConversion"/>
  </si>
  <si>
    <r>
      <rPr>
        <sz val="13"/>
        <color theme="1"/>
        <rFont val="Arial"/>
        <family val="2"/>
        <charset val="129"/>
        <scheme val="minor"/>
      </rPr>
      <t>사업장주소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Arial"/>
        <family val="2"/>
        <charset val="129"/>
        <scheme val="minor"/>
      </rPr>
      <t>본사</t>
    </r>
    <r>
      <rPr>
        <sz val="13"/>
        <color theme="1"/>
        <rFont val="Arial"/>
        <family val="2"/>
        <scheme val="minor"/>
      </rPr>
      <t>)</t>
    </r>
    <phoneticPr fontId="11" type="noConversion"/>
  </si>
  <si>
    <r>
      <rPr>
        <sz val="13"/>
        <color theme="1"/>
        <rFont val="Arial"/>
        <family val="2"/>
        <charset val="129"/>
        <scheme val="minor"/>
      </rPr>
      <t>사업장주소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Arial"/>
        <family val="2"/>
        <charset val="129"/>
        <scheme val="minor"/>
      </rPr>
      <t>일경험</t>
    </r>
    <r>
      <rPr>
        <sz val="13"/>
        <color theme="1"/>
        <rFont val="Arial"/>
        <family val="2"/>
        <scheme val="minor"/>
      </rPr>
      <t>)</t>
    </r>
    <phoneticPr fontId="11" type="noConversion"/>
  </si>
  <si>
    <r>
      <rPr>
        <sz val="13"/>
        <color theme="1"/>
        <rFont val="Arial"/>
        <family val="2"/>
        <charset val="129"/>
        <scheme val="minor"/>
      </rPr>
      <t>홈페이지</t>
    </r>
    <phoneticPr fontId="11" type="noConversion"/>
  </si>
  <si>
    <r>
      <rPr>
        <sz val="13"/>
        <color theme="1"/>
        <rFont val="Arial"/>
        <family val="2"/>
        <charset val="129"/>
        <scheme val="minor"/>
      </rPr>
      <t>기업소개</t>
    </r>
    <phoneticPr fontId="11" type="noConversion"/>
  </si>
  <si>
    <r>
      <rPr>
        <sz val="13"/>
        <color theme="1"/>
        <rFont val="Arial"/>
        <family val="2"/>
        <charset val="129"/>
        <scheme val="minor"/>
      </rPr>
      <t>담당자부서명</t>
    </r>
    <phoneticPr fontId="11" type="noConversion"/>
  </si>
  <si>
    <r>
      <rPr>
        <sz val="13"/>
        <color theme="1"/>
        <rFont val="Arial"/>
        <family val="2"/>
        <charset val="129"/>
        <scheme val="minor"/>
      </rPr>
      <t>담당자성명</t>
    </r>
    <phoneticPr fontId="11" type="noConversion"/>
  </si>
  <si>
    <r>
      <rPr>
        <sz val="13"/>
        <color theme="1"/>
        <rFont val="Arial"/>
        <family val="2"/>
        <charset val="129"/>
        <scheme val="minor"/>
      </rPr>
      <t>담당자직위</t>
    </r>
    <phoneticPr fontId="11" type="noConversion"/>
  </si>
  <si>
    <r>
      <rPr>
        <sz val="13"/>
        <color theme="1"/>
        <rFont val="Arial"/>
        <family val="2"/>
        <charset val="129"/>
        <scheme val="minor"/>
      </rPr>
      <t>담당자전화번호</t>
    </r>
    <phoneticPr fontId="11" type="noConversion"/>
  </si>
  <si>
    <r>
      <rPr>
        <sz val="13"/>
        <color theme="1"/>
        <rFont val="Arial"/>
        <family val="2"/>
        <charset val="129"/>
        <scheme val="minor"/>
      </rPr>
      <t>담당자이메일</t>
    </r>
    <phoneticPr fontId="11" type="noConversion"/>
  </si>
  <si>
    <r>
      <t>◾</t>
    </r>
    <r>
      <rPr>
        <sz val="15"/>
        <color theme="1"/>
        <rFont val="Arial"/>
        <family val="2"/>
        <charset val="129"/>
        <scheme val="minor"/>
      </rPr>
      <t>참여기업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기본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정보</t>
    </r>
    <phoneticPr fontId="11" type="noConversion"/>
  </si>
  <si>
    <r>
      <rPr>
        <sz val="13"/>
        <color theme="1"/>
        <rFont val="Arial"/>
        <family val="2"/>
        <charset val="129"/>
        <scheme val="minor"/>
      </rPr>
      <t>기간</t>
    </r>
    <phoneticPr fontId="11" type="noConversion"/>
  </si>
  <si>
    <r>
      <rPr>
        <sz val="13"/>
        <color theme="1"/>
        <rFont val="Arial"/>
        <family val="2"/>
        <charset val="129"/>
        <scheme val="minor"/>
      </rPr>
      <t>직무</t>
    </r>
    <phoneticPr fontId="11" type="noConversion"/>
  </si>
  <si>
    <r>
      <rPr>
        <sz val="13"/>
        <color theme="1"/>
        <rFont val="Arial"/>
        <family val="2"/>
        <charset val="129"/>
        <scheme val="minor"/>
      </rPr>
      <t>근무부서</t>
    </r>
    <phoneticPr fontId="11" type="noConversion"/>
  </si>
  <si>
    <r>
      <rPr>
        <sz val="13"/>
        <color theme="1"/>
        <rFont val="Arial"/>
        <family val="2"/>
        <charset val="129"/>
        <scheme val="minor"/>
      </rPr>
      <t>주요업무</t>
    </r>
    <phoneticPr fontId="11" type="noConversion"/>
  </si>
  <si>
    <r>
      <rPr>
        <sz val="13"/>
        <color theme="1"/>
        <rFont val="Arial"/>
        <family val="2"/>
        <charset val="129"/>
        <scheme val="minor"/>
      </rPr>
      <t>기업멘토부서명</t>
    </r>
    <phoneticPr fontId="11" type="noConversion"/>
  </si>
  <si>
    <r>
      <rPr>
        <sz val="13"/>
        <color theme="1"/>
        <rFont val="Arial"/>
        <family val="2"/>
        <charset val="129"/>
        <scheme val="minor"/>
      </rPr>
      <t>기업멘토직위</t>
    </r>
    <phoneticPr fontId="11" type="noConversion"/>
  </si>
  <si>
    <t>111-2222</t>
    <phoneticPr fontId="11" type="noConversion"/>
  </si>
  <si>
    <t>www.example.com</t>
    <phoneticPr fontId="11" type="noConversion"/>
  </si>
  <si>
    <t>010-111-2222</t>
    <phoneticPr fontId="11" type="noConversion"/>
  </si>
  <si>
    <t>www.example2.com</t>
    <phoneticPr fontId="11" type="noConversion"/>
  </si>
  <si>
    <t>2024.11.18 ~ 2025.01.10</t>
    <phoneticPr fontId="11" type="noConversion"/>
  </si>
  <si>
    <t>2024.11.18 ~ 2025.01.10</t>
    <phoneticPr fontId="11" type="noConversion"/>
  </si>
  <si>
    <r>
      <rPr>
        <sz val="13"/>
        <color theme="1"/>
        <rFont val="Arial"/>
        <family val="2"/>
        <charset val="129"/>
        <scheme val="minor"/>
      </rPr>
      <t>㈜노마드</t>
    </r>
    <phoneticPr fontId="11" type="noConversion"/>
  </si>
  <si>
    <r>
      <rPr>
        <sz val="13"/>
        <color theme="1"/>
        <rFont val="Arial"/>
        <family val="2"/>
        <charset val="129"/>
        <scheme val="minor"/>
      </rPr>
      <t>홍길동</t>
    </r>
    <phoneticPr fontId="11" type="noConversion"/>
  </si>
  <si>
    <r>
      <t>10</t>
    </r>
    <r>
      <rPr>
        <sz val="13"/>
        <color theme="1"/>
        <rFont val="Arial"/>
        <family val="2"/>
        <charset val="129"/>
        <scheme val="minor"/>
      </rPr>
      <t>명</t>
    </r>
    <phoneticPr fontId="11" type="noConversion"/>
  </si>
  <si>
    <r>
      <rPr>
        <sz val="13"/>
        <color theme="1"/>
        <rFont val="Arial"/>
        <family val="2"/>
        <charset val="129"/>
        <scheme val="minor"/>
      </rPr>
      <t>부산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진구</t>
    </r>
    <phoneticPr fontId="11" type="noConversion"/>
  </si>
  <si>
    <r>
      <rPr>
        <sz val="13"/>
        <color theme="1"/>
        <rFont val="Arial"/>
        <family val="2"/>
        <charset val="129"/>
        <scheme val="minor"/>
      </rPr>
      <t>기업소개란입니다</t>
    </r>
    <r>
      <rPr>
        <sz val="13"/>
        <color theme="1"/>
        <rFont val="Arial"/>
        <family val="2"/>
        <scheme val="minor"/>
      </rPr>
      <t>.</t>
    </r>
    <phoneticPr fontId="11" type="noConversion"/>
  </si>
  <si>
    <r>
      <rPr>
        <sz val="10"/>
        <color rgb="FF000000"/>
        <rFont val="Arial"/>
        <family val="2"/>
        <charset val="129"/>
        <scheme val="minor"/>
      </rPr>
      <t>개발팀</t>
    </r>
    <phoneticPr fontId="11" type="noConversion"/>
  </si>
  <si>
    <r>
      <rPr>
        <sz val="10"/>
        <color rgb="FF000000"/>
        <rFont val="Arial"/>
        <family val="2"/>
        <charset val="129"/>
        <scheme val="minor"/>
      </rPr>
      <t>이순신</t>
    </r>
    <phoneticPr fontId="11" type="noConversion"/>
  </si>
  <si>
    <r>
      <rPr>
        <sz val="10"/>
        <color rgb="FF000000"/>
        <rFont val="Arial"/>
        <family val="2"/>
        <charset val="129"/>
        <scheme val="minor"/>
      </rPr>
      <t>팀장</t>
    </r>
    <phoneticPr fontId="11" type="noConversion"/>
  </si>
  <si>
    <r>
      <t>◾</t>
    </r>
    <r>
      <rPr>
        <sz val="15"/>
        <color theme="1"/>
        <rFont val="Arial"/>
        <family val="2"/>
        <charset val="129"/>
        <scheme val="minor"/>
      </rPr>
      <t>일경험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프로그램</t>
    </r>
    <phoneticPr fontId="11" type="noConversion"/>
  </si>
  <si>
    <r>
      <rPr>
        <sz val="10"/>
        <color rgb="FF000000"/>
        <rFont val="Arial"/>
        <family val="2"/>
        <charset val="129"/>
        <scheme val="minor"/>
      </rPr>
      <t>직무</t>
    </r>
    <r>
      <rPr>
        <sz val="10"/>
        <color rgb="FF000000"/>
        <rFont val="Arial"/>
        <family val="2"/>
        <scheme val="minor"/>
      </rPr>
      <t>1</t>
    </r>
    <phoneticPr fontId="11" type="noConversion"/>
  </si>
  <si>
    <r>
      <rPr>
        <sz val="10"/>
        <color rgb="FF000000"/>
        <rFont val="Arial"/>
        <family val="2"/>
        <charset val="129"/>
        <scheme val="minor"/>
      </rPr>
      <t>부서</t>
    </r>
    <r>
      <rPr>
        <sz val="10"/>
        <color rgb="FF000000"/>
        <rFont val="Arial"/>
        <family val="2"/>
        <scheme val="minor"/>
      </rPr>
      <t>1</t>
    </r>
    <r>
      <rPr>
        <sz val="10"/>
        <color rgb="FF000000"/>
        <rFont val="Arial"/>
        <family val="2"/>
        <charset val="129"/>
        <scheme val="minor"/>
      </rPr>
      <t>팀</t>
    </r>
    <phoneticPr fontId="11" type="noConversion"/>
  </si>
  <si>
    <r>
      <rPr>
        <sz val="10"/>
        <color rgb="FF000000"/>
        <rFont val="Arial"/>
        <family val="2"/>
        <charset val="129"/>
        <scheme val="minor"/>
      </rPr>
      <t>ㅇㅇㅇ</t>
    </r>
    <phoneticPr fontId="11" type="noConversion"/>
  </si>
  <si>
    <r>
      <rPr>
        <sz val="10"/>
        <color rgb="FF000000"/>
        <rFont val="Arial"/>
        <family val="2"/>
        <charset val="129"/>
        <scheme val="minor"/>
      </rPr>
      <t>부서</t>
    </r>
    <r>
      <rPr>
        <sz val="10"/>
        <color rgb="FF000000"/>
        <rFont val="Arial"/>
        <family val="2"/>
        <scheme val="minor"/>
      </rPr>
      <t>2</t>
    </r>
    <r>
      <rPr>
        <sz val="10"/>
        <color rgb="FF000000"/>
        <rFont val="Arial"/>
        <family val="2"/>
        <charset val="129"/>
        <scheme val="minor"/>
      </rPr>
      <t>팀</t>
    </r>
    <phoneticPr fontId="11" type="noConversion"/>
  </si>
  <si>
    <r>
      <rPr>
        <sz val="10"/>
        <color rgb="FF000000"/>
        <rFont val="Arial"/>
        <family val="2"/>
        <charset val="129"/>
        <scheme val="minor"/>
      </rPr>
      <t>장보고</t>
    </r>
    <phoneticPr fontId="11" type="noConversion"/>
  </si>
  <si>
    <r>
      <rPr>
        <sz val="10"/>
        <color rgb="FF000000"/>
        <rFont val="Arial"/>
        <family val="2"/>
        <charset val="129"/>
        <scheme val="minor"/>
      </rPr>
      <t>직위</t>
    </r>
    <r>
      <rPr>
        <sz val="10"/>
        <color rgb="FF000000"/>
        <rFont val="Arial"/>
        <family val="2"/>
        <scheme val="minor"/>
      </rPr>
      <t>1</t>
    </r>
    <phoneticPr fontId="11" type="noConversion"/>
  </si>
  <si>
    <r>
      <rPr>
        <b/>
        <sz val="20"/>
        <color theme="1"/>
        <rFont val="돋움체"/>
        <family val="2"/>
        <charset val="129"/>
      </rPr>
      <t>인턴형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계획서</t>
    </r>
    <phoneticPr fontId="11" type="noConversion"/>
  </si>
  <si>
    <t>111-222-3333</t>
    <phoneticPr fontId="11" type="noConversion"/>
  </si>
  <si>
    <r>
      <t>(</t>
    </r>
    <r>
      <rPr>
        <sz val="12"/>
        <color theme="1"/>
        <rFont val="Arial"/>
        <family val="2"/>
        <charset val="129"/>
        <scheme val="major"/>
      </rPr>
      <t>주</t>
    </r>
    <r>
      <rPr>
        <sz val="12"/>
        <color theme="1"/>
        <rFont val="Arial"/>
        <family val="2"/>
        <scheme val="major"/>
      </rPr>
      <t>)</t>
    </r>
    <r>
      <rPr>
        <sz val="12"/>
        <color theme="1"/>
        <rFont val="Arial"/>
        <family val="2"/>
        <charset val="129"/>
        <scheme val="major"/>
      </rPr>
      <t>소연</t>
    </r>
    <phoneticPr fontId="11" type="noConversion"/>
  </si>
  <si>
    <r>
      <rPr>
        <b/>
        <sz val="14"/>
        <color theme="1"/>
        <rFont val="Arial"/>
        <family val="2"/>
        <charset val="129"/>
        <scheme val="major"/>
      </rPr>
      <t>주된업종</t>
    </r>
    <phoneticPr fontId="11" type="noConversion"/>
  </si>
  <si>
    <r>
      <rPr>
        <sz val="12"/>
        <color theme="1"/>
        <rFont val="Arial"/>
        <family val="2"/>
        <charset val="129"/>
        <scheme val="major"/>
      </rPr>
      <t>주된업종</t>
    </r>
    <r>
      <rPr>
        <sz val="12"/>
        <color theme="1"/>
        <rFont val="Arial"/>
        <family val="2"/>
        <scheme val="major"/>
      </rPr>
      <t>1</t>
    </r>
    <phoneticPr fontId="11" type="noConversion"/>
  </si>
  <si>
    <r>
      <rPr>
        <b/>
        <sz val="14"/>
        <color theme="1"/>
        <rFont val="Arial"/>
        <family val="2"/>
        <charset val="129"/>
        <scheme val="major"/>
      </rPr>
      <t>고용보험피보험자수</t>
    </r>
    <phoneticPr fontId="11" type="noConversion"/>
  </si>
  <si>
    <r>
      <t>00</t>
    </r>
    <r>
      <rPr>
        <sz val="12"/>
        <color theme="1"/>
        <rFont val="Arial"/>
        <family val="2"/>
        <charset val="129"/>
        <scheme val="major"/>
      </rPr>
      <t>명</t>
    </r>
    <phoneticPr fontId="11" type="noConversion"/>
  </si>
  <si>
    <r>
      <rPr>
        <b/>
        <sz val="14"/>
        <color theme="1"/>
        <rFont val="Arial"/>
        <family val="2"/>
        <charset val="129"/>
        <scheme val="major"/>
      </rPr>
      <t>전화번호</t>
    </r>
    <phoneticPr fontId="11" type="noConversion"/>
  </si>
  <si>
    <r>
      <t>0000</t>
    </r>
    <r>
      <rPr>
        <b/>
        <sz val="14"/>
        <color theme="1"/>
        <rFont val="Arial"/>
        <family val="2"/>
        <charset val="129"/>
        <scheme val="major"/>
      </rPr>
      <t>년</t>
    </r>
    <r>
      <rPr>
        <b/>
        <sz val="14"/>
        <color theme="1"/>
        <rFont val="Arial"/>
        <family val="2"/>
        <scheme val="major"/>
      </rPr>
      <t>00</t>
    </r>
    <r>
      <rPr>
        <b/>
        <sz val="14"/>
        <color theme="1"/>
        <rFont val="Arial"/>
        <family val="2"/>
        <charset val="129"/>
        <scheme val="major"/>
      </rPr>
      <t>월</t>
    </r>
    <r>
      <rPr>
        <b/>
        <sz val="14"/>
        <color theme="1"/>
        <rFont val="Arial"/>
        <family val="2"/>
        <scheme val="major"/>
      </rPr>
      <t>00</t>
    </r>
    <r>
      <rPr>
        <b/>
        <sz val="14"/>
        <color theme="1"/>
        <rFont val="Arial"/>
        <family val="2"/>
        <charset val="129"/>
        <scheme val="major"/>
      </rPr>
      <t>일</t>
    </r>
    <phoneticPr fontId="11" type="noConversion"/>
  </si>
  <si>
    <r>
      <rPr>
        <b/>
        <sz val="20"/>
        <color theme="1"/>
        <rFont val="Arial"/>
        <family val="2"/>
        <charset val="129"/>
        <scheme val="minor"/>
      </rPr>
      <t>청년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지원사업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참여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의향서</t>
    </r>
    <phoneticPr fontId="11" type="noConversion"/>
  </si>
  <si>
    <t>000-111-2222</t>
    <phoneticPr fontId="11" type="noConversion"/>
  </si>
  <si>
    <t>010-0000-0000</t>
    <phoneticPr fontId="11" type="noConversion"/>
  </si>
  <si>
    <r>
      <rPr>
        <sz val="13"/>
        <color theme="1"/>
        <rFont val="Arial"/>
        <family val="2"/>
        <charset val="129"/>
        <scheme val="minor"/>
      </rPr>
      <t>참여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기업명</t>
    </r>
    <phoneticPr fontId="11" type="noConversion"/>
  </si>
  <si>
    <r>
      <rPr>
        <sz val="13"/>
        <color theme="1"/>
        <rFont val="Arial"/>
        <family val="2"/>
        <charset val="129"/>
        <scheme val="minor"/>
      </rPr>
      <t>참여프로그램</t>
    </r>
    <phoneticPr fontId="11" type="noConversion"/>
  </si>
  <si>
    <r>
      <rPr>
        <sz val="13"/>
        <color theme="1"/>
        <rFont val="Arial"/>
        <family val="2"/>
        <charset val="129"/>
        <scheme val="minor"/>
      </rPr>
      <t>참여프로그램입니다</t>
    </r>
    <r>
      <rPr>
        <sz val="13"/>
        <color theme="1"/>
        <rFont val="Arial"/>
        <family val="2"/>
        <scheme val="minor"/>
      </rPr>
      <t>.</t>
    </r>
    <phoneticPr fontId="11" type="noConversion"/>
  </si>
  <si>
    <r>
      <rPr>
        <sz val="13"/>
        <color theme="1"/>
        <rFont val="Arial"/>
        <family val="2"/>
        <charset val="129"/>
        <scheme val="minor"/>
      </rPr>
      <t>담당자부서</t>
    </r>
    <phoneticPr fontId="11" type="noConversion"/>
  </si>
  <si>
    <r>
      <t>00</t>
    </r>
    <r>
      <rPr>
        <sz val="13"/>
        <color theme="1"/>
        <rFont val="Arial"/>
        <family val="2"/>
        <charset val="129"/>
        <scheme val="minor"/>
      </rPr>
      <t>팀</t>
    </r>
    <r>
      <rPr>
        <sz val="13"/>
        <color theme="1"/>
        <rFont val="Arial"/>
        <family val="2"/>
        <scheme val="minor"/>
      </rPr>
      <t>/00</t>
    </r>
    <r>
      <rPr>
        <sz val="13"/>
        <color theme="1"/>
        <rFont val="Arial"/>
        <family val="2"/>
        <charset val="129"/>
        <scheme val="minor"/>
      </rPr>
      <t>부</t>
    </r>
    <r>
      <rPr>
        <sz val="13"/>
        <color theme="1"/>
        <rFont val="Arial"/>
        <family val="2"/>
        <scheme val="minor"/>
      </rPr>
      <t>/00</t>
    </r>
    <r>
      <rPr>
        <sz val="13"/>
        <color theme="1"/>
        <rFont val="Arial"/>
        <family val="2"/>
        <charset val="129"/>
        <scheme val="minor"/>
      </rPr>
      <t>실</t>
    </r>
    <phoneticPr fontId="11" type="noConversion"/>
  </si>
  <si>
    <r>
      <rPr>
        <sz val="13"/>
        <color theme="1"/>
        <rFont val="Arial"/>
        <family val="2"/>
        <charset val="129"/>
        <scheme val="minor"/>
      </rPr>
      <t>차장</t>
    </r>
    <phoneticPr fontId="11" type="noConversion"/>
  </si>
  <si>
    <r>
      <rPr>
        <sz val="13"/>
        <color theme="1"/>
        <rFont val="Arial"/>
        <family val="2"/>
        <charset val="129"/>
        <scheme val="minor"/>
      </rPr>
      <t>이순신</t>
    </r>
    <phoneticPr fontId="11" type="noConversion"/>
  </si>
  <si>
    <r>
      <rPr>
        <sz val="13"/>
        <color theme="1"/>
        <rFont val="Arial"/>
        <family val="2"/>
        <charset val="129"/>
        <scheme val="minor"/>
      </rPr>
      <t>담당자연락처</t>
    </r>
    <phoneticPr fontId="11" type="noConversion"/>
  </si>
  <si>
    <r>
      <rPr>
        <sz val="13"/>
        <color theme="1"/>
        <rFont val="Arial"/>
        <family val="2"/>
        <charset val="129"/>
        <scheme val="minor"/>
      </rPr>
      <t>작성날짜</t>
    </r>
    <phoneticPr fontId="11" type="noConversion"/>
  </si>
  <si>
    <r>
      <t>8</t>
    </r>
    <r>
      <rPr>
        <sz val="13"/>
        <color theme="1"/>
        <rFont val="Arial"/>
        <family val="2"/>
        <charset val="129"/>
        <scheme val="minor"/>
      </rPr>
      <t>월</t>
    </r>
    <r>
      <rPr>
        <sz val="13"/>
        <color theme="1"/>
        <rFont val="Arial"/>
        <family val="2"/>
        <scheme val="minor"/>
      </rPr>
      <t xml:space="preserve"> 1</t>
    </r>
    <r>
      <rPr>
        <sz val="13"/>
        <color theme="1"/>
        <rFont val="Arial"/>
        <family val="2"/>
        <charset val="129"/>
        <scheme val="minor"/>
      </rPr>
      <t>일</t>
    </r>
    <phoneticPr fontId="11" type="noConversion"/>
  </si>
  <si>
    <t>이름</t>
    <phoneticPr fontId="11" type="noConversion"/>
  </si>
  <si>
    <t>생년월일</t>
    <phoneticPr fontId="11" type="noConversion"/>
  </si>
  <si>
    <t>성별</t>
    <phoneticPr fontId="11" type="noConversion"/>
  </si>
  <si>
    <t>연락처</t>
    <phoneticPr fontId="11" type="noConversion"/>
  </si>
  <si>
    <r>
      <rPr>
        <sz val="13"/>
        <color theme="1"/>
        <rFont val="Arial"/>
        <family val="3"/>
        <charset val="129"/>
        <scheme val="minor"/>
      </rPr>
      <t>연락처</t>
    </r>
    <phoneticPr fontId="11" type="noConversion"/>
  </si>
  <si>
    <t>홍길동</t>
    <phoneticPr fontId="11" type="noConversion"/>
  </si>
  <si>
    <t>작성날짜</t>
    <phoneticPr fontId="12" type="noConversion"/>
  </si>
  <si>
    <t>특이사항 기재</t>
  </si>
  <si>
    <t>순번</t>
  </si>
  <si>
    <t>프로그램명</t>
  </si>
  <si>
    <t>성명</t>
  </si>
  <si>
    <t>주민등록번호</t>
    <phoneticPr fontId="12" type="noConversion"/>
  </si>
  <si>
    <t>연락처</t>
    <phoneticPr fontId="12" type="noConversion"/>
  </si>
  <si>
    <t>이메일</t>
    <phoneticPr fontId="12" type="noConversion"/>
  </si>
  <si>
    <t>학년</t>
  </si>
  <si>
    <t>최종학교명</t>
    <phoneticPr fontId="12" type="noConversion"/>
  </si>
  <si>
    <t>최종학과</t>
  </si>
  <si>
    <t>주소</t>
    <phoneticPr fontId="12" type="noConversion"/>
  </si>
  <si>
    <t>은행</t>
  </si>
  <si>
    <t>계좌번호
(실제 인턴비 받을 계좌, 번복 불가)</t>
  </si>
  <si>
    <t>은행명 / 계좌번호</t>
  </si>
  <si>
    <t>성별</t>
  </si>
  <si>
    <t>생년월일</t>
  </si>
  <si>
    <t>출생연도</t>
  </si>
  <si>
    <t>만나이</t>
    <phoneticPr fontId="12" type="noConversion"/>
  </si>
  <si>
    <t>지역</t>
  </si>
  <si>
    <t>졸업</t>
    <phoneticPr fontId="12" type="noConversion"/>
  </si>
  <si>
    <t>국민은행</t>
  </si>
  <si>
    <t>참여자명단</t>
    <phoneticPr fontId="11" type="noConversion"/>
  </si>
  <si>
    <r>
      <t xml:space="preserve">         </t>
    </r>
    <r>
      <rPr>
        <sz val="9"/>
        <color rgb="FF000000"/>
        <rFont val="Arial"/>
        <family val="3"/>
        <charset val="129"/>
        <scheme val="minor"/>
      </rPr>
      <t>로우
인덱스</t>
    </r>
    <phoneticPr fontId="12" type="noConversion"/>
  </si>
  <si>
    <r>
      <t>00</t>
    </r>
    <r>
      <rPr>
        <sz val="13"/>
        <color theme="1"/>
        <rFont val="Arial"/>
        <family val="2"/>
        <charset val="129"/>
        <scheme val="minor"/>
      </rPr>
      <t>광역시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구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로</t>
    </r>
    <r>
      <rPr>
        <sz val="13"/>
        <color theme="1"/>
        <rFont val="Arial"/>
        <family val="2"/>
        <scheme val="minor"/>
      </rPr>
      <t xml:space="preserve"> 123-5</t>
    </r>
    <phoneticPr fontId="11" type="noConversion"/>
  </si>
  <si>
    <r>
      <rPr>
        <sz val="13"/>
        <color theme="1"/>
        <rFont val="Arial"/>
        <family val="3"/>
        <charset val="129"/>
        <scheme val="minor"/>
      </rPr>
      <t>성명</t>
    </r>
    <phoneticPr fontId="11" type="noConversion"/>
  </si>
  <si>
    <r>
      <rPr>
        <sz val="13"/>
        <color theme="1"/>
        <rFont val="Arial"/>
        <family val="3"/>
        <charset val="129"/>
        <scheme val="minor"/>
      </rPr>
      <t>참여일</t>
    </r>
    <phoneticPr fontId="11" type="noConversion"/>
  </si>
  <si>
    <r>
      <rPr>
        <sz val="10"/>
        <color rgb="FF000000"/>
        <rFont val="Arial"/>
        <family val="3"/>
        <charset val="129"/>
        <scheme val="minor"/>
      </rPr>
      <t>여</t>
    </r>
    <phoneticPr fontId="11" type="noConversion"/>
  </si>
  <si>
    <r>
      <rPr>
        <b/>
        <sz val="20"/>
        <color theme="1"/>
        <rFont val="Malgun Gothic"/>
        <family val="3"/>
        <charset val="129"/>
      </rPr>
      <t>인턴형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일경험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참여신청서</t>
    </r>
    <phoneticPr fontId="11" type="noConversion"/>
  </si>
  <si>
    <t>성명</t>
    <phoneticPr fontId="11" type="noConversion"/>
  </si>
  <si>
    <t>주민등록번호</t>
    <phoneticPr fontId="11" type="noConversion"/>
  </si>
  <si>
    <t>주소</t>
    <phoneticPr fontId="11" type="noConversion"/>
  </si>
  <si>
    <r>
      <rPr>
        <sz val="13"/>
        <color theme="1"/>
        <rFont val="맑은 고딕"/>
        <family val="3"/>
        <charset val="129"/>
      </rPr>
      <t>연락처</t>
    </r>
    <r>
      <rPr>
        <sz val="13"/>
        <color theme="1"/>
        <rFont val="Arial"/>
        <family val="3"/>
      </rPr>
      <t>_</t>
    </r>
    <r>
      <rPr>
        <sz val="13"/>
        <color theme="1"/>
        <rFont val="맑은 고딕"/>
        <family val="3"/>
        <charset val="129"/>
      </rPr>
      <t>이메일</t>
    </r>
    <phoneticPr fontId="11" type="noConversion"/>
  </si>
  <si>
    <r>
      <rPr>
        <sz val="13"/>
        <color theme="1"/>
        <rFont val="맑은 고딕"/>
        <family val="3"/>
        <charset val="129"/>
      </rPr>
      <t>연락처</t>
    </r>
    <r>
      <rPr>
        <sz val="13"/>
        <color theme="1"/>
        <rFont val="Arial"/>
        <family val="3"/>
      </rPr>
      <t>_</t>
    </r>
    <r>
      <rPr>
        <sz val="13"/>
        <color theme="1"/>
        <rFont val="맑은 고딕"/>
        <family val="3"/>
        <charset val="129"/>
      </rPr>
      <t>휴대폰</t>
    </r>
    <phoneticPr fontId="11" type="noConversion"/>
  </si>
  <si>
    <t>최종학력구분</t>
    <phoneticPr fontId="11" type="noConversion"/>
  </si>
  <si>
    <t>학년</t>
    <phoneticPr fontId="11" type="noConversion"/>
  </si>
  <si>
    <t>최종학력상태</t>
    <phoneticPr fontId="11" type="noConversion"/>
  </si>
  <si>
    <t>최종학교명</t>
    <phoneticPr fontId="11" type="noConversion"/>
  </si>
  <si>
    <t>최종학과</t>
    <phoneticPr fontId="11" type="noConversion"/>
  </si>
  <si>
    <t>동의대학교</t>
    <phoneticPr fontId="11" type="noConversion"/>
  </si>
  <si>
    <t>일본어학과</t>
    <phoneticPr fontId="11" type="noConversion"/>
  </si>
  <si>
    <t>123412-1212221</t>
    <phoneticPr fontId="11" type="noConversion"/>
  </si>
  <si>
    <t>010-1233-1223</t>
    <phoneticPr fontId="11" type="noConversion"/>
  </si>
  <si>
    <t>example@nate.com</t>
    <phoneticPr fontId="11" type="noConversion"/>
  </si>
  <si>
    <t>최종학력구분</t>
    <phoneticPr fontId="11" type="noConversion"/>
  </si>
  <si>
    <r>
      <rPr>
        <sz val="10"/>
        <color rgb="FF000000"/>
        <rFont val="맑은 고딕"/>
        <family val="3"/>
        <charset val="129"/>
      </rPr>
      <t>대학교</t>
    </r>
    <r>
      <rPr>
        <sz val="10"/>
        <color rgb="FF000000"/>
        <rFont val="Arial"/>
        <family val="3"/>
      </rPr>
      <t>_4</t>
    </r>
    <r>
      <rPr>
        <sz val="10"/>
        <color rgb="FF000000"/>
        <rFont val="맑은 고딕"/>
        <family val="3"/>
        <charset val="129"/>
      </rPr>
      <t>년제</t>
    </r>
    <phoneticPr fontId="12" type="noConversion"/>
  </si>
  <si>
    <t>작성날짜</t>
    <phoneticPr fontId="11" type="noConversion"/>
  </si>
  <si>
    <r>
      <t>2024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2"/>
        <scheme val="minor"/>
      </rPr>
      <t xml:space="preserve"> 01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맑은 고딕"/>
        <family val="3"/>
        <charset val="129"/>
      </rPr>
      <t>일</t>
    </r>
    <phoneticPr fontId="11" type="noConversion"/>
  </si>
  <si>
    <r>
      <rPr>
        <b/>
        <sz val="20"/>
        <color theme="1"/>
        <rFont val="Malgun Gothic"/>
        <family val="3"/>
        <charset val="129"/>
      </rPr>
      <t>개인정보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활용에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관한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동의서</t>
    </r>
    <phoneticPr fontId="11" type="noConversion"/>
  </si>
  <si>
    <r>
      <rPr>
        <b/>
        <sz val="20"/>
        <color theme="1"/>
        <rFont val="Malgun Gothic"/>
        <family val="3"/>
        <charset val="129"/>
      </rPr>
      <t>참여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청년용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확인서</t>
    </r>
    <phoneticPr fontId="11" type="noConversion"/>
  </si>
  <si>
    <t>일경험기간시작일</t>
    <phoneticPr fontId="11" type="noConversion"/>
  </si>
  <si>
    <t>일경험기간종료일</t>
    <phoneticPr fontId="11" type="noConversion"/>
  </si>
  <si>
    <t>주업무</t>
    <phoneticPr fontId="11" type="noConversion"/>
  </si>
  <si>
    <t>콘텐츠 마케팅</t>
    <phoneticPr fontId="11" type="noConversion"/>
  </si>
  <si>
    <t>부산광역시 금정구</t>
    <phoneticPr fontId="11" type="noConversion"/>
  </si>
  <si>
    <t>계좌번호</t>
    <phoneticPr fontId="11" type="noConversion"/>
  </si>
  <si>
    <r>
      <t>1234-12-123243424(</t>
    </r>
    <r>
      <rPr>
        <sz val="13"/>
        <color theme="1"/>
        <rFont val="Arial Unicode MS"/>
        <family val="2"/>
        <charset val="129"/>
      </rPr>
      <t>이름)</t>
    </r>
    <phoneticPr fontId="11" type="noConversion"/>
  </si>
  <si>
    <r>
      <t>2024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2"/>
      </rPr>
      <t xml:space="preserve"> 09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2"/>
      </rPr>
      <t xml:space="preserve"> 00</t>
    </r>
    <r>
      <rPr>
        <sz val="13"/>
        <color theme="1"/>
        <rFont val="맑은 고딕"/>
        <family val="3"/>
        <charset val="129"/>
      </rPr>
      <t>일</t>
    </r>
    <phoneticPr fontId="11" type="noConversion"/>
  </si>
  <si>
    <r>
      <t>2024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2"/>
      </rPr>
      <t xml:space="preserve"> 11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2"/>
      </rPr>
      <t xml:space="preserve"> 00</t>
    </r>
    <r>
      <rPr>
        <sz val="13"/>
        <color theme="1"/>
        <rFont val="맑은 고딕"/>
        <family val="3"/>
        <charset val="129"/>
      </rPr>
      <t>일</t>
    </r>
    <phoneticPr fontId="11" type="noConversion"/>
  </si>
  <si>
    <t>참여인원</t>
    <phoneticPr fontId="11" type="noConversion"/>
  </si>
  <si>
    <t>직무분야</t>
    <phoneticPr fontId="11" type="noConversion"/>
  </si>
  <si>
    <t>운영기관명</t>
    <phoneticPr fontId="11" type="noConversion"/>
  </si>
  <si>
    <t>직무교육명</t>
    <phoneticPr fontId="11" type="noConversion"/>
  </si>
  <si>
    <t>교육주요내용</t>
    <phoneticPr fontId="11" type="noConversion"/>
  </si>
  <si>
    <t>교육기간</t>
    <phoneticPr fontId="11" type="noConversion"/>
  </si>
  <si>
    <t>남</t>
    <phoneticPr fontId="11" type="noConversion"/>
  </si>
  <si>
    <t>010-111-2223</t>
    <phoneticPr fontId="11" type="noConversion"/>
  </si>
  <si>
    <r>
      <rPr>
        <sz val="10"/>
        <color rgb="FF000000"/>
        <rFont val="Arial"/>
        <family val="2"/>
        <charset val="129"/>
        <scheme val="minor"/>
      </rPr>
      <t>홍길동</t>
    </r>
    <phoneticPr fontId="11" type="noConversion"/>
  </si>
  <si>
    <r>
      <rPr>
        <sz val="10"/>
        <color rgb="FF000000"/>
        <rFont val="Arial"/>
        <family val="3"/>
        <charset val="129"/>
        <scheme val="minor"/>
      </rPr>
      <t>참여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프로그램명</t>
    </r>
    <r>
      <rPr>
        <sz val="10"/>
        <color rgb="FF000000"/>
        <rFont val="Arial"/>
        <family val="2"/>
        <scheme val="minor"/>
      </rPr>
      <t>1</t>
    </r>
    <phoneticPr fontId="11" type="noConversion"/>
  </si>
  <si>
    <r>
      <rPr>
        <sz val="10"/>
        <color rgb="FF000000"/>
        <rFont val="Arial"/>
        <family val="2"/>
        <charset val="129"/>
        <scheme val="minor"/>
      </rPr>
      <t>수지</t>
    </r>
    <phoneticPr fontId="11" type="noConversion"/>
  </si>
  <si>
    <r>
      <rPr>
        <sz val="10"/>
        <color rgb="FF000000"/>
        <rFont val="Arial"/>
        <family val="3"/>
        <charset val="129"/>
        <scheme val="minor"/>
      </rPr>
      <t>참여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프로그램명</t>
    </r>
    <r>
      <rPr>
        <sz val="10"/>
        <color rgb="FF000000"/>
        <rFont val="Arial"/>
        <family val="2"/>
        <scheme val="minor"/>
      </rPr>
      <t>2</t>
    </r>
    <phoneticPr fontId="11" type="noConversion"/>
  </si>
  <si>
    <t>사업장명</t>
    <phoneticPr fontId="11" type="noConversion"/>
  </si>
  <si>
    <t>대표자명</t>
    <phoneticPr fontId="11" type="noConversion"/>
  </si>
  <si>
    <t>소재지</t>
    <phoneticPr fontId="11" type="noConversion"/>
  </si>
  <si>
    <t>㈜노마드</t>
    <phoneticPr fontId="11" type="noConversion"/>
  </si>
  <si>
    <t>2024.11.18 ~ 2024.12.13</t>
    <phoneticPr fontId="11" type="noConversion"/>
  </si>
  <si>
    <t>2024.12.16 ~ 2024.01.07</t>
    <phoneticPr fontId="11" type="noConversion"/>
  </si>
  <si>
    <t>대학교_2년제</t>
  </si>
  <si>
    <t>이민수</t>
  </si>
  <si>
    <t>이민수@naver.com</t>
  </si>
  <si>
    <t>고등학교</t>
  </si>
  <si>
    <t>졸업</t>
  </si>
  <si>
    <t>신한은행</t>
  </si>
  <si>
    <t>605-2241-148731</t>
  </si>
  <si>
    <t>정지우</t>
  </si>
  <si>
    <t>정지우@gmail.com</t>
  </si>
  <si>
    <t>부산광역시 해운대구</t>
  </si>
  <si>
    <t>296-6536-108357</t>
  </si>
  <si>
    <t>박지우</t>
  </si>
  <si>
    <t>박지우@naver.com</t>
  </si>
  <si>
    <t>휴학</t>
  </si>
  <si>
    <t>이화여자대학교</t>
  </si>
  <si>
    <t>경영학과</t>
  </si>
  <si>
    <t>309-4311-417843</t>
  </si>
  <si>
    <t>김예은</t>
  </si>
  <si>
    <t>김예은@gmail.com</t>
  </si>
  <si>
    <t>컴퓨터공학과</t>
  </si>
  <si>
    <t>916-4781-629387</t>
  </si>
  <si>
    <t>대학교_4년제</t>
  </si>
  <si>
    <t>부산대학교</t>
  </si>
  <si>
    <t>전자공학과</t>
  </si>
  <si>
    <t>우리은행</t>
  </si>
  <si>
    <t>165-6075-449479</t>
  </si>
  <si>
    <t>박현우</t>
  </si>
  <si>
    <t>박현우@gmail.com</t>
  </si>
  <si>
    <t>재학</t>
  </si>
  <si>
    <t>사회복지학과</t>
  </si>
  <si>
    <t>농협</t>
  </si>
  <si>
    <t>894-4629-468857</t>
  </si>
  <si>
    <t>이현우</t>
  </si>
  <si>
    <t>이현우@daum.net</t>
  </si>
  <si>
    <t>대학교_2/3년제</t>
  </si>
  <si>
    <t>디자인학과</t>
  </si>
  <si>
    <t>273-7528-862196</t>
  </si>
  <si>
    <t>김지우</t>
  </si>
  <si>
    <t>김지우@gmail.com</t>
  </si>
  <si>
    <t>295-1855-371274</t>
  </si>
  <si>
    <t>박현우@naver.com</t>
  </si>
  <si>
    <t>하나은행</t>
  </si>
  <si>
    <t>869-2828-526225</t>
  </si>
  <si>
    <t>김현우</t>
  </si>
  <si>
    <t>김현우@naver.com</t>
  </si>
  <si>
    <t>고려대학교</t>
  </si>
  <si>
    <t>954-9797-760181</t>
  </si>
  <si>
    <t>서울대학교</t>
  </si>
  <si>
    <t>129-2235-418768</t>
  </si>
  <si>
    <t>박예은</t>
  </si>
  <si>
    <t>박예은@daum.net</t>
  </si>
  <si>
    <t>404-5984-950896</t>
  </si>
  <si>
    <t>최현우</t>
  </si>
  <si>
    <t>최현우@daum.net</t>
  </si>
  <si>
    <t>756-6616-606584</t>
  </si>
  <si>
    <t>588-1300-685386</t>
  </si>
  <si>
    <t>최예은</t>
  </si>
  <si>
    <t>최예은@gmail.com</t>
  </si>
  <si>
    <t>694-9043-121446</t>
  </si>
  <si>
    <t>해운대여자고등학교</t>
  </si>
  <si>
    <t>대진정보통신고등학교</t>
  </si>
  <si>
    <t>부산광역시 수영구</t>
  </si>
  <si>
    <t>부산광역시 부산진구</t>
  </si>
  <si>
    <t>010-1234-5678</t>
    <phoneticPr fontId="11" type="noConversion"/>
  </si>
  <si>
    <r>
      <rPr>
        <sz val="10"/>
        <color rgb="FF000000"/>
        <rFont val="맑은 고딕"/>
        <family val="3"/>
        <charset val="129"/>
      </rPr>
      <t>서울광역시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부산진구</t>
    </r>
    <phoneticPr fontId="11" type="noConversion"/>
  </si>
  <si>
    <r>
      <rPr>
        <sz val="10"/>
        <color rgb="FF000000"/>
        <rFont val="맑은 고딕"/>
        <family val="3"/>
        <charset val="129"/>
      </rPr>
      <t>광주광역시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수영구</t>
    </r>
    <phoneticPr fontId="11" type="noConversion"/>
  </si>
  <si>
    <t xml:space="preserve"> 경상남도 부산진구</t>
    <phoneticPr fontId="11" type="noConversion"/>
  </si>
  <si>
    <r>
      <rPr>
        <sz val="10"/>
        <color rgb="FF000000"/>
        <rFont val="Arial Unicode MS"/>
        <family val="2"/>
        <charset val="129"/>
      </rPr>
      <t>충청북도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수영구</t>
    </r>
    <phoneticPr fontId="11" type="noConversion"/>
  </si>
  <si>
    <t>제주특별시</t>
    <phoneticPr fontId="11" type="noConversion"/>
  </si>
  <si>
    <t>900699-1254973</t>
  </si>
  <si>
    <t>950499-2978157</t>
  </si>
  <si>
    <t>960399-2963832</t>
  </si>
  <si>
    <t>930699-1258129</t>
  </si>
  <si>
    <t>930899-1736570</t>
  </si>
  <si>
    <t>920699-1184953</t>
  </si>
  <si>
    <t>900699-2193659</t>
  </si>
  <si>
    <t>900799-1246303</t>
  </si>
  <si>
    <t>910699-1891360</t>
  </si>
  <si>
    <t>921299-2639872</t>
  </si>
  <si>
    <t>901199-1109002</t>
  </si>
  <si>
    <t>941099-1190164</t>
  </si>
  <si>
    <t>000899-4865061</t>
    <phoneticPr fontId="11" type="noConversion"/>
  </si>
  <si>
    <t>001199-3301932</t>
    <phoneticPr fontId="11" type="noConversion"/>
  </si>
  <si>
    <t>020699-3626178</t>
    <phoneticPr fontId="11" type="noConversion"/>
  </si>
  <si>
    <t>[SY컴퍼니] 마케팅 인턴십</t>
    <phoneticPr fontId="11" type="noConversion"/>
  </si>
  <si>
    <t>2024년 12월 03일</t>
    <phoneticPr fontId="12" type="noConversion"/>
  </si>
  <si>
    <t>111-11-11111</t>
    <phoneticPr fontId="11" type="noConversion"/>
  </si>
  <si>
    <t>법인번호</t>
    <phoneticPr fontId="11" type="noConversion"/>
  </si>
  <si>
    <t>중소기업일때만체크</t>
    <phoneticPr fontId="11" type="noConversion"/>
  </si>
  <si>
    <t>있음일경우에만 자격내용</t>
    <phoneticPr fontId="11" type="noConversion"/>
  </si>
  <si>
    <t>사업자등록번호</t>
  </si>
  <si>
    <t>담당자</t>
  </si>
  <si>
    <t>전화번호</t>
  </si>
  <si>
    <t>확인자(대표자)</t>
  </si>
  <si>
    <t>(서명 또는 인)</t>
  </si>
  <si>
    <t>한국무선인터넷솔루션협회 운영기관장</t>
  </si>
  <si>
    <t>귀하</t>
  </si>
  <si>
    <t>첨부서류</t>
  </si>
  <si>
    <t>. . .</t>
  </si>
  <si>
    <t>c</t>
    <phoneticPr fontId="12" type="noConversion"/>
  </si>
  <si>
    <r>
      <rPr>
        <b/>
        <sz val="12"/>
        <color rgb="FFFF0000"/>
        <rFont val="맑은 고딕"/>
        <family val="3"/>
        <charset val="129"/>
      </rPr>
      <t>#주차별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업무는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협회측에서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임의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계획서로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작성하였으며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변경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및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수정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가능합니다</t>
    </r>
    <r>
      <rPr>
        <b/>
        <sz val="12"/>
        <color rgb="FFFF0000"/>
        <rFont val="Arial"/>
        <family val="2"/>
        <scheme val="minor"/>
      </rPr>
      <t>.</t>
    </r>
    <phoneticPr fontId="11" type="noConversion"/>
  </si>
  <si>
    <r>
      <t>1</t>
    </r>
    <r>
      <rPr>
        <sz val="13"/>
        <color theme="1"/>
        <rFont val="맑은 고딕"/>
        <family val="3"/>
        <charset val="129"/>
      </rPr>
      <t>주차</t>
    </r>
    <phoneticPr fontId="11" type="noConversion"/>
  </si>
  <si>
    <r>
      <t>3</t>
    </r>
    <r>
      <rPr>
        <sz val="13"/>
        <color theme="1"/>
        <rFont val="맑은 고딕"/>
        <family val="3"/>
        <charset val="129"/>
      </rPr>
      <t>주차</t>
    </r>
    <phoneticPr fontId="11" type="noConversion"/>
  </si>
  <si>
    <r>
      <t>2</t>
    </r>
    <r>
      <rPr>
        <sz val="13"/>
        <color theme="1"/>
        <rFont val="맑은 고딕"/>
        <family val="3"/>
        <charset val="129"/>
      </rPr>
      <t>주차</t>
    </r>
    <phoneticPr fontId="11" type="noConversion"/>
  </si>
  <si>
    <r>
      <t>4</t>
    </r>
    <r>
      <rPr>
        <sz val="13"/>
        <color theme="1"/>
        <rFont val="맑은 고딕"/>
        <family val="3"/>
        <charset val="129"/>
      </rPr>
      <t>주차</t>
    </r>
    <phoneticPr fontId="11" type="noConversion"/>
  </si>
  <si>
    <r>
      <t>6</t>
    </r>
    <r>
      <rPr>
        <sz val="13"/>
        <color theme="1"/>
        <rFont val="맑은 고딕"/>
        <family val="3"/>
        <charset val="129"/>
      </rPr>
      <t>주차</t>
    </r>
    <phoneticPr fontId="11" type="noConversion"/>
  </si>
  <si>
    <r>
      <t>8</t>
    </r>
    <r>
      <rPr>
        <sz val="13"/>
        <color theme="1"/>
        <rFont val="맑은 고딕"/>
        <family val="3"/>
        <charset val="129"/>
      </rPr>
      <t>주차</t>
    </r>
    <phoneticPr fontId="11" type="noConversion"/>
  </si>
  <si>
    <r>
      <rPr>
        <sz val="13"/>
        <color theme="1"/>
        <rFont val="Arial"/>
        <family val="2"/>
        <scheme val="minor"/>
      </rPr>
      <t>5</t>
    </r>
    <r>
      <rPr>
        <sz val="13"/>
        <color theme="1"/>
        <rFont val="맑은 고딕"/>
        <family val="3"/>
        <charset val="129"/>
      </rPr>
      <t>주차</t>
    </r>
    <phoneticPr fontId="11" type="noConversion"/>
  </si>
  <si>
    <r>
      <t>7</t>
    </r>
    <r>
      <rPr>
        <sz val="13"/>
        <color theme="1"/>
        <rFont val="맑은 고딕"/>
        <family val="3"/>
        <charset val="129"/>
      </rPr>
      <t>주차</t>
    </r>
    <phoneticPr fontId="11" type="noConversion"/>
  </si>
  <si>
    <t>인턴형 일경험 운영 계획서</t>
  </si>
  <si>
    <t>■ 참여기업 기본 정보</t>
  </si>
  <si>
    <t>기업명</t>
  </si>
  <si>
    <t>종업원 수</t>
  </si>
  <si>
    <t>사업장주소</t>
  </si>
  <si>
    <t>(본사)</t>
  </si>
  <si>
    <t>사업장주소(본사)</t>
  </si>
  <si>
    <t>(일경험)</t>
  </si>
  <si>
    <t>사업장주소(일경험)</t>
  </si>
  <si>
    <t>홈페이지</t>
  </si>
  <si>
    <t>기업 소개</t>
  </si>
  <si>
    <t>(간략히)</t>
  </si>
  <si>
    <t>기업소개</t>
  </si>
  <si>
    <t>부서명</t>
  </si>
  <si>
    <t>담당자부서명</t>
  </si>
  <si>
    <t>담당자성명</t>
  </si>
  <si>
    <t>직위</t>
  </si>
  <si>
    <t>담당자직위</t>
  </si>
  <si>
    <t>담당자전화번호</t>
  </si>
  <si>
    <t>담당자이메일</t>
  </si>
  <si>
    <t>■ 참여청년 선발 요건</t>
  </si>
  <si>
    <t>최종학력</t>
  </si>
  <si>
    <r>
      <t xml:space="preserve">고졸 이상( </t>
    </r>
    <r>
      <rPr>
        <sz val="10"/>
        <color rgb="FF000000"/>
        <rFont val="굴림"/>
        <family val="3"/>
        <charset val="129"/>
      </rPr>
      <t>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휴먼명조"/>
        <charset val="129"/>
      </rPr>
      <t>), 대졸 이상( ), 대학원졸 이상( )</t>
    </r>
  </si>
  <si>
    <t>요구역량</t>
  </si>
  <si>
    <t>전공</t>
  </si>
  <si>
    <t>직무 유관 전공자 우대</t>
  </si>
  <si>
    <t>지식/기술</t>
  </si>
  <si>
    <t>직무 유관 지식 기술 보유자</t>
  </si>
  <si>
    <t>OA</t>
  </si>
  <si>
    <r>
      <t xml:space="preserve">무관( </t>
    </r>
    <r>
      <rPr>
        <sz val="10"/>
        <color rgb="FF000000"/>
        <rFont val="굴림"/>
        <family val="3"/>
        <charset val="129"/>
      </rPr>
      <t>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휴먼명조"/>
        <charset val="129"/>
      </rPr>
      <t xml:space="preserve">), Word( ), Excel( ), Power Point( ), </t>
    </r>
  </si>
  <si>
    <t>한글( ), 기타( )</t>
  </si>
  <si>
    <t>외국어</t>
  </si>
  <si>
    <r>
      <t xml:space="preserve">무관( </t>
    </r>
    <r>
      <rPr>
        <sz val="10"/>
        <color rgb="FF000000"/>
        <rFont val="굴림"/>
        <family val="3"/>
        <charset val="129"/>
      </rPr>
      <t>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휴먼명조"/>
        <charset val="129"/>
      </rPr>
      <t>), 영어( ), 중국어( ), 일어( ), 기타( )</t>
    </r>
  </si>
  <si>
    <t>기타사항</t>
  </si>
  <si>
    <t>■ 일경험 프로그램</t>
  </si>
  <si>
    <t>기 간</t>
  </si>
  <si>
    <t>기간</t>
  </si>
  <si>
    <t>직 무</t>
  </si>
  <si>
    <t>직무</t>
  </si>
  <si>
    <t>근무부서</t>
  </si>
  <si>
    <t xml:space="preserve">일경험 </t>
  </si>
  <si>
    <t>조 건</t>
  </si>
  <si>
    <t>- 근무 요일 및 시간 (월~금)</t>
  </si>
  <si>
    <t>요일</t>
  </si>
  <si>
    <t>일</t>
  </si>
  <si>
    <t>월</t>
  </si>
  <si>
    <t>화</t>
  </si>
  <si>
    <t>수</t>
  </si>
  <si>
    <t>목</t>
  </si>
  <si>
    <t>금</t>
  </si>
  <si>
    <t>토</t>
  </si>
  <si>
    <t>소계</t>
  </si>
  <si>
    <t>근무여부</t>
  </si>
  <si>
    <t>X</t>
  </si>
  <si>
    <t>O</t>
  </si>
  <si>
    <t>5일</t>
  </si>
  <si>
    <t>근무시간</t>
  </si>
  <si>
    <t>25시간</t>
  </si>
  <si>
    <t>- 근무 시간 : 13:00 ~ 18:00(월, 화, 수, 목, 금)</t>
  </si>
  <si>
    <t>- 수당 : 주35만원, 월 140만원(단, 출석률에 따라 변동가능)</t>
  </si>
  <si>
    <t>주요</t>
  </si>
  <si>
    <t>업무</t>
  </si>
  <si>
    <t>주요업무</t>
  </si>
  <si>
    <t>주차별</t>
  </si>
  <si>
    <t>1주차</t>
  </si>
  <si>
    <r>
      <t>주차별업무</t>
    </r>
    <r>
      <rPr>
        <i/>
        <sz val="10"/>
        <color rgb="FFFF0000"/>
        <rFont val="Arial"/>
        <family val="2"/>
        <scheme val="minor"/>
      </rPr>
      <t>1</t>
    </r>
    <r>
      <rPr>
        <i/>
        <sz val="10"/>
        <color rgb="FFFF0000"/>
        <rFont val="함초롬바탕"/>
        <family val="1"/>
        <charset val="129"/>
      </rPr>
      <t>주차</t>
    </r>
  </si>
  <si>
    <t>2주차</t>
  </si>
  <si>
    <r>
      <t>주차별업무</t>
    </r>
    <r>
      <rPr>
        <i/>
        <sz val="10"/>
        <color rgb="FFFF0000"/>
        <rFont val="Arial"/>
        <family val="2"/>
        <scheme val="minor"/>
      </rPr>
      <t>2</t>
    </r>
    <r>
      <rPr>
        <i/>
        <sz val="10"/>
        <color rgb="FFFF0000"/>
        <rFont val="함초롬바탕"/>
        <family val="1"/>
        <charset val="129"/>
      </rPr>
      <t>주차</t>
    </r>
  </si>
  <si>
    <t>3주차</t>
  </si>
  <si>
    <r>
      <t>주차별업무</t>
    </r>
    <r>
      <rPr>
        <i/>
        <sz val="10"/>
        <color rgb="FFFF0000"/>
        <rFont val="Arial"/>
        <family val="2"/>
        <scheme val="minor"/>
      </rPr>
      <t>3</t>
    </r>
    <r>
      <rPr>
        <i/>
        <sz val="10"/>
        <color rgb="FFFF0000"/>
        <rFont val="함초롬바탕"/>
        <family val="1"/>
        <charset val="129"/>
      </rPr>
      <t>주차</t>
    </r>
  </si>
  <si>
    <t>4주차</t>
  </si>
  <si>
    <r>
      <t>주차별업무</t>
    </r>
    <r>
      <rPr>
        <i/>
        <sz val="10"/>
        <color rgb="FFFF0000"/>
        <rFont val="Arial"/>
        <family val="2"/>
        <scheme val="minor"/>
      </rPr>
      <t>4</t>
    </r>
    <r>
      <rPr>
        <i/>
        <sz val="10"/>
        <color rgb="FFFF0000"/>
        <rFont val="함초롬바탕"/>
        <family val="1"/>
        <charset val="129"/>
      </rPr>
      <t>주차</t>
    </r>
  </si>
  <si>
    <t>5주차</t>
  </si>
  <si>
    <r>
      <t>주차별업무</t>
    </r>
    <r>
      <rPr>
        <i/>
        <sz val="10"/>
        <color rgb="FFFF0000"/>
        <rFont val="Arial"/>
        <family val="2"/>
        <scheme val="minor"/>
      </rPr>
      <t>5</t>
    </r>
    <r>
      <rPr>
        <i/>
        <sz val="10"/>
        <color rgb="FFFF0000"/>
        <rFont val="함초롬바탕"/>
        <family val="1"/>
        <charset val="129"/>
      </rPr>
      <t>주차</t>
    </r>
  </si>
  <si>
    <t>6주차</t>
  </si>
  <si>
    <r>
      <t>주차별업무</t>
    </r>
    <r>
      <rPr>
        <i/>
        <sz val="10"/>
        <color rgb="FFFF0000"/>
        <rFont val="Arial"/>
        <family val="2"/>
        <scheme val="minor"/>
      </rPr>
      <t>6</t>
    </r>
    <r>
      <rPr>
        <i/>
        <sz val="10"/>
        <color rgb="FFFF0000"/>
        <rFont val="함초롬바탕"/>
        <family val="1"/>
        <charset val="129"/>
      </rPr>
      <t>주차</t>
    </r>
  </si>
  <si>
    <t>7주차</t>
  </si>
  <si>
    <r>
      <t>주차별업무</t>
    </r>
    <r>
      <rPr>
        <i/>
        <sz val="10"/>
        <color rgb="FFFF0000"/>
        <rFont val="Arial"/>
        <family val="2"/>
        <scheme val="minor"/>
      </rPr>
      <t>7</t>
    </r>
    <r>
      <rPr>
        <i/>
        <sz val="10"/>
        <color rgb="FFFF0000"/>
        <rFont val="함초롬바탕"/>
        <family val="1"/>
        <charset val="129"/>
      </rPr>
      <t>주차</t>
    </r>
  </si>
  <si>
    <t>8주차</t>
  </si>
  <si>
    <r>
      <t>주차별업무</t>
    </r>
    <r>
      <rPr>
        <i/>
        <sz val="10"/>
        <color rgb="FFFF0000"/>
        <rFont val="Arial"/>
        <family val="2"/>
        <scheme val="minor"/>
      </rPr>
      <t>8</t>
    </r>
    <r>
      <rPr>
        <i/>
        <sz val="10"/>
        <color rgb="FFFF0000"/>
        <rFont val="함초롬바탕"/>
        <family val="1"/>
        <charset val="129"/>
      </rPr>
      <t>주차</t>
    </r>
  </si>
  <si>
    <t>9주차</t>
  </si>
  <si>
    <t>-</t>
  </si>
  <si>
    <t>10주차</t>
  </si>
  <si>
    <t>11주차</t>
  </si>
  <si>
    <t>12주차</t>
  </si>
  <si>
    <t>13주차</t>
  </si>
  <si>
    <t>14주차</t>
  </si>
  <si>
    <t>15주차</t>
  </si>
  <si>
    <t>기업멘토</t>
  </si>
  <si>
    <t>기업멘토부서명</t>
  </si>
  <si>
    <t>기업멘토성명</t>
  </si>
  <si>
    <t>기업멘토직위</t>
  </si>
  <si>
    <t>성명</t>
    <phoneticPr fontId="11" type="noConversion"/>
  </si>
  <si>
    <t>기업멘토성명</t>
    <phoneticPr fontId="11" type="noConversion"/>
  </si>
  <si>
    <t>업무</t>
    <phoneticPr fontId="11" type="noConversion"/>
  </si>
  <si>
    <t>글 추가 시 이 위에 행 삽입</t>
    <phoneticPr fontId="11" type="noConversion"/>
  </si>
  <si>
    <t>일경험(1~4주)</t>
  </si>
  <si>
    <t>일경험(5~8주)</t>
  </si>
  <si>
    <t>사업자</t>
    <phoneticPr fontId="11" type="noConversion"/>
  </si>
  <si>
    <t>사전직무</t>
    <phoneticPr fontId="11" type="noConversion"/>
  </si>
  <si>
    <t>프로그램 명</t>
    <phoneticPr fontId="11" type="noConversion"/>
  </si>
  <si>
    <t>일경험</t>
    <phoneticPr fontId="11" type="noConversion"/>
  </si>
  <si>
    <t>총 기간</t>
    <phoneticPr fontId="11" type="noConversion"/>
  </si>
  <si>
    <t xml:space="preserve">고용보험 사업장 </t>
  </si>
  <si>
    <t>1차(1~4주)</t>
    <phoneticPr fontId="11" type="noConversion"/>
  </si>
  <si>
    <t xml:space="preserve"> </t>
    <phoneticPr fontId="11" type="noConversion"/>
  </si>
  <si>
    <t>(법인번호)</t>
  </si>
  <si>
    <t>관리번호</t>
  </si>
  <si>
    <t>교육목적</t>
    <phoneticPr fontId="11" type="noConversion"/>
  </si>
  <si>
    <t>2차(4~8주)</t>
    <phoneticPr fontId="11" type="noConversion"/>
  </si>
  <si>
    <t>체크할때는 문서내용의 진위를 확인 후 완성되었을때만 체크!!</t>
    <phoneticPr fontId="11" type="noConversion"/>
  </si>
  <si>
    <t>연 락 처</t>
  </si>
  <si>
    <t>업종</t>
    <phoneticPr fontId="11" type="noConversion"/>
  </si>
  <si>
    <t>교육장소</t>
    <phoneticPr fontId="11" type="noConversion"/>
  </si>
  <si>
    <t>직무</t>
    <phoneticPr fontId="11" type="noConversion"/>
  </si>
  <si>
    <t>회차</t>
    <phoneticPr fontId="11" type="noConversion"/>
  </si>
  <si>
    <t>시작</t>
    <phoneticPr fontId="11" type="noConversion"/>
  </si>
  <si>
    <t>종료</t>
    <phoneticPr fontId="11" type="noConversion"/>
  </si>
  <si>
    <t>소 재 지</t>
  </si>
  <si>
    <t>사업자등록번호</t>
    <phoneticPr fontId="11" type="noConversion"/>
  </si>
  <si>
    <t>인원</t>
    <phoneticPr fontId="11" type="noConversion"/>
  </si>
  <si>
    <t>근무부서</t>
    <phoneticPr fontId="11" type="noConversion"/>
  </si>
  <si>
    <t>최상위 파일 명</t>
    <phoneticPr fontId="11" type="noConversion"/>
  </si>
  <si>
    <t>상위 파일 명</t>
    <phoneticPr fontId="11" type="noConversion"/>
  </si>
  <si>
    <t>번호</t>
    <phoneticPr fontId="11" type="noConversion"/>
  </si>
  <si>
    <t>서류 명</t>
    <phoneticPr fontId="11" type="noConversion"/>
  </si>
  <si>
    <t>작성시기</t>
    <phoneticPr fontId="11" type="noConversion"/>
  </si>
  <si>
    <t>체크</t>
    <phoneticPr fontId="11" type="noConversion"/>
  </si>
  <si>
    <t>주의 사항</t>
    <phoneticPr fontId="11" type="noConversion"/>
  </si>
  <si>
    <t>주 된 업 종</t>
  </si>
  <si>
    <t xml:space="preserve">고용보험 </t>
  </si>
  <si>
    <t>피보험자 수</t>
    <phoneticPr fontId="11" type="noConversion"/>
  </si>
  <si>
    <t>주요업무</t>
    <phoneticPr fontId="11" type="noConversion"/>
  </si>
  <si>
    <t>일경험 프로그램 명</t>
    <phoneticPr fontId="11" type="noConversion"/>
  </si>
  <si>
    <t>0. 회사
/
멘토</t>
    <phoneticPr fontId="11" type="noConversion"/>
  </si>
  <si>
    <t>4대 사회보험 사업장 가입자 명부(최신)_기업명</t>
    <phoneticPr fontId="11" type="noConversion"/>
  </si>
  <si>
    <t>4대 사회보험 사업장 가입자 명부(최신)</t>
  </si>
  <si>
    <t>참여기업협약시</t>
    <phoneticPr fontId="11" type="noConversion"/>
  </si>
  <si>
    <t>피 보 험 자 수</t>
  </si>
  <si>
    <t>담당자</t>
    <phoneticPr fontId="11" type="noConversion"/>
  </si>
  <si>
    <t>담당부서</t>
    <phoneticPr fontId="11" type="noConversion"/>
  </si>
  <si>
    <t>사업장 등록증_기업명</t>
    <phoneticPr fontId="11" type="noConversion"/>
  </si>
  <si>
    <t>사업장 등록증</t>
  </si>
  <si>
    <t xml:space="preserve">[ ✔] 󰊱 중소기업 </t>
  </si>
  <si>
    <t>담당자 명</t>
    <phoneticPr fontId="11" type="noConversion"/>
  </si>
  <si>
    <t>벤처기업확인서_기업명</t>
    <phoneticPr fontId="11" type="noConversion"/>
  </si>
  <si>
    <t>벤처기업인증</t>
  </si>
  <si>
    <t>□신기술·신성장유망기업□강소기업·청년친화강소기업□우수벤처기업</t>
  </si>
  <si>
    <t>담당자 연락처</t>
    <phoneticPr fontId="11" type="noConversion"/>
  </si>
  <si>
    <t>직인 이미지(기업)</t>
    <phoneticPr fontId="11" type="noConversion"/>
  </si>
  <si>
    <t>위 필독사항 3번 참조</t>
    <phoneticPr fontId="11" type="noConversion"/>
  </si>
  <si>
    <t>□우수 중소기업(경영혁신형․기술혁신형 중소기업)</t>
  </si>
  <si>
    <t>이메일</t>
    <phoneticPr fontId="11" type="noConversion"/>
  </si>
  <si>
    <t>[서식12, 42, 46,121] 일경험_참여기업 서류 모음_기업명(통합).hwp</t>
    <phoneticPr fontId="11" type="noConversion"/>
  </si>
  <si>
    <t>[서식12] 일경험 프로그램 참여기업 신청서_기업명</t>
    <phoneticPr fontId="11" type="noConversion"/>
  </si>
  <si>
    <t>□사회적기업 ■기타 중소기업</t>
  </si>
  <si>
    <t>[서식46] 참여자격 확인서_기업명</t>
    <phoneticPr fontId="11" type="noConversion"/>
  </si>
  <si>
    <t xml:space="preserve">[ ] 󰊲 중견기업 </t>
  </si>
  <si>
    <t>[서식121] 참여기업 협약서_기업명</t>
    <phoneticPr fontId="11" type="noConversion"/>
  </si>
  <si>
    <t xml:space="preserve">[ ] 󰊳 대기업 </t>
  </si>
  <si>
    <t>[서식42] 참여기업 참여 의향서_기업명</t>
    <phoneticPr fontId="11" type="noConversion"/>
  </si>
  <si>
    <t>[ ] 󰊴 기타(비영리 법인 등)</t>
  </si>
  <si>
    <t>참여기업 통장 사본</t>
    <phoneticPr fontId="11" type="noConversion"/>
  </si>
  <si>
    <t>운영 당일</t>
    <phoneticPr fontId="11" type="noConversion"/>
  </si>
  <si>
    <t xml:space="preserve">회사 소개 및 </t>
  </si>
  <si>
    <t xml:space="preserve">디자인전문회사/ 실내건축, 전시, 가구, 사인, 영상 </t>
  </si>
  <si>
    <t>멘토 신분증 사본</t>
    <phoneticPr fontId="11" type="noConversion"/>
  </si>
  <si>
    <t>주요사업</t>
  </si>
  <si>
    <t>멘토 통장 사본</t>
    <phoneticPr fontId="11" type="noConversion"/>
  </si>
  <si>
    <t xml:space="preserve">체험 프로그램 </t>
  </si>
  <si>
    <t>참여사업명</t>
  </si>
  <si>
    <t>참여기간</t>
  </si>
  <si>
    <t>주관부처(기관)</t>
  </si>
  <si>
    <t>멘토 이력서</t>
    <phoneticPr fontId="11" type="noConversion"/>
  </si>
  <si>
    <t xml:space="preserve">프로그램 내용 </t>
    <phoneticPr fontId="11" type="noConversion"/>
  </si>
  <si>
    <t xml:space="preserve">참여 이력 </t>
  </si>
  <si>
    <t>멘토 재직증명서</t>
    <phoneticPr fontId="11" type="noConversion"/>
  </si>
  <si>
    <t>불가능한 멘토 : 대표, 임원
가능한 멘토 : 대표, 임원 외 (신입도 가능)
※[배포] 청년일경험 인턴형 멘토수당 지급기준(안)_.hwp 확인</t>
    <phoneticPr fontId="11" type="noConversion"/>
  </si>
  <si>
    <t>멘토 서명</t>
    <phoneticPr fontId="11" type="noConversion"/>
  </si>
  <si>
    <t>2. 담당자 정보</t>
  </si>
  <si>
    <t>담 당 부 서</t>
  </si>
  <si>
    <t>담 당 자 명</t>
  </si>
  <si>
    <t>전 화 번 호</t>
  </si>
  <si>
    <t>이 메 일</t>
  </si>
  <si>
    <t>[서식105] 청년 일경험 참여청년 멘토 면담일지_기업명.hwp</t>
    <phoneticPr fontId="11" type="noConversion"/>
  </si>
  <si>
    <t>프로그램 운영
매주 작성(4주마다 제출)</t>
    <phoneticPr fontId="11" type="noConversion"/>
  </si>
  <si>
    <t>01. 프로그램
등록</t>
    <phoneticPr fontId="11" type="noConversion"/>
  </si>
  <si>
    <t>[서식102] 사전직무교육 운영계획서_기업명.hwp</t>
    <phoneticPr fontId="11" type="noConversion"/>
  </si>
  <si>
    <t>프로그램 등록시</t>
    <phoneticPr fontId="11" type="noConversion"/>
  </si>
  <si>
    <t>[서식108] 일경험 운영 계획서_기업명.hwp</t>
    <phoneticPr fontId="11" type="noConversion"/>
  </si>
  <si>
    <t>02. 참여자
서류
(하위 폴더 명
ex) 01. 이름)</t>
    <phoneticPr fontId="11" type="noConversion"/>
  </si>
  <si>
    <t>[배포] [서식46,40,33] 청년서류 모음_(꼭 확인 파란글씨검은색변경).hwp</t>
    <phoneticPr fontId="11" type="noConversion"/>
  </si>
  <si>
    <t>참여청년 모집시</t>
    <phoneticPr fontId="11" type="noConversion"/>
  </si>
  <si>
    <t>[서식33] 일경험 참여신청서</t>
    <phoneticPr fontId="11" type="noConversion"/>
  </si>
  <si>
    <t>[서식40] 개인정보 활용에 관한 동의서</t>
    <phoneticPr fontId="11" type="noConversion"/>
  </si>
  <si>
    <t>[서식46] 참여 청년 자격 확인서</t>
    <phoneticPr fontId="11" type="noConversion"/>
  </si>
  <si>
    <t>신청서_이름.xlsx</t>
    <phoneticPr fontId="11" type="noConversion"/>
  </si>
  <si>
    <t>신분증 사본</t>
    <phoneticPr fontId="11" type="noConversion"/>
  </si>
  <si>
    <t>통장 사본</t>
    <phoneticPr fontId="11" type="noConversion"/>
  </si>
  <si>
    <t>사업자 사실증명서</t>
    <phoneticPr fontId="11" type="noConversion"/>
  </si>
  <si>
    <t>(휴업),(폐업)시 각각 휴업사실증명, 폐업사실증명 필요
(링크는 신청서_이름.xlsx 양식에 있음)</t>
    <phoneticPr fontId="11" type="noConversion"/>
  </si>
  <si>
    <t>03. 사전직무
교육</t>
    <phoneticPr fontId="11" type="noConversion"/>
  </si>
  <si>
    <t>[서식125] 사전직무교육 실시보고_기업명.hwp</t>
    <phoneticPr fontId="11" type="noConversion"/>
  </si>
  <si>
    <t>개시 당일</t>
    <phoneticPr fontId="11" type="noConversion"/>
  </si>
  <si>
    <t>실시 후 5일 이내 보고</t>
    <phoneticPr fontId="11" type="noConversion"/>
  </si>
  <si>
    <t>[서식104] 사전직무교육 공가관리대장_기업명.hwp</t>
    <phoneticPr fontId="11" type="noConversion"/>
  </si>
  <si>
    <t>직무교육 중</t>
    <phoneticPr fontId="11" type="noConversion"/>
  </si>
  <si>
    <t>사전직무교육 결석 사유가 있을 경우 대장관리 필요.</t>
    <phoneticPr fontId="11" type="noConversion"/>
  </si>
  <si>
    <t>[서식103] 사전직무교육 출석부_기업명.hwp</t>
    <phoneticPr fontId="11" type="noConversion"/>
  </si>
  <si>
    <t>[서식16] 사전직무교육만족도조사_기업명.hwp</t>
    <phoneticPr fontId="11" type="noConversion"/>
  </si>
  <si>
    <t>종료당일</t>
    <phoneticPr fontId="11" type="noConversion"/>
  </si>
  <si>
    <t>사전직무교육비-청년교육수당.xlsx</t>
    <phoneticPr fontId="11" type="noConversion"/>
  </si>
  <si>
    <t>종료 후 10일 이내</t>
    <phoneticPr fontId="11" type="noConversion"/>
  </si>
  <si>
    <t>[서식129] 사전직무교육 수료 보고서_기업명.hwp</t>
    <phoneticPr fontId="11" type="noConversion"/>
  </si>
  <si>
    <t>[서식15] 결과보고서 대체가능, 실적보고서라고도 함.</t>
    <phoneticPr fontId="11" type="noConversion"/>
  </si>
  <si>
    <t>04. 프로그램 
운영</t>
    <phoneticPr fontId="11" type="noConversion"/>
  </si>
  <si>
    <t>[서식118] 인턴형 일경험 프로그램 표준 계약서_기업명.hwp</t>
    <phoneticPr fontId="11" type="noConversion"/>
  </si>
  <si>
    <t>운영시작 당일</t>
    <phoneticPr fontId="11" type="noConversion"/>
  </si>
  <si>
    <t>[서식34] 인턴형 일경험 실시보고_기업명(3일이내).hwp</t>
    <phoneticPr fontId="11" type="noConversion"/>
  </si>
  <si>
    <t>3일 이내</t>
    <phoneticPr fontId="11" type="noConversion"/>
  </si>
  <si>
    <t>[서식35] ( )월 인턴형 일경험 결과보고(지원금 신청 포함).hwp</t>
    <phoneticPr fontId="11" type="noConversion"/>
  </si>
  <si>
    <t>4주마다</t>
    <phoneticPr fontId="11" type="noConversion"/>
  </si>
  <si>
    <t>※서명란은 꼭 직인 이미지 삽입!(위 필독사항 3번 참조)</t>
    <phoneticPr fontId="11" type="noConversion"/>
  </si>
  <si>
    <t>[서식17] 청년 일경험 프로그램 출석부 1차(4주차)_기업명.hwp</t>
    <phoneticPr fontId="11" type="noConversion"/>
  </si>
  <si>
    <t>[서식17] 청년 일경험 프로그램 출석부 2차(8주차)_기업명.hwp</t>
    <phoneticPr fontId="11" type="noConversion"/>
  </si>
  <si>
    <t>[서식106] 참여기업 중간점검 일지.hwp</t>
    <phoneticPr fontId="11" type="noConversion"/>
  </si>
  <si>
    <t>[서식13] 참여기업 지원금 지급 신청서.hwp</t>
    <phoneticPr fontId="11" type="noConversion"/>
  </si>
  <si>
    <t>[서식123] 일경험 중도포기 신청서.hwp</t>
    <phoneticPr fontId="11" type="noConversion"/>
  </si>
  <si>
    <t>중도포기시</t>
    <phoneticPr fontId="11" type="noConversion"/>
  </si>
  <si>
    <t>[서식109] 청년 일경험 인턴형 종합 보고서_기업명.hwp</t>
    <phoneticPr fontId="11" type="noConversion"/>
  </si>
  <si>
    <t>05. 프로그램
종료</t>
    <phoneticPr fontId="11" type="noConversion"/>
  </si>
  <si>
    <t>인턴형 일경험 프로그램 만족도 조사(미래내일 홈페이지)</t>
    <phoneticPr fontId="11" type="noConversion"/>
  </si>
  <si>
    <t>프로그램 종료 시</t>
    <phoneticPr fontId="11" type="noConversion"/>
  </si>
  <si>
    <t>참여청년 수료증</t>
    <phoneticPr fontId="11" type="noConversion"/>
  </si>
  <si>
    <t>월</t>
    <phoneticPr fontId="11" type="noConversion"/>
  </si>
  <si>
    <r>
      <t>[</t>
    </r>
    <r>
      <rPr>
        <b/>
        <sz val="11"/>
        <color rgb="FF9C0006"/>
        <rFont val="Arial"/>
        <family val="3"/>
        <charset val="129"/>
        <scheme val="minor"/>
      </rPr>
      <t>서식</t>
    </r>
    <r>
      <rPr>
        <b/>
        <sz val="11"/>
        <color rgb="FF9C0006"/>
        <rFont val="Arial"/>
        <family val="2"/>
        <scheme val="minor"/>
      </rPr>
      <t xml:space="preserve">134-1] </t>
    </r>
    <r>
      <rPr>
        <b/>
        <sz val="11"/>
        <color rgb="FF9C0006"/>
        <rFont val="Arial"/>
        <family val="3"/>
        <charset val="129"/>
        <scheme val="minor"/>
      </rPr>
      <t>멘토수당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신청서</t>
    </r>
    <r>
      <rPr>
        <b/>
        <sz val="11"/>
        <color rgb="FF9C0006"/>
        <rFont val="Arial"/>
        <family val="2"/>
        <scheme val="minor"/>
      </rPr>
      <t>_</t>
    </r>
    <r>
      <rPr>
        <b/>
        <sz val="11"/>
        <color rgb="FF9C0006"/>
        <rFont val="Arial"/>
        <family val="3"/>
        <charset val="129"/>
        <scheme val="minor"/>
      </rPr>
      <t>기업명</t>
    </r>
    <r>
      <rPr>
        <b/>
        <sz val="11"/>
        <color rgb="FF9C0006"/>
        <rFont val="Arial"/>
        <family val="2"/>
        <scheme val="minor"/>
      </rPr>
      <t>.hwp</t>
    </r>
    <phoneticPr fontId="11" type="noConversion"/>
  </si>
  <si>
    <r>
      <rPr>
        <b/>
        <sz val="11"/>
        <color rgb="FF9C0006"/>
        <rFont val="Arial"/>
        <family val="3"/>
        <charset val="129"/>
        <scheme val="minor"/>
      </rPr>
      <t>프로그램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운영</t>
    </r>
    <r>
      <rPr>
        <b/>
        <sz val="11"/>
        <color rgb="FF9C0006"/>
        <rFont val="Arial"/>
        <family val="2"/>
        <scheme val="minor"/>
      </rPr>
      <t xml:space="preserve"> 4</t>
    </r>
    <r>
      <rPr>
        <b/>
        <sz val="11"/>
        <color rgb="FF9C0006"/>
        <rFont val="Arial"/>
        <family val="3"/>
        <charset val="129"/>
        <scheme val="minor"/>
      </rPr>
      <t>주마다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제출</t>
    </r>
    <phoneticPr fontId="11" type="noConversion"/>
  </si>
  <si>
    <r>
      <t>[</t>
    </r>
    <r>
      <rPr>
        <b/>
        <sz val="11"/>
        <color rgb="FF9C0006"/>
        <rFont val="Arial"/>
        <family val="3"/>
        <charset val="129"/>
        <scheme val="minor"/>
      </rPr>
      <t>서식</t>
    </r>
    <r>
      <rPr>
        <b/>
        <sz val="11"/>
        <color rgb="FF9C0006"/>
        <rFont val="Arial"/>
        <family val="2"/>
        <scheme val="minor"/>
      </rPr>
      <t xml:space="preserve">134-2] </t>
    </r>
    <r>
      <rPr>
        <b/>
        <sz val="11"/>
        <color rgb="FF9C0006"/>
        <rFont val="Arial"/>
        <family val="3"/>
        <charset val="129"/>
        <scheme val="minor"/>
      </rPr>
      <t>멘토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결과보고서</t>
    </r>
    <r>
      <rPr>
        <b/>
        <sz val="11"/>
        <color rgb="FF9C0006"/>
        <rFont val="Arial"/>
        <family val="2"/>
        <scheme val="minor"/>
      </rPr>
      <t>_</t>
    </r>
    <r>
      <rPr>
        <b/>
        <sz val="11"/>
        <color rgb="FF9C0006"/>
        <rFont val="Arial"/>
        <family val="3"/>
        <charset val="129"/>
        <scheme val="minor"/>
      </rPr>
      <t>기업명</t>
    </r>
    <r>
      <rPr>
        <b/>
        <sz val="11"/>
        <color rgb="FF9C0006"/>
        <rFont val="Arial"/>
        <family val="2"/>
        <scheme val="minor"/>
      </rPr>
      <t>.hwp</t>
    </r>
    <phoneticPr fontId="11" type="noConversion"/>
  </si>
  <si>
    <t>2024. 11. 18 ~ 2025. 01. 10</t>
    <phoneticPr fontId="11" type="noConversion"/>
  </si>
  <si>
    <t>`</t>
    <phoneticPr fontId="11" type="noConversion"/>
  </si>
  <si>
    <t>example2@nate.com</t>
    <phoneticPr fontId="11" type="noConversion"/>
  </si>
  <si>
    <t>example1@nate.com</t>
    <phoneticPr fontId="11" type="noConversion"/>
  </si>
  <si>
    <t>00-000-0000</t>
    <phoneticPr fontId="11" type="noConversion"/>
  </si>
  <si>
    <t>010-0000-0001</t>
    <phoneticPr fontId="11" type="noConversion"/>
  </si>
  <si>
    <r>
      <rPr>
        <b/>
        <sz val="12"/>
        <color theme="1"/>
        <rFont val="Arial"/>
        <family val="3"/>
        <charset val="129"/>
        <scheme val="minor"/>
      </rPr>
      <t>사업장명</t>
    </r>
    <phoneticPr fontId="11" type="noConversion"/>
  </si>
  <si>
    <r>
      <rPr>
        <b/>
        <sz val="12"/>
        <color theme="1"/>
        <rFont val="Arial"/>
        <family val="3"/>
        <charset val="129"/>
        <scheme val="minor"/>
      </rPr>
      <t>대표자명</t>
    </r>
    <phoneticPr fontId="11" type="noConversion"/>
  </si>
  <si>
    <r>
      <rPr>
        <b/>
        <sz val="12"/>
        <color theme="1"/>
        <rFont val="Arial"/>
        <family val="3"/>
        <charset val="129"/>
        <scheme val="minor"/>
      </rPr>
      <t xml:space="preserve">사업자등록번호
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3"/>
        <charset val="129"/>
        <scheme val="minor"/>
      </rPr>
      <t>법인등록번호</t>
    </r>
    <r>
      <rPr>
        <b/>
        <sz val="12"/>
        <color theme="1"/>
        <rFont val="Arial"/>
        <family val="2"/>
        <scheme val="minor"/>
      </rPr>
      <t>)</t>
    </r>
    <phoneticPr fontId="11" type="noConversion"/>
  </si>
  <si>
    <r>
      <rPr>
        <b/>
        <sz val="12"/>
        <color theme="1"/>
        <rFont val="Arial"/>
        <family val="3"/>
        <charset val="129"/>
        <scheme val="minor"/>
      </rPr>
      <t>고용보험사업장관리번호</t>
    </r>
    <phoneticPr fontId="11" type="noConversion"/>
  </si>
  <si>
    <r>
      <rPr>
        <b/>
        <sz val="12"/>
        <color theme="1"/>
        <rFont val="Arial"/>
        <family val="3"/>
        <charset val="129"/>
        <scheme val="minor"/>
      </rPr>
      <t>소재지</t>
    </r>
    <phoneticPr fontId="11" type="noConversion"/>
  </si>
  <si>
    <r>
      <rPr>
        <b/>
        <sz val="12"/>
        <color theme="1"/>
        <rFont val="Arial"/>
        <family val="3"/>
        <charset val="129"/>
        <scheme val="minor"/>
      </rPr>
      <t>담당자성명</t>
    </r>
    <phoneticPr fontId="11" type="noConversion"/>
  </si>
  <si>
    <r>
      <rPr>
        <b/>
        <sz val="12"/>
        <color theme="1"/>
        <rFont val="Arial"/>
        <family val="3"/>
        <charset val="129"/>
        <scheme val="minor"/>
      </rPr>
      <t>담당자전화번호</t>
    </r>
    <phoneticPr fontId="11" type="noConversion"/>
  </si>
  <si>
    <r>
      <rPr>
        <b/>
        <sz val="12"/>
        <color theme="1"/>
        <rFont val="Arial"/>
        <family val="3"/>
        <charset val="129"/>
        <scheme val="minor"/>
      </rPr>
      <t>담당자이메일</t>
    </r>
    <phoneticPr fontId="11" type="noConversion"/>
  </si>
  <si>
    <r>
      <rPr>
        <b/>
        <sz val="12"/>
        <color theme="1"/>
        <rFont val="Arial"/>
        <family val="3"/>
        <charset val="129"/>
        <scheme val="minor"/>
      </rPr>
      <t>담당자팩스번호</t>
    </r>
    <phoneticPr fontId="11" type="noConversion"/>
  </si>
  <si>
    <r>
      <rPr>
        <b/>
        <sz val="12"/>
        <color theme="1"/>
        <rFont val="Arial"/>
        <family val="3"/>
        <charset val="129"/>
        <scheme val="minor"/>
      </rPr>
      <t>작성날짜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</si>
  <si>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은행명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</si>
  <si>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계좌번호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</si>
  <si>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예금주</t>
    </r>
    <phoneticPr fontId="11" type="noConversion"/>
  </si>
  <si>
    <r>
      <rPr>
        <b/>
        <sz val="12"/>
        <color theme="1"/>
        <rFont val="Arial"/>
        <family val="3"/>
        <charset val="129"/>
        <scheme val="minor"/>
      </rPr>
      <t>참여청년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성명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3"/>
        <charset val="129"/>
        <scheme val="minor"/>
      </rPr>
      <t>주민등록번호</t>
    </r>
    <r>
      <rPr>
        <b/>
        <sz val="12"/>
        <color theme="1"/>
        <rFont val="Arial"/>
        <family val="2"/>
        <scheme val="minor"/>
      </rPr>
      <t>)</t>
    </r>
    <phoneticPr fontId="11" type="noConversion"/>
  </si>
  <si>
    <r>
      <rPr>
        <b/>
        <sz val="12"/>
        <color theme="1"/>
        <rFont val="Arial"/>
        <family val="3"/>
        <charset val="129"/>
        <scheme val="minor"/>
      </rPr>
      <t>참여일</t>
    </r>
    <r>
      <rPr>
        <b/>
        <sz val="12"/>
        <color theme="1"/>
        <rFont val="Arial"/>
        <family val="2"/>
        <scheme val="minor"/>
      </rPr>
      <t xml:space="preserve">( </t>
    </r>
    <r>
      <rPr>
        <b/>
        <sz val="12"/>
        <color theme="1"/>
        <rFont val="Arial"/>
        <family val="3"/>
        <charset val="129"/>
        <scheme val="minor"/>
      </rPr>
      <t>년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월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일</t>
    </r>
    <r>
      <rPr>
        <b/>
        <sz val="12"/>
        <color theme="1"/>
        <rFont val="Arial"/>
        <family val="2"/>
        <scheme val="minor"/>
      </rPr>
      <t>)</t>
    </r>
    <phoneticPr fontId="11" type="noConversion"/>
  </si>
  <si>
    <r>
      <rPr>
        <b/>
        <sz val="12"/>
        <color theme="1"/>
        <rFont val="Arial"/>
        <family val="3"/>
        <charset val="129"/>
        <scheme val="minor"/>
      </rPr>
      <t>신청기간</t>
    </r>
    <r>
      <rPr>
        <b/>
        <sz val="12"/>
        <color theme="1"/>
        <rFont val="Arial"/>
        <family val="2"/>
        <scheme val="minor"/>
      </rPr>
      <t xml:space="preserve">( </t>
    </r>
    <r>
      <rPr>
        <b/>
        <sz val="12"/>
        <color theme="1"/>
        <rFont val="Arial"/>
        <family val="3"/>
        <charset val="129"/>
        <scheme val="minor"/>
      </rPr>
      <t>년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월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일</t>
    </r>
    <r>
      <rPr>
        <b/>
        <sz val="12"/>
        <color theme="1"/>
        <rFont val="Arial"/>
        <family val="2"/>
        <scheme val="minor"/>
      </rPr>
      <t xml:space="preserve"> ~ </t>
    </r>
    <r>
      <rPr>
        <b/>
        <sz val="12"/>
        <color theme="1"/>
        <rFont val="Arial"/>
        <family val="3"/>
        <charset val="129"/>
        <scheme val="minor"/>
      </rPr>
      <t>년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월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일</t>
    </r>
    <r>
      <rPr>
        <b/>
        <sz val="12"/>
        <color theme="1"/>
        <rFont val="Arial"/>
        <family val="2"/>
        <scheme val="minor"/>
      </rPr>
      <t>)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</si>
  <si>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신청금액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2"/>
        <charset val="129"/>
        <scheme val="minor"/>
      </rPr>
      <t>원</t>
    </r>
    <r>
      <rPr>
        <b/>
        <sz val="12"/>
        <color theme="1"/>
        <rFont val="Arial"/>
        <family val="2"/>
        <scheme val="minor"/>
      </rPr>
      <t>)</t>
    </r>
    <phoneticPr fontId="11" type="noConversion"/>
  </si>
  <si>
    <r>
      <rPr>
        <b/>
        <sz val="12"/>
        <color theme="1"/>
        <rFont val="Arial"/>
        <family val="3"/>
        <charset val="129"/>
        <scheme val="minor"/>
      </rPr>
      <t>대표자명</t>
    </r>
  </si>
  <si>
    <r>
      <rPr>
        <b/>
        <sz val="12"/>
        <color theme="1"/>
        <rFont val="Arial"/>
        <family val="3"/>
        <charset val="129"/>
        <scheme val="minor"/>
      </rPr>
      <t>고용보험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사업장</t>
    </r>
    <r>
      <rPr>
        <b/>
        <sz val="12"/>
        <color theme="1"/>
        <rFont val="Arial"/>
        <family val="2"/>
        <scheme val="minor"/>
      </rPr>
      <t xml:space="preserve"> 
</t>
    </r>
    <r>
      <rPr>
        <b/>
        <sz val="12"/>
        <color theme="1"/>
        <rFont val="Arial"/>
        <family val="3"/>
        <charset val="129"/>
        <scheme val="minor"/>
      </rPr>
      <t>관리번호</t>
    </r>
  </si>
  <si>
    <r>
      <rPr>
        <b/>
        <sz val="12"/>
        <color theme="1"/>
        <rFont val="Arial"/>
        <family val="3"/>
        <charset val="129"/>
        <scheme val="minor"/>
      </rPr>
      <t>기업구분</t>
    </r>
    <r>
      <rPr>
        <b/>
        <sz val="12"/>
        <color theme="1"/>
        <rFont val="Arial"/>
        <family val="2"/>
        <scheme val="minor"/>
      </rPr>
      <t xml:space="preserve"> </t>
    </r>
  </si>
  <si>
    <r>
      <rPr>
        <b/>
        <sz val="12"/>
        <color theme="1"/>
        <rFont val="Arial"/>
        <family val="3"/>
        <charset val="129"/>
        <scheme val="minor"/>
      </rPr>
      <t>수행업무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3"/>
        <charset val="129"/>
        <scheme val="minor"/>
      </rPr>
      <t>직무</t>
    </r>
    <r>
      <rPr>
        <b/>
        <sz val="12"/>
        <color theme="1"/>
        <rFont val="Arial"/>
        <family val="2"/>
        <scheme val="minor"/>
      </rPr>
      <t>)</t>
    </r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</si>
  <si>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직위</t>
    </r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</si>
  <si>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연락처</t>
    </r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</si>
  <si>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이메일</t>
    </r>
  </si>
  <si>
    <r>
      <rPr>
        <b/>
        <sz val="12"/>
        <color theme="1"/>
        <rFont val="Arial"/>
        <family val="2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2"/>
        <charset val="129"/>
        <scheme val="minor"/>
      </rPr>
      <t>팩스번호</t>
    </r>
    <phoneticPr fontId="11" type="noConversion"/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</si>
  <si>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직위</t>
    </r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</si>
  <si>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연락처</t>
    </r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</si>
  <si>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이메일</t>
    </r>
  </si>
  <si>
    <r>
      <rPr>
        <b/>
        <sz val="12"/>
        <color theme="1"/>
        <rFont val="Arial"/>
        <family val="2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2"/>
        <charset val="129"/>
        <scheme val="minor"/>
      </rPr>
      <t>팩스번호</t>
    </r>
    <phoneticPr fontId="11" type="noConversion"/>
  </si>
  <si>
    <r>
      <rPr>
        <b/>
        <sz val="12"/>
        <color theme="1"/>
        <rFont val="Arial"/>
        <family val="3"/>
        <charset val="129"/>
        <scheme val="minor"/>
      </rPr>
      <t>참여자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직무</t>
    </r>
  </si>
  <si>
    <r>
      <rPr>
        <b/>
        <sz val="12"/>
        <color theme="1"/>
        <rFont val="Arial"/>
        <family val="3"/>
        <charset val="129"/>
        <scheme val="minor"/>
      </rPr>
      <t>참여자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근무부서</t>
    </r>
  </si>
  <si>
    <r>
      <rPr>
        <b/>
        <sz val="12"/>
        <color theme="1"/>
        <rFont val="Arial"/>
        <family val="3"/>
        <charset val="129"/>
        <scheme val="minor"/>
      </rPr>
      <t>참여자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주요업무</t>
    </r>
  </si>
  <si>
    <r>
      <rPr>
        <b/>
        <sz val="12"/>
        <color theme="1"/>
        <rFont val="Arial"/>
        <family val="3"/>
        <charset val="129"/>
        <scheme val="minor"/>
      </rPr>
      <t>일경험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기간</t>
    </r>
    <phoneticPr fontId="11" type="noConversion"/>
  </si>
  <si>
    <r>
      <rPr>
        <b/>
        <sz val="12"/>
        <color rgb="FF000000"/>
        <rFont val="Arial"/>
        <family val="3"/>
        <charset val="129"/>
        <scheme val="minor"/>
      </rPr>
      <t>일경험</t>
    </r>
    <r>
      <rPr>
        <b/>
        <sz val="12"/>
        <color rgb="FF000000"/>
        <rFont val="Arial"/>
        <family val="2"/>
        <scheme val="minor"/>
      </rPr>
      <t>(1~4</t>
    </r>
    <r>
      <rPr>
        <b/>
        <sz val="12"/>
        <color rgb="FF000000"/>
        <rFont val="Arial"/>
        <family val="3"/>
        <charset val="129"/>
        <scheme val="minor"/>
      </rPr>
      <t>주</t>
    </r>
    <r>
      <rPr>
        <b/>
        <sz val="12"/>
        <color rgb="FF000000"/>
        <rFont val="Arial"/>
        <family val="2"/>
        <scheme val="minor"/>
      </rPr>
      <t>)</t>
    </r>
    <phoneticPr fontId="11" type="noConversion"/>
  </si>
  <si>
    <r>
      <rPr>
        <b/>
        <sz val="12"/>
        <color rgb="FF000000"/>
        <rFont val="Arial"/>
        <family val="3"/>
        <charset val="129"/>
        <scheme val="minor"/>
      </rPr>
      <t>일경험</t>
    </r>
    <r>
      <rPr>
        <b/>
        <sz val="12"/>
        <color rgb="FF000000"/>
        <rFont val="Arial"/>
        <family val="2"/>
        <scheme val="minor"/>
      </rPr>
      <t>(5~8</t>
    </r>
    <r>
      <rPr>
        <b/>
        <sz val="12"/>
        <color rgb="FF000000"/>
        <rFont val="Arial"/>
        <family val="3"/>
        <charset val="129"/>
        <scheme val="minor"/>
      </rPr>
      <t>주</t>
    </r>
    <r>
      <rPr>
        <b/>
        <sz val="12"/>
        <color rgb="FF000000"/>
        <rFont val="Arial"/>
        <family val="2"/>
        <scheme val="minor"/>
      </rPr>
      <t>)</t>
    </r>
    <phoneticPr fontId="11" type="noConversion"/>
  </si>
  <si>
    <t>Arial</t>
    <phoneticPr fontId="11" type="noConversion"/>
  </si>
  <si>
    <t>가로정렬</t>
    <phoneticPr fontId="11" type="noConversion"/>
  </si>
  <si>
    <t>#fbdad7</t>
    <phoneticPr fontId="11" type="noConversion"/>
  </si>
  <si>
    <t>#b3cefb</t>
    <phoneticPr fontId="11" type="noConversion"/>
  </si>
  <si>
    <t>#f2f2f2</t>
    <phoneticPr fontId="11" type="noConversion"/>
  </si>
  <si>
    <t>#ffffff</t>
    <phoneticPr fontId="11" type="noConversion"/>
  </si>
  <si>
    <t>가운데</t>
    <phoneticPr fontId="11" type="noConversion"/>
  </si>
  <si>
    <t>볼드</t>
    <phoneticPr fontId="11" type="noConversion"/>
  </si>
  <si>
    <r>
      <rPr>
        <b/>
        <sz val="13"/>
        <color theme="1"/>
        <rFont val="Arial"/>
        <family val="3"/>
        <charset val="129"/>
        <scheme val="minor"/>
      </rPr>
      <t>사업장명</t>
    </r>
    <phoneticPr fontId="11" type="noConversion"/>
  </si>
  <si>
    <r>
      <rPr>
        <b/>
        <sz val="13"/>
        <color theme="1"/>
        <rFont val="Arial"/>
        <family val="2"/>
        <charset val="129"/>
        <scheme val="minor"/>
      </rPr>
      <t>대표자명</t>
    </r>
    <phoneticPr fontId="11" type="noConversion"/>
  </si>
  <si>
    <r>
      <rPr>
        <b/>
        <sz val="13"/>
        <color theme="1"/>
        <rFont val="Arial"/>
        <family val="3"/>
        <charset val="129"/>
        <scheme val="minor"/>
      </rPr>
      <t>소재지</t>
    </r>
    <phoneticPr fontId="11" type="noConversion"/>
  </si>
  <si>
    <r>
      <rPr>
        <b/>
        <sz val="13"/>
        <color theme="1"/>
        <rFont val="Arial"/>
        <family val="3"/>
        <charset val="129"/>
        <scheme val="minor"/>
      </rPr>
      <t>업종</t>
    </r>
    <phoneticPr fontId="11" type="noConversion"/>
  </si>
  <si>
    <r>
      <rPr>
        <b/>
        <sz val="13"/>
        <color theme="1"/>
        <rFont val="Arial"/>
        <family val="3"/>
        <charset val="129"/>
        <scheme val="minor"/>
      </rPr>
      <t>피보험자수</t>
    </r>
    <phoneticPr fontId="11" type="noConversion"/>
  </si>
  <si>
    <r>
      <rPr>
        <b/>
        <sz val="13"/>
        <color theme="1"/>
        <rFont val="Arial"/>
        <family val="3"/>
        <charset val="129"/>
        <scheme val="minor"/>
      </rPr>
      <t>전화번호</t>
    </r>
    <phoneticPr fontId="11" type="noConversion"/>
  </si>
  <si>
    <r>
      <rPr>
        <b/>
        <sz val="13"/>
        <color theme="1"/>
        <rFont val="Arial"/>
        <family val="3"/>
        <charset val="129"/>
        <scheme val="minor"/>
      </rPr>
      <t>이메일</t>
    </r>
    <phoneticPr fontId="11" type="noConversion"/>
  </si>
  <si>
    <r>
      <rPr>
        <b/>
        <sz val="13"/>
        <color theme="1"/>
        <rFont val="Arial"/>
        <family val="3"/>
        <charset val="129"/>
        <scheme val="minor"/>
      </rPr>
      <t>작성날짜</t>
    </r>
    <phoneticPr fontId="11" type="noConversion"/>
  </si>
  <si>
    <r>
      <rPr>
        <u/>
        <sz val="20"/>
        <color rgb="FF000000"/>
        <rFont val="Arial"/>
        <family val="2"/>
        <charset val="129"/>
        <scheme val="minor"/>
      </rPr>
      <t>참여기업</t>
    </r>
    <phoneticPr fontId="11" type="noConversion"/>
  </si>
  <si>
    <r>
      <rPr>
        <u/>
        <sz val="20"/>
        <color rgb="FF000000"/>
        <rFont val="Arial"/>
        <family val="2"/>
        <charset val="129"/>
        <scheme val="minor"/>
      </rPr>
      <t>프로그램</t>
    </r>
    <phoneticPr fontId="11" type="noConversion"/>
  </si>
  <si>
    <r>
      <rPr>
        <b/>
        <sz val="13"/>
        <color theme="1"/>
        <rFont val="Arial"/>
        <family val="3"/>
        <charset val="129"/>
        <scheme val="minor"/>
      </rPr>
      <t>프로그램명</t>
    </r>
    <phoneticPr fontId="11" type="noConversion"/>
  </si>
  <si>
    <r>
      <rPr>
        <b/>
        <sz val="13"/>
        <color theme="1"/>
        <rFont val="Arial"/>
        <family val="3"/>
        <charset val="129"/>
        <scheme val="minor"/>
      </rPr>
      <t>직무분야</t>
    </r>
    <phoneticPr fontId="11" type="noConversion"/>
  </si>
  <si>
    <r>
      <rPr>
        <b/>
        <sz val="13"/>
        <color theme="1"/>
        <rFont val="Arial"/>
        <family val="3"/>
        <charset val="129"/>
        <scheme val="minor"/>
      </rPr>
      <t>프로그램내용</t>
    </r>
    <phoneticPr fontId="11" type="noConversion"/>
  </si>
  <si>
    <r>
      <rPr>
        <b/>
        <sz val="13"/>
        <color theme="1"/>
        <rFont val="Arial"/>
        <family val="3"/>
        <charset val="129"/>
        <scheme val="minor"/>
      </rPr>
      <t>프로그램기간</t>
    </r>
    <phoneticPr fontId="11" type="noConversion"/>
  </si>
  <si>
    <r>
      <rPr>
        <b/>
        <sz val="13"/>
        <color theme="1"/>
        <rFont val="Arial"/>
        <family val="3"/>
        <charset val="129"/>
        <scheme val="minor"/>
      </rPr>
      <t>프로그램장소</t>
    </r>
    <phoneticPr fontId="11" type="noConversion"/>
  </si>
  <si>
    <r>
      <rPr>
        <b/>
        <sz val="13"/>
        <color theme="1"/>
        <rFont val="Arial"/>
        <family val="3"/>
        <charset val="129"/>
        <scheme val="minor"/>
      </rPr>
      <t>프로그램참여인원</t>
    </r>
    <phoneticPr fontId="11" type="noConversion"/>
  </si>
  <si>
    <r>
      <rPr>
        <u/>
        <sz val="20"/>
        <color rgb="FF000000"/>
        <rFont val="Arial"/>
        <family val="2"/>
        <charset val="129"/>
        <scheme val="minor"/>
      </rPr>
      <t>참여자명단</t>
    </r>
    <phoneticPr fontId="11" type="noConversion"/>
  </si>
  <si>
    <t>사단법인 한국무선인터넷솔루션협회 운영기관장</t>
  </si>
  <si>
    <t>1. 시트 잠금</t>
  </si>
  <si>
    <t>1. 잠금을 걸고 싶은 시트를 선택하세요.</t>
  </si>
  <si>
    <r>
      <t xml:space="preserve">2. 엑셀 상단 메뉴에서 </t>
    </r>
    <r>
      <rPr>
        <b/>
        <sz val="10"/>
        <color rgb="FF000000"/>
        <rFont val="Arial"/>
        <family val="2"/>
        <scheme val="minor"/>
      </rPr>
      <t>[검토]</t>
    </r>
    <r>
      <rPr>
        <sz val="10"/>
        <color rgb="FF000000"/>
        <rFont val="Arial"/>
        <family val="2"/>
        <scheme val="minor"/>
      </rPr>
      <t xml:space="preserve"> 탭으로 이동합니다.</t>
    </r>
  </si>
  <si>
    <r>
      <t>3. [시트 보호]</t>
    </r>
    <r>
      <rPr>
        <sz val="10"/>
        <color rgb="FF000000"/>
        <rFont val="Arial"/>
        <family val="2"/>
        <scheme val="minor"/>
      </rPr>
      <t xml:space="preserve"> 버튼을 클릭합니다.</t>
    </r>
  </si>
  <si>
    <r>
      <t>5. 확인</t>
    </r>
    <r>
      <rPr>
        <sz val="10"/>
        <color rgb="FF000000"/>
        <rFont val="Arial"/>
        <family val="2"/>
        <scheme val="minor"/>
      </rPr>
      <t>을 클릭하면 해당 시트가 잠깁니다.</t>
    </r>
  </si>
  <si>
    <t>2. 시트 내 특정 셀은 수정 가능하게 설정</t>
  </si>
  <si>
    <t>1. 수정 가능하게 하고 싶은 셀을 선택합니다.</t>
  </si>
  <si>
    <r>
      <t>3. [보호]</t>
    </r>
    <r>
      <rPr>
        <sz val="10"/>
        <color rgb="FF000000"/>
        <rFont val="Arial"/>
        <family val="2"/>
        <scheme val="minor"/>
      </rPr>
      <t xml:space="preserve"> 탭으로 이동하여 </t>
    </r>
    <r>
      <rPr>
        <b/>
        <sz val="10"/>
        <color rgb="FF000000"/>
        <rFont val="Arial"/>
        <family val="2"/>
        <scheme val="minor"/>
      </rPr>
      <t>잠금</t>
    </r>
    <r>
      <rPr>
        <sz val="10"/>
        <color rgb="FF000000"/>
        <rFont val="Arial"/>
        <family val="2"/>
        <scheme val="minor"/>
      </rPr>
      <t xml:space="preserve"> 체크를 해제합니다.</t>
    </r>
  </si>
  <si>
    <r>
      <t xml:space="preserve">4. 위 단계를 완료한 후, 다시 </t>
    </r>
    <r>
      <rPr>
        <b/>
        <sz val="10"/>
        <color rgb="FF000000"/>
        <rFont val="Arial"/>
        <family val="2"/>
        <scheme val="minor"/>
      </rPr>
      <t>시트 보호</t>
    </r>
    <r>
      <rPr>
        <sz val="10"/>
        <color rgb="FF000000"/>
        <rFont val="Arial"/>
        <family val="2"/>
        <scheme val="minor"/>
      </rPr>
      <t>를 설정하면 해당 셀은 수정 가능하고 나머지 부분은 수정할 수 없습니다.</t>
    </r>
  </si>
  <si>
    <t>#유일하지 않고 중복되는 필드명들이 있다면 구분할 수 있는 키워드를 넣어서 유일한 필드로 만든다.</t>
    <phoneticPr fontId="11" type="noConversion"/>
  </si>
  <si>
    <r>
      <rPr>
        <sz val="10"/>
        <color rgb="FF000000"/>
        <rFont val="Arial"/>
        <family val="3"/>
        <charset val="129"/>
        <scheme val="minor"/>
      </rPr>
      <t>담당자는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참여기업을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붙여서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필드명을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넣는다</t>
    </r>
    <r>
      <rPr>
        <sz val="10"/>
        <color rgb="FF000000"/>
        <rFont val="Arial"/>
        <family val="2"/>
        <scheme val="minor"/>
      </rPr>
      <t>.</t>
    </r>
    <phoneticPr fontId="11" type="noConversion"/>
  </si>
  <si>
    <r>
      <rPr>
        <sz val="10"/>
        <color rgb="FF000000"/>
        <rFont val="Arial"/>
        <family val="3"/>
        <charset val="129"/>
        <scheme val="minor"/>
      </rPr>
      <t>멘토는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멘토를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붙여서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필드명을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넣는다</t>
    </r>
    <r>
      <rPr>
        <sz val="10"/>
        <color rgb="FF000000"/>
        <rFont val="Arial"/>
        <family val="2"/>
        <scheme val="minor"/>
      </rPr>
      <t>.</t>
    </r>
    <phoneticPr fontId="11" type="noConversion"/>
  </si>
  <si>
    <r>
      <rPr>
        <b/>
        <i/>
        <u/>
        <sz val="11"/>
        <color rgb="FFFF0000"/>
        <rFont val="Arial"/>
        <family val="3"/>
        <charset val="129"/>
        <scheme val="minor"/>
      </rPr>
      <t>지우지</t>
    </r>
    <r>
      <rPr>
        <b/>
        <i/>
        <u/>
        <sz val="11"/>
        <color rgb="FFFF0000"/>
        <rFont val="Arial"/>
        <family val="2"/>
        <scheme val="minor"/>
      </rPr>
      <t xml:space="preserve"> </t>
    </r>
    <r>
      <rPr>
        <b/>
        <i/>
        <u/>
        <sz val="11"/>
        <color rgb="FFFF0000"/>
        <rFont val="Arial"/>
        <family val="3"/>
        <charset val="129"/>
        <scheme val="minor"/>
      </rPr>
      <t>마세요</t>
    </r>
    <r>
      <rPr>
        <b/>
        <i/>
        <u/>
        <sz val="11"/>
        <color rgb="FFFF0000"/>
        <rFont val="Arial"/>
        <family val="2"/>
        <scheme val="minor"/>
      </rPr>
      <t>.</t>
    </r>
    <phoneticPr fontId="11" type="noConversion"/>
  </si>
  <si>
    <r>
      <rPr>
        <sz val="14"/>
        <color rgb="FF000000"/>
        <rFont val="Arial"/>
        <family val="3"/>
        <charset val="129"/>
        <scheme val="minor"/>
      </rPr>
      <t>기본양식</t>
    </r>
    <phoneticPr fontId="11" type="noConversion"/>
  </si>
  <si>
    <r>
      <rPr>
        <sz val="14"/>
        <color rgb="FF000000"/>
        <rFont val="Arial"/>
        <family val="3"/>
        <charset val="129"/>
        <scheme val="minor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정보</t>
    </r>
    <phoneticPr fontId="11" type="noConversion"/>
  </si>
  <si>
    <r>
      <rPr>
        <b/>
        <u/>
        <sz val="15"/>
        <color rgb="FF000000"/>
        <rFont val="Arial"/>
        <family val="3"/>
        <charset val="129"/>
        <scheme val="minor"/>
      </rPr>
      <t>작성</t>
    </r>
    <r>
      <rPr>
        <b/>
        <u/>
        <sz val="15"/>
        <color rgb="FF000000"/>
        <rFont val="Arial"/>
        <family val="2"/>
        <scheme val="minor"/>
      </rPr>
      <t xml:space="preserve"> </t>
    </r>
    <r>
      <rPr>
        <b/>
        <u/>
        <sz val="15"/>
        <color rgb="FF000000"/>
        <rFont val="Arial"/>
        <family val="3"/>
        <charset val="129"/>
        <scheme val="minor"/>
      </rPr>
      <t>팁</t>
    </r>
    <phoneticPr fontId="11" type="noConversion"/>
  </si>
  <si>
    <r>
      <t>125. (</t>
    </r>
    <r>
      <rPr>
        <sz val="14"/>
        <color rgb="FF000000"/>
        <rFont val="Arial"/>
        <family val="2"/>
        <charset val="129"/>
        <scheme val="minor"/>
      </rPr>
      <t>공통직무교육기관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Arial"/>
        <family val="2"/>
        <charset val="129"/>
        <scheme val="minor"/>
      </rPr>
      <t>사전직무교육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실시보고</t>
    </r>
    <phoneticPr fontId="11" type="noConversion"/>
  </si>
  <si>
    <r>
      <rPr>
        <sz val="10"/>
        <color rgb="FF000000"/>
        <rFont val="Arial"/>
        <family val="3"/>
        <charset val="129"/>
        <scheme val="minor"/>
      </rPr>
      <t>위</t>
    </r>
    <r>
      <rPr>
        <sz val="10"/>
        <color rgb="FF000000"/>
        <rFont val="Arial"/>
        <family val="2"/>
        <scheme val="minor"/>
      </rPr>
      <t>,</t>
    </r>
    <r>
      <rPr>
        <sz val="10"/>
        <color rgb="FF000000"/>
        <rFont val="Arial"/>
        <family val="3"/>
        <charset val="129"/>
        <scheme val="minor"/>
      </rPr>
      <t>아래</t>
    </r>
    <phoneticPr fontId="11" type="noConversion"/>
  </si>
  <si>
    <r>
      <rPr>
        <sz val="10"/>
        <color rgb="FF000000"/>
        <rFont val="Arial"/>
        <family val="3"/>
        <charset val="129"/>
        <scheme val="minor"/>
      </rPr>
      <t>진하게</t>
    </r>
    <phoneticPr fontId="11" type="noConversion"/>
  </si>
  <si>
    <r>
      <rPr>
        <sz val="10"/>
        <color rgb="FF000000"/>
        <rFont val="Arial"/>
        <family val="3"/>
        <charset val="129"/>
        <scheme val="minor"/>
      </rPr>
      <t>가운데</t>
    </r>
    <phoneticPr fontId="11" type="noConversion"/>
  </si>
  <si>
    <r>
      <rPr>
        <sz val="10"/>
        <color rgb="FF000000"/>
        <rFont val="Arial"/>
        <family val="3"/>
        <charset val="129"/>
        <scheme val="minor"/>
      </rPr>
      <t>밑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두줄</t>
    </r>
    <phoneticPr fontId="11" type="noConversion"/>
  </si>
  <si>
    <r>
      <rPr>
        <sz val="10"/>
        <color rgb="FF000000"/>
        <rFont val="Arial"/>
        <family val="3"/>
        <charset val="129"/>
        <scheme val="minor"/>
      </rPr>
      <t>왼쪽</t>
    </r>
    <r>
      <rPr>
        <sz val="10"/>
        <color rgb="FF000000"/>
        <rFont val="Arial"/>
        <family val="2"/>
        <scheme val="minor"/>
      </rPr>
      <t>(세로정렬: 가운데</t>
    </r>
    <phoneticPr fontId="11" type="noConversion"/>
  </si>
  <si>
    <r>
      <rPr>
        <sz val="10"/>
        <color rgb="FF000000"/>
        <rFont val="Arial"/>
        <family val="3"/>
        <charset val="129"/>
        <scheme val="minor"/>
      </rPr>
      <t>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두줄</t>
    </r>
    <r>
      <rPr>
        <sz val="10"/>
        <color rgb="FF000000"/>
        <rFont val="Arial"/>
        <family val="2"/>
        <scheme val="minor"/>
      </rPr>
      <t xml:space="preserve">, </t>
    </r>
    <r>
      <rPr>
        <sz val="10"/>
        <color rgb="FF000000"/>
        <rFont val="Arial"/>
        <family val="3"/>
        <charset val="129"/>
        <scheme val="minor"/>
      </rPr>
      <t>아래</t>
    </r>
    <phoneticPr fontId="11" type="noConversion"/>
  </si>
  <si>
    <r>
      <rPr>
        <sz val="10"/>
        <color rgb="FF000000"/>
        <rFont val="Arial"/>
        <family val="3"/>
        <charset val="129"/>
        <scheme val="minor"/>
      </rPr>
      <t>밑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두줄</t>
    </r>
  </si>
  <si>
    <r>
      <rPr>
        <sz val="10"/>
        <color rgb="FF000000"/>
        <rFont val="Arial"/>
        <family val="3"/>
        <charset val="129"/>
        <scheme val="minor"/>
      </rPr>
      <t>기본</t>
    </r>
    <phoneticPr fontId="11" type="noConversion"/>
  </si>
  <si>
    <r>
      <t xml:space="preserve">13. </t>
    </r>
    <r>
      <rPr>
        <sz val="14"/>
        <color rgb="FF000000"/>
        <rFont val="Arial"/>
        <family val="3"/>
        <charset val="129"/>
        <scheme val="minor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지원금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지급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신청서</t>
    </r>
    <phoneticPr fontId="11" type="noConversion"/>
  </si>
  <si>
    <r>
      <rPr>
        <sz val="10"/>
        <color rgb="FF000000"/>
        <rFont val="Arial"/>
        <family val="3"/>
        <charset val="129"/>
        <scheme val="minor"/>
      </rPr>
      <t>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두줄</t>
    </r>
    <r>
      <rPr>
        <sz val="10"/>
        <color rgb="FF000000"/>
        <rFont val="Arial"/>
        <family val="2"/>
        <scheme val="minor"/>
      </rPr>
      <t xml:space="preserve">, </t>
    </r>
    <r>
      <rPr>
        <sz val="10"/>
        <color rgb="FF000000"/>
        <rFont val="Arial"/>
        <family val="3"/>
        <charset val="129"/>
        <scheme val="minor"/>
      </rPr>
      <t>아래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진하게</t>
    </r>
    <phoneticPr fontId="11" type="noConversion"/>
  </si>
  <si>
    <r>
      <rPr>
        <b/>
        <sz val="20"/>
        <color theme="1"/>
        <rFont val="Arial"/>
        <family val="3"/>
        <charset val="129"/>
        <scheme val="minor"/>
      </rPr>
      <t>참여기업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및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일경험정보</t>
    </r>
    <phoneticPr fontId="11" type="noConversion"/>
  </si>
  <si>
    <r>
      <rPr>
        <b/>
        <u/>
        <sz val="20"/>
        <color rgb="FF000000"/>
        <rFont val="Arial"/>
        <family val="3"/>
        <charset val="129"/>
        <scheme val="minor"/>
      </rPr>
      <t>참여자명단</t>
    </r>
    <phoneticPr fontId="11" type="noConversion"/>
  </si>
  <si>
    <r>
      <rPr>
        <b/>
        <sz val="12"/>
        <color theme="1"/>
        <rFont val="Arial"/>
        <family val="3"/>
        <charset val="129"/>
        <scheme val="minor"/>
      </rPr>
      <t>필드명</t>
    </r>
    <phoneticPr fontId="11" type="noConversion"/>
  </si>
  <si>
    <r>
      <rPr>
        <b/>
        <sz val="14"/>
        <color theme="1"/>
        <rFont val="Arial"/>
        <family val="3"/>
        <charset val="129"/>
        <scheme val="minor"/>
      </rPr>
      <t>단위</t>
    </r>
    <phoneticPr fontId="11" type="noConversion"/>
  </si>
  <si>
    <r>
      <rPr>
        <b/>
        <sz val="14"/>
        <color theme="1"/>
        <rFont val="Arial"/>
        <family val="3"/>
        <charset val="129"/>
        <scheme val="minor"/>
      </rPr>
      <t>필드</t>
    </r>
    <phoneticPr fontId="11" type="noConversion"/>
  </si>
  <si>
    <r>
      <rPr>
        <b/>
        <sz val="14"/>
        <color theme="1"/>
        <rFont val="Arial"/>
        <family val="3"/>
        <charset val="129"/>
        <scheme val="minor"/>
      </rPr>
      <t>입력</t>
    </r>
    <phoneticPr fontId="11" type="noConversion"/>
  </si>
  <si>
    <r>
      <rPr>
        <sz val="12"/>
        <color theme="1"/>
        <rFont val="Arial"/>
        <family val="2"/>
        <charset val="129"/>
        <scheme val="minor"/>
      </rPr>
      <t>입력값</t>
    </r>
    <phoneticPr fontId="11" type="noConversion"/>
  </si>
  <si>
    <r>
      <rPr>
        <u/>
        <sz val="20"/>
        <color rgb="FF000000"/>
        <rFont val="Arial"/>
        <family val="3"/>
        <charset val="129"/>
        <scheme val="minor"/>
      </rPr>
      <t>단위명</t>
    </r>
    <phoneticPr fontId="11" type="noConversion"/>
  </si>
  <si>
    <r>
      <t xml:space="preserve">4. </t>
    </r>
    <r>
      <rPr>
        <sz val="10"/>
        <color rgb="FF000000"/>
        <rFont val="Arial"/>
        <family val="3"/>
        <charset val="129"/>
        <scheme val="minor"/>
      </rPr>
      <t>비밀번호를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입력하여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보호를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설정할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수도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있습니다</t>
    </r>
    <r>
      <rPr>
        <sz val="10"/>
        <color rgb="FF000000"/>
        <rFont val="Arial"/>
        <family val="2"/>
        <scheme val="minor"/>
      </rPr>
      <t>. (</t>
    </r>
    <r>
      <rPr>
        <sz val="10"/>
        <color rgb="FF000000"/>
        <rFont val="Arial"/>
        <family val="3"/>
        <charset val="129"/>
        <scheme val="minor"/>
      </rPr>
      <t>선택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사항</t>
    </r>
    <r>
      <rPr>
        <sz val="10"/>
        <color rgb="FF000000"/>
        <rFont val="Arial"/>
        <family val="2"/>
        <scheme val="minor"/>
      </rPr>
      <t>)</t>
    </r>
    <phoneticPr fontId="11" type="noConversion"/>
  </si>
  <si>
    <r>
      <rPr>
        <sz val="10"/>
        <color rgb="FF000000"/>
        <rFont val="맑은 고딕"/>
        <family val="3"/>
        <charset val="129"/>
      </rPr>
      <t>특정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시트</t>
    </r>
    <r>
      <rPr>
        <sz val="10"/>
        <color rgb="FF000000"/>
        <rFont val="Arial"/>
        <family val="2"/>
        <scheme val="minor"/>
      </rPr>
      <t>(</t>
    </r>
    <r>
      <rPr>
        <sz val="10"/>
        <color rgb="FF000000"/>
        <rFont val="맑은 고딕"/>
        <family val="3"/>
        <charset val="129"/>
      </rPr>
      <t>부모시트</t>
    </r>
    <r>
      <rPr>
        <sz val="10"/>
        <color rgb="FF000000"/>
        <rFont val="Arial"/>
        <family val="2"/>
        <scheme val="minor"/>
      </rPr>
      <t>)</t>
    </r>
    <r>
      <rPr>
        <sz val="10"/>
        <color rgb="FF000000"/>
        <rFont val="맑은 고딕"/>
        <family val="3"/>
        <charset val="129"/>
      </rPr>
      <t>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제외하고는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시트를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수정할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수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없게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시트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잠금을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걸어놓는다</t>
    </r>
    <r>
      <rPr>
        <sz val="10"/>
        <color rgb="FF000000"/>
        <rFont val="Arial"/>
        <family val="2"/>
        <scheme val="minor"/>
      </rPr>
      <t>.</t>
    </r>
    <phoneticPr fontId="11" type="noConversion"/>
  </si>
  <si>
    <r>
      <t>2. [</t>
    </r>
    <r>
      <rPr>
        <sz val="10"/>
        <color rgb="FF000000"/>
        <rFont val="맑은 고딕"/>
        <family val="3"/>
        <charset val="129"/>
      </rPr>
      <t>오른쪽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클릭</t>
    </r>
    <r>
      <rPr>
        <sz val="10"/>
        <color rgb="FF000000"/>
        <rFont val="Arial"/>
        <family val="2"/>
        <scheme val="minor"/>
      </rPr>
      <t>] → [</t>
    </r>
    <r>
      <rPr>
        <sz val="10"/>
        <color rgb="FF000000"/>
        <rFont val="맑은 고딕"/>
        <family val="3"/>
        <charset val="129"/>
      </rPr>
      <t>셀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서식</t>
    </r>
    <r>
      <rPr>
        <sz val="10"/>
        <color rgb="FF000000"/>
        <rFont val="Arial"/>
        <family val="2"/>
        <scheme val="minor"/>
      </rPr>
      <t>]</t>
    </r>
    <r>
      <rPr>
        <sz val="10"/>
        <color rgb="FF000000"/>
        <rFont val="맑은 고딕"/>
        <family val="3"/>
        <charset val="129"/>
      </rPr>
      <t>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선택합니다</t>
    </r>
    <r>
      <rPr>
        <sz val="10"/>
        <color rgb="FF000000"/>
        <rFont val="Arial"/>
        <family val="2"/>
        <scheme val="minor"/>
      </rPr>
      <t>.</t>
    </r>
    <phoneticPr fontId="11" type="noConversion"/>
  </si>
  <si>
    <r>
      <t xml:space="preserve">13. </t>
    </r>
    <r>
      <rPr>
        <sz val="10"/>
        <color rgb="FF000000"/>
        <rFont val="Arial"/>
        <family val="3"/>
        <charset val="129"/>
        <scheme val="minor"/>
      </rPr>
      <t>참여기업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지원금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지급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신청서</t>
    </r>
  </si>
  <si>
    <r>
      <rPr>
        <b/>
        <sz val="14"/>
        <color rgb="FF000000"/>
        <rFont val="Arial"/>
        <family val="3"/>
        <charset val="129"/>
        <scheme val="minor"/>
      </rPr>
      <t>필요서식</t>
    </r>
    <phoneticPr fontId="11" type="noConversion"/>
  </si>
  <si>
    <r>
      <rPr>
        <b/>
        <sz val="14"/>
        <color rgb="FF000000"/>
        <rFont val="Arial"/>
        <family val="3"/>
        <charset val="129"/>
        <scheme val="minor"/>
      </rPr>
      <t>필드</t>
    </r>
    <phoneticPr fontId="11" type="noConversion"/>
  </si>
  <si>
    <r>
      <rPr>
        <b/>
        <sz val="14"/>
        <color rgb="FF000000"/>
        <rFont val="Arial"/>
        <family val="3"/>
        <charset val="129"/>
        <scheme val="minor"/>
      </rPr>
      <t>입력</t>
    </r>
    <phoneticPr fontId="11" type="noConversion"/>
  </si>
  <si>
    <r>
      <rPr>
        <sz val="10"/>
        <color rgb="FF000000"/>
        <rFont val="Arial"/>
        <family val="1"/>
        <charset val="129"/>
        <scheme val="minor"/>
      </rPr>
      <t>사업장</t>
    </r>
  </si>
  <si>
    <r>
      <rPr>
        <sz val="10"/>
        <color rgb="FF000000"/>
        <rFont val="Arial"/>
        <family val="1"/>
        <charset val="129"/>
        <scheme val="minor"/>
      </rPr>
      <t>사업장명</t>
    </r>
  </si>
  <si>
    <r>
      <rPr>
        <sz val="10"/>
        <color rgb="FF000000"/>
        <rFont val="Arial"/>
        <family val="1"/>
        <charset val="129"/>
        <scheme val="minor"/>
      </rPr>
      <t>대표자명</t>
    </r>
  </si>
  <si>
    <r>
      <rPr>
        <sz val="10"/>
        <color rgb="FF000000"/>
        <rFont val="Arial"/>
        <family val="1"/>
        <charset val="129"/>
        <scheme val="minor"/>
      </rPr>
      <t>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황</t>
    </r>
  </si>
  <si>
    <r>
      <rPr>
        <sz val="10"/>
        <color rgb="FF000000"/>
        <rFont val="Arial"/>
        <family val="1"/>
        <charset val="129"/>
        <scheme val="minor"/>
      </rPr>
      <t>소재지</t>
    </r>
  </si>
  <si>
    <r>
      <rPr>
        <sz val="10"/>
        <color rgb="FF000000"/>
        <rFont val="Arial"/>
        <family val="1"/>
        <charset val="129"/>
        <scheme val="minor"/>
      </rPr>
      <t>업종</t>
    </r>
  </si>
  <si>
    <r>
      <rPr>
        <sz val="10"/>
        <color rgb="FF000000"/>
        <rFont val="Arial"/>
        <family val="1"/>
        <charset val="129"/>
        <scheme val="minor"/>
      </rPr>
      <t>피보험자수</t>
    </r>
  </si>
  <si>
    <r>
      <rPr>
        <sz val="10"/>
        <color rgb="FF000000"/>
        <rFont val="Arial"/>
        <family val="1"/>
        <charset val="129"/>
        <scheme val="minor"/>
      </rPr>
      <t>담당자</t>
    </r>
  </si>
  <si>
    <r>
      <rPr>
        <sz val="10"/>
        <color rgb="FF000000"/>
        <rFont val="Arial"/>
        <family val="1"/>
        <charset val="129"/>
        <scheme val="minor"/>
      </rPr>
      <t>담당부서</t>
    </r>
  </si>
  <si>
    <r>
      <rPr>
        <sz val="10"/>
        <color rgb="FF000000"/>
        <rFont val="Arial"/>
        <family val="1"/>
        <charset val="129"/>
        <scheme val="minor"/>
      </rPr>
      <t>담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당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자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명</t>
    </r>
  </si>
  <si>
    <r>
      <rPr>
        <sz val="10"/>
        <color rgb="FF000000"/>
        <rFont val="Arial"/>
        <family val="1"/>
        <charset val="129"/>
        <scheme val="minor"/>
      </rPr>
      <t>정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보</t>
    </r>
  </si>
  <si>
    <r>
      <rPr>
        <sz val="10"/>
        <color rgb="FF000000"/>
        <rFont val="Arial"/>
        <family val="1"/>
        <charset val="129"/>
        <scheme val="minor"/>
      </rPr>
      <t>전화번호</t>
    </r>
  </si>
  <si>
    <r>
      <rPr>
        <sz val="10"/>
        <color rgb="FF000000"/>
        <rFont val="Arial"/>
        <family val="1"/>
        <charset val="129"/>
        <scheme val="minor"/>
      </rPr>
      <t>이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일</t>
    </r>
  </si>
  <si>
    <r>
      <t>(</t>
    </r>
    <r>
      <rPr>
        <sz val="10"/>
        <color rgb="FF000000"/>
        <rFont val="Arial"/>
        <family val="1"/>
        <charset val="129"/>
        <scheme val="minor"/>
      </rPr>
      <t>팩스번호</t>
    </r>
    <r>
      <rPr>
        <sz val="10"/>
        <color rgb="FF000000"/>
        <rFont val="Arial"/>
        <family val="2"/>
        <scheme val="minor"/>
      </rPr>
      <t>)</t>
    </r>
  </si>
  <si>
    <r>
      <t>(</t>
    </r>
    <r>
      <rPr>
        <sz val="10"/>
        <color rgb="FF000000"/>
        <rFont val="Arial"/>
        <family val="1"/>
        <charset val="129"/>
        <scheme val="minor"/>
      </rPr>
      <t>프로그램의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참여인원이</t>
    </r>
    <r>
      <rPr>
        <sz val="10"/>
        <color rgb="FF000000"/>
        <rFont val="Arial"/>
        <family val="2"/>
        <scheme val="minor"/>
      </rPr>
      <t xml:space="preserve"> 10</t>
    </r>
    <r>
      <rPr>
        <sz val="10"/>
        <color rgb="FF000000"/>
        <rFont val="Arial"/>
        <family val="1"/>
        <charset val="129"/>
        <scheme val="minor"/>
      </rPr>
      <t>명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이상인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경우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각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각의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담당자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명단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제출</t>
    </r>
    <r>
      <rPr>
        <sz val="10"/>
        <color rgb="FF000000"/>
        <rFont val="Arial"/>
        <family val="2"/>
        <scheme val="minor"/>
      </rPr>
      <t>)</t>
    </r>
  </si>
  <si>
    <r>
      <rPr>
        <sz val="10"/>
        <color rgb="FF000000"/>
        <rFont val="Arial"/>
        <family val="1"/>
        <charset val="129"/>
        <scheme val="minor"/>
      </rPr>
      <t>프로그램</t>
    </r>
  </si>
  <si>
    <r>
      <rPr>
        <sz val="10"/>
        <color rgb="FF000000"/>
        <rFont val="Arial"/>
        <family val="1"/>
        <charset val="129"/>
        <scheme val="minor"/>
      </rPr>
      <t>프로그램명</t>
    </r>
  </si>
  <si>
    <r>
      <rPr>
        <sz val="10"/>
        <color rgb="FF000000"/>
        <rFont val="Arial"/>
        <family val="1"/>
        <charset val="129"/>
        <scheme val="minor"/>
      </rPr>
      <t>직무분야</t>
    </r>
  </si>
  <si>
    <r>
      <rPr>
        <sz val="10"/>
        <color rgb="FF000000"/>
        <rFont val="Arial"/>
        <family val="1"/>
        <charset val="129"/>
        <scheme val="minor"/>
      </rPr>
      <t>프로그램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내용</t>
    </r>
  </si>
  <si>
    <r>
      <rPr>
        <sz val="10"/>
        <color rgb="FF000000"/>
        <rFont val="Arial"/>
        <family val="1"/>
        <charset val="129"/>
        <scheme val="minor"/>
      </rPr>
      <t>프로그램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기간</t>
    </r>
  </si>
  <si>
    <r>
      <rPr>
        <sz val="10"/>
        <color rgb="FF000000"/>
        <rFont val="Arial"/>
        <family val="1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(</t>
    </r>
    <r>
      <rPr>
        <sz val="10"/>
        <color rgb="FF000000"/>
        <rFont val="Arial"/>
        <family val="1"/>
        <charset val="129"/>
        <scheme val="minor"/>
      </rPr>
      <t>소재지</t>
    </r>
    <r>
      <rPr>
        <sz val="10"/>
        <color rgb="FF000000"/>
        <rFont val="Arial"/>
        <family val="2"/>
        <scheme val="minor"/>
      </rPr>
      <t>)</t>
    </r>
  </si>
  <si>
    <r>
      <rPr>
        <sz val="10"/>
        <color rgb="FF000000"/>
        <rFont val="Arial"/>
        <family val="1"/>
        <charset val="129"/>
        <scheme val="minor"/>
      </rPr>
      <t>참여인원</t>
    </r>
  </si>
  <si>
    <r>
      <rPr>
        <sz val="9"/>
        <color rgb="FF000000"/>
        <rFont val="Arial"/>
        <family val="3"/>
        <charset val="129"/>
        <scheme val="minor"/>
      </rPr>
      <t>참여자</t>
    </r>
  </si>
  <si>
    <r>
      <rPr>
        <sz val="9"/>
        <color rgb="FF000000"/>
        <rFont val="Arial"/>
        <family val="3"/>
        <charset val="129"/>
        <scheme val="minor"/>
      </rPr>
      <t>성명</t>
    </r>
  </si>
  <si>
    <r>
      <rPr>
        <sz val="9"/>
        <color rgb="FF000000"/>
        <rFont val="Arial"/>
        <family val="3"/>
        <charset val="129"/>
        <scheme val="minor"/>
      </rPr>
      <t>생년월일</t>
    </r>
  </si>
  <si>
    <r>
      <rPr>
        <sz val="9"/>
        <color rgb="FF000000"/>
        <rFont val="Arial"/>
        <family val="3"/>
        <charset val="129"/>
        <scheme val="minor"/>
      </rPr>
      <t>성별</t>
    </r>
  </si>
  <si>
    <r>
      <rPr>
        <sz val="9"/>
        <color rgb="FF000000"/>
        <rFont val="Arial"/>
        <family val="3"/>
        <charset val="129"/>
        <scheme val="minor"/>
      </rPr>
      <t>참여일</t>
    </r>
  </si>
  <si>
    <r>
      <rPr>
        <sz val="9"/>
        <color rgb="FF000000"/>
        <rFont val="Arial"/>
        <family val="3"/>
        <charset val="129"/>
        <scheme val="minor"/>
      </rPr>
      <t>연락처</t>
    </r>
  </si>
  <si>
    <r>
      <rPr>
        <sz val="9"/>
        <color rgb="FF000000"/>
        <rFont val="Arial"/>
        <family val="3"/>
        <charset val="129"/>
        <scheme val="minor"/>
      </rPr>
      <t>명단</t>
    </r>
  </si>
  <si>
    <r>
      <t xml:space="preserve">( </t>
    </r>
    <r>
      <rPr>
        <sz val="7"/>
        <color rgb="FF000000"/>
        <rFont val="Arial"/>
        <family val="3"/>
        <charset val="129"/>
        <scheme val="minor"/>
      </rPr>
      <t>년</t>
    </r>
    <r>
      <rPr>
        <sz val="7"/>
        <color rgb="FF000000"/>
        <rFont val="Arial"/>
        <family val="2"/>
        <scheme val="minor"/>
      </rPr>
      <t xml:space="preserve"> </t>
    </r>
    <r>
      <rPr>
        <sz val="7"/>
        <color rgb="FF000000"/>
        <rFont val="Arial"/>
        <family val="3"/>
        <charset val="129"/>
        <scheme val="minor"/>
      </rPr>
      <t>월</t>
    </r>
    <r>
      <rPr>
        <sz val="7"/>
        <color rgb="FF000000"/>
        <rFont val="Arial"/>
        <family val="2"/>
        <scheme val="minor"/>
      </rPr>
      <t xml:space="preserve"> </t>
    </r>
    <r>
      <rPr>
        <sz val="7"/>
        <color rgb="FF000000"/>
        <rFont val="Arial"/>
        <family val="3"/>
        <charset val="129"/>
        <scheme val="minor"/>
      </rPr>
      <t>일</t>
    </r>
    <r>
      <rPr>
        <sz val="7"/>
        <color rgb="FF000000"/>
        <rFont val="Arial"/>
        <family val="2"/>
        <scheme val="minor"/>
      </rPr>
      <t>)</t>
    </r>
  </si>
  <si>
    <r>
      <rPr>
        <sz val="9"/>
        <color rgb="FFFF0000"/>
        <rFont val="Arial"/>
        <family val="1"/>
        <charset val="129"/>
        <scheme val="minor"/>
      </rPr>
      <t>참여일</t>
    </r>
  </si>
  <si>
    <r>
      <rPr>
        <b/>
        <sz val="10"/>
        <color rgb="FF000000"/>
        <rFont val="Arial"/>
        <family val="3"/>
        <charset val="129"/>
        <scheme val="minor"/>
      </rPr>
      <t>위와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같이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『청년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일경험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지원사업</t>
    </r>
    <r>
      <rPr>
        <b/>
        <sz val="10"/>
        <color rgb="FF000000"/>
        <rFont val="Arial"/>
        <family val="2"/>
        <scheme val="minor"/>
      </rPr>
      <t>(</t>
    </r>
    <r>
      <rPr>
        <b/>
        <sz val="10"/>
        <color rgb="FF000000"/>
        <rFont val="Arial"/>
        <family val="3"/>
        <charset val="129"/>
        <scheme val="minor"/>
      </rPr>
      <t>인턴형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일경험</t>
    </r>
    <r>
      <rPr>
        <b/>
        <sz val="10"/>
        <color rgb="FF000000"/>
        <rFont val="Arial"/>
        <family val="2"/>
        <scheme val="minor"/>
      </rPr>
      <t>)</t>
    </r>
    <r>
      <rPr>
        <b/>
        <sz val="10"/>
        <color rgb="FF000000"/>
        <rFont val="Arial"/>
        <family val="3"/>
        <charset val="129"/>
        <scheme val="minor"/>
      </rPr>
      <t>』의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실시현황을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통보합니다</t>
    </r>
    <r>
      <rPr>
        <b/>
        <sz val="10"/>
        <color rgb="FF000000"/>
        <rFont val="Arial"/>
        <family val="2"/>
        <scheme val="minor"/>
      </rPr>
      <t xml:space="preserve">. </t>
    </r>
  </si>
  <si>
    <r>
      <t>2024</t>
    </r>
    <r>
      <rPr>
        <sz val="9"/>
        <color rgb="FF000000"/>
        <rFont val="Arial"/>
        <family val="3"/>
        <charset val="129"/>
        <scheme val="minor"/>
      </rPr>
      <t>년</t>
    </r>
    <r>
      <rPr>
        <sz val="9"/>
        <color rgb="FF000000"/>
        <rFont val="Arial"/>
        <family val="2"/>
        <scheme val="minor"/>
      </rPr>
      <t xml:space="preserve"> 00</t>
    </r>
    <r>
      <rPr>
        <sz val="9"/>
        <color rgb="FF000000"/>
        <rFont val="Arial"/>
        <family val="3"/>
        <charset val="129"/>
        <scheme val="minor"/>
      </rPr>
      <t>월</t>
    </r>
    <r>
      <rPr>
        <sz val="9"/>
        <color rgb="FF000000"/>
        <rFont val="Arial"/>
        <family val="2"/>
        <scheme val="minor"/>
      </rPr>
      <t xml:space="preserve"> 00</t>
    </r>
    <r>
      <rPr>
        <sz val="9"/>
        <color rgb="FF000000"/>
        <rFont val="Arial"/>
        <family val="3"/>
        <charset val="129"/>
        <scheme val="minor"/>
      </rPr>
      <t>일</t>
    </r>
  </si>
  <si>
    <r>
      <rPr>
        <sz val="9"/>
        <color rgb="FF000000"/>
        <rFont val="Arial"/>
        <family val="3"/>
        <charset val="129"/>
        <scheme val="minor"/>
      </rPr>
      <t>확인자</t>
    </r>
    <r>
      <rPr>
        <sz val="9"/>
        <color rgb="FF000000"/>
        <rFont val="Arial"/>
        <family val="2"/>
        <scheme val="minor"/>
      </rPr>
      <t>(</t>
    </r>
    <r>
      <rPr>
        <sz val="9"/>
        <color rgb="FF000000"/>
        <rFont val="Arial"/>
        <family val="3"/>
        <charset val="129"/>
        <scheme val="minor"/>
      </rPr>
      <t>대표자</t>
    </r>
    <r>
      <rPr>
        <sz val="9"/>
        <color rgb="FF000000"/>
        <rFont val="Arial"/>
        <family val="2"/>
        <scheme val="minor"/>
      </rPr>
      <t>)</t>
    </r>
  </si>
  <si>
    <r>
      <t>(</t>
    </r>
    <r>
      <rPr>
        <sz val="9"/>
        <color rgb="FF5D5D5D"/>
        <rFont val="Arial"/>
        <family val="3"/>
        <charset val="129"/>
        <scheme val="minor"/>
      </rPr>
      <t>서명</t>
    </r>
    <r>
      <rPr>
        <sz val="9"/>
        <color rgb="FF5D5D5D"/>
        <rFont val="Arial"/>
        <family val="2"/>
        <scheme val="minor"/>
      </rPr>
      <t xml:space="preserve"> </t>
    </r>
    <r>
      <rPr>
        <sz val="9"/>
        <color rgb="FF5D5D5D"/>
        <rFont val="Arial"/>
        <family val="3"/>
        <charset val="129"/>
        <scheme val="minor"/>
      </rPr>
      <t>또는</t>
    </r>
    <r>
      <rPr>
        <sz val="9"/>
        <color rgb="FF5D5D5D"/>
        <rFont val="Arial"/>
        <family val="2"/>
        <scheme val="minor"/>
      </rPr>
      <t xml:space="preserve"> </t>
    </r>
    <r>
      <rPr>
        <sz val="9"/>
        <color rgb="FF5D5D5D"/>
        <rFont val="Arial"/>
        <family val="3"/>
        <charset val="129"/>
        <scheme val="minor"/>
      </rPr>
      <t>인</t>
    </r>
    <r>
      <rPr>
        <sz val="9"/>
        <color rgb="FF5D5D5D"/>
        <rFont val="Arial"/>
        <family val="2"/>
        <scheme val="minor"/>
      </rPr>
      <t>)</t>
    </r>
  </si>
  <si>
    <r>
      <rPr>
        <sz val="9"/>
        <color rgb="FF000000"/>
        <rFont val="Arial"/>
        <family val="3"/>
        <charset val="129"/>
        <scheme val="minor"/>
      </rPr>
      <t>귀하</t>
    </r>
  </si>
  <si>
    <r>
      <rPr>
        <b/>
        <sz val="20"/>
        <color theme="1"/>
        <rFont val="Arial"/>
        <family val="3"/>
        <charset val="129"/>
        <scheme val="minor"/>
      </rPr>
      <t>참여기업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지원금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지급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신청서</t>
    </r>
    <r>
      <rPr>
        <b/>
        <sz val="20"/>
        <color theme="1"/>
        <rFont val="Arial"/>
        <family val="2"/>
        <scheme val="minor"/>
      </rPr>
      <t>_</t>
    </r>
    <r>
      <rPr>
        <b/>
        <sz val="20"/>
        <color theme="1"/>
        <rFont val="Arial"/>
        <family val="3"/>
        <charset val="129"/>
        <scheme val="minor"/>
      </rPr>
      <t>멘토</t>
    </r>
    <r>
      <rPr>
        <b/>
        <sz val="20"/>
        <color theme="1"/>
        <rFont val="Arial"/>
        <family val="2"/>
        <scheme val="minor"/>
      </rPr>
      <t>1</t>
    </r>
    <phoneticPr fontId="11" type="noConversion"/>
  </si>
  <si>
    <r>
      <rPr>
        <b/>
        <sz val="12"/>
        <rFont val="Arial"/>
        <family val="3"/>
        <charset val="129"/>
        <scheme val="minor"/>
      </rPr>
      <t>청년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일경험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지원사업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참여기업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지원금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지급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신청서</t>
    </r>
    <r>
      <rPr>
        <b/>
        <sz val="12"/>
        <rFont val="Arial"/>
        <family val="2"/>
        <scheme val="minor"/>
      </rPr>
      <t>_</t>
    </r>
    <r>
      <rPr>
        <b/>
        <sz val="12"/>
        <rFont val="Arial"/>
        <family val="3"/>
        <charset val="129"/>
        <scheme val="minor"/>
      </rPr>
      <t>멘토</t>
    </r>
    <r>
      <rPr>
        <b/>
        <sz val="12"/>
        <rFont val="Arial"/>
        <family val="2"/>
        <scheme val="minor"/>
      </rPr>
      <t>1</t>
    </r>
    <phoneticPr fontId="11" type="noConversion"/>
  </si>
  <si>
    <r>
      <rPr>
        <b/>
        <sz val="14"/>
        <color rgb="FF000000"/>
        <rFont val="Arial"/>
        <family val="3"/>
        <charset val="129"/>
        <scheme val="minor"/>
      </rPr>
      <t>필요서식</t>
    </r>
    <phoneticPr fontId="11" type="noConversion"/>
  </si>
  <si>
    <r>
      <rPr>
        <b/>
        <sz val="14"/>
        <color rgb="FF000000"/>
        <rFont val="Arial"/>
        <family val="3"/>
        <charset val="129"/>
        <scheme val="minor"/>
      </rPr>
      <t>필드</t>
    </r>
    <phoneticPr fontId="11" type="noConversion"/>
  </si>
  <si>
    <r>
      <rPr>
        <b/>
        <sz val="14"/>
        <color rgb="FF000000"/>
        <rFont val="Arial"/>
        <family val="3"/>
        <charset val="129"/>
        <scheme val="minor"/>
      </rPr>
      <t>입력</t>
    </r>
    <phoneticPr fontId="11" type="noConversion"/>
  </si>
  <si>
    <r>
      <rPr>
        <sz val="12"/>
        <rFont val="Arial"/>
        <family val="3"/>
        <charset val="129"/>
        <scheme val="minor"/>
      </rPr>
      <t>접수번호</t>
    </r>
  </si>
  <si>
    <r>
      <rPr>
        <sz val="12"/>
        <rFont val="Arial"/>
        <family val="3"/>
        <charset val="129"/>
        <scheme val="minor"/>
      </rPr>
      <t>접수일자</t>
    </r>
  </si>
  <si>
    <r>
      <rPr>
        <b/>
        <u/>
        <sz val="20"/>
        <color rgb="FF000000"/>
        <rFont val="Arial"/>
        <family val="3"/>
        <charset val="129"/>
        <scheme val="minor"/>
      </rPr>
      <t>참여기업</t>
    </r>
    <phoneticPr fontId="11" type="noConversion"/>
  </si>
  <si>
    <r>
      <rPr>
        <b/>
        <sz val="12"/>
        <rFont val="Arial"/>
        <family val="3"/>
        <charset val="129"/>
        <scheme val="minor"/>
      </rPr>
      <t>사업장명</t>
    </r>
  </si>
  <si>
    <r>
      <rPr>
        <b/>
        <sz val="12"/>
        <rFont val="Arial"/>
        <family val="3"/>
        <charset val="129"/>
        <scheme val="minor"/>
      </rPr>
      <t>대표자명</t>
    </r>
  </si>
  <si>
    <r>
      <rPr>
        <b/>
        <sz val="12"/>
        <rFont val="Arial"/>
        <family val="3"/>
        <charset val="129"/>
        <scheme val="minor"/>
      </rPr>
      <t>사업자등록번호</t>
    </r>
  </si>
  <si>
    <r>
      <rPr>
        <b/>
        <sz val="12"/>
        <rFont val="Arial"/>
        <family val="3"/>
        <charset val="129"/>
        <scheme val="minor"/>
      </rPr>
      <t>고용보험</t>
    </r>
  </si>
  <si>
    <r>
      <t>(</t>
    </r>
    <r>
      <rPr>
        <b/>
        <sz val="12"/>
        <rFont val="Arial"/>
        <family val="3"/>
        <charset val="129"/>
        <scheme val="minor"/>
      </rPr>
      <t>법인등록번호</t>
    </r>
    <r>
      <rPr>
        <b/>
        <sz val="12"/>
        <rFont val="Arial"/>
        <family val="2"/>
        <scheme val="minor"/>
      </rPr>
      <t>)</t>
    </r>
  </si>
  <si>
    <r>
      <rPr>
        <b/>
        <sz val="12"/>
        <rFont val="Arial"/>
        <family val="3"/>
        <charset val="129"/>
        <scheme val="minor"/>
      </rPr>
      <t>사업장관리번호</t>
    </r>
  </si>
  <si>
    <r>
      <rPr>
        <b/>
        <sz val="12"/>
        <rFont val="Arial"/>
        <family val="3"/>
        <charset val="129"/>
        <scheme val="minor"/>
      </rPr>
      <t>소재지</t>
    </r>
  </si>
  <si>
    <r>
      <t xml:space="preserve">* </t>
    </r>
    <r>
      <rPr>
        <sz val="10"/>
        <color rgb="FFFF0000"/>
        <rFont val="Arial"/>
        <family val="3"/>
        <charset val="129"/>
        <scheme val="minor"/>
      </rPr>
      <t>담당자는</t>
    </r>
    <r>
      <rPr>
        <sz val="10"/>
        <color rgb="FFFF0000"/>
        <rFont val="Arial"/>
        <family val="2"/>
        <scheme val="minor"/>
      </rPr>
      <t xml:space="preserve"> </t>
    </r>
    <r>
      <rPr>
        <sz val="10"/>
        <color rgb="FFFF0000"/>
        <rFont val="Arial"/>
        <family val="3"/>
        <charset val="129"/>
        <scheme val="minor"/>
      </rPr>
      <t>멘토를</t>
    </r>
    <r>
      <rPr>
        <sz val="10"/>
        <color rgb="FFFF0000"/>
        <rFont val="Arial"/>
        <family val="2"/>
        <scheme val="minor"/>
      </rPr>
      <t xml:space="preserve"> </t>
    </r>
    <r>
      <rPr>
        <sz val="10"/>
        <color rgb="FFFF0000"/>
        <rFont val="Arial"/>
        <family val="3"/>
        <charset val="129"/>
        <scheme val="minor"/>
      </rPr>
      <t>지칭</t>
    </r>
    <phoneticPr fontId="11" type="noConversion"/>
  </si>
  <si>
    <r>
      <rPr>
        <b/>
        <sz val="12"/>
        <rFont val="Arial"/>
        <family val="3"/>
        <charset val="129"/>
        <scheme val="minor"/>
      </rPr>
      <t>담당자</t>
    </r>
  </si>
  <si>
    <r>
      <rPr>
        <b/>
        <sz val="12"/>
        <rFont val="Arial"/>
        <family val="3"/>
        <charset val="129"/>
        <scheme val="minor"/>
      </rPr>
      <t>성명</t>
    </r>
  </si>
  <si>
    <r>
      <rPr>
        <b/>
        <sz val="12"/>
        <rFont val="Arial"/>
        <family val="3"/>
        <charset val="129"/>
        <scheme val="minor"/>
      </rPr>
      <t>전화번호</t>
    </r>
  </si>
  <si>
    <r>
      <rPr>
        <b/>
        <sz val="12"/>
        <rFont val="Arial"/>
        <family val="3"/>
        <charset val="129"/>
        <scheme val="minor"/>
      </rPr>
      <t>이메일</t>
    </r>
  </si>
  <si>
    <r>
      <rPr>
        <b/>
        <sz val="12"/>
        <rFont val="Arial"/>
        <family val="3"/>
        <charset val="129"/>
        <scheme val="minor"/>
      </rPr>
      <t>팩스번호</t>
    </r>
  </si>
  <si>
    <r>
      <rPr>
        <b/>
        <sz val="12"/>
        <rFont val="Arial"/>
        <family val="3"/>
        <charset val="129"/>
        <scheme val="minor"/>
      </rPr>
      <t>신청내용</t>
    </r>
  </si>
  <si>
    <r>
      <rPr>
        <b/>
        <sz val="12"/>
        <rFont val="Arial"/>
        <family val="3"/>
        <charset val="129"/>
        <scheme val="minor"/>
      </rPr>
      <t>참여청년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성명</t>
    </r>
  </si>
  <si>
    <r>
      <rPr>
        <b/>
        <sz val="12"/>
        <rFont val="Arial"/>
        <family val="3"/>
        <charset val="129"/>
        <scheme val="minor"/>
      </rPr>
      <t>참여일</t>
    </r>
  </si>
  <si>
    <r>
      <rPr>
        <b/>
        <sz val="12"/>
        <rFont val="Arial"/>
        <family val="3"/>
        <charset val="129"/>
        <scheme val="minor"/>
      </rPr>
      <t>신청기간</t>
    </r>
  </si>
  <si>
    <r>
      <rPr>
        <b/>
        <sz val="12"/>
        <rFont val="Arial"/>
        <family val="3"/>
        <charset val="129"/>
        <scheme val="minor"/>
      </rPr>
      <t>신청금액</t>
    </r>
  </si>
  <si>
    <r>
      <t>(</t>
    </r>
    <r>
      <rPr>
        <b/>
        <sz val="12"/>
        <rFont val="Arial"/>
        <family val="3"/>
        <charset val="129"/>
        <scheme val="minor"/>
      </rPr>
      <t>주민등록번호</t>
    </r>
    <r>
      <rPr>
        <b/>
        <sz val="12"/>
        <rFont val="Arial"/>
        <family val="2"/>
        <scheme val="minor"/>
      </rPr>
      <t>)</t>
    </r>
  </si>
  <si>
    <r>
      <t xml:space="preserve">( </t>
    </r>
    <r>
      <rPr>
        <b/>
        <sz val="12"/>
        <rFont val="Arial"/>
        <family val="3"/>
        <charset val="129"/>
        <scheme val="minor"/>
      </rPr>
      <t>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월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</t>
    </r>
    <r>
      <rPr>
        <b/>
        <sz val="12"/>
        <rFont val="Arial"/>
        <family val="2"/>
        <scheme val="minor"/>
      </rPr>
      <t>)</t>
    </r>
  </si>
  <si>
    <r>
      <t xml:space="preserve">( </t>
    </r>
    <r>
      <rPr>
        <b/>
        <sz val="12"/>
        <rFont val="Arial"/>
        <family val="3"/>
        <charset val="129"/>
        <scheme val="minor"/>
      </rPr>
      <t>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월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</t>
    </r>
    <r>
      <rPr>
        <b/>
        <sz val="12"/>
        <rFont val="Arial"/>
        <family val="2"/>
        <scheme val="minor"/>
      </rPr>
      <t xml:space="preserve"> ~ </t>
    </r>
    <r>
      <rPr>
        <b/>
        <sz val="12"/>
        <rFont val="Arial"/>
        <family val="3"/>
        <charset val="129"/>
        <scheme val="minor"/>
      </rPr>
      <t>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월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</t>
    </r>
    <r>
      <rPr>
        <b/>
        <sz val="12"/>
        <rFont val="Arial"/>
        <family val="2"/>
        <scheme val="minor"/>
      </rPr>
      <t>)</t>
    </r>
  </si>
  <si>
    <r>
      <t>(</t>
    </r>
    <r>
      <rPr>
        <b/>
        <sz val="12"/>
        <rFont val="Arial"/>
        <family val="3"/>
        <charset val="129"/>
        <scheme val="minor"/>
      </rPr>
      <t>원</t>
    </r>
    <r>
      <rPr>
        <b/>
        <sz val="12"/>
        <rFont val="Arial"/>
        <family val="2"/>
        <scheme val="minor"/>
      </rPr>
      <t>)</t>
    </r>
  </si>
  <si>
    <r>
      <rPr>
        <sz val="12"/>
        <color rgb="FFFF0000"/>
        <rFont val="Arial"/>
        <family val="2"/>
        <charset val="129"/>
        <scheme val="minor"/>
      </rPr>
      <t>기입</t>
    </r>
    <phoneticPr fontId="11" type="noConversion"/>
  </si>
  <si>
    <r>
      <rPr>
        <sz val="12"/>
        <rFont val="Arial"/>
        <family val="3"/>
        <charset val="129"/>
        <scheme val="minor"/>
      </rPr>
      <t>지원금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총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신청인원</t>
    </r>
  </si>
  <si>
    <r>
      <t xml:space="preserve">( </t>
    </r>
    <r>
      <rPr>
        <sz val="12"/>
        <color rgb="FFFF0000"/>
        <rFont val="Arial"/>
        <family val="3"/>
        <charset val="129"/>
        <scheme val="minor"/>
      </rPr>
      <t>기입</t>
    </r>
    <r>
      <rPr>
        <sz val="12"/>
        <rFont val="Arial"/>
        <family val="2"/>
        <scheme val="minor"/>
      </rPr>
      <t xml:space="preserve">) </t>
    </r>
    <r>
      <rPr>
        <sz val="12"/>
        <rFont val="Arial"/>
        <family val="3"/>
        <charset val="129"/>
        <scheme val="minor"/>
      </rPr>
      <t>명</t>
    </r>
    <r>
      <rPr>
        <sz val="12"/>
        <rFont val="Arial"/>
        <family val="2"/>
        <scheme val="minor"/>
      </rPr>
      <t xml:space="preserve"> ,</t>
    </r>
    <phoneticPr fontId="11" type="noConversion"/>
  </si>
  <si>
    <r>
      <rPr>
        <sz val="12"/>
        <rFont val="Arial"/>
        <family val="3"/>
        <charset val="129"/>
        <scheme val="minor"/>
      </rPr>
      <t>신청금액</t>
    </r>
  </si>
  <si>
    <r>
      <t>(</t>
    </r>
    <r>
      <rPr>
        <sz val="12"/>
        <color rgb="FFFF0000"/>
        <rFont val="Arial"/>
        <family val="3"/>
        <charset val="129"/>
        <scheme val="minor"/>
      </rPr>
      <t>기입</t>
    </r>
    <r>
      <rPr>
        <sz val="12"/>
        <rFont val="Arial"/>
        <family val="2"/>
        <scheme val="minor"/>
      </rPr>
      <t xml:space="preserve"> ) </t>
    </r>
    <r>
      <rPr>
        <sz val="12"/>
        <rFont val="Arial"/>
        <family val="3"/>
        <charset val="129"/>
        <scheme val="minor"/>
      </rPr>
      <t>원</t>
    </r>
    <phoneticPr fontId="11" type="noConversion"/>
  </si>
  <si>
    <r>
      <rPr>
        <b/>
        <sz val="12"/>
        <rFont val="Arial"/>
        <family val="3"/>
        <charset val="129"/>
        <scheme val="minor"/>
      </rPr>
      <t>기업명의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계좌번호</t>
    </r>
  </si>
  <si>
    <r>
      <rPr>
        <b/>
        <sz val="12"/>
        <rFont val="Arial"/>
        <family val="3"/>
        <charset val="129"/>
        <scheme val="minor"/>
      </rPr>
      <t>『청년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일경험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지원사업｣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지침에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따라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위와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같이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지원금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지급을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신청합니다</t>
    </r>
    <r>
      <rPr>
        <b/>
        <sz val="12"/>
        <rFont val="Arial"/>
        <family val="2"/>
        <scheme val="minor"/>
      </rPr>
      <t>.</t>
    </r>
  </si>
  <si>
    <r>
      <t>2024</t>
    </r>
    <r>
      <rPr>
        <sz val="12"/>
        <rFont val="Arial"/>
        <family val="3"/>
        <charset val="129"/>
        <scheme val="minor"/>
      </rPr>
      <t>년</t>
    </r>
    <r>
      <rPr>
        <sz val="12"/>
        <rFont val="Arial"/>
        <family val="2"/>
        <scheme val="minor"/>
      </rPr>
      <t xml:space="preserve"> 00</t>
    </r>
    <r>
      <rPr>
        <sz val="12"/>
        <rFont val="Arial"/>
        <family val="3"/>
        <charset val="129"/>
        <scheme val="minor"/>
      </rPr>
      <t>월</t>
    </r>
    <r>
      <rPr>
        <sz val="12"/>
        <rFont val="Arial"/>
        <family val="2"/>
        <scheme val="minor"/>
      </rPr>
      <t xml:space="preserve"> 00</t>
    </r>
    <r>
      <rPr>
        <sz val="12"/>
        <rFont val="Arial"/>
        <family val="3"/>
        <charset val="129"/>
        <scheme val="minor"/>
      </rPr>
      <t>일</t>
    </r>
  </si>
  <si>
    <r>
      <rPr>
        <b/>
        <sz val="12"/>
        <rFont val="Arial"/>
        <family val="3"/>
        <charset val="129"/>
        <scheme val="minor"/>
      </rPr>
      <t>확인자</t>
    </r>
    <r>
      <rPr>
        <b/>
        <sz val="12"/>
        <rFont val="Arial"/>
        <family val="2"/>
        <scheme val="minor"/>
      </rPr>
      <t>(</t>
    </r>
    <r>
      <rPr>
        <b/>
        <sz val="12"/>
        <rFont val="Arial"/>
        <family val="3"/>
        <charset val="129"/>
        <scheme val="minor"/>
      </rPr>
      <t>대표자</t>
    </r>
    <r>
      <rPr>
        <b/>
        <sz val="12"/>
        <rFont val="Arial"/>
        <family val="2"/>
        <scheme val="minor"/>
      </rPr>
      <t>)</t>
    </r>
  </si>
  <si>
    <r>
      <t>(</t>
    </r>
    <r>
      <rPr>
        <sz val="12"/>
        <rFont val="Arial"/>
        <family val="3"/>
        <charset val="129"/>
        <scheme val="minor"/>
      </rPr>
      <t>서명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또는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인</t>
    </r>
    <r>
      <rPr>
        <sz val="12"/>
        <rFont val="Arial"/>
        <family val="2"/>
        <scheme val="minor"/>
      </rPr>
      <t>)</t>
    </r>
  </si>
  <si>
    <r>
      <rPr>
        <b/>
        <sz val="12"/>
        <rFont val="Arial"/>
        <family val="3"/>
        <charset val="129"/>
        <scheme val="minor"/>
      </rPr>
      <t>한국무선인터넷솔루션협회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운영기관장</t>
    </r>
  </si>
  <si>
    <r>
      <rPr>
        <sz val="12"/>
        <rFont val="Arial"/>
        <family val="3"/>
        <charset val="129"/>
        <scheme val="minor"/>
      </rPr>
      <t>귀하</t>
    </r>
  </si>
  <si>
    <r>
      <rPr>
        <sz val="12"/>
        <rFont val="Arial"/>
        <family val="3"/>
        <charset val="129"/>
        <scheme val="minor"/>
      </rPr>
      <t>첨부서류</t>
    </r>
  </si>
  <si>
    <r>
      <t xml:space="preserve">1. </t>
    </r>
    <r>
      <rPr>
        <sz val="12"/>
        <rFont val="Arial"/>
        <family val="3"/>
        <charset val="129"/>
        <scheme val="minor"/>
      </rPr>
      <t>프로그램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운영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증빙자료</t>
    </r>
    <r>
      <rPr>
        <sz val="12"/>
        <rFont val="Arial"/>
        <family val="2"/>
        <scheme val="minor"/>
      </rPr>
      <t>(</t>
    </r>
    <r>
      <rPr>
        <sz val="12"/>
        <rFont val="Arial"/>
        <family val="3"/>
        <charset val="129"/>
        <scheme val="minor"/>
      </rPr>
      <t>프로그램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계획서</t>
    </r>
    <r>
      <rPr>
        <sz val="12"/>
        <rFont val="Arial"/>
        <family val="2"/>
        <scheme val="minor"/>
      </rPr>
      <t xml:space="preserve">, </t>
    </r>
    <r>
      <rPr>
        <sz val="12"/>
        <rFont val="Arial"/>
        <family val="3"/>
        <charset val="129"/>
        <scheme val="minor"/>
      </rPr>
      <t>참여청년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명단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등</t>
    </r>
    <r>
      <rPr>
        <sz val="12"/>
        <rFont val="Arial"/>
        <family val="2"/>
        <scheme val="minor"/>
      </rPr>
      <t>)</t>
    </r>
  </si>
  <si>
    <r>
      <t xml:space="preserve">2. </t>
    </r>
    <r>
      <rPr>
        <sz val="12"/>
        <rFont val="Arial"/>
        <family val="3"/>
        <charset val="129"/>
        <scheme val="minor"/>
      </rPr>
      <t>기업명의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통장사본</t>
    </r>
    <r>
      <rPr>
        <sz val="12"/>
        <rFont val="Arial"/>
        <family val="2"/>
        <scheme val="minor"/>
      </rPr>
      <t>(</t>
    </r>
    <r>
      <rPr>
        <sz val="12"/>
        <rFont val="Arial"/>
        <family val="3"/>
        <charset val="129"/>
        <scheme val="minor"/>
      </rPr>
      <t>최초</t>
    </r>
    <r>
      <rPr>
        <sz val="12"/>
        <rFont val="Arial"/>
        <family val="2"/>
        <scheme val="minor"/>
      </rPr>
      <t xml:space="preserve"> 1</t>
    </r>
    <r>
      <rPr>
        <sz val="12"/>
        <rFont val="Arial"/>
        <family val="3"/>
        <charset val="129"/>
        <scheme val="minor"/>
      </rPr>
      <t>회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신청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시에만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제출</t>
    </r>
    <r>
      <rPr>
        <sz val="12"/>
        <rFont val="Arial"/>
        <family val="2"/>
        <scheme val="minor"/>
      </rPr>
      <t>)</t>
    </r>
  </si>
  <si>
    <r>
      <rPr>
        <b/>
        <sz val="12"/>
        <rFont val="Arial"/>
        <family val="3"/>
        <charset val="129"/>
        <scheme val="minor"/>
      </rPr>
      <t>※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아래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란은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적지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않습니다</t>
    </r>
    <r>
      <rPr>
        <b/>
        <sz val="12"/>
        <rFont val="Arial"/>
        <family val="2"/>
        <scheme val="minor"/>
      </rPr>
      <t xml:space="preserve">. </t>
    </r>
  </si>
  <si>
    <r>
      <rPr>
        <b/>
        <sz val="12"/>
        <rFont val="Arial"/>
        <family val="3"/>
        <charset val="129"/>
        <scheme val="minor"/>
      </rPr>
      <t>접수</t>
    </r>
  </si>
  <si>
    <r>
      <rPr>
        <sz val="12"/>
        <rFont val="Arial"/>
        <family val="3"/>
        <charset val="129"/>
        <scheme val="minor"/>
      </rPr>
      <t>접수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연월일</t>
    </r>
  </si>
  <si>
    <r>
      <rPr>
        <sz val="12"/>
        <rFont val="Arial"/>
        <family val="3"/>
        <charset val="129"/>
        <scheme val="minor"/>
      </rPr>
      <t>처리부서</t>
    </r>
  </si>
  <si>
    <r>
      <rPr>
        <b/>
        <sz val="12"/>
        <rFont val="Arial"/>
        <family val="3"/>
        <charset val="129"/>
        <scheme val="minor"/>
      </rPr>
      <t>선람</t>
    </r>
  </si>
  <si>
    <r>
      <rPr>
        <sz val="12"/>
        <rFont val="Arial"/>
        <family val="3"/>
        <charset val="129"/>
        <scheme val="minor"/>
      </rPr>
      <t>담당</t>
    </r>
  </si>
  <si>
    <r>
      <rPr>
        <sz val="12"/>
        <rFont val="Arial"/>
        <family val="3"/>
        <charset val="129"/>
        <scheme val="minor"/>
      </rPr>
      <t>팀장</t>
    </r>
  </si>
  <si>
    <r>
      <rPr>
        <sz val="12"/>
        <rFont val="Arial"/>
        <family val="3"/>
        <charset val="129"/>
        <scheme val="minor"/>
      </rPr>
      <t>과장</t>
    </r>
  </si>
  <si>
    <r>
      <rPr>
        <sz val="12"/>
        <rFont val="Arial"/>
        <family val="3"/>
        <charset val="129"/>
        <scheme val="minor"/>
      </rPr>
      <t>결재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연월일</t>
    </r>
  </si>
  <si>
    <r>
      <rPr>
        <b/>
        <sz val="20"/>
        <color theme="1"/>
        <rFont val="Arial"/>
        <family val="3"/>
        <charset val="129"/>
        <scheme val="minor"/>
      </rPr>
      <t>참여기업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지원금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지급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신청서</t>
    </r>
    <r>
      <rPr>
        <b/>
        <sz val="20"/>
        <color theme="1"/>
        <rFont val="Arial"/>
        <family val="2"/>
        <scheme val="minor"/>
      </rPr>
      <t>_</t>
    </r>
    <r>
      <rPr>
        <b/>
        <sz val="20"/>
        <color theme="1"/>
        <rFont val="Arial"/>
        <family val="3"/>
        <charset val="129"/>
        <scheme val="minor"/>
      </rPr>
      <t>멘토</t>
    </r>
    <r>
      <rPr>
        <b/>
        <sz val="20"/>
        <color theme="1"/>
        <rFont val="Arial"/>
        <family val="2"/>
        <scheme val="minor"/>
      </rPr>
      <t>2</t>
    </r>
    <phoneticPr fontId="11" type="noConversion"/>
  </si>
  <si>
    <r>
      <rPr>
        <b/>
        <sz val="12"/>
        <rFont val="Arial"/>
        <family val="3"/>
        <charset val="129"/>
        <scheme val="minor"/>
      </rPr>
      <t>청년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일경험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지원사업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참여기업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지원금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지급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신청서</t>
    </r>
    <r>
      <rPr>
        <b/>
        <sz val="12"/>
        <rFont val="Arial"/>
        <family val="2"/>
        <scheme val="minor"/>
      </rPr>
      <t>_</t>
    </r>
    <r>
      <rPr>
        <b/>
        <sz val="12"/>
        <rFont val="Arial"/>
        <family val="3"/>
        <charset val="129"/>
        <scheme val="minor"/>
      </rPr>
      <t>멘토</t>
    </r>
    <r>
      <rPr>
        <b/>
        <sz val="12"/>
        <rFont val="Arial"/>
        <family val="2"/>
        <scheme val="minor"/>
      </rPr>
      <t>2</t>
    </r>
    <phoneticPr fontId="11" type="noConversion"/>
  </si>
  <si>
    <r>
      <t xml:space="preserve">( ) </t>
    </r>
    <r>
      <rPr>
        <sz val="12"/>
        <rFont val="Arial"/>
        <family val="3"/>
        <charset val="129"/>
        <scheme val="minor"/>
      </rPr>
      <t>명</t>
    </r>
    <r>
      <rPr>
        <sz val="12"/>
        <rFont val="Arial"/>
        <family val="2"/>
        <scheme val="minor"/>
      </rPr>
      <t xml:space="preserve"> ,</t>
    </r>
  </si>
  <si>
    <r>
      <t xml:space="preserve">( ) </t>
    </r>
    <r>
      <rPr>
        <sz val="12"/>
        <rFont val="Arial"/>
        <family val="3"/>
        <charset val="129"/>
        <scheme val="minor"/>
      </rPr>
      <t>원</t>
    </r>
  </si>
  <si>
    <r>
      <rPr>
        <sz val="12"/>
        <color theme="1"/>
        <rFont val="Arial"/>
        <family val="2"/>
        <charset val="129"/>
        <scheme val="minor"/>
      </rPr>
      <t>㈜노마드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</si>
  <si>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피보험자수</t>
    </r>
    <phoneticPr fontId="11" type="noConversion"/>
  </si>
  <si>
    <r>
      <t>00</t>
    </r>
    <r>
      <rPr>
        <sz val="12"/>
        <color theme="1"/>
        <rFont val="Arial"/>
        <family val="2"/>
        <charset val="129"/>
        <scheme val="minor"/>
      </rPr>
      <t>명</t>
    </r>
    <phoneticPr fontId="11" type="noConversion"/>
  </si>
  <si>
    <r>
      <rPr>
        <b/>
        <sz val="12"/>
        <color theme="1"/>
        <rFont val="Arial"/>
        <family val="3"/>
        <charset val="129"/>
        <scheme val="minor"/>
      </rPr>
      <t>사업자등록번호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</si>
  <si>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사업장주소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2"/>
        <charset val="129"/>
        <scheme val="minor"/>
      </rPr>
      <t>본사</t>
    </r>
    <r>
      <rPr>
        <b/>
        <sz val="12"/>
        <color theme="1"/>
        <rFont val="Arial"/>
        <family val="2"/>
        <scheme val="minor"/>
      </rPr>
      <t>)</t>
    </r>
    <phoneticPr fontId="11" type="noConversion"/>
  </si>
  <si>
    <r>
      <rPr>
        <sz val="12"/>
        <color theme="1"/>
        <rFont val="Arial"/>
        <family val="3"/>
        <charset val="129"/>
        <scheme val="minor"/>
      </rPr>
      <t>부산</t>
    </r>
    <r>
      <rPr>
        <sz val="12"/>
        <color theme="1"/>
        <rFont val="Arial"/>
        <family val="2"/>
        <charset val="129"/>
        <scheme val="minor"/>
      </rPr>
      <t>광역시</t>
    </r>
    <r>
      <rPr>
        <sz val="12"/>
        <color theme="1"/>
        <rFont val="Arial"/>
        <family val="2"/>
        <scheme val="minor"/>
      </rPr>
      <t xml:space="preserve"> </t>
    </r>
    <r>
      <rPr>
        <sz val="12"/>
        <color theme="1"/>
        <rFont val="Arial"/>
        <family val="2"/>
        <charset val="129"/>
        <scheme val="minor"/>
      </rPr>
      <t>연제구</t>
    </r>
    <phoneticPr fontId="11" type="noConversion"/>
  </si>
  <si>
    <r>
      <rPr>
        <b/>
        <sz val="12"/>
        <color theme="1"/>
        <rFont val="Arial"/>
        <family val="3"/>
        <charset val="129"/>
        <scheme val="minor"/>
      </rPr>
      <t>은행명</t>
    </r>
    <phoneticPr fontId="11" type="noConversion"/>
  </si>
  <si>
    <r>
      <t>00</t>
    </r>
    <r>
      <rPr>
        <sz val="12"/>
        <color theme="1"/>
        <rFont val="Arial"/>
        <family val="2"/>
        <charset val="129"/>
        <scheme val="minor"/>
      </rPr>
      <t>은행</t>
    </r>
    <phoneticPr fontId="11" type="noConversion"/>
  </si>
  <si>
    <r>
      <rPr>
        <b/>
        <sz val="12"/>
        <color theme="1"/>
        <rFont val="Arial"/>
        <family val="3"/>
        <charset val="129"/>
        <scheme val="minor"/>
      </rPr>
      <t>계좌번호</t>
    </r>
    <phoneticPr fontId="11" type="noConversion"/>
  </si>
  <si>
    <r>
      <rPr>
        <b/>
        <sz val="12"/>
        <color theme="1"/>
        <rFont val="Arial"/>
        <family val="3"/>
        <charset val="129"/>
        <scheme val="minor"/>
      </rPr>
      <t>예금주</t>
    </r>
    <phoneticPr fontId="11" type="noConversion"/>
  </si>
  <si>
    <r>
      <rPr>
        <sz val="12"/>
        <color theme="1"/>
        <rFont val="Arial"/>
        <family val="3"/>
        <charset val="129"/>
        <scheme val="minor"/>
      </rPr>
      <t>홍홍</t>
    </r>
    <phoneticPr fontId="11" type="noConversion"/>
  </si>
  <si>
    <r>
      <rPr>
        <sz val="12"/>
        <color theme="1"/>
        <rFont val="Arial"/>
        <family val="3"/>
        <charset val="129"/>
        <scheme val="minor"/>
      </rPr>
      <t>디자인</t>
    </r>
    <phoneticPr fontId="11" type="noConversion"/>
  </si>
  <si>
    <r>
      <rPr>
        <b/>
        <sz val="12"/>
        <color theme="1"/>
        <rFont val="Arial"/>
        <family val="3"/>
        <charset val="129"/>
        <scheme val="minor"/>
      </rPr>
      <t>참여자자격요건</t>
    </r>
    <phoneticPr fontId="11" type="noConversion"/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</si>
  <si>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담당자</t>
    </r>
    <phoneticPr fontId="11" type="noConversion"/>
  </si>
  <si>
    <r>
      <rPr>
        <sz val="12"/>
        <color theme="1"/>
        <rFont val="Arial"/>
        <family val="2"/>
        <charset val="129"/>
        <scheme val="minor"/>
      </rPr>
      <t>이순신</t>
    </r>
    <phoneticPr fontId="11" type="noConversion"/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</si>
  <si>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부서명</t>
    </r>
    <phoneticPr fontId="11" type="noConversion"/>
  </si>
  <si>
    <r>
      <rPr>
        <sz val="12"/>
        <color theme="1"/>
        <rFont val="Arial"/>
        <family val="2"/>
        <charset val="129"/>
        <scheme val="minor"/>
      </rPr>
      <t>세종대왕</t>
    </r>
    <phoneticPr fontId="11" type="noConversion"/>
  </si>
  <si>
    <r>
      <rPr>
        <sz val="12"/>
        <color theme="1"/>
        <rFont val="Arial"/>
        <family val="2"/>
        <charset val="129"/>
        <scheme val="minor"/>
      </rPr>
      <t>광개토대왕</t>
    </r>
    <phoneticPr fontId="11" type="noConversion"/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</si>
  <si>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부서명</t>
    </r>
    <phoneticPr fontId="11" type="noConversion"/>
  </si>
  <si>
    <r>
      <rPr>
        <sz val="12"/>
        <color theme="1"/>
        <rFont val="Arial"/>
        <family val="3"/>
        <charset val="129"/>
        <scheme val="minor"/>
      </rPr>
      <t>연구</t>
    </r>
    <r>
      <rPr>
        <sz val="12"/>
        <color theme="1"/>
        <rFont val="Arial"/>
        <family val="2"/>
        <scheme val="minor"/>
      </rPr>
      <t xml:space="preserve"> 2</t>
    </r>
    <r>
      <rPr>
        <sz val="12"/>
        <color theme="1"/>
        <rFont val="Arial"/>
        <family val="3"/>
        <charset val="129"/>
        <scheme val="minor"/>
      </rPr>
      <t>팀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</si>
  <si>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참여일</t>
    </r>
    <r>
      <rPr>
        <b/>
        <sz val="12"/>
        <color theme="1"/>
        <rFont val="Arial"/>
        <family val="2"/>
        <scheme val="minor"/>
      </rPr>
      <t>(1~4</t>
    </r>
    <r>
      <rPr>
        <b/>
        <sz val="12"/>
        <color theme="1"/>
        <rFont val="Arial"/>
        <family val="2"/>
        <charset val="129"/>
        <scheme val="minor"/>
      </rPr>
      <t>주</t>
    </r>
    <r>
      <rPr>
        <b/>
        <sz val="12"/>
        <color theme="1"/>
        <rFont val="Arial"/>
        <family val="2"/>
        <scheme val="minor"/>
      </rPr>
      <t>)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</si>
  <si>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참여일</t>
    </r>
    <r>
      <rPr>
        <b/>
        <sz val="12"/>
        <color theme="1"/>
        <rFont val="Arial"/>
        <family val="2"/>
        <scheme val="minor"/>
      </rPr>
      <t>(5~8</t>
    </r>
    <r>
      <rPr>
        <b/>
        <sz val="12"/>
        <color theme="1"/>
        <rFont val="Arial"/>
        <family val="2"/>
        <charset val="129"/>
        <scheme val="minor"/>
      </rPr>
      <t>주</t>
    </r>
    <r>
      <rPr>
        <b/>
        <sz val="12"/>
        <color theme="1"/>
        <rFont val="Arial"/>
        <family val="2"/>
        <scheme val="minor"/>
      </rPr>
      <t>)</t>
    </r>
    <phoneticPr fontId="11" type="noConversion"/>
  </si>
  <si>
    <t>멘토</t>
    <phoneticPr fontId="11" type="noConversion"/>
  </si>
  <si>
    <r>
      <rPr>
        <b/>
        <sz val="14"/>
        <color rgb="FF000000"/>
        <rFont val="Arial"/>
        <family val="2"/>
        <charset val="129"/>
        <scheme val="minor"/>
      </rPr>
      <t>순번</t>
    </r>
    <phoneticPr fontId="11" type="noConversion"/>
  </si>
  <si>
    <r>
      <rPr>
        <b/>
        <sz val="20"/>
        <color theme="1"/>
        <rFont val="맑은 고딕"/>
        <family val="3"/>
        <charset val="129"/>
      </rPr>
      <t>인턴형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실시보고</t>
    </r>
    <r>
      <rPr>
        <b/>
        <sz val="20"/>
        <color theme="1"/>
        <rFont val="Arial"/>
        <family val="2"/>
        <scheme val="minor"/>
      </rPr>
      <t>_</t>
    </r>
    <r>
      <rPr>
        <b/>
        <sz val="20"/>
        <color theme="1"/>
        <rFont val="Arial Unicode MS"/>
        <family val="2"/>
        <charset val="129"/>
      </rPr>
      <t>멘토1</t>
    </r>
    <phoneticPr fontId="11" type="noConversion"/>
  </si>
  <si>
    <r>
      <rPr>
        <b/>
        <sz val="12"/>
        <color theme="1"/>
        <rFont val="Arial"/>
        <family val="3"/>
        <charset val="129"/>
        <scheme val="minor"/>
      </rPr>
      <t>업종</t>
    </r>
    <phoneticPr fontId="11" type="noConversion"/>
  </si>
  <si>
    <r>
      <t>00</t>
    </r>
    <r>
      <rPr>
        <sz val="12"/>
        <color theme="1"/>
        <rFont val="Arial"/>
        <family val="2"/>
        <charset val="129"/>
        <scheme val="minor"/>
      </rPr>
      <t>업</t>
    </r>
    <r>
      <rPr>
        <sz val="12"/>
        <color theme="1"/>
        <rFont val="Arial"/>
        <family val="2"/>
        <scheme val="minor"/>
      </rPr>
      <t xml:space="preserve"> </t>
    </r>
    <r>
      <rPr>
        <sz val="12"/>
        <color theme="1"/>
        <rFont val="Arial"/>
        <family val="2"/>
        <charset val="129"/>
        <scheme val="minor"/>
      </rPr>
      <t>외</t>
    </r>
    <phoneticPr fontId="11" type="noConversion"/>
  </si>
  <si>
    <t>담당자명</t>
    <phoneticPr fontId="11" type="noConversion"/>
  </si>
  <si>
    <t>모바일 앱 개발 기초와 필수 도구 소개</t>
    <phoneticPr fontId="11" type="noConversion"/>
  </si>
  <si>
    <t>앱 화면 설계 및 사용자 경험(UX) 기초</t>
    <phoneticPr fontId="11" type="noConversion"/>
  </si>
  <si>
    <t>데이터 저장 및 관리 – SQLite와 로컬 데이터</t>
    <phoneticPr fontId="11" type="noConversion"/>
  </si>
  <si>
    <t>네트워크 통신 – API 활용 및 데이터 연동</t>
    <phoneticPr fontId="11" type="noConversion"/>
  </si>
  <si>
    <r>
      <rPr>
        <b/>
        <sz val="14"/>
        <color theme="1"/>
        <rFont val="Arial"/>
        <family val="3"/>
        <charset val="129"/>
        <scheme val="minor"/>
      </rPr>
      <t>단위명</t>
    </r>
    <phoneticPr fontId="11" type="noConversion"/>
  </si>
  <si>
    <r>
      <rPr>
        <u/>
        <sz val="20"/>
        <color rgb="FF000000"/>
        <rFont val="Arial"/>
        <family val="2"/>
        <charset val="129"/>
        <scheme val="minor"/>
      </rPr>
      <t>참여기업</t>
    </r>
    <r>
      <rPr>
        <u/>
        <sz val="20"/>
        <color rgb="FF000000"/>
        <rFont val="Arial"/>
        <family val="2"/>
        <scheme val="minor"/>
      </rPr>
      <t xml:space="preserve"> 
</t>
    </r>
    <r>
      <rPr>
        <u/>
        <sz val="20"/>
        <color rgb="FF000000"/>
        <rFont val="Arial"/>
        <family val="2"/>
        <charset val="129"/>
        <scheme val="minor"/>
      </rPr>
      <t>담당자</t>
    </r>
    <phoneticPr fontId="11" type="noConversion"/>
  </si>
  <si>
    <r>
      <t xml:space="preserve"> </t>
    </r>
    <r>
      <rPr>
        <u/>
        <sz val="20"/>
        <color rgb="FF000000"/>
        <rFont val="Arial"/>
        <family val="3"/>
        <charset val="129"/>
        <scheme val="minor"/>
      </rPr>
      <t>참여기업
멘토</t>
    </r>
    <phoneticPr fontId="11" type="noConversion"/>
  </si>
  <si>
    <r>
      <t>1</t>
    </r>
    <r>
      <rPr>
        <b/>
        <sz val="13"/>
        <rFont val="Arial"/>
        <family val="3"/>
        <charset val="129"/>
        <scheme val="minor"/>
      </rPr>
      <t>주차</t>
    </r>
    <phoneticPr fontId="11" type="noConversion"/>
  </si>
  <si>
    <r>
      <t>2</t>
    </r>
    <r>
      <rPr>
        <b/>
        <sz val="13"/>
        <rFont val="Arial"/>
        <family val="3"/>
        <charset val="129"/>
        <scheme val="minor"/>
      </rPr>
      <t>주차</t>
    </r>
    <phoneticPr fontId="11" type="noConversion"/>
  </si>
  <si>
    <r>
      <t>3</t>
    </r>
    <r>
      <rPr>
        <b/>
        <sz val="13"/>
        <rFont val="Arial"/>
        <family val="3"/>
        <charset val="129"/>
        <scheme val="minor"/>
      </rPr>
      <t>주차</t>
    </r>
    <phoneticPr fontId="11" type="noConversion"/>
  </si>
  <si>
    <r>
      <t>4</t>
    </r>
    <r>
      <rPr>
        <b/>
        <sz val="13"/>
        <rFont val="Arial"/>
        <family val="3"/>
        <charset val="129"/>
        <scheme val="minor"/>
      </rPr>
      <t>주차</t>
    </r>
    <phoneticPr fontId="11" type="noConversion"/>
  </si>
  <si>
    <r>
      <t>5</t>
    </r>
    <r>
      <rPr>
        <b/>
        <sz val="13"/>
        <rFont val="Arial"/>
        <family val="3"/>
        <charset val="129"/>
        <scheme val="minor"/>
      </rPr>
      <t>주차</t>
    </r>
    <phoneticPr fontId="11" type="noConversion"/>
  </si>
  <si>
    <r>
      <t>6</t>
    </r>
    <r>
      <rPr>
        <b/>
        <sz val="13"/>
        <rFont val="Arial"/>
        <family val="3"/>
        <charset val="129"/>
        <scheme val="minor"/>
      </rPr>
      <t>주차</t>
    </r>
    <phoneticPr fontId="11" type="noConversion"/>
  </si>
  <si>
    <r>
      <t>7</t>
    </r>
    <r>
      <rPr>
        <b/>
        <sz val="13"/>
        <rFont val="Arial"/>
        <family val="3"/>
        <charset val="129"/>
        <scheme val="minor"/>
      </rPr>
      <t>주차</t>
    </r>
    <phoneticPr fontId="11" type="noConversion"/>
  </si>
  <si>
    <r>
      <t>8</t>
    </r>
    <r>
      <rPr>
        <b/>
        <sz val="13"/>
        <rFont val="Arial"/>
        <family val="3"/>
        <charset val="129"/>
        <scheme val="minor"/>
      </rPr>
      <t>주차</t>
    </r>
    <phoneticPr fontId="11" type="noConversion"/>
  </si>
  <si>
    <r>
      <rPr>
        <sz val="12"/>
        <color theme="1"/>
        <rFont val="맑은 고딕"/>
        <family val="3"/>
        <charset val="129"/>
      </rPr>
      <t>프로</t>
    </r>
    <r>
      <rPr>
        <sz val="12"/>
        <color theme="1"/>
        <rFont val="Arial"/>
        <family val="2"/>
        <scheme val="minor"/>
      </rPr>
      <t>1</t>
    </r>
    <phoneticPr fontId="11" type="noConversion"/>
  </si>
  <si>
    <r>
      <rPr>
        <b/>
        <sz val="20"/>
        <color theme="1"/>
        <rFont val="맑은 고딕"/>
        <family val="3"/>
        <charset val="129"/>
      </rPr>
      <t>인턴형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실시보고</t>
    </r>
    <r>
      <rPr>
        <b/>
        <sz val="20"/>
        <color theme="1"/>
        <rFont val="Arial"/>
        <family val="2"/>
        <scheme val="minor"/>
      </rPr>
      <t>_</t>
    </r>
    <r>
      <rPr>
        <b/>
        <sz val="20"/>
        <color theme="1"/>
        <rFont val="Arial Unicode MS"/>
        <family val="2"/>
        <charset val="129"/>
      </rPr>
      <t>멘토2</t>
    </r>
    <phoneticPr fontId="11" type="noConversion"/>
  </si>
  <si>
    <r>
      <t xml:space="preserve">* </t>
    </r>
    <r>
      <rPr>
        <sz val="10"/>
        <color rgb="FF000000"/>
        <rFont val="맑은 고딕"/>
        <family val="3"/>
        <charset val="129"/>
      </rPr>
      <t>담당자는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프로그램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전담인력을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의미하며</t>
    </r>
    <r>
      <rPr>
        <sz val="10"/>
        <color rgb="FF000000"/>
        <rFont val="Arial"/>
        <family val="2"/>
        <scheme val="minor"/>
      </rPr>
      <t xml:space="preserve"> 1</t>
    </r>
    <r>
      <rPr>
        <sz val="10"/>
        <color rgb="FF000000"/>
        <rFont val="맑은 고딕"/>
        <family val="3"/>
        <charset val="129"/>
      </rPr>
      <t>인당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청년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참여인원</t>
    </r>
    <r>
      <rPr>
        <sz val="10"/>
        <color rgb="FF000000"/>
        <rFont val="Arial"/>
        <family val="2"/>
        <scheme val="minor"/>
      </rPr>
      <t xml:space="preserve"> 10</t>
    </r>
    <r>
      <rPr>
        <sz val="10"/>
        <color rgb="FF000000"/>
        <rFont val="맑은 고딕"/>
        <family val="3"/>
        <charset val="129"/>
      </rPr>
      <t>명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이하로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제한</t>
    </r>
    <phoneticPr fontId="11" type="noConversion"/>
  </si>
  <si>
    <r>
      <rPr>
        <b/>
        <sz val="13"/>
        <color theme="1"/>
        <rFont val="맑은 고딕"/>
        <family val="3"/>
        <charset val="129"/>
      </rPr>
      <t>전화번호</t>
    </r>
    <r>
      <rPr>
        <b/>
        <sz val="13"/>
        <color theme="1"/>
        <rFont val="Arial"/>
        <family val="2"/>
        <scheme val="minor"/>
      </rPr>
      <t>(</t>
    </r>
    <r>
      <rPr>
        <b/>
        <sz val="13"/>
        <color theme="1"/>
        <rFont val="Arial Unicode MS"/>
        <family val="2"/>
        <charset val="129"/>
      </rPr>
      <t>팩스번호</t>
    </r>
    <r>
      <rPr>
        <b/>
        <sz val="13"/>
        <color theme="1"/>
        <rFont val="Arial"/>
        <family val="2"/>
        <scheme val="minor"/>
      </rPr>
      <t>)</t>
    </r>
    <phoneticPr fontId="11" type="noConversion"/>
  </si>
  <si>
    <t>참여일</t>
    <phoneticPr fontId="11" type="noConversion"/>
  </si>
  <si>
    <r>
      <rPr>
        <b/>
        <sz val="12"/>
        <color rgb="FF000000"/>
        <rFont val="맑은 고딕"/>
        <family val="3"/>
        <charset val="129"/>
      </rPr>
      <t>인턴형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일경험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실시보고</t>
    </r>
    <r>
      <rPr>
        <b/>
        <sz val="12"/>
        <color rgb="FF000000"/>
        <rFont val="Arial"/>
        <family val="2"/>
        <scheme val="minor"/>
      </rPr>
      <t>_</t>
    </r>
    <r>
      <rPr>
        <b/>
        <sz val="12"/>
        <color rgb="FF000000"/>
        <rFont val="Arial Unicode MS"/>
        <family val="2"/>
        <charset val="129"/>
      </rPr>
      <t>멘토1</t>
    </r>
    <phoneticPr fontId="11" type="noConversion"/>
  </si>
  <si>
    <r>
      <rPr>
        <b/>
        <sz val="12"/>
        <color rgb="FF000000"/>
        <rFont val="맑은 고딕"/>
        <family val="3"/>
        <charset val="129"/>
      </rPr>
      <t>인턴형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일경험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실시보고</t>
    </r>
    <r>
      <rPr>
        <b/>
        <sz val="12"/>
        <color rgb="FF000000"/>
        <rFont val="Arial"/>
        <family val="2"/>
        <scheme val="minor"/>
      </rPr>
      <t>_</t>
    </r>
    <r>
      <rPr>
        <b/>
        <sz val="12"/>
        <color rgb="FF000000"/>
        <rFont val="Arial Unicode MS"/>
        <family val="2"/>
        <charset val="129"/>
      </rPr>
      <t>멘토2</t>
    </r>
    <phoneticPr fontId="11" type="noConversion"/>
  </si>
  <si>
    <t>단위명</t>
    <phoneticPr fontId="11" type="noConversion"/>
  </si>
  <si>
    <t>교육기간 및 총시수</t>
  </si>
  <si>
    <t>교육정원</t>
  </si>
  <si>
    <r>
      <rPr>
        <b/>
        <sz val="20"/>
        <color theme="1"/>
        <rFont val="Arial"/>
        <family val="3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계획서</t>
    </r>
    <phoneticPr fontId="11" type="noConversion"/>
  </si>
  <si>
    <r>
      <rPr>
        <b/>
        <sz val="14"/>
        <color theme="1"/>
        <rFont val="Arial"/>
        <family val="2"/>
        <charset val="129"/>
        <scheme val="minor"/>
      </rPr>
      <t>필드</t>
    </r>
    <phoneticPr fontId="11" type="noConversion"/>
  </si>
  <si>
    <r>
      <rPr>
        <b/>
        <sz val="14"/>
        <color theme="1"/>
        <rFont val="Arial"/>
        <family val="2"/>
        <charset val="129"/>
        <scheme val="minor"/>
      </rPr>
      <t>입력</t>
    </r>
    <phoneticPr fontId="11" type="noConversion"/>
  </si>
  <si>
    <r>
      <t>[</t>
    </r>
    <r>
      <rPr>
        <sz val="12"/>
        <color theme="1"/>
        <rFont val="Arial"/>
        <family val="2"/>
        <charset val="129"/>
        <scheme val="minor"/>
      </rPr>
      <t>노마드랩</t>
    </r>
    <r>
      <rPr>
        <sz val="12"/>
        <color theme="1"/>
        <rFont val="Arial"/>
        <family val="2"/>
        <scheme val="minor"/>
      </rPr>
      <t xml:space="preserve">] </t>
    </r>
    <r>
      <rPr>
        <sz val="12"/>
        <color theme="1"/>
        <rFont val="Arial"/>
        <family val="2"/>
        <charset val="129"/>
        <scheme val="minor"/>
      </rPr>
      <t>빅데이터</t>
    </r>
    <r>
      <rPr>
        <sz val="12"/>
        <color theme="1"/>
        <rFont val="Arial"/>
        <family val="2"/>
        <scheme val="minor"/>
      </rPr>
      <t xml:space="preserve"> </t>
    </r>
    <r>
      <rPr>
        <sz val="12"/>
        <color theme="1"/>
        <rFont val="Arial"/>
        <family val="2"/>
        <charset val="129"/>
        <scheme val="minor"/>
      </rPr>
      <t>활용</t>
    </r>
    <r>
      <rPr>
        <sz val="12"/>
        <color theme="1"/>
        <rFont val="Arial"/>
        <family val="2"/>
        <scheme val="minor"/>
      </rPr>
      <t xml:space="preserve"> </t>
    </r>
    <r>
      <rPr>
        <sz val="12"/>
        <color theme="1"/>
        <rFont val="Arial"/>
        <family val="2"/>
        <charset val="129"/>
        <scheme val="minor"/>
      </rPr>
      <t>개발</t>
    </r>
    <phoneticPr fontId="11" type="noConversion"/>
  </si>
  <si>
    <r>
      <rPr>
        <sz val="12"/>
        <color theme="1"/>
        <rFont val="Arial"/>
        <family val="2"/>
        <charset val="129"/>
        <scheme val="minor"/>
      </rPr>
      <t>연구개발</t>
    </r>
    <phoneticPr fontId="11" type="noConversion"/>
  </si>
  <si>
    <r>
      <t>2024.00.00~2024.00.00(00</t>
    </r>
    <r>
      <rPr>
        <sz val="12"/>
        <color rgb="FF000000"/>
        <rFont val="Arial"/>
        <family val="2"/>
        <charset val="129"/>
        <scheme val="minor"/>
      </rPr>
      <t>시간</t>
    </r>
    <r>
      <rPr>
        <sz val="12"/>
        <color rgb="FF000000"/>
        <rFont val="Arial"/>
        <family val="2"/>
        <scheme val="minor"/>
      </rPr>
      <t>)</t>
    </r>
    <phoneticPr fontId="11" type="noConversion"/>
  </si>
  <si>
    <r>
      <rPr>
        <sz val="12"/>
        <color theme="1"/>
        <rFont val="Arial"/>
        <family val="2"/>
        <charset val="129"/>
        <scheme val="minor"/>
      </rPr>
      <t>교육목적입니다</t>
    </r>
    <r>
      <rPr>
        <sz val="12"/>
        <color theme="1"/>
        <rFont val="Arial"/>
        <family val="2"/>
        <scheme val="minor"/>
      </rPr>
      <t>.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</si>
  <si>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매칭</t>
    </r>
    <r>
      <rPr>
        <b/>
        <sz val="12"/>
        <color theme="1"/>
        <rFont val="Arial"/>
        <family val="2"/>
        <scheme val="minor"/>
      </rPr>
      <t>-</t>
    </r>
    <r>
      <rPr>
        <b/>
        <sz val="12"/>
        <color theme="1"/>
        <rFont val="Arial"/>
        <family val="2"/>
        <charset val="129"/>
        <scheme val="minor"/>
      </rPr>
      <t>프로그램명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</si>
  <si>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직무분야</t>
    </r>
    <phoneticPr fontId="11" type="noConversion"/>
  </si>
  <si>
    <r>
      <rPr>
        <b/>
        <sz val="12"/>
        <color rgb="FF000000"/>
        <rFont val="Arial"/>
        <family val="3"/>
        <charset val="129"/>
        <scheme val="minor"/>
      </rPr>
      <t>교육기간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및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총시수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</si>
  <si>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교육정원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</si>
  <si>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교육목적</t>
    </r>
    <phoneticPr fontId="11" type="noConversion"/>
  </si>
  <si>
    <t>사전직무교육 운영 계획서</t>
  </si>
  <si>
    <t>일경험 유형</t>
  </si>
  <si>
    <t> 인턴형</t>
  </si>
  <si>
    <t>□ 프로젝트형</t>
  </si>
  <si>
    <t>매칭-프로그램명</t>
  </si>
  <si>
    <t>매칭-운영기관명</t>
  </si>
  <si>
    <t>직무교육기관명</t>
  </si>
  <si>
    <t>교육</t>
  </si>
  <si>
    <t>장소</t>
  </si>
  <si>
    <t>기관명</t>
  </si>
  <si>
    <t>주 소</t>
  </si>
  <si>
    <t>직무분야</t>
  </si>
  <si>
    <t>담당자 소속</t>
  </si>
  <si>
    <t>김민재</t>
  </si>
  <si>
    <t>이름</t>
  </si>
  <si>
    <t>운영지원팀</t>
  </si>
  <si>
    <t>070-7701-7735</t>
  </si>
  <si>
    <t>교육방법</t>
  </si>
  <si>
    <t xml:space="preserve">■ 오프라인 </t>
  </si>
  <si>
    <t>□ 온라인</t>
  </si>
  <si>
    <t>□ 혼합(오프라인+온라인)</t>
  </si>
  <si>
    <t>교육목적</t>
  </si>
  <si>
    <t>주차</t>
  </si>
  <si>
    <t>구분</t>
  </si>
  <si>
    <r>
      <t>1</t>
    </r>
    <r>
      <rPr>
        <b/>
        <sz val="11"/>
        <color rgb="FF000000"/>
        <rFont val="맑은 고딕"/>
        <family val="3"/>
        <charset val="129"/>
      </rPr>
      <t>주차</t>
    </r>
  </si>
  <si>
    <t>시간</t>
  </si>
  <si>
    <t>내용</t>
  </si>
  <si>
    <t>강사</t>
  </si>
  <si>
    <r>
      <t>2</t>
    </r>
    <r>
      <rPr>
        <b/>
        <sz val="11"/>
        <color rgb="FF000000"/>
        <rFont val="맑은 고딕"/>
        <family val="3"/>
        <charset val="129"/>
      </rPr>
      <t>주차</t>
    </r>
  </si>
  <si>
    <r>
      <t>3</t>
    </r>
    <r>
      <rPr>
        <b/>
        <sz val="11"/>
        <color rgb="FF000000"/>
        <rFont val="맑은 고딕"/>
        <family val="3"/>
        <charset val="129"/>
      </rPr>
      <t>주차</t>
    </r>
  </si>
  <si>
    <r>
      <rPr>
        <b/>
        <i/>
        <sz val="10"/>
        <color rgb="FFFF0000"/>
        <rFont val="맑은 고딕"/>
        <family val="3"/>
        <charset val="129"/>
      </rPr>
      <t>글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추가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시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이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위에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행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삽입</t>
    </r>
    <phoneticPr fontId="11" type="noConversion"/>
  </si>
  <si>
    <t>미완료</t>
    <phoneticPr fontId="11" type="noConversion"/>
  </si>
  <si>
    <r>
      <t>완료</t>
    </r>
    <r>
      <rPr>
        <sz val="12"/>
        <color rgb="FF006100"/>
        <rFont val="Arial"/>
        <family val="2"/>
        <scheme val="minor"/>
      </rPr>
      <t xml:space="preserve"> </t>
    </r>
    <phoneticPr fontId="11" type="noConversion"/>
  </si>
  <si>
    <r>
      <rPr>
        <b/>
        <sz val="10"/>
        <color rgb="FF000000"/>
        <rFont val="Arial"/>
        <family val="3"/>
        <charset val="129"/>
        <scheme val="minor"/>
      </rPr>
      <t>단위명</t>
    </r>
    <phoneticPr fontId="11" type="noConversion"/>
  </si>
  <si>
    <r>
      <rPr>
        <b/>
        <sz val="10"/>
        <color rgb="FF000000"/>
        <rFont val="Arial"/>
        <family val="3"/>
        <charset val="129"/>
        <scheme val="minor"/>
      </rPr>
      <t>단위</t>
    </r>
    <phoneticPr fontId="11" type="noConversion"/>
  </si>
  <si>
    <r>
      <t xml:space="preserve">34. </t>
    </r>
    <r>
      <rPr>
        <sz val="14"/>
        <color rgb="FF000000"/>
        <rFont val="Arial"/>
        <family val="3"/>
        <charset val="129"/>
        <scheme val="minor"/>
      </rPr>
      <t>인턴형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실시보고</t>
    </r>
    <phoneticPr fontId="11" type="noConversion"/>
  </si>
  <si>
    <r>
      <rPr>
        <b/>
        <sz val="10"/>
        <color rgb="FF000000"/>
        <rFont val="Arial"/>
        <family val="3"/>
        <charset val="129"/>
        <scheme val="minor"/>
      </rPr>
      <t>입력값</t>
    </r>
    <phoneticPr fontId="11" type="noConversion"/>
  </si>
  <si>
    <r>
      <rPr>
        <b/>
        <sz val="10"/>
        <color rgb="FF000000"/>
        <rFont val="Arial"/>
        <family val="3"/>
        <charset val="129"/>
        <scheme val="minor"/>
      </rPr>
      <t>입력</t>
    </r>
    <phoneticPr fontId="11" type="noConversion"/>
  </si>
  <si>
    <r>
      <rPr>
        <b/>
        <sz val="10"/>
        <color rgb="FF000000"/>
        <rFont val="Arial"/>
        <family val="3"/>
        <charset val="129"/>
        <scheme val="minor"/>
      </rPr>
      <t>필드명</t>
    </r>
    <phoneticPr fontId="11" type="noConversion"/>
  </si>
  <si>
    <r>
      <rPr>
        <b/>
        <sz val="10"/>
        <color rgb="FF000000"/>
        <rFont val="Arial"/>
        <family val="3"/>
        <charset val="129"/>
        <scheme val="minor"/>
      </rPr>
      <t>필드</t>
    </r>
    <phoneticPr fontId="11" type="noConversion"/>
  </si>
  <si>
    <r>
      <rPr>
        <b/>
        <sz val="10"/>
        <color rgb="FF000000"/>
        <rFont val="Arial"/>
        <family val="3"/>
        <charset val="129"/>
        <scheme val="minor"/>
      </rPr>
      <t>타이틀</t>
    </r>
    <phoneticPr fontId="11" type="noConversion"/>
  </si>
  <si>
    <r>
      <rPr>
        <b/>
        <sz val="10"/>
        <color rgb="FF000000"/>
        <rFont val="Arial"/>
        <family val="3"/>
        <charset val="129"/>
        <scheme val="minor"/>
      </rPr>
      <t>테두리</t>
    </r>
    <phoneticPr fontId="11" type="noConversion"/>
  </si>
  <si>
    <r>
      <rPr>
        <b/>
        <sz val="10"/>
        <color rgb="FF000000"/>
        <rFont val="Arial"/>
        <family val="3"/>
        <charset val="129"/>
        <scheme val="minor"/>
      </rPr>
      <t>색</t>
    </r>
    <phoneticPr fontId="11" type="noConversion"/>
  </si>
  <si>
    <r>
      <rPr>
        <b/>
        <sz val="10"/>
        <color rgb="FF000000"/>
        <rFont val="Arial"/>
        <family val="3"/>
        <charset val="129"/>
        <scheme val="minor"/>
      </rPr>
      <t>정렬</t>
    </r>
    <phoneticPr fontId="11" type="noConversion"/>
  </si>
  <si>
    <r>
      <rPr>
        <b/>
        <sz val="10"/>
        <color rgb="FF000000"/>
        <rFont val="Arial"/>
        <family val="3"/>
        <charset val="129"/>
        <scheme val="minor"/>
      </rPr>
      <t>크기</t>
    </r>
    <phoneticPr fontId="11" type="noConversion"/>
  </si>
  <si>
    <r>
      <rPr>
        <b/>
        <sz val="10"/>
        <color rgb="FF000000"/>
        <rFont val="Arial"/>
        <family val="3"/>
        <charset val="129"/>
        <scheme val="minor"/>
      </rPr>
      <t>폰트</t>
    </r>
    <phoneticPr fontId="11" type="noConversion"/>
  </si>
  <si>
    <r>
      <rPr>
        <b/>
        <sz val="10"/>
        <color rgb="FF000000"/>
        <rFont val="Arial"/>
        <family val="3"/>
        <charset val="129"/>
        <scheme val="minor"/>
      </rPr>
      <t>용도</t>
    </r>
    <phoneticPr fontId="11" type="noConversion"/>
  </si>
  <si>
    <r>
      <rPr>
        <b/>
        <u/>
        <sz val="15"/>
        <color rgb="FF000000"/>
        <rFont val="맑은 고딕"/>
        <family val="3"/>
        <charset val="129"/>
      </rPr>
      <t>글,</t>
    </r>
    <r>
      <rPr>
        <b/>
        <u/>
        <sz val="15"/>
        <color rgb="FF000000"/>
        <rFont val="Arial"/>
        <family val="2"/>
        <scheme val="minor"/>
      </rPr>
      <t xml:space="preserve"> </t>
    </r>
    <r>
      <rPr>
        <b/>
        <u/>
        <sz val="15"/>
        <color rgb="FF000000"/>
        <rFont val="맑은 고딕"/>
        <family val="3"/>
        <charset val="129"/>
      </rPr>
      <t>폰트, 표 규격</t>
    </r>
    <phoneticPr fontId="11" type="noConversion"/>
  </si>
  <si>
    <t>여부</t>
    <phoneticPr fontId="11" type="noConversion"/>
  </si>
  <si>
    <r>
      <rPr>
        <b/>
        <sz val="14"/>
        <color rgb="FF000000"/>
        <rFont val="Arial"/>
        <family val="3"/>
        <charset val="129"/>
        <scheme val="minor"/>
      </rPr>
      <t>담당자</t>
    </r>
    <r>
      <rPr>
        <b/>
        <sz val="14"/>
        <color rgb="FF000000"/>
        <rFont val="Arial"/>
        <family val="2"/>
        <scheme val="minor"/>
      </rPr>
      <t>/</t>
    </r>
    <r>
      <rPr>
        <b/>
        <sz val="14"/>
        <color rgb="FF000000"/>
        <rFont val="Arial"/>
        <family val="3"/>
        <charset val="129"/>
        <scheme val="minor"/>
      </rPr>
      <t>멘토</t>
    </r>
    <phoneticPr fontId="11" type="noConversion"/>
  </si>
  <si>
    <r>
      <rPr>
        <b/>
        <u/>
        <sz val="20"/>
        <color rgb="FF000000"/>
        <rFont val="Arial Unicode MS"/>
        <family val="2"/>
        <charset val="129"/>
      </rPr>
      <t>잠금시트</t>
    </r>
    <r>
      <rPr>
        <b/>
        <u/>
        <sz val="20"/>
        <color rgb="FF000000"/>
        <rFont val="Arial Unicode MS"/>
        <family val="2"/>
      </rPr>
      <t xml:space="preserve"> </t>
    </r>
    <r>
      <rPr>
        <b/>
        <u/>
        <sz val="20"/>
        <color rgb="FF000000"/>
        <rFont val="Arial Unicode MS"/>
        <family val="2"/>
        <charset val="129"/>
      </rPr>
      <t>리스트</t>
    </r>
    <phoneticPr fontId="11" type="noConversion"/>
  </si>
  <si>
    <r>
      <rPr>
        <u/>
        <sz val="20"/>
        <color rgb="FF000000"/>
        <rFont val="Arial"/>
        <family val="3"/>
        <charset val="129"/>
        <scheme val="minor"/>
      </rPr>
      <t>시트</t>
    </r>
    <r>
      <rPr>
        <u/>
        <sz val="20"/>
        <color rgb="FF000000"/>
        <rFont val="Arial"/>
        <family val="2"/>
        <scheme val="minor"/>
      </rPr>
      <t xml:space="preserve"> </t>
    </r>
    <r>
      <rPr>
        <u/>
        <sz val="20"/>
        <color rgb="FF000000"/>
        <rFont val="Arial"/>
        <family val="3"/>
        <charset val="129"/>
        <scheme val="minor"/>
      </rPr>
      <t>잠금하는</t>
    </r>
    <r>
      <rPr>
        <u/>
        <sz val="20"/>
        <color rgb="FF000000"/>
        <rFont val="Arial"/>
        <family val="2"/>
        <scheme val="minor"/>
      </rPr>
      <t xml:space="preserve"> </t>
    </r>
    <r>
      <rPr>
        <u/>
        <sz val="20"/>
        <color rgb="FF000000"/>
        <rFont val="Arial"/>
        <family val="3"/>
        <charset val="129"/>
        <scheme val="minor"/>
      </rPr>
      <t>법</t>
    </r>
    <phoneticPr fontId="11" type="noConversion"/>
  </si>
  <si>
    <r>
      <rPr>
        <b/>
        <sz val="12"/>
        <color theme="1"/>
        <rFont val="Arial Unicode MS"/>
        <family val="2"/>
        <charset val="129"/>
      </rPr>
      <t>매칭</t>
    </r>
    <r>
      <rPr>
        <b/>
        <sz val="12"/>
        <color theme="1"/>
        <rFont val="Arial"/>
        <family val="2"/>
      </rPr>
      <t>-</t>
    </r>
    <r>
      <rPr>
        <b/>
        <sz val="12"/>
        <color theme="1"/>
        <rFont val="Arial Unicode MS"/>
        <family val="2"/>
        <charset val="129"/>
      </rPr>
      <t>운영기관명</t>
    </r>
    <phoneticPr fontId="11" type="noConversion"/>
  </si>
  <si>
    <t>직무교육기관명</t>
    <phoneticPr fontId="11" type="noConversion"/>
  </si>
  <si>
    <t>기관명</t>
    <phoneticPr fontId="11" type="noConversion"/>
  </si>
  <si>
    <t>운영기관명</t>
  </si>
  <si>
    <r>
      <rPr>
        <u/>
        <sz val="20"/>
        <color rgb="FF000000"/>
        <rFont val="맑은 고딕"/>
        <family val="3"/>
        <charset val="129"/>
      </rPr>
      <t>일경험</t>
    </r>
    <r>
      <rPr>
        <u/>
        <sz val="20"/>
        <color rgb="FF000000"/>
        <rFont val="Arial"/>
        <family val="2"/>
        <scheme val="minor"/>
      </rPr>
      <t xml:space="preserve"> </t>
    </r>
    <r>
      <rPr>
        <u/>
        <sz val="20"/>
        <color rgb="FF000000"/>
        <rFont val="맑은 고딕"/>
        <family val="3"/>
        <charset val="129"/>
      </rPr>
      <t>정보</t>
    </r>
    <phoneticPr fontId="11" type="noConversion"/>
  </si>
  <si>
    <t>일경험 장소</t>
    <phoneticPr fontId="11" type="noConversion"/>
  </si>
  <si>
    <t>인턴형 기간(개월수)</t>
    <phoneticPr fontId="11" type="noConversion"/>
  </si>
  <si>
    <t>인턴형</t>
    <phoneticPr fontId="11" type="noConversion"/>
  </si>
  <si>
    <r>
      <rPr>
        <b/>
        <sz val="12"/>
        <color theme="1"/>
        <rFont val="Arial Unicode MS"/>
        <family val="2"/>
        <charset val="129"/>
      </rPr>
      <t>일경험</t>
    </r>
    <r>
      <rPr>
        <b/>
        <sz val="12"/>
        <color theme="1"/>
        <rFont val="Arial"/>
        <family val="2"/>
      </rPr>
      <t xml:space="preserve"> </t>
    </r>
    <r>
      <rPr>
        <b/>
        <sz val="12"/>
        <color theme="1"/>
        <rFont val="Arial Unicode MS"/>
        <family val="2"/>
        <charset val="129"/>
      </rPr>
      <t>유형</t>
    </r>
    <phoneticPr fontId="11" type="noConversion"/>
  </si>
  <si>
    <t>멘토 계좌번호</t>
    <phoneticPr fontId="11" type="noConversion"/>
  </si>
  <si>
    <t>멘토 은행명</t>
    <phoneticPr fontId="11" type="noConversion"/>
  </si>
  <si>
    <r>
      <rPr>
        <b/>
        <sz val="12"/>
        <color theme="1"/>
        <rFont val="맑은 고딕"/>
        <family val="3"/>
        <charset val="129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맑은 고딕"/>
        <family val="3"/>
        <charset val="129"/>
      </rPr>
      <t>명</t>
    </r>
    <phoneticPr fontId="11" type="noConversion"/>
  </si>
  <si>
    <r>
      <rPr>
        <b/>
        <sz val="12"/>
        <color theme="1"/>
        <rFont val="맑은 고딕"/>
        <family val="3"/>
        <charset val="129"/>
      </rPr>
      <t>회사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맑은 고딕"/>
        <family val="3"/>
        <charset val="129"/>
      </rPr>
      <t>소개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맑은 고딕"/>
        <family val="3"/>
        <charset val="129"/>
      </rPr>
      <t>및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맑은 고딕"/>
        <family val="3"/>
        <charset val="129"/>
      </rPr>
      <t>주요사업</t>
    </r>
    <phoneticPr fontId="11" type="noConversion"/>
  </si>
  <si>
    <t>홈페이지</t>
    <phoneticPr fontId="11" type="noConversion"/>
  </si>
  <si>
    <r>
      <rPr>
        <b/>
        <sz val="12"/>
        <color theme="1"/>
        <rFont val="맑은 고딕"/>
        <family val="3"/>
        <charset val="129"/>
      </rPr>
      <t>사업장주소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맑은 고딕"/>
        <family val="3"/>
        <charset val="129"/>
      </rPr>
      <t>일경험 장소</t>
    </r>
    <r>
      <rPr>
        <b/>
        <sz val="12"/>
        <color theme="1"/>
        <rFont val="Arial"/>
        <family val="2"/>
        <scheme val="minor"/>
      </rPr>
      <t>)</t>
    </r>
    <phoneticPr fontId="11" type="noConversion"/>
  </si>
  <si>
    <t>051)111-1111</t>
    <phoneticPr fontId="11" type="noConversion"/>
  </si>
  <si>
    <t>참여기업</t>
    <phoneticPr fontId="11" type="noConversion"/>
  </si>
  <si>
    <r>
      <rPr>
        <u/>
        <sz val="20"/>
        <color rgb="FF000000"/>
        <rFont val="Arial"/>
        <family val="2"/>
        <charset val="129"/>
        <scheme val="major"/>
      </rPr>
      <t>사전직무</t>
    </r>
    <r>
      <rPr>
        <u/>
        <sz val="20"/>
        <color rgb="FF000000"/>
        <rFont val="Arial"/>
        <family val="2"/>
        <scheme val="major"/>
      </rPr>
      <t xml:space="preserve"> </t>
    </r>
    <r>
      <rPr>
        <u/>
        <sz val="20"/>
        <color rgb="FF000000"/>
        <rFont val="Arial"/>
        <family val="2"/>
        <charset val="129"/>
        <scheme val="major"/>
      </rPr>
      <t>운영</t>
    </r>
    <r>
      <rPr>
        <u/>
        <sz val="20"/>
        <color rgb="FF000000"/>
        <rFont val="Arial"/>
        <family val="2"/>
        <scheme val="major"/>
      </rPr>
      <t xml:space="preserve"> </t>
    </r>
    <r>
      <rPr>
        <u/>
        <sz val="20"/>
        <color rgb="FF000000"/>
        <rFont val="Arial"/>
        <family val="2"/>
        <charset val="129"/>
        <scheme val="major"/>
      </rPr>
      <t>계획서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</si>
  <si>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매칭</t>
    </r>
    <r>
      <rPr>
        <b/>
        <sz val="12"/>
        <color theme="1"/>
        <rFont val="Arial"/>
        <family val="2"/>
        <scheme val="minor"/>
      </rPr>
      <t>-</t>
    </r>
    <r>
      <rPr>
        <b/>
        <sz val="12"/>
        <color theme="1"/>
        <rFont val="Arial"/>
        <family val="2"/>
        <charset val="129"/>
        <scheme val="minor"/>
      </rPr>
      <t>운영기관명</t>
    </r>
    <phoneticPr fontId="11" type="noConversion"/>
  </si>
  <si>
    <r>
      <rPr>
        <sz val="12"/>
        <color theme="1"/>
        <rFont val="Arial"/>
        <family val="2"/>
        <charset val="129"/>
        <scheme val="minor"/>
      </rPr>
      <t>운영기관명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</si>
  <si>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직무교육기관명</t>
    </r>
    <phoneticPr fontId="11" type="noConversion"/>
  </si>
  <si>
    <r>
      <rPr>
        <sz val="12"/>
        <color theme="1"/>
        <rFont val="Arial"/>
        <family val="2"/>
        <charset val="129"/>
        <scheme val="minor"/>
      </rPr>
      <t>직무교육기관명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</si>
  <si>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기관명</t>
    </r>
    <phoneticPr fontId="11" type="noConversion"/>
  </si>
  <si>
    <r>
      <rPr>
        <sz val="12"/>
        <color theme="1"/>
        <rFont val="Arial"/>
        <family val="2"/>
        <charset val="129"/>
        <scheme val="minor"/>
      </rPr>
      <t>기관명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</si>
  <si>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주소</t>
    </r>
    <phoneticPr fontId="11" type="noConversion"/>
  </si>
  <si>
    <r>
      <rPr>
        <sz val="12"/>
        <color theme="1"/>
        <rFont val="Arial"/>
        <family val="2"/>
        <charset val="129"/>
        <scheme val="minor"/>
      </rPr>
      <t>주소</t>
    </r>
    <phoneticPr fontId="11" type="noConversion"/>
  </si>
  <si>
    <t>프로그램</t>
  </si>
  <si>
    <t>프로그램</t>
    <phoneticPr fontId="11" type="noConversion"/>
  </si>
  <si>
    <t>장소(소재지)</t>
  </si>
  <si>
    <t>참여인원</t>
  </si>
  <si>
    <r>
      <rPr>
        <b/>
        <sz val="12"/>
        <color theme="1"/>
        <rFont val="Arial"/>
        <family val="3"/>
        <charset val="129"/>
        <scheme val="minor"/>
      </rPr>
      <t>프로그램명</t>
    </r>
    <phoneticPr fontId="11" type="noConversion"/>
  </si>
  <si>
    <r>
      <rPr>
        <b/>
        <sz val="12"/>
        <color theme="1"/>
        <rFont val="Arial"/>
        <family val="3"/>
        <charset val="129"/>
        <scheme val="minor"/>
      </rPr>
      <t>직무분야</t>
    </r>
    <phoneticPr fontId="11" type="noConversion"/>
  </si>
  <si>
    <r>
      <rPr>
        <b/>
        <sz val="12"/>
        <color theme="1"/>
        <rFont val="Arial"/>
        <family val="3"/>
        <charset val="129"/>
        <scheme val="minor"/>
      </rPr>
      <t>프로그램내용</t>
    </r>
    <phoneticPr fontId="11" type="noConversion"/>
  </si>
  <si>
    <r>
      <rPr>
        <b/>
        <sz val="12"/>
        <color theme="1"/>
        <rFont val="Arial"/>
        <family val="3"/>
        <charset val="129"/>
        <scheme val="minor"/>
      </rPr>
      <t>프로그램기간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</si>
  <si>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장소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2"/>
        <charset val="129"/>
        <scheme val="minor"/>
      </rPr>
      <t>소재지</t>
    </r>
    <r>
      <rPr>
        <b/>
        <sz val="12"/>
        <color theme="1"/>
        <rFont val="Arial"/>
        <family val="2"/>
        <scheme val="minor"/>
      </rPr>
      <t>)</t>
    </r>
    <phoneticPr fontId="11" type="noConversion"/>
  </si>
  <si>
    <r>
      <rPr>
        <b/>
        <sz val="12"/>
        <color theme="1"/>
        <rFont val="Arial"/>
        <family val="3"/>
        <charset val="129"/>
        <scheme val="minor"/>
      </rPr>
      <t>참여인원</t>
    </r>
    <phoneticPr fontId="11" type="noConversion"/>
  </si>
  <si>
    <t>기업지원금</t>
  </si>
  <si>
    <t>멘토지원금</t>
  </si>
  <si>
    <t>금액</t>
  </si>
  <si>
    <t>입금계좌</t>
  </si>
  <si>
    <t>입금계좌(은행명)</t>
  </si>
  <si>
    <t>입금계좌(은행명)</t>
    <phoneticPr fontId="11" type="noConversion"/>
  </si>
  <si>
    <t>지원금</t>
  </si>
  <si>
    <t>기업지원금금액</t>
    <phoneticPr fontId="11" type="noConversion"/>
  </si>
  <si>
    <t>멘토지원금금액</t>
    <phoneticPr fontId="11" type="noConversion"/>
  </si>
  <si>
    <r>
      <rPr>
        <u/>
        <sz val="20"/>
        <color rgb="FF000000"/>
        <rFont val="Arial"/>
        <family val="2"/>
        <charset val="129"/>
        <scheme val="major"/>
      </rPr>
      <t>지원금</t>
    </r>
    <phoneticPr fontId="11" type="noConversion"/>
  </si>
  <si>
    <t>참여시간(B)</t>
  </si>
  <si>
    <t>참여시간(B)</t>
    <phoneticPr fontId="11" type="noConversion"/>
  </si>
  <si>
    <t>지원금액</t>
  </si>
  <si>
    <t>지원금액</t>
    <phoneticPr fontId="11" type="noConversion"/>
  </si>
  <si>
    <t>은행명</t>
  </si>
  <si>
    <t>은행명</t>
    <phoneticPr fontId="11" type="noConversion"/>
  </si>
  <si>
    <t>계좌번호</t>
  </si>
  <si>
    <r>
      <rPr>
        <b/>
        <sz val="12"/>
        <color theme="1"/>
        <rFont val="Arial"/>
        <family val="3"/>
        <charset val="129"/>
        <scheme val="minor"/>
      </rPr>
      <t>성명</t>
    </r>
    <phoneticPr fontId="11" type="noConversion"/>
  </si>
  <si>
    <r>
      <rPr>
        <b/>
        <sz val="12"/>
        <color theme="1"/>
        <rFont val="Arial Unicode MS"/>
        <family val="2"/>
        <charset val="129"/>
      </rPr>
      <t>출석률(</t>
    </r>
    <r>
      <rPr>
        <b/>
        <sz val="12"/>
        <color theme="1"/>
        <rFont val="Arial"/>
        <family val="2"/>
      </rPr>
      <t>B/A)</t>
    </r>
    <phoneticPr fontId="11" type="noConversion"/>
  </si>
  <si>
    <t>사업장</t>
  </si>
  <si>
    <t>현 황</t>
  </si>
  <si>
    <t>업종</t>
  </si>
  <si>
    <t>피보험자수</t>
  </si>
  <si>
    <t>정 보</t>
  </si>
  <si>
    <t>(팩스번호)</t>
  </si>
  <si>
    <t>* 담당자는 프로그램 전담인력을 의미하며 1인당 청년 참여인원 10명 이하로 제한</t>
  </si>
  <si>
    <t>(프로그램의 참여인원이 10명 이상인 경우 각 각의 담당자 명단 제출)</t>
  </si>
  <si>
    <t>프로그램 기간</t>
  </si>
  <si>
    <t>프로그램기간</t>
  </si>
  <si>
    <t>* 참여자 출석률에 따른 기원지원금 총금액 작성</t>
  </si>
  <si>
    <t>참여자</t>
  </si>
  <si>
    <t>명단</t>
  </si>
  <si>
    <t>주민등록</t>
  </si>
  <si>
    <t>번 호</t>
  </si>
  <si>
    <r>
      <t>출석률</t>
    </r>
    <r>
      <rPr>
        <vertAlign val="superscript"/>
        <sz val="7.5"/>
        <color rgb="FF000000"/>
        <rFont val="KoPubWorld돋움체 Light"/>
        <family val="3"/>
        <charset val="129"/>
      </rPr>
      <t>*</t>
    </r>
    <r>
      <rPr>
        <sz val="7.5"/>
        <color rgb="FF000000"/>
        <rFont val="KoPubWorld돋움체 Light"/>
        <family val="3"/>
        <charset val="129"/>
      </rPr>
      <t>(B/A)</t>
    </r>
  </si>
  <si>
    <t>* 출석률 : 프로그램의 월 편성시간 대비 청년의 실제 참여시간 비율</t>
  </si>
  <si>
    <t xml:space="preserve">통보합니다. </t>
  </si>
  <si>
    <t>2024년 월 일</t>
  </si>
  <si>
    <t>1. 참여청년, 멘토, 기업 명의 통장사본(최초 1회 신청 시에만 제출)</t>
  </si>
  <si>
    <t xml:space="preserve">2. 개인정보제공동의서(청년) </t>
  </si>
  <si>
    <t>3. 멘토 활동 증빙(서식 114 – 멘토 면담 일지)</t>
  </si>
  <si>
    <r>
      <t>0000</t>
    </r>
    <r>
      <rPr>
        <sz val="13"/>
        <color theme="1"/>
        <rFont val="Arial Unicode MS"/>
        <family val="2"/>
        <charset val="129"/>
      </rPr>
      <t>년 0월 0일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</si>
  <si>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대표자명</t>
    </r>
    <phoneticPr fontId="11" type="noConversion"/>
  </si>
  <si>
    <r>
      <rPr>
        <b/>
        <sz val="12"/>
        <color theme="1"/>
        <rFont val="Arial"/>
        <family val="3"/>
        <charset val="129"/>
        <scheme val="minor"/>
      </rPr>
      <t>피보험자수</t>
    </r>
    <phoneticPr fontId="11" type="noConversion"/>
  </si>
  <si>
    <r>
      <rPr>
        <b/>
        <sz val="12"/>
        <color theme="1"/>
        <rFont val="맑은 고딕"/>
        <family val="3"/>
        <charset val="129"/>
      </rPr>
      <t>전화번호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 Unicode MS"/>
        <family val="2"/>
        <charset val="129"/>
      </rPr>
      <t>팩스번호</t>
    </r>
    <r>
      <rPr>
        <b/>
        <sz val="12"/>
        <color theme="1"/>
        <rFont val="Arial"/>
        <family val="2"/>
        <scheme val="minor"/>
      </rPr>
      <t>)</t>
    </r>
    <phoneticPr fontId="11" type="noConversion"/>
  </si>
  <si>
    <r>
      <rPr>
        <b/>
        <sz val="12"/>
        <color theme="1"/>
        <rFont val="Arial"/>
        <family val="3"/>
        <charset val="129"/>
        <scheme val="minor"/>
      </rPr>
      <t>이메일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</si>
  <si>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일경험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2"/>
        <charset val="129"/>
        <scheme val="minor"/>
      </rPr>
      <t>결과보고하는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2"/>
        <charset val="129"/>
        <scheme val="minor"/>
      </rPr>
      <t>달</t>
    </r>
    <phoneticPr fontId="11" type="noConversion"/>
  </si>
  <si>
    <t>운 영</t>
  </si>
  <si>
    <t>기 관</t>
  </si>
  <si>
    <r>
      <t>운영기관명</t>
    </r>
    <r>
      <rPr>
        <sz val="9"/>
        <color rgb="FF000000"/>
        <rFont val="Arial"/>
        <family val="2"/>
        <scheme val="minor"/>
      </rPr>
      <t xml:space="preserve"> </t>
    </r>
  </si>
  <si>
    <t>약정인원</t>
  </si>
  <si>
    <t>약 정 금 액</t>
  </si>
  <si>
    <t>약정금액</t>
  </si>
  <si>
    <r>
      <t>사업장명</t>
    </r>
    <r>
      <rPr>
        <sz val="9"/>
        <color rgb="FF000000"/>
        <rFont val="Arial"/>
        <family val="2"/>
        <scheme val="minor"/>
      </rPr>
      <t xml:space="preserve"> </t>
    </r>
  </si>
  <si>
    <t>이수인원</t>
  </si>
  <si>
    <t>(A)</t>
  </si>
  <si>
    <t>지원금(A)</t>
  </si>
  <si>
    <t>지급액</t>
  </si>
  <si>
    <t>(B)</t>
  </si>
  <si>
    <t>합계</t>
  </si>
  <si>
    <t>잔액</t>
  </si>
  <si>
    <t>(A-B)</t>
  </si>
  <si>
    <t>잔액(A-B)</t>
  </si>
  <si>
    <t>기업</t>
  </si>
  <si>
    <t>청년</t>
  </si>
  <si>
    <t>이수여부</t>
  </si>
  <si>
    <t>비고</t>
  </si>
  <si>
    <t xml:space="preserve">위와 같이 『청년 일경험 지원사업(인턴형 일경험)』의 실시결과를 제출합니다. </t>
  </si>
  <si>
    <t>확인자</t>
  </si>
  <si>
    <t>(대표자)</t>
  </si>
  <si>
    <t>일경험 통합지원센터장</t>
  </si>
  <si>
    <r>
      <rPr>
        <b/>
        <sz val="12"/>
        <color rgb="FF000000"/>
        <rFont val="맑은 고딕"/>
        <family val="3"/>
        <charset val="129"/>
      </rPr>
      <t>인턴형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일경험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실시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결과보고</t>
    </r>
    <phoneticPr fontId="11" type="noConversion"/>
  </si>
  <si>
    <r>
      <rPr>
        <b/>
        <sz val="20"/>
        <color theme="1"/>
        <rFont val="Arial"/>
        <family val="3"/>
        <charset val="129"/>
        <scheme val="minor"/>
      </rPr>
      <t>인턴형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실시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결과보고</t>
    </r>
    <phoneticPr fontId="11" type="noConversion"/>
  </si>
  <si>
    <t>약정인원</t>
    <phoneticPr fontId="11" type="noConversion"/>
  </si>
  <si>
    <t>약정금액</t>
    <phoneticPr fontId="11" type="noConversion"/>
  </si>
  <si>
    <t>피보험자수</t>
    <phoneticPr fontId="11" type="noConversion"/>
  </si>
  <si>
    <t>프로그램기간</t>
    <phoneticPr fontId="11" type="noConversion"/>
  </si>
  <si>
    <t>이수인원</t>
    <phoneticPr fontId="11" type="noConversion"/>
  </si>
  <si>
    <r>
      <rPr>
        <b/>
        <sz val="12"/>
        <color theme="1"/>
        <rFont val="Arial"/>
        <family val="3"/>
        <charset val="129"/>
        <scheme val="minor"/>
      </rPr>
      <t>지원금</t>
    </r>
    <r>
      <rPr>
        <b/>
        <sz val="12"/>
        <color theme="1"/>
        <rFont val="Arial"/>
        <family val="2"/>
        <scheme val="minor"/>
      </rPr>
      <t>(A)</t>
    </r>
    <phoneticPr fontId="11" type="noConversion"/>
  </si>
  <si>
    <r>
      <rPr>
        <b/>
        <sz val="12"/>
        <color theme="1"/>
        <rFont val="Arial"/>
        <family val="3"/>
        <charset val="129"/>
        <scheme val="minor"/>
      </rPr>
      <t>잔액</t>
    </r>
    <r>
      <rPr>
        <b/>
        <sz val="12"/>
        <color theme="1"/>
        <rFont val="Arial"/>
        <family val="2"/>
        <scheme val="minor"/>
      </rPr>
      <t>(A-B)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</si>
  <si>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지급액</t>
    </r>
    <r>
      <rPr>
        <b/>
        <sz val="12"/>
        <color theme="1"/>
        <rFont val="Arial"/>
        <family val="2"/>
        <scheme val="minor"/>
      </rPr>
      <t xml:space="preserve">(B) </t>
    </r>
    <r>
      <rPr>
        <b/>
        <sz val="12"/>
        <color theme="1"/>
        <rFont val="Arial"/>
        <family val="2"/>
        <charset val="129"/>
        <scheme val="minor"/>
      </rPr>
      <t>합계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</si>
  <si>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지금액</t>
    </r>
    <r>
      <rPr>
        <b/>
        <sz val="12"/>
        <color theme="1"/>
        <rFont val="Arial"/>
        <family val="2"/>
        <scheme val="minor"/>
      </rPr>
      <t xml:space="preserve">(B) </t>
    </r>
    <r>
      <rPr>
        <b/>
        <sz val="12"/>
        <color theme="1"/>
        <rFont val="Arial"/>
        <family val="2"/>
        <charset val="129"/>
        <scheme val="minor"/>
      </rPr>
      <t>기업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</si>
  <si>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지급액</t>
    </r>
    <r>
      <rPr>
        <b/>
        <sz val="12"/>
        <color theme="1"/>
        <rFont val="Arial"/>
        <family val="2"/>
        <scheme val="minor"/>
      </rPr>
      <t xml:space="preserve">(B) </t>
    </r>
    <r>
      <rPr>
        <b/>
        <sz val="12"/>
        <color theme="1"/>
        <rFont val="Arial"/>
        <family val="2"/>
        <charset val="129"/>
        <scheme val="minor"/>
      </rPr>
      <t>청년</t>
    </r>
    <phoneticPr fontId="11" type="noConversion"/>
  </si>
  <si>
    <t>참여기간</t>
    <phoneticPr fontId="11" type="noConversion"/>
  </si>
  <si>
    <t>이수여부</t>
    <phoneticPr fontId="11" type="noConversion"/>
  </si>
  <si>
    <t>비고</t>
    <phoneticPr fontId="11" type="noConversion"/>
  </si>
  <si>
    <t>.</t>
    <phoneticPr fontId="11" type="noConversion"/>
  </si>
  <si>
    <t>작성날짜</t>
    <phoneticPr fontId="11" type="noConversion"/>
  </si>
  <si>
    <t>운영기관</t>
    <phoneticPr fontId="11" type="noConversion"/>
  </si>
  <si>
    <r>
      <t xml:space="preserve">45. </t>
    </r>
    <r>
      <rPr>
        <sz val="14"/>
        <color rgb="FF000000"/>
        <rFont val="Arial"/>
        <family val="2"/>
        <charset val="129"/>
        <scheme val="minor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모니터링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점검표</t>
    </r>
    <phoneticPr fontId="11" type="noConversion"/>
  </si>
  <si>
    <t>모니터링</t>
    <phoneticPr fontId="11" type="noConversion"/>
  </si>
  <si>
    <r>
      <t>123. (</t>
    </r>
    <r>
      <rPr>
        <sz val="14"/>
        <color rgb="FF000000"/>
        <rFont val="Arial"/>
        <family val="2"/>
        <charset val="129"/>
        <scheme val="minor"/>
      </rPr>
      <t>공통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Arial"/>
        <family val="2"/>
        <charset val="129"/>
        <scheme val="minor"/>
      </rPr>
      <t>청년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Arial"/>
        <family val="2"/>
        <charset val="129"/>
        <scheme val="minor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중도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포기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신청서</t>
    </r>
    <phoneticPr fontId="11" type="noConversion"/>
  </si>
  <si>
    <t>중도포기</t>
    <phoneticPr fontId="11" type="noConversion"/>
  </si>
  <si>
    <r>
      <t xml:space="preserve">36. </t>
    </r>
    <r>
      <rPr>
        <sz val="14"/>
        <color rgb="FF000000"/>
        <rFont val="Arial"/>
        <family val="3"/>
        <charset val="129"/>
        <scheme val="minor"/>
      </rPr>
      <t>인턴형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실시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결과보고</t>
    </r>
    <phoneticPr fontId="11" type="noConversion"/>
  </si>
  <si>
    <t>일경험
종료</t>
    <phoneticPr fontId="11" type="noConversion"/>
  </si>
  <si>
    <r>
      <t>105. (</t>
    </r>
    <r>
      <rPr>
        <sz val="14"/>
        <color rgb="FF000000"/>
        <rFont val="Arial"/>
        <family val="3"/>
        <charset val="129"/>
        <scheme val="minor"/>
      </rPr>
      <t>운영기관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담당관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Arial"/>
        <family val="3"/>
        <charset val="129"/>
        <scheme val="minor"/>
      </rPr>
      <t>청년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참여청년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면담일지</t>
    </r>
    <phoneticPr fontId="11" type="noConversion"/>
  </si>
  <si>
    <r>
      <t>35. ()</t>
    </r>
    <r>
      <rPr>
        <sz val="14"/>
        <color rgb="FF000000"/>
        <rFont val="Arial"/>
        <family val="3"/>
        <charset val="129"/>
        <scheme val="minor"/>
      </rPr>
      <t>월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인턴형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결과보고</t>
    </r>
    <phoneticPr fontId="11" type="noConversion"/>
  </si>
  <si>
    <r>
      <t>134-2. (</t>
    </r>
    <r>
      <rPr>
        <sz val="14"/>
        <color rgb="FF000000"/>
        <rFont val="Arial"/>
        <family val="3"/>
        <charset val="129"/>
        <scheme val="minor"/>
      </rPr>
      <t>인턴형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Arial"/>
        <family val="3"/>
        <charset val="129"/>
        <scheme val="minor"/>
      </rPr>
      <t>멘토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Arial"/>
        <family val="3"/>
        <charset val="129"/>
        <scheme val="minor"/>
      </rPr>
      <t>멘토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결과보고서</t>
    </r>
    <phoneticPr fontId="11" type="noConversion"/>
  </si>
  <si>
    <r>
      <t>134-1. (</t>
    </r>
    <r>
      <rPr>
        <sz val="14"/>
        <color rgb="FF000000"/>
        <rFont val="Arial"/>
        <family val="3"/>
        <charset val="129"/>
        <scheme val="minor"/>
      </rPr>
      <t>인턴형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Arial"/>
        <family val="3"/>
        <charset val="129"/>
        <scheme val="minor"/>
      </rPr>
      <t>멘토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Arial"/>
        <family val="3"/>
        <charset val="129"/>
        <scheme val="minor"/>
      </rPr>
      <t>멘토수당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신청서</t>
    </r>
    <phoneticPr fontId="11" type="noConversion"/>
  </si>
  <si>
    <r>
      <t>105. (</t>
    </r>
    <r>
      <rPr>
        <sz val="14"/>
        <color rgb="FF000000"/>
        <rFont val="맑은 고딕"/>
        <family val="3"/>
        <charset val="129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멘토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청년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참여청년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면담일지</t>
    </r>
    <phoneticPr fontId="11" type="noConversion"/>
  </si>
  <si>
    <r>
      <t xml:space="preserve">&lt;= * </t>
    </r>
    <r>
      <rPr>
        <b/>
        <sz val="8"/>
        <color rgb="FFFF0000"/>
        <rFont val="Arial"/>
        <family val="3"/>
        <charset val="129"/>
        <scheme val="minor"/>
      </rPr>
      <t>새로운</t>
    </r>
    <r>
      <rPr>
        <b/>
        <sz val="8"/>
        <color rgb="FFFF0000"/>
        <rFont val="Arial"/>
        <family val="2"/>
        <scheme val="minor"/>
      </rPr>
      <t xml:space="preserve"> </t>
    </r>
    <r>
      <rPr>
        <b/>
        <sz val="8"/>
        <color rgb="FFFF0000"/>
        <rFont val="Arial"/>
        <family val="3"/>
        <charset val="129"/>
        <scheme val="minor"/>
      </rPr>
      <t>단위명이</t>
    </r>
    <r>
      <rPr>
        <b/>
        <sz val="8"/>
        <color rgb="FFFF0000"/>
        <rFont val="Arial"/>
        <family val="2"/>
        <scheme val="minor"/>
      </rPr>
      <t xml:space="preserve"> </t>
    </r>
    <r>
      <rPr>
        <b/>
        <sz val="8"/>
        <color rgb="FFFF0000"/>
        <rFont val="Arial"/>
        <family val="3"/>
        <charset val="129"/>
        <scheme val="minor"/>
      </rPr>
      <t>올</t>
    </r>
    <r>
      <rPr>
        <b/>
        <sz val="8"/>
        <color rgb="FFFF0000"/>
        <rFont val="Arial"/>
        <family val="2"/>
        <scheme val="minor"/>
      </rPr>
      <t xml:space="preserve"> </t>
    </r>
    <r>
      <rPr>
        <b/>
        <sz val="8"/>
        <color rgb="FFFF0000"/>
        <rFont val="Arial"/>
        <family val="3"/>
        <charset val="129"/>
        <scheme val="minor"/>
      </rPr>
      <t>때는</t>
    </r>
    <r>
      <rPr>
        <b/>
        <sz val="8"/>
        <color rgb="FFFF0000"/>
        <rFont val="Arial"/>
        <family val="2"/>
        <scheme val="minor"/>
      </rPr>
      <t xml:space="preserve"> row </t>
    </r>
    <r>
      <rPr>
        <b/>
        <sz val="8"/>
        <color rgb="FFFF0000"/>
        <rFont val="Arial"/>
        <family val="3"/>
        <charset val="129"/>
        <scheme val="minor"/>
      </rPr>
      <t>한</t>
    </r>
    <r>
      <rPr>
        <b/>
        <sz val="8"/>
        <color rgb="FFFF0000"/>
        <rFont val="Arial"/>
        <family val="2"/>
        <scheme val="minor"/>
      </rPr>
      <t xml:space="preserve"> </t>
    </r>
    <r>
      <rPr>
        <b/>
        <sz val="8"/>
        <color rgb="FFFF0000"/>
        <rFont val="Arial"/>
        <family val="3"/>
        <charset val="129"/>
        <scheme val="minor"/>
      </rPr>
      <t>줄을</t>
    </r>
    <r>
      <rPr>
        <b/>
        <sz val="8"/>
        <color rgb="FFFF0000"/>
        <rFont val="Arial"/>
        <family val="2"/>
        <scheme val="minor"/>
      </rPr>
      <t xml:space="preserve"> </t>
    </r>
    <r>
      <rPr>
        <b/>
        <sz val="8"/>
        <color rgb="FFFF0000"/>
        <rFont val="Arial"/>
        <family val="3"/>
        <charset val="129"/>
        <scheme val="minor"/>
      </rPr>
      <t>빈칸으로</t>
    </r>
    <r>
      <rPr>
        <b/>
        <sz val="8"/>
        <color rgb="FFFF0000"/>
        <rFont val="Arial"/>
        <family val="2"/>
        <scheme val="minor"/>
      </rPr>
      <t xml:space="preserve"> </t>
    </r>
    <r>
      <rPr>
        <b/>
        <sz val="8"/>
        <color rgb="FFFF0000"/>
        <rFont val="Arial"/>
        <family val="3"/>
        <charset val="129"/>
        <scheme val="minor"/>
      </rPr>
      <t>둔다</t>
    </r>
    <r>
      <rPr>
        <b/>
        <sz val="8"/>
        <color rgb="FFFF0000"/>
        <rFont val="Arial"/>
        <family val="2"/>
        <scheme val="minor"/>
      </rPr>
      <t>.</t>
    </r>
    <phoneticPr fontId="11" type="noConversion"/>
  </si>
  <si>
    <r>
      <t xml:space="preserve">17. </t>
    </r>
    <r>
      <rPr>
        <sz val="14"/>
        <color rgb="FF000000"/>
        <rFont val="Arial"/>
        <family val="2"/>
        <charset val="129"/>
        <scheme val="minor"/>
      </rPr>
      <t>청년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프로그램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출석부</t>
    </r>
    <phoneticPr fontId="11" type="noConversion"/>
  </si>
  <si>
    <r>
      <rPr>
        <sz val="10"/>
        <color rgb="FF000000"/>
        <rFont val="맑은 고딕"/>
        <family val="3"/>
        <charset val="129"/>
      </rPr>
      <t>일경험</t>
    </r>
    <r>
      <rPr>
        <sz val="10"/>
        <color rgb="FF000000"/>
        <rFont val="Arial"/>
        <family val="3"/>
      </rPr>
      <t xml:space="preserve"> </t>
    </r>
    <r>
      <rPr>
        <sz val="10"/>
        <color rgb="FF000000"/>
        <rFont val="Arial Unicode MS"/>
        <family val="3"/>
        <charset val="129"/>
      </rPr>
      <t>중</t>
    </r>
    <phoneticPr fontId="11" type="noConversion"/>
  </si>
  <si>
    <r>
      <rPr>
        <sz val="10"/>
        <color rgb="FF000000"/>
        <rFont val="Arial"/>
        <family val="2"/>
        <charset val="129"/>
        <scheme val="minor"/>
      </rPr>
      <t>일경험
시작</t>
    </r>
    <phoneticPr fontId="11" type="noConversion"/>
  </si>
  <si>
    <r>
      <rPr>
        <b/>
        <u/>
        <sz val="20"/>
        <color theme="1"/>
        <rFont val="Arial"/>
        <family val="3"/>
        <charset val="129"/>
        <scheme val="minor"/>
      </rPr>
      <t>참여기업</t>
    </r>
    <r>
      <rPr>
        <b/>
        <u/>
        <sz val="20"/>
        <color theme="1"/>
        <rFont val="Arial"/>
        <family val="2"/>
        <scheme val="minor"/>
      </rPr>
      <t xml:space="preserve"> </t>
    </r>
    <r>
      <rPr>
        <b/>
        <u/>
        <sz val="20"/>
        <color theme="1"/>
        <rFont val="Arial"/>
        <family val="3"/>
        <charset val="129"/>
        <scheme val="minor"/>
      </rPr>
      <t>및</t>
    </r>
    <r>
      <rPr>
        <b/>
        <u/>
        <sz val="20"/>
        <color theme="1"/>
        <rFont val="Arial"/>
        <family val="2"/>
        <scheme val="minor"/>
      </rPr>
      <t xml:space="preserve"> </t>
    </r>
    <r>
      <rPr>
        <b/>
        <u/>
        <sz val="20"/>
        <color theme="1"/>
        <rFont val="Arial"/>
        <family val="3"/>
        <charset val="129"/>
        <scheme val="minor"/>
      </rPr>
      <t>일경험정보</t>
    </r>
    <phoneticPr fontId="11" type="noConversion"/>
  </si>
  <si>
    <r>
      <rPr>
        <sz val="10"/>
        <color rgb="FF000000"/>
        <rFont val="Arial"/>
        <family val="2"/>
        <charset val="129"/>
        <scheme val="minor"/>
      </rPr>
      <t>사전직무</t>
    </r>
    <phoneticPr fontId="11" type="noConversion"/>
  </si>
  <si>
    <r>
      <rPr>
        <u val="double"/>
        <sz val="10"/>
        <color rgb="FF000000"/>
        <rFont val="Arial"/>
        <family val="3"/>
        <charset val="129"/>
        <scheme val="minor"/>
      </rPr>
      <t>한</t>
    </r>
    <r>
      <rPr>
        <u val="double"/>
        <sz val="10"/>
        <color rgb="FF000000"/>
        <rFont val="Arial"/>
        <family val="2"/>
        <scheme val="minor"/>
      </rPr>
      <t xml:space="preserve"> </t>
    </r>
    <r>
      <rPr>
        <u val="double"/>
        <sz val="10"/>
        <color rgb="FF000000"/>
        <rFont val="Arial"/>
        <family val="3"/>
        <charset val="129"/>
        <scheme val="minor"/>
      </rPr>
      <t>줄</t>
    </r>
    <r>
      <rPr>
        <u val="double"/>
        <sz val="10"/>
        <color rgb="FF000000"/>
        <rFont val="Arial"/>
        <family val="2"/>
        <scheme val="minor"/>
      </rPr>
      <t xml:space="preserve"> </t>
    </r>
    <r>
      <rPr>
        <u val="double"/>
        <sz val="10"/>
        <color rgb="FF000000"/>
        <rFont val="Arial"/>
        <family val="3"/>
        <charset val="129"/>
        <scheme val="minor"/>
      </rPr>
      <t>띄우기</t>
    </r>
    <phoneticPr fontId="11" type="noConversion"/>
  </si>
  <si>
    <t>[서식33] 인턴형 일경험 참여신청서
[서식40] 개인정보 활용에 관한 동의서
[서식46] 참여 청년용 확인서</t>
    <phoneticPr fontId="11" type="noConversion"/>
  </si>
  <si>
    <r>
      <t xml:space="preserve">46,40,33. </t>
    </r>
    <r>
      <rPr>
        <sz val="14"/>
        <color rgb="FF000000"/>
        <rFont val="Arial"/>
        <family val="2"/>
        <charset val="129"/>
        <scheme val="minor"/>
      </rPr>
      <t>청년서류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모음</t>
    </r>
    <phoneticPr fontId="11" type="noConversion"/>
  </si>
  <si>
    <r>
      <rPr>
        <sz val="10"/>
        <color rgb="FF000000"/>
        <rFont val="Arial"/>
        <family val="2"/>
        <charset val="129"/>
        <scheme val="minor"/>
      </rPr>
      <t>참여청년</t>
    </r>
    <phoneticPr fontId="11" type="noConversion"/>
  </si>
  <si>
    <t>[서식12] 청년 일경험 프로그램 참여기업 신청서
[서식42] 청년 일경험 지원사업 기업 참여 의향서
[서식46] 참여기업용 확인서
[서식121] (공통-운영기관) 운영기관-참여기업 협약서</t>
    <phoneticPr fontId="11" type="noConversion"/>
  </si>
  <si>
    <r>
      <t xml:space="preserve">12, 42, 46,121. </t>
    </r>
    <r>
      <rPr>
        <sz val="14"/>
        <color rgb="FF000000"/>
        <rFont val="Arial"/>
        <family val="2"/>
        <charset val="129"/>
        <scheme val="minor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서류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모음</t>
    </r>
    <phoneticPr fontId="11" type="noConversion"/>
  </si>
  <si>
    <r>
      <rPr>
        <sz val="10"/>
        <color rgb="FF000000"/>
        <rFont val="Arial"/>
        <family val="2"/>
        <charset val="129"/>
        <scheme val="minor"/>
      </rPr>
      <t>참여기업</t>
    </r>
    <phoneticPr fontId="11" type="noConversion"/>
  </si>
  <si>
    <r>
      <t xml:space="preserve">108. </t>
    </r>
    <r>
      <rPr>
        <sz val="14"/>
        <color rgb="FF000000"/>
        <rFont val="Arial"/>
        <family val="2"/>
        <charset val="129"/>
        <scheme val="minor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운영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계획서</t>
    </r>
    <phoneticPr fontId="11" type="noConversion"/>
  </si>
  <si>
    <r>
      <t xml:space="preserve">102. </t>
    </r>
    <r>
      <rPr>
        <sz val="14"/>
        <color rgb="FF000000"/>
        <rFont val="Arial"/>
        <family val="2"/>
        <charset val="129"/>
        <scheme val="minor"/>
      </rPr>
      <t>사전직무교육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운영계획서</t>
    </r>
    <phoneticPr fontId="11" type="noConversion"/>
  </si>
  <si>
    <r>
      <rPr>
        <sz val="10"/>
        <color rgb="FF000000"/>
        <rFont val="Arial"/>
        <family val="2"/>
        <charset val="129"/>
        <scheme val="minor"/>
      </rPr>
      <t>프로그램
등록</t>
    </r>
    <phoneticPr fontId="11" type="noConversion"/>
  </si>
  <si>
    <t>x</t>
  </si>
  <si>
    <r>
      <rPr>
        <u val="double"/>
        <sz val="10"/>
        <color rgb="FF000000"/>
        <rFont val="Arial"/>
        <family val="2"/>
        <charset val="129"/>
        <scheme val="minor"/>
      </rPr>
      <t>세로정렬</t>
    </r>
    <phoneticPr fontId="11" type="noConversion"/>
  </si>
  <si>
    <t>x</t>
    <phoneticPr fontId="11" type="noConversion"/>
  </si>
  <si>
    <r>
      <rPr>
        <sz val="14"/>
        <color rgb="FF000000"/>
        <rFont val="Arial"/>
        <family val="3"/>
        <charset val="129"/>
        <scheme val="minor"/>
      </rPr>
      <t>목차</t>
    </r>
    <phoneticPr fontId="11" type="noConversion"/>
  </si>
  <si>
    <r>
      <rPr>
        <sz val="10"/>
        <color rgb="FF000000"/>
        <rFont val="Arial"/>
        <family val="2"/>
        <charset val="129"/>
        <scheme val="minor"/>
      </rPr>
      <t>참조시트</t>
    </r>
    <phoneticPr fontId="11" type="noConversion"/>
  </si>
  <si>
    <t>단계</t>
    <phoneticPr fontId="11" type="noConversion"/>
  </si>
  <si>
    <r>
      <rPr>
        <b/>
        <sz val="20"/>
        <color rgb="FF000000"/>
        <rFont val="Arial"/>
        <family val="2"/>
        <charset val="129"/>
        <scheme val="minor"/>
      </rPr>
      <t>표</t>
    </r>
    <r>
      <rPr>
        <b/>
        <sz val="20"/>
        <color rgb="FF000000"/>
        <rFont val="Arial"/>
        <family val="2"/>
        <scheme val="minor"/>
      </rPr>
      <t xml:space="preserve"> </t>
    </r>
    <r>
      <rPr>
        <b/>
        <sz val="20"/>
        <color rgb="FF000000"/>
        <rFont val="Arial"/>
        <family val="2"/>
        <charset val="129"/>
        <scheme val="minor"/>
      </rPr>
      <t>서식</t>
    </r>
    <r>
      <rPr>
        <b/>
        <sz val="20"/>
        <color rgb="FF000000"/>
        <rFont val="Arial"/>
        <family val="2"/>
        <scheme val="minor"/>
      </rPr>
      <t>(</t>
    </r>
    <r>
      <rPr>
        <b/>
        <sz val="20"/>
        <color rgb="FF000000"/>
        <rFont val="Arial"/>
        <family val="2"/>
        <charset val="129"/>
        <scheme val="minor"/>
      </rPr>
      <t>타입</t>
    </r>
    <r>
      <rPr>
        <b/>
        <sz val="20"/>
        <color rgb="FF000000"/>
        <rFont val="Arial"/>
        <family val="2"/>
        <scheme val="minor"/>
      </rPr>
      <t>)</t>
    </r>
    <phoneticPr fontId="11" type="noConversion"/>
  </si>
  <si>
    <r>
      <rPr>
        <b/>
        <u/>
        <sz val="20"/>
        <color rgb="FF000000"/>
        <rFont val="Arial"/>
        <family val="3"/>
        <charset val="129"/>
        <scheme val="major"/>
      </rPr>
      <t>시트</t>
    </r>
    <r>
      <rPr>
        <b/>
        <u/>
        <sz val="20"/>
        <color rgb="FF000000"/>
        <rFont val="Arial"/>
        <family val="2"/>
        <scheme val="major"/>
      </rPr>
      <t xml:space="preserve"> </t>
    </r>
    <r>
      <rPr>
        <b/>
        <u/>
        <sz val="20"/>
        <color rgb="FF000000"/>
        <rFont val="Arial"/>
        <family val="2"/>
        <charset val="129"/>
        <scheme val="major"/>
      </rPr>
      <t>정보</t>
    </r>
    <phoneticPr fontId="11" type="noConversion"/>
  </si>
  <si>
    <r>
      <rPr>
        <u/>
        <sz val="20"/>
        <color rgb="FF000000"/>
        <rFont val="Arial"/>
        <family val="3"/>
        <charset val="129"/>
        <scheme val="minor"/>
      </rPr>
      <t>사전직무교육</t>
    </r>
    <r>
      <rPr>
        <u/>
        <sz val="20"/>
        <color rgb="FF000000"/>
        <rFont val="Arial"/>
        <family val="2"/>
        <scheme val="minor"/>
      </rPr>
      <t xml:space="preserve"> </t>
    </r>
    <r>
      <rPr>
        <u/>
        <sz val="20"/>
        <color rgb="FF000000"/>
        <rFont val="Arial"/>
        <family val="3"/>
        <charset val="129"/>
        <scheme val="minor"/>
      </rPr>
      <t>공가</t>
    </r>
    <r>
      <rPr>
        <u/>
        <sz val="20"/>
        <color rgb="FF000000"/>
        <rFont val="Arial"/>
        <family val="2"/>
        <scheme val="minor"/>
      </rPr>
      <t xml:space="preserve"> </t>
    </r>
    <r>
      <rPr>
        <u/>
        <sz val="20"/>
        <color rgb="FF000000"/>
        <rFont val="Arial"/>
        <family val="3"/>
        <charset val="129"/>
        <scheme val="minor"/>
      </rPr>
      <t>관리대장</t>
    </r>
    <phoneticPr fontId="11" type="noConversion"/>
  </si>
  <si>
    <r>
      <rPr>
        <b/>
        <sz val="12"/>
        <color theme="1"/>
        <rFont val="Arial"/>
        <family val="3"/>
        <charset val="129"/>
        <scheme val="minor"/>
      </rPr>
      <t>교육기관명</t>
    </r>
    <phoneticPr fontId="11" type="noConversion"/>
  </si>
  <si>
    <r>
      <rPr>
        <b/>
        <sz val="12"/>
        <color theme="1"/>
        <rFont val="Arial"/>
        <family val="3"/>
        <charset val="129"/>
        <scheme val="minor"/>
      </rPr>
      <t>운영기관명</t>
    </r>
    <phoneticPr fontId="11" type="noConversion"/>
  </si>
  <si>
    <r>
      <rPr>
        <b/>
        <sz val="12"/>
        <color theme="1"/>
        <rFont val="Arial"/>
        <family val="3"/>
        <charset val="129"/>
        <scheme val="minor"/>
      </rPr>
      <t>교육명</t>
    </r>
    <phoneticPr fontId="11" type="noConversion"/>
  </si>
  <si>
    <r>
      <rPr>
        <b/>
        <sz val="12"/>
        <color theme="1"/>
        <rFont val="Arial"/>
        <family val="3"/>
        <charset val="129"/>
        <scheme val="minor"/>
      </rPr>
      <t>교육기간</t>
    </r>
    <phoneticPr fontId="11" type="noConversion"/>
  </si>
  <si>
    <r>
      <rPr>
        <b/>
        <sz val="20"/>
        <color theme="1"/>
        <rFont val="Arial"/>
        <family val="3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공가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관리대장</t>
    </r>
    <phoneticPr fontId="11" type="noConversion"/>
  </si>
  <si>
    <r>
      <rPr>
        <b/>
        <sz val="12"/>
        <color rgb="FF000000"/>
        <rFont val="Arial"/>
        <family val="2"/>
        <charset val="129"/>
        <scheme val="minor"/>
      </rPr>
      <t>사전직무교육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2"/>
        <charset val="129"/>
        <scheme val="minor"/>
      </rPr>
      <t>공가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2"/>
        <charset val="129"/>
        <scheme val="minor"/>
      </rPr>
      <t>관리대장</t>
    </r>
    <phoneticPr fontId="11" type="noConversion"/>
  </si>
  <si>
    <r>
      <rPr>
        <sz val="18"/>
        <color rgb="FF000000"/>
        <rFont val="Arial"/>
        <family val="1"/>
        <charset val="129"/>
        <scheme val="minor"/>
      </rPr>
      <t>사전직무교육</t>
    </r>
    <r>
      <rPr>
        <sz val="18"/>
        <color rgb="FF000000"/>
        <rFont val="Arial"/>
        <family val="2"/>
        <scheme val="minor"/>
      </rPr>
      <t xml:space="preserve"> </t>
    </r>
    <r>
      <rPr>
        <sz val="18"/>
        <color rgb="FF000000"/>
        <rFont val="Arial"/>
        <family val="1"/>
        <charset val="129"/>
        <scheme val="minor"/>
      </rPr>
      <t>공가</t>
    </r>
    <r>
      <rPr>
        <sz val="18"/>
        <color rgb="FF000000"/>
        <rFont val="Arial"/>
        <family val="2"/>
        <scheme val="minor"/>
      </rPr>
      <t xml:space="preserve"> </t>
    </r>
    <r>
      <rPr>
        <sz val="18"/>
        <color rgb="FF000000"/>
        <rFont val="Arial"/>
        <family val="1"/>
        <charset val="129"/>
        <scheme val="minor"/>
      </rPr>
      <t>관리대장</t>
    </r>
  </si>
  <si>
    <r>
      <rPr>
        <sz val="10"/>
        <color rgb="FF000000"/>
        <rFont val="Arial"/>
        <family val="3"/>
        <charset val="129"/>
        <scheme val="minor"/>
      </rPr>
      <t>교육기관명</t>
    </r>
  </si>
  <si>
    <r>
      <rPr>
        <sz val="10"/>
        <color rgb="FF000000"/>
        <rFont val="Arial"/>
        <family val="3"/>
        <charset val="129"/>
        <scheme val="minor"/>
      </rPr>
      <t>운영기관명</t>
    </r>
  </si>
  <si>
    <r>
      <rPr>
        <sz val="10"/>
        <color rgb="FF000000"/>
        <rFont val="Arial"/>
        <family val="3"/>
        <charset val="129"/>
        <scheme val="minor"/>
      </rPr>
      <t>교육명</t>
    </r>
  </si>
  <si>
    <r>
      <rPr>
        <sz val="10"/>
        <color rgb="FF000000"/>
        <rFont val="Arial"/>
        <family val="3"/>
        <charset val="129"/>
        <scheme val="minor"/>
      </rPr>
      <t>교육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기간</t>
    </r>
  </si>
  <si>
    <r>
      <rPr>
        <sz val="10"/>
        <color rgb="FF000000"/>
        <rFont val="Arial"/>
        <family val="3"/>
        <charset val="129"/>
        <scheme val="minor"/>
      </rPr>
      <t>일련</t>
    </r>
  </si>
  <si>
    <r>
      <rPr>
        <sz val="10"/>
        <color rgb="FF000000"/>
        <rFont val="Arial"/>
        <family val="3"/>
        <charset val="129"/>
        <scheme val="minor"/>
      </rPr>
      <t>공가발생일</t>
    </r>
  </si>
  <si>
    <r>
      <rPr>
        <sz val="10"/>
        <color rgb="FF000000"/>
        <rFont val="Arial"/>
        <family val="3"/>
        <charset val="129"/>
        <scheme val="minor"/>
      </rPr>
      <t>성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명</t>
    </r>
  </si>
  <si>
    <r>
      <rPr>
        <sz val="10"/>
        <color rgb="FF000000"/>
        <rFont val="Arial"/>
        <family val="3"/>
        <charset val="129"/>
        <scheme val="minor"/>
      </rPr>
      <t>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유</t>
    </r>
  </si>
  <si>
    <r>
      <rPr>
        <sz val="10"/>
        <color rgb="FF000000"/>
        <rFont val="Arial"/>
        <family val="3"/>
        <charset val="129"/>
        <scheme val="minor"/>
      </rPr>
      <t>관리자</t>
    </r>
  </si>
  <si>
    <r>
      <rPr>
        <sz val="10"/>
        <color rgb="FF000000"/>
        <rFont val="Arial"/>
        <family val="3"/>
        <charset val="129"/>
        <scheme val="minor"/>
      </rPr>
      <t>번호</t>
    </r>
  </si>
  <si>
    <r>
      <rPr>
        <sz val="10"/>
        <color rgb="FF000000"/>
        <rFont val="Arial"/>
        <family val="3"/>
        <charset val="129"/>
        <scheme val="minor"/>
      </rPr>
      <t>확인</t>
    </r>
  </si>
  <si>
    <r>
      <rPr>
        <b/>
        <u/>
        <sz val="20"/>
        <color rgb="FF000000"/>
        <rFont val="Arial"/>
        <family val="3"/>
        <charset val="129"/>
        <scheme val="minor"/>
      </rPr>
      <t>공가</t>
    </r>
    <r>
      <rPr>
        <b/>
        <u/>
        <sz val="20"/>
        <color rgb="FF000000"/>
        <rFont val="Arial"/>
        <family val="2"/>
        <scheme val="minor"/>
      </rPr>
      <t xml:space="preserve"> </t>
    </r>
    <r>
      <rPr>
        <b/>
        <u/>
        <sz val="20"/>
        <color rgb="FF000000"/>
        <rFont val="Arial"/>
        <family val="3"/>
        <charset val="129"/>
        <scheme val="minor"/>
      </rPr>
      <t>명단</t>
    </r>
    <phoneticPr fontId="11" type="noConversion"/>
  </si>
  <si>
    <r>
      <rPr>
        <b/>
        <sz val="12"/>
        <color theme="1"/>
        <rFont val="Arial"/>
        <family val="3"/>
        <charset val="129"/>
        <scheme val="minor"/>
      </rPr>
      <t>공가발생일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</si>
  <si>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성명</t>
    </r>
    <phoneticPr fontId="11" type="noConversion"/>
  </si>
  <si>
    <r>
      <rPr>
        <b/>
        <sz val="12"/>
        <color theme="1"/>
        <rFont val="Arial"/>
        <family val="3"/>
        <charset val="129"/>
        <scheme val="minor"/>
      </rPr>
      <t>사유</t>
    </r>
    <phoneticPr fontId="11" type="noConversion"/>
  </si>
  <si>
    <r>
      <t>[</t>
    </r>
    <r>
      <rPr>
        <u/>
        <sz val="15"/>
        <color rgb="FF000000"/>
        <rFont val="Arial"/>
        <family val="1"/>
        <charset val="129"/>
        <scheme val="minor"/>
      </rPr>
      <t>별첨</t>
    </r>
    <r>
      <rPr>
        <u/>
        <sz val="15"/>
        <color rgb="FF000000"/>
        <rFont val="Arial"/>
        <family val="2"/>
        <scheme val="minor"/>
      </rPr>
      <t xml:space="preserve">] </t>
    </r>
    <r>
      <rPr>
        <u/>
        <sz val="15"/>
        <color rgb="FF000000"/>
        <rFont val="Arial"/>
        <family val="1"/>
        <charset val="129"/>
        <scheme val="minor"/>
      </rPr>
      <t>청년</t>
    </r>
    <r>
      <rPr>
        <u/>
        <sz val="15"/>
        <color rgb="FF000000"/>
        <rFont val="Arial"/>
        <family val="2"/>
        <scheme val="minor"/>
      </rPr>
      <t xml:space="preserve"> </t>
    </r>
    <r>
      <rPr>
        <u/>
        <sz val="15"/>
        <color rgb="FF000000"/>
        <rFont val="Arial"/>
        <family val="1"/>
        <charset val="129"/>
        <scheme val="minor"/>
      </rPr>
      <t>일경험</t>
    </r>
    <r>
      <rPr>
        <u/>
        <sz val="15"/>
        <color rgb="FF000000"/>
        <rFont val="Arial"/>
        <family val="2"/>
        <scheme val="minor"/>
      </rPr>
      <t xml:space="preserve"> </t>
    </r>
    <r>
      <rPr>
        <u/>
        <sz val="15"/>
        <color rgb="FF000000"/>
        <rFont val="Arial"/>
        <family val="1"/>
        <charset val="129"/>
        <scheme val="minor"/>
      </rPr>
      <t>공가</t>
    </r>
    <r>
      <rPr>
        <u/>
        <sz val="15"/>
        <color rgb="FF000000"/>
        <rFont val="Arial"/>
        <family val="2"/>
        <scheme val="minor"/>
      </rPr>
      <t xml:space="preserve"> </t>
    </r>
    <r>
      <rPr>
        <u/>
        <sz val="15"/>
        <color rgb="FF000000"/>
        <rFont val="Arial"/>
        <family val="1"/>
        <charset val="129"/>
        <scheme val="minor"/>
      </rPr>
      <t>인정</t>
    </r>
    <r>
      <rPr>
        <u/>
        <sz val="15"/>
        <color rgb="FF000000"/>
        <rFont val="Arial"/>
        <family val="2"/>
        <scheme val="minor"/>
      </rPr>
      <t xml:space="preserve"> </t>
    </r>
    <r>
      <rPr>
        <u/>
        <sz val="15"/>
        <color rgb="FF000000"/>
        <rFont val="Arial"/>
        <family val="1"/>
        <charset val="129"/>
        <scheme val="minor"/>
      </rPr>
      <t>기준</t>
    </r>
  </si>
  <si>
    <r>
      <rPr>
        <sz val="9"/>
        <color rgb="FF000000"/>
        <rFont val="Arial"/>
        <family val="1"/>
        <charset val="129"/>
        <scheme val="minor"/>
      </rPr>
      <t>순번</t>
    </r>
  </si>
  <si>
    <r>
      <rPr>
        <sz val="9"/>
        <color rgb="FF000000"/>
        <rFont val="Arial"/>
        <family val="1"/>
        <charset val="129"/>
        <scheme val="minor"/>
      </rPr>
      <t>구분</t>
    </r>
  </si>
  <si>
    <r>
      <rPr>
        <sz val="9"/>
        <color rgb="FF000000"/>
        <rFont val="Arial"/>
        <family val="1"/>
        <charset val="129"/>
        <scheme val="minor"/>
      </rPr>
      <t>인정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내용</t>
    </r>
  </si>
  <si>
    <r>
      <rPr>
        <sz val="9"/>
        <color rgb="FF000000"/>
        <rFont val="Arial"/>
        <family val="1"/>
        <charset val="129"/>
        <scheme val="minor"/>
      </rPr>
      <t>대상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또는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내용</t>
    </r>
  </si>
  <si>
    <r>
      <rPr>
        <sz val="9"/>
        <color rgb="FF000000"/>
        <rFont val="Arial"/>
        <family val="1"/>
        <charset val="129"/>
        <scheme val="minor"/>
      </rPr>
      <t>증빙서류</t>
    </r>
  </si>
  <si>
    <r>
      <rPr>
        <sz val="9"/>
        <color rgb="FF000000"/>
        <rFont val="Arial"/>
        <family val="1"/>
        <charset val="129"/>
        <scheme val="minor"/>
      </rPr>
      <t>훈련‧시험</t>
    </r>
  </si>
  <si>
    <r>
      <rPr>
        <sz val="9"/>
        <color rgb="FF000000"/>
        <rFont val="Arial"/>
        <family val="1"/>
        <charset val="129"/>
        <scheme val="minor"/>
      </rPr>
      <t>소요일수</t>
    </r>
  </si>
  <si>
    <r>
      <rPr>
        <sz val="9"/>
        <color rgb="FF000000"/>
        <rFont val="Arial"/>
        <family val="1"/>
        <charset val="129"/>
        <scheme val="minor"/>
      </rPr>
      <t>예비군‧민방위훈련</t>
    </r>
    <r>
      <rPr>
        <sz val="9"/>
        <color rgb="FF000000"/>
        <rFont val="Arial"/>
        <family val="2"/>
        <scheme val="minor"/>
      </rPr>
      <t xml:space="preserve">, </t>
    </r>
    <r>
      <rPr>
        <sz val="9"/>
        <color rgb="FF000000"/>
        <rFont val="Arial"/>
        <family val="1"/>
        <charset val="129"/>
        <scheme val="minor"/>
      </rPr>
      <t>국가시험</t>
    </r>
    <r>
      <rPr>
        <sz val="9"/>
        <color rgb="FF000000"/>
        <rFont val="Arial"/>
        <family val="2"/>
        <scheme val="minor"/>
      </rPr>
      <t>(</t>
    </r>
    <r>
      <rPr>
        <sz val="9"/>
        <color rgb="FF000000"/>
        <rFont val="Arial"/>
        <family val="1"/>
        <charset val="129"/>
        <scheme val="minor"/>
      </rPr>
      <t>자격증</t>
    </r>
    <r>
      <rPr>
        <sz val="9"/>
        <color rgb="FF000000"/>
        <rFont val="Arial"/>
        <family val="2"/>
        <scheme val="minor"/>
      </rPr>
      <t xml:space="preserve">, </t>
    </r>
    <r>
      <rPr>
        <sz val="9"/>
        <color rgb="FF000000"/>
        <rFont val="Arial"/>
        <family val="1"/>
        <charset val="129"/>
        <scheme val="minor"/>
      </rPr>
      <t>면허증</t>
    </r>
    <r>
      <rPr>
        <sz val="9"/>
        <color rgb="FF000000"/>
        <rFont val="Arial"/>
        <family val="2"/>
        <scheme val="minor"/>
      </rPr>
      <t xml:space="preserve">), </t>
    </r>
    <r>
      <rPr>
        <sz val="9"/>
        <color rgb="FF000000"/>
        <rFont val="Arial"/>
        <family val="1"/>
        <charset val="129"/>
        <scheme val="minor"/>
      </rPr>
      <t>취업관련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자격증취득시험</t>
    </r>
    <r>
      <rPr>
        <sz val="9"/>
        <color rgb="FF000000"/>
        <rFont val="Arial"/>
        <family val="2"/>
        <scheme val="minor"/>
      </rPr>
      <t xml:space="preserve">, </t>
    </r>
    <r>
      <rPr>
        <sz val="9"/>
        <color rgb="FF000000"/>
        <rFont val="Arial"/>
        <family val="1"/>
        <charset val="129"/>
        <scheme val="minor"/>
      </rPr>
      <t>정부</t>
    </r>
    <r>
      <rPr>
        <sz val="9"/>
        <color rgb="FF000000"/>
        <rFont val="Arial"/>
        <family val="2"/>
        <scheme val="minor"/>
      </rPr>
      <t xml:space="preserve">, </t>
    </r>
    <r>
      <rPr>
        <sz val="9"/>
        <color rgb="FF000000"/>
        <rFont val="Arial"/>
        <family val="1"/>
        <charset val="129"/>
        <scheme val="minor"/>
      </rPr>
      <t>지자체</t>
    </r>
    <r>
      <rPr>
        <sz val="9"/>
        <color rgb="FF000000"/>
        <rFont val="Arial"/>
        <family val="2"/>
        <scheme val="minor"/>
      </rPr>
      <t xml:space="preserve">, </t>
    </r>
    <r>
      <rPr>
        <sz val="9"/>
        <color rgb="FF000000"/>
        <rFont val="Arial"/>
        <family val="1"/>
        <charset val="129"/>
        <scheme val="minor"/>
      </rPr>
      <t>공단에서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인정하는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대회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참가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등</t>
    </r>
  </si>
  <si>
    <r>
      <rPr>
        <sz val="9"/>
        <color rgb="FF000000"/>
        <rFont val="Arial"/>
        <family val="1"/>
        <charset val="129"/>
        <scheme val="minor"/>
      </rPr>
      <t>수험표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등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기타</t>
    </r>
  </si>
  <si>
    <r>
      <t>(</t>
    </r>
    <r>
      <rPr>
        <sz val="9"/>
        <color rgb="FF000000"/>
        <rFont val="Arial"/>
        <family val="1"/>
        <charset val="129"/>
        <scheme val="minor"/>
      </rPr>
      <t>시간</t>
    </r>
    <r>
      <rPr>
        <sz val="9"/>
        <color rgb="FF000000"/>
        <rFont val="Arial"/>
        <family val="2"/>
        <scheme val="minor"/>
      </rPr>
      <t>)</t>
    </r>
  </si>
  <si>
    <r>
      <rPr>
        <sz val="9"/>
        <color rgb="FF000000"/>
        <rFont val="Arial"/>
        <family val="1"/>
        <charset val="129"/>
        <scheme val="minor"/>
      </rPr>
      <t>면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접</t>
    </r>
  </si>
  <si>
    <r>
      <rPr>
        <sz val="9"/>
        <color rgb="FF000000"/>
        <rFont val="Arial"/>
        <family val="1"/>
        <charset val="129"/>
        <scheme val="minor"/>
      </rPr>
      <t>채용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업체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면접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또는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시험</t>
    </r>
  </si>
  <si>
    <r>
      <rPr>
        <sz val="9"/>
        <color rgb="FF000000"/>
        <rFont val="Arial"/>
        <family val="1"/>
        <charset val="129"/>
        <scheme val="minor"/>
      </rPr>
      <t>면접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확인서</t>
    </r>
    <r>
      <rPr>
        <sz val="9"/>
        <color rgb="FF000000"/>
        <rFont val="Arial"/>
        <family val="2"/>
        <scheme val="minor"/>
      </rPr>
      <t>,</t>
    </r>
  </si>
  <si>
    <r>
      <rPr>
        <sz val="9"/>
        <color rgb="FF000000"/>
        <rFont val="Arial"/>
        <family val="1"/>
        <charset val="129"/>
        <scheme val="minor"/>
      </rPr>
      <t>수험표</t>
    </r>
  </si>
  <si>
    <r>
      <rPr>
        <sz val="9"/>
        <color rgb="FF000000"/>
        <rFont val="Arial"/>
        <family val="1"/>
        <charset val="129"/>
        <scheme val="minor"/>
      </rPr>
      <t>신변상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치료</t>
    </r>
  </si>
  <si>
    <r>
      <t xml:space="preserve">- </t>
    </r>
    <r>
      <rPr>
        <sz val="9"/>
        <color rgb="FF000000"/>
        <rFont val="Arial"/>
        <family val="1"/>
        <charset val="129"/>
        <scheme val="minor"/>
      </rPr>
      <t>본인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병원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입원</t>
    </r>
    <r>
      <rPr>
        <sz val="9"/>
        <color rgb="FF000000"/>
        <rFont val="Arial"/>
        <family val="2"/>
        <scheme val="minor"/>
      </rPr>
      <t>(2</t>
    </r>
    <r>
      <rPr>
        <sz val="9"/>
        <color rgb="FF000000"/>
        <rFont val="Arial"/>
        <family val="1"/>
        <charset val="129"/>
        <scheme val="minor"/>
      </rPr>
      <t>일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이상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입원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시</t>
    </r>
    <r>
      <rPr>
        <sz val="9"/>
        <color rgb="FF000000"/>
        <rFont val="Arial"/>
        <family val="2"/>
        <scheme val="minor"/>
      </rPr>
      <t>)</t>
    </r>
  </si>
  <si>
    <r>
      <rPr>
        <sz val="9"/>
        <color rgb="FF000000"/>
        <rFont val="Arial"/>
        <family val="1"/>
        <charset val="129"/>
        <scheme val="minor"/>
      </rPr>
      <t>진료확인서</t>
    </r>
    <r>
      <rPr>
        <sz val="9"/>
        <color rgb="FF000000"/>
        <rFont val="Arial"/>
        <family val="2"/>
        <scheme val="minor"/>
      </rPr>
      <t>,</t>
    </r>
    <r>
      <rPr>
        <sz val="9"/>
        <color rgb="FF000000"/>
        <rFont val="Arial"/>
        <family val="1"/>
        <charset val="129"/>
        <scheme val="minor"/>
      </rPr>
      <t>진단서</t>
    </r>
  </si>
  <si>
    <r>
      <t xml:space="preserve">- </t>
    </r>
    <r>
      <rPr>
        <sz val="9"/>
        <color rgb="FF000000"/>
        <rFont val="Arial"/>
        <family val="1"/>
        <charset val="129"/>
        <scheme val="minor"/>
      </rPr>
      <t>의사의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진료를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받은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사람</t>
    </r>
    <r>
      <rPr>
        <sz val="9"/>
        <color rgb="FF000000"/>
        <rFont val="Arial"/>
        <family val="2"/>
        <scheme val="minor"/>
      </rPr>
      <t>(</t>
    </r>
    <r>
      <rPr>
        <sz val="9"/>
        <color rgb="FF000000"/>
        <rFont val="Arial"/>
        <family val="1"/>
        <charset val="129"/>
        <scheme val="minor"/>
      </rPr>
      <t>진료확인서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필수</t>
    </r>
    <r>
      <rPr>
        <sz val="9"/>
        <color rgb="FF000000"/>
        <rFont val="Arial"/>
        <family val="2"/>
        <scheme val="minor"/>
      </rPr>
      <t>)</t>
    </r>
  </si>
  <si>
    <r>
      <t>(</t>
    </r>
    <r>
      <rPr>
        <sz val="9"/>
        <color rgb="FF000000"/>
        <rFont val="Arial"/>
        <family val="1"/>
        <charset val="129"/>
        <scheme val="minor"/>
      </rPr>
      <t>약국불가</t>
    </r>
    <r>
      <rPr>
        <sz val="9"/>
        <color rgb="FF000000"/>
        <rFont val="Arial"/>
        <family val="2"/>
        <scheme val="minor"/>
      </rPr>
      <t>)</t>
    </r>
  </si>
  <si>
    <r>
      <t xml:space="preserve">- </t>
    </r>
    <r>
      <rPr>
        <sz val="9"/>
        <color rgb="FF000000"/>
        <rFont val="Arial"/>
        <family val="1"/>
        <charset val="129"/>
        <scheme val="minor"/>
      </rPr>
      <t>유행성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질병</t>
    </r>
    <r>
      <rPr>
        <sz val="9"/>
        <color rgb="FF000000"/>
        <rFont val="Arial"/>
        <family val="2"/>
        <scheme val="minor"/>
      </rPr>
      <t>(</t>
    </r>
    <r>
      <rPr>
        <sz val="9"/>
        <color rgb="FF000000"/>
        <rFont val="Arial"/>
        <family val="1"/>
        <charset val="129"/>
        <scheme val="minor"/>
      </rPr>
      <t>진료확인서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등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첨부자료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필수</t>
    </r>
    <r>
      <rPr>
        <sz val="9"/>
        <color rgb="FF000000"/>
        <rFont val="Arial"/>
        <family val="2"/>
        <scheme val="minor"/>
      </rPr>
      <t>)</t>
    </r>
  </si>
  <si>
    <r>
      <rPr>
        <sz val="9"/>
        <color rgb="FF000000"/>
        <rFont val="Arial"/>
        <family val="1"/>
        <charset val="129"/>
        <scheme val="minor"/>
      </rPr>
      <t>결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혼</t>
    </r>
  </si>
  <si>
    <r>
      <t>5</t>
    </r>
    <r>
      <rPr>
        <sz val="9"/>
        <color rgb="FF000000"/>
        <rFont val="Arial"/>
        <family val="1"/>
        <charset val="129"/>
        <scheme val="minor"/>
      </rPr>
      <t>일</t>
    </r>
  </si>
  <si>
    <r>
      <rPr>
        <sz val="9"/>
        <color rgb="FF000000"/>
        <rFont val="Arial"/>
        <family val="1"/>
        <charset val="129"/>
        <scheme val="minor"/>
      </rPr>
      <t>본인</t>
    </r>
  </si>
  <si>
    <r>
      <rPr>
        <sz val="9"/>
        <color rgb="FF000000"/>
        <rFont val="Arial"/>
        <family val="1"/>
        <charset val="129"/>
        <scheme val="minor"/>
      </rPr>
      <t>계약서</t>
    </r>
  </si>
  <si>
    <r>
      <t>(</t>
    </r>
    <r>
      <rPr>
        <sz val="9"/>
        <color rgb="FF000000"/>
        <rFont val="Arial"/>
        <family val="1"/>
        <charset val="129"/>
        <scheme val="minor"/>
      </rPr>
      <t>청첩장</t>
    </r>
    <r>
      <rPr>
        <sz val="9"/>
        <color rgb="FF000000"/>
        <rFont val="Arial"/>
        <family val="2"/>
        <scheme val="minor"/>
      </rPr>
      <t>)</t>
    </r>
    <r>
      <rPr>
        <sz val="9"/>
        <color rgb="FF000000"/>
        <rFont val="Arial"/>
        <family val="1"/>
        <charset val="129"/>
        <scheme val="minor"/>
      </rPr>
      <t>등</t>
    </r>
  </si>
  <si>
    <r>
      <t>1</t>
    </r>
    <r>
      <rPr>
        <sz val="9"/>
        <color rgb="FF000000"/>
        <rFont val="Arial"/>
        <family val="1"/>
        <charset val="129"/>
        <scheme val="minor"/>
      </rPr>
      <t>일</t>
    </r>
  </si>
  <si>
    <r>
      <rPr>
        <sz val="9"/>
        <color rgb="FF000000"/>
        <rFont val="Arial"/>
        <family val="1"/>
        <charset val="129"/>
        <scheme val="minor"/>
      </rPr>
      <t>자녀</t>
    </r>
    <r>
      <rPr>
        <sz val="9"/>
        <color rgb="FF000000"/>
        <rFont val="Arial"/>
        <family val="2"/>
        <scheme val="minor"/>
      </rPr>
      <t xml:space="preserve">, </t>
    </r>
    <r>
      <rPr>
        <sz val="9"/>
        <color rgb="FF000000"/>
        <rFont val="Arial"/>
        <family val="1"/>
        <charset val="129"/>
        <scheme val="minor"/>
      </rPr>
      <t>형제‧자매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결혼</t>
    </r>
  </si>
  <si>
    <r>
      <rPr>
        <sz val="9"/>
        <color rgb="FF000000"/>
        <rFont val="Arial"/>
        <family val="1"/>
        <charset val="129"/>
        <scheme val="minor"/>
      </rPr>
      <t>〃</t>
    </r>
  </si>
  <si>
    <r>
      <rPr>
        <sz val="9"/>
        <color rgb="FF000000"/>
        <rFont val="Arial"/>
        <family val="1"/>
        <charset val="129"/>
        <scheme val="minor"/>
      </rPr>
      <t>사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망</t>
    </r>
  </si>
  <si>
    <r>
      <rPr>
        <sz val="9"/>
        <color rgb="FF000000"/>
        <rFont val="Arial"/>
        <family val="1"/>
        <charset val="129"/>
        <scheme val="minor"/>
      </rPr>
      <t>배우자</t>
    </r>
    <r>
      <rPr>
        <sz val="9"/>
        <color rgb="FF000000"/>
        <rFont val="Arial"/>
        <family val="2"/>
        <scheme val="minor"/>
      </rPr>
      <t xml:space="preserve">, </t>
    </r>
    <r>
      <rPr>
        <sz val="9"/>
        <color rgb="FF000000"/>
        <rFont val="Arial"/>
        <family val="1"/>
        <charset val="129"/>
        <scheme val="minor"/>
      </rPr>
      <t>본인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및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배우자의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부모</t>
    </r>
  </si>
  <si>
    <r>
      <rPr>
        <sz val="9"/>
        <color rgb="FF000000"/>
        <rFont val="Arial"/>
        <family val="1"/>
        <charset val="129"/>
        <scheme val="minor"/>
      </rPr>
      <t>증명서</t>
    </r>
  </si>
  <si>
    <r>
      <t>3</t>
    </r>
    <r>
      <rPr>
        <sz val="9"/>
        <color rgb="FF000000"/>
        <rFont val="Arial"/>
        <family val="1"/>
        <charset val="129"/>
        <scheme val="minor"/>
      </rPr>
      <t>일</t>
    </r>
  </si>
  <si>
    <r>
      <rPr>
        <sz val="9"/>
        <color rgb="FF000000"/>
        <rFont val="Arial"/>
        <family val="1"/>
        <charset val="129"/>
        <scheme val="minor"/>
      </rPr>
      <t>본인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및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배우자의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조부모</t>
    </r>
    <r>
      <rPr>
        <sz val="9"/>
        <color rgb="FF000000"/>
        <rFont val="Arial"/>
        <family val="2"/>
        <scheme val="minor"/>
      </rPr>
      <t xml:space="preserve">, </t>
    </r>
    <r>
      <rPr>
        <sz val="9"/>
        <color rgb="FF000000"/>
        <rFont val="Arial"/>
        <family val="1"/>
        <charset val="129"/>
        <scheme val="minor"/>
      </rPr>
      <t>외조부모</t>
    </r>
  </si>
  <si>
    <r>
      <rPr>
        <sz val="9"/>
        <color rgb="FF000000"/>
        <rFont val="Arial"/>
        <family val="1"/>
        <charset val="129"/>
        <scheme val="minor"/>
      </rPr>
      <t>자녀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및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자녀의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배우자</t>
    </r>
  </si>
  <si>
    <r>
      <rPr>
        <sz val="9"/>
        <color rgb="FF000000"/>
        <rFont val="Arial"/>
        <family val="1"/>
        <charset val="129"/>
        <scheme val="minor"/>
      </rPr>
      <t>본인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및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배우자의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형제‧자매</t>
    </r>
  </si>
  <si>
    <r>
      <rPr>
        <sz val="9"/>
        <color rgb="FF000000"/>
        <rFont val="Arial"/>
        <family val="1"/>
        <charset val="129"/>
        <scheme val="minor"/>
      </rPr>
      <t>출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산</t>
    </r>
  </si>
  <si>
    <r>
      <t>10</t>
    </r>
    <r>
      <rPr>
        <sz val="9"/>
        <color rgb="FF000000"/>
        <rFont val="Arial"/>
        <family val="1"/>
        <charset val="129"/>
        <scheme val="minor"/>
      </rPr>
      <t>일</t>
    </r>
  </si>
  <si>
    <r>
      <rPr>
        <sz val="9"/>
        <color rgb="FF000000"/>
        <rFont val="Arial"/>
        <family val="1"/>
        <charset val="129"/>
        <scheme val="minor"/>
      </rPr>
      <t>본인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및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배우자</t>
    </r>
  </si>
  <si>
    <r>
      <rPr>
        <sz val="10.5"/>
        <color rgb="FF000000"/>
        <rFont val="Arial"/>
        <family val="1"/>
        <charset val="129"/>
        <scheme val="minor"/>
      </rPr>
      <t>※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기타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법령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및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면접</t>
    </r>
    <r>
      <rPr>
        <sz val="10.5"/>
        <color rgb="FF000000"/>
        <rFont val="Arial"/>
        <family val="2"/>
        <scheme val="minor"/>
      </rPr>
      <t xml:space="preserve">, </t>
    </r>
    <r>
      <rPr>
        <sz val="10.5"/>
        <color rgb="FF000000"/>
        <rFont val="Arial"/>
        <family val="1"/>
        <charset val="129"/>
        <scheme val="minor"/>
      </rPr>
      <t>병가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등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사유에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대해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출결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관리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기준에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따라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출석으로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인정</t>
    </r>
    <r>
      <rPr>
        <sz val="10.5"/>
        <color rgb="FF000000"/>
        <rFont val="Arial"/>
        <family val="2"/>
        <scheme val="minor"/>
      </rPr>
      <t>(</t>
    </r>
    <r>
      <rPr>
        <sz val="10.5"/>
        <color rgb="FF000000"/>
        <rFont val="Arial"/>
        <family val="1"/>
        <charset val="129"/>
        <scheme val="minor"/>
      </rPr>
      <t>증빙서류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첨부</t>
    </r>
    <r>
      <rPr>
        <sz val="10.5"/>
        <color rgb="FF000000"/>
        <rFont val="Arial"/>
        <family val="2"/>
        <scheme val="minor"/>
      </rPr>
      <t>)</t>
    </r>
    <r>
      <rPr>
        <sz val="10.5"/>
        <color rgb="FF000000"/>
        <rFont val="Arial"/>
        <family val="1"/>
        <charset val="129"/>
        <scheme val="minor"/>
      </rPr>
      <t>하며</t>
    </r>
    <r>
      <rPr>
        <sz val="10.5"/>
        <color rgb="FF000000"/>
        <rFont val="Arial"/>
        <family val="2"/>
        <scheme val="minor"/>
      </rPr>
      <t xml:space="preserve">, </t>
    </r>
    <r>
      <rPr>
        <sz val="10.5"/>
        <color rgb="FF000000"/>
        <rFont val="Arial"/>
        <family val="1"/>
        <charset val="129"/>
        <scheme val="minor"/>
      </rPr>
      <t>기업탐방형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일경험은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위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기준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출석인정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미적용</t>
    </r>
    <r>
      <rPr>
        <sz val="10.5"/>
        <color rgb="FF000000"/>
        <rFont val="Arial"/>
        <family val="2"/>
        <scheme val="minor"/>
      </rPr>
      <t>(</t>
    </r>
    <r>
      <rPr>
        <sz val="10.5"/>
        <color rgb="FF000000"/>
        <rFont val="Arial"/>
        <family val="1"/>
        <charset val="129"/>
        <scheme val="minor"/>
      </rPr>
      <t>단</t>
    </r>
    <r>
      <rPr>
        <sz val="10.5"/>
        <color rgb="FF000000"/>
        <rFont val="Arial"/>
        <family val="2"/>
        <scheme val="minor"/>
      </rPr>
      <t xml:space="preserve">, </t>
    </r>
    <r>
      <rPr>
        <sz val="10.5"/>
        <color rgb="FF000000"/>
        <rFont val="Arial"/>
        <family val="1"/>
        <charset val="129"/>
        <scheme val="minor"/>
      </rPr>
      <t>위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사유를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증빙하는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경우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해당과정은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중복횟수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산정에서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제외</t>
    </r>
    <r>
      <rPr>
        <sz val="10.5"/>
        <color rgb="FF000000"/>
        <rFont val="Arial"/>
        <family val="2"/>
        <scheme val="minor"/>
      </rPr>
      <t>)</t>
    </r>
  </si>
  <si>
    <r>
      <rPr>
        <sz val="10.5"/>
        <color rgb="FF000000"/>
        <rFont val="Arial"/>
        <family val="1"/>
        <charset val="129"/>
        <scheme val="minor"/>
      </rPr>
      <t>※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특수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상황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발생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시</t>
    </r>
    <r>
      <rPr>
        <sz val="10.5"/>
        <color rgb="FF000000"/>
        <rFont val="Arial"/>
        <family val="2"/>
        <scheme val="minor"/>
      </rPr>
      <t xml:space="preserve">(ex: </t>
    </r>
    <r>
      <rPr>
        <sz val="10.5"/>
        <color rgb="FF000000"/>
        <rFont val="Arial"/>
        <family val="1"/>
        <charset val="129"/>
        <scheme val="minor"/>
      </rPr>
      <t>천재지변</t>
    </r>
    <r>
      <rPr>
        <sz val="10.5"/>
        <color rgb="FF000000"/>
        <rFont val="Arial"/>
        <family val="2"/>
        <scheme val="minor"/>
      </rPr>
      <t xml:space="preserve">, </t>
    </r>
    <r>
      <rPr>
        <sz val="10.5"/>
        <color rgb="FF000000"/>
        <rFont val="Arial"/>
        <family val="1"/>
        <charset val="129"/>
        <scheme val="minor"/>
      </rPr>
      <t>유행성질병</t>
    </r>
    <r>
      <rPr>
        <sz val="10.5"/>
        <color rgb="FF000000"/>
        <rFont val="Arial"/>
        <family val="2"/>
        <scheme val="minor"/>
      </rPr>
      <t>-</t>
    </r>
    <r>
      <rPr>
        <sz val="10.5"/>
        <color rgb="FF000000"/>
        <rFont val="Arial"/>
        <family val="1"/>
        <charset val="129"/>
        <scheme val="minor"/>
      </rPr>
      <t>코로나바이러스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등</t>
    </r>
    <r>
      <rPr>
        <sz val="10.5"/>
        <color rgb="FF000000"/>
        <rFont val="Arial"/>
        <family val="2"/>
        <scheme val="minor"/>
      </rPr>
      <t xml:space="preserve">) </t>
    </r>
    <r>
      <rPr>
        <sz val="10.5"/>
        <color rgb="FF000000"/>
        <rFont val="Arial"/>
        <family val="1"/>
        <charset val="129"/>
        <scheme val="minor"/>
      </rPr>
      <t>운영기관에서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문서로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인정한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경우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출석으로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인정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가능</t>
    </r>
  </si>
  <si>
    <t>※출석부 결석에 있을시 작성 관련 서류 첨부 필수.          그리고 서식명 겸 값 새로 받는 것. 표기')' 넣음            104)사전직무교육 공가 관리대장</t>
    <phoneticPr fontId="11" type="noConversion"/>
  </si>
  <si>
    <t>필드</t>
    <phoneticPr fontId="11" type="noConversion"/>
  </si>
  <si>
    <t>입력</t>
    <phoneticPr fontId="11" type="noConversion"/>
  </si>
  <si>
    <r>
      <rPr>
        <b/>
        <sz val="20"/>
        <color theme="1"/>
        <rFont val="Arial"/>
        <family val="3"/>
      </rPr>
      <t>( )</t>
    </r>
    <r>
      <rPr>
        <b/>
        <sz val="20"/>
        <color theme="1"/>
        <rFont val="Malgun Gothic"/>
        <family val="3"/>
        <charset val="129"/>
      </rPr>
      <t>월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인턴형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일경험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결과보고</t>
    </r>
    <r>
      <rPr>
        <b/>
        <sz val="20"/>
        <color theme="1"/>
        <rFont val="Arial"/>
        <family val="3"/>
        <charset val="129"/>
      </rPr>
      <t xml:space="preserve"> _(1)</t>
    </r>
    <phoneticPr fontId="11" type="noConversion"/>
  </si>
  <si>
    <r>
      <t>( )</t>
    </r>
    <r>
      <rPr>
        <b/>
        <sz val="12"/>
        <color theme="1"/>
        <rFont val="맑은 고딕"/>
        <family val="3"/>
        <charset val="129"/>
      </rPr>
      <t>월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맑은 고딕"/>
        <family val="3"/>
        <charset val="129"/>
      </rPr>
      <t>편성시간</t>
    </r>
    <r>
      <rPr>
        <b/>
        <sz val="12"/>
        <color theme="1"/>
        <rFont val="Arial"/>
        <family val="2"/>
        <scheme val="minor"/>
      </rPr>
      <t>(A)</t>
    </r>
    <phoneticPr fontId="11" type="noConversion"/>
  </si>
  <si>
    <r>
      <rPr>
        <b/>
        <sz val="20"/>
        <color theme="1"/>
        <rFont val="Arial"/>
        <family val="3"/>
      </rPr>
      <t>( )</t>
    </r>
    <r>
      <rPr>
        <b/>
        <sz val="20"/>
        <color theme="1"/>
        <rFont val="Malgun Gothic"/>
        <family val="3"/>
        <charset val="129"/>
      </rPr>
      <t>월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인턴형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일경험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결과보고</t>
    </r>
    <r>
      <rPr>
        <b/>
        <sz val="20"/>
        <color theme="1"/>
        <rFont val="Arial"/>
        <family val="3"/>
        <charset val="129"/>
      </rPr>
      <t xml:space="preserve"> _(2)</t>
    </r>
    <phoneticPr fontId="11" type="noConversion"/>
  </si>
  <si>
    <t>12~13</t>
    <phoneticPr fontId="11" type="noConversion"/>
  </si>
  <si>
    <r>
      <rPr>
        <b/>
        <sz val="20"/>
        <color theme="1"/>
        <rFont val="Arial"/>
        <family val="3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출석부</t>
    </r>
    <r>
      <rPr>
        <b/>
        <sz val="20"/>
        <color theme="1"/>
        <rFont val="Arial"/>
        <family val="2"/>
        <scheme val="minor"/>
      </rPr>
      <t>_(1~4</t>
    </r>
    <r>
      <rPr>
        <b/>
        <sz val="20"/>
        <color theme="1"/>
        <rFont val="Arial"/>
        <family val="3"/>
        <charset val="129"/>
        <scheme val="minor"/>
      </rPr>
      <t>주</t>
    </r>
    <r>
      <rPr>
        <b/>
        <sz val="20"/>
        <color theme="1"/>
        <rFont val="Arial"/>
        <family val="2"/>
        <scheme val="minor"/>
      </rPr>
      <t>)</t>
    </r>
    <phoneticPr fontId="11" type="noConversion"/>
  </si>
  <si>
    <r>
      <rPr>
        <b/>
        <sz val="12"/>
        <color rgb="FF000000"/>
        <rFont val="Arial"/>
        <family val="3"/>
        <charset val="129"/>
        <scheme val="minor"/>
      </rPr>
      <t>사전직무교육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출석부</t>
    </r>
    <r>
      <rPr>
        <b/>
        <sz val="12"/>
        <color rgb="FF000000"/>
        <rFont val="Arial"/>
        <family val="2"/>
        <scheme val="minor"/>
      </rPr>
      <t xml:space="preserve"> (1/2)</t>
    </r>
    <phoneticPr fontId="11" type="noConversion"/>
  </si>
  <si>
    <r>
      <rPr>
        <sz val="13"/>
        <color theme="1"/>
        <rFont val="Arial"/>
        <family val="3"/>
        <charset val="129"/>
        <scheme val="minor"/>
      </rPr>
      <t>운영기관명</t>
    </r>
    <phoneticPr fontId="11" type="noConversion"/>
  </si>
  <si>
    <r>
      <rPr>
        <sz val="18"/>
        <color rgb="FF000000"/>
        <rFont val="Arial"/>
        <family val="1"/>
        <charset val="129"/>
        <scheme val="minor"/>
      </rPr>
      <t>사전직무교육</t>
    </r>
    <r>
      <rPr>
        <sz val="18"/>
        <color rgb="FF000000"/>
        <rFont val="Arial"/>
        <family val="2"/>
        <scheme val="minor"/>
      </rPr>
      <t xml:space="preserve"> </t>
    </r>
    <r>
      <rPr>
        <sz val="18"/>
        <color rgb="FF000000"/>
        <rFont val="Arial"/>
        <family val="1"/>
        <charset val="129"/>
        <scheme val="minor"/>
      </rPr>
      <t>출석부</t>
    </r>
    <r>
      <rPr>
        <sz val="18"/>
        <color rgb="FF000000"/>
        <rFont val="Arial"/>
        <family val="2"/>
        <scheme val="minor"/>
      </rPr>
      <t xml:space="preserve"> </t>
    </r>
    <r>
      <rPr>
        <sz val="12"/>
        <color rgb="FF000000"/>
        <rFont val="Arial"/>
        <family val="2"/>
        <scheme val="minor"/>
      </rPr>
      <t>(1/2)</t>
    </r>
  </si>
  <si>
    <r>
      <rPr>
        <sz val="13"/>
        <color theme="1"/>
        <rFont val="Arial"/>
        <family val="3"/>
        <charset val="129"/>
        <scheme val="minor"/>
      </rPr>
      <t>교육기관명</t>
    </r>
    <phoneticPr fontId="11" type="noConversion"/>
  </si>
  <si>
    <r>
      <rPr>
        <sz val="10"/>
        <color rgb="FF000000"/>
        <rFont val="Arial"/>
        <family val="1"/>
        <charset val="129"/>
        <scheme val="minor"/>
      </rPr>
      <t>운영기관명</t>
    </r>
  </si>
  <si>
    <r>
      <rPr>
        <sz val="10"/>
        <color rgb="FF000000"/>
        <rFont val="Arial"/>
        <family val="1"/>
        <charset val="129"/>
        <scheme val="minor"/>
      </rPr>
      <t>교육기관명</t>
    </r>
  </si>
  <si>
    <r>
      <rPr>
        <sz val="13"/>
        <color theme="1"/>
        <rFont val="Arial"/>
        <family val="3"/>
        <charset val="129"/>
        <scheme val="minor"/>
      </rPr>
      <t>교육명</t>
    </r>
    <phoneticPr fontId="11" type="noConversion"/>
  </si>
  <si>
    <r>
      <rPr>
        <sz val="10"/>
        <color rgb="FF000000"/>
        <rFont val="Arial"/>
        <family val="1"/>
        <charset val="129"/>
        <scheme val="minor"/>
      </rPr>
      <t>교육명</t>
    </r>
  </si>
  <si>
    <r>
      <rPr>
        <sz val="10"/>
        <color rgb="FF000000"/>
        <rFont val="Arial"/>
        <family val="1"/>
        <charset val="129"/>
        <scheme val="minor"/>
      </rPr>
      <t>교육기간</t>
    </r>
  </si>
  <si>
    <r>
      <rPr>
        <sz val="13"/>
        <color theme="1"/>
        <rFont val="Arial"/>
        <family val="3"/>
        <charset val="129"/>
        <scheme val="minor"/>
      </rPr>
      <t>교육기간</t>
    </r>
    <phoneticPr fontId="11" type="noConversion"/>
  </si>
  <si>
    <r>
      <rPr>
        <sz val="10"/>
        <color rgb="FF000000"/>
        <rFont val="Arial"/>
        <family val="1"/>
        <charset val="129"/>
        <scheme val="minor"/>
      </rPr>
      <t>교육인원</t>
    </r>
  </si>
  <si>
    <r>
      <rPr>
        <sz val="10"/>
        <color rgb="FF000000"/>
        <rFont val="Arial"/>
        <family val="1"/>
        <charset val="129"/>
        <scheme val="minor"/>
      </rPr>
      <t>명</t>
    </r>
  </si>
  <si>
    <r>
      <rPr>
        <sz val="10"/>
        <color rgb="FF000000"/>
        <rFont val="Arial"/>
        <family val="1"/>
        <charset val="129"/>
        <scheme val="minor"/>
      </rPr>
      <t>교육방법</t>
    </r>
  </si>
  <si>
    <r>
      <rPr>
        <sz val="13"/>
        <color theme="1"/>
        <rFont val="Arial"/>
        <family val="3"/>
        <charset val="129"/>
        <scheme val="minor"/>
      </rPr>
      <t>교육시간</t>
    </r>
    <phoneticPr fontId="11" type="noConversion"/>
  </si>
  <si>
    <r>
      <rPr>
        <sz val="10"/>
        <color rgb="FF000000"/>
        <rFont val="Arial"/>
        <family val="1"/>
        <charset val="129"/>
        <scheme val="minor"/>
      </rPr>
      <t>순번</t>
    </r>
  </si>
  <si>
    <r>
      <rPr>
        <sz val="10"/>
        <color rgb="FF000000"/>
        <rFont val="Arial"/>
        <family val="1"/>
        <charset val="129"/>
        <scheme val="minor"/>
      </rPr>
      <t>날짜</t>
    </r>
  </si>
  <si>
    <r>
      <rPr>
        <sz val="10"/>
        <color rgb="FF000000"/>
        <rFont val="Arial"/>
        <family val="1"/>
        <charset val="129"/>
        <scheme val="minor"/>
      </rPr>
      <t>출</t>
    </r>
  </si>
  <si>
    <r>
      <rPr>
        <sz val="10"/>
        <color rgb="FF000000"/>
        <rFont val="Arial"/>
        <family val="1"/>
        <charset val="129"/>
        <scheme val="minor"/>
      </rPr>
      <t>결</t>
    </r>
  </si>
  <si>
    <r>
      <rPr>
        <sz val="10"/>
        <color rgb="FF000000"/>
        <rFont val="Arial"/>
        <family val="1"/>
        <charset val="129"/>
        <scheme val="minor"/>
      </rPr>
      <t>지</t>
    </r>
  </si>
  <si>
    <r>
      <rPr>
        <sz val="10"/>
        <color rgb="FF000000"/>
        <rFont val="Arial"/>
        <family val="1"/>
        <charset val="129"/>
        <scheme val="minor"/>
      </rPr>
      <t>조</t>
    </r>
  </si>
  <si>
    <r>
      <rPr>
        <sz val="10"/>
        <color rgb="FF000000"/>
        <rFont val="Arial"/>
        <family val="1"/>
        <charset val="129"/>
        <scheme val="minor"/>
      </rPr>
      <t>공</t>
    </r>
  </si>
  <si>
    <r>
      <rPr>
        <sz val="13"/>
        <color theme="1"/>
        <rFont val="Arial"/>
        <family val="3"/>
        <charset val="129"/>
        <scheme val="minor"/>
      </rPr>
      <t>교육인원</t>
    </r>
    <phoneticPr fontId="11" type="noConversion"/>
  </si>
  <si>
    <r>
      <rPr>
        <sz val="10"/>
        <color rgb="FF000000"/>
        <rFont val="Arial"/>
        <family val="1"/>
        <charset val="129"/>
        <scheme val="minor"/>
      </rPr>
      <t>강의시간</t>
    </r>
  </si>
  <si>
    <r>
      <rPr>
        <sz val="10"/>
        <color rgb="FF000000"/>
        <rFont val="Arial"/>
        <family val="1"/>
        <charset val="129"/>
        <scheme val="minor"/>
      </rPr>
      <t>시작시간</t>
    </r>
  </si>
  <si>
    <r>
      <rPr>
        <sz val="10"/>
        <color rgb="FF000000"/>
        <rFont val="Arial"/>
        <family val="1"/>
        <charset val="129"/>
        <scheme val="minor"/>
      </rPr>
      <t>종료시간</t>
    </r>
  </si>
  <si>
    <r>
      <rPr>
        <sz val="10"/>
        <color rgb="FF000000"/>
        <rFont val="Arial"/>
        <family val="1"/>
        <charset val="129"/>
        <scheme val="minor"/>
      </rPr>
      <t>석</t>
    </r>
  </si>
  <si>
    <r>
      <rPr>
        <sz val="10"/>
        <color rgb="FF000000"/>
        <rFont val="Arial"/>
        <family val="1"/>
        <charset val="129"/>
        <scheme val="minor"/>
      </rPr>
      <t>각</t>
    </r>
  </si>
  <si>
    <r>
      <rPr>
        <sz val="10"/>
        <color rgb="FF000000"/>
        <rFont val="Arial"/>
        <family val="1"/>
        <charset val="129"/>
        <scheme val="minor"/>
      </rPr>
      <t>퇴</t>
    </r>
  </si>
  <si>
    <r>
      <rPr>
        <sz val="10"/>
        <color rgb="FF000000"/>
        <rFont val="Arial"/>
        <family val="1"/>
        <charset val="129"/>
        <scheme val="minor"/>
      </rPr>
      <t>가</t>
    </r>
  </si>
  <si>
    <r>
      <rPr>
        <sz val="13"/>
        <color theme="1"/>
        <rFont val="Arial"/>
        <family val="3"/>
        <charset val="129"/>
        <scheme val="minor"/>
      </rPr>
      <t>집체교육시간</t>
    </r>
    <phoneticPr fontId="11" type="noConversion"/>
  </si>
  <si>
    <r>
      <rPr>
        <sz val="8"/>
        <color rgb="FF000000"/>
        <rFont val="Arial"/>
        <family val="1"/>
        <charset val="129"/>
        <scheme val="minor"/>
      </rPr>
      <t>※강사수기작성</t>
    </r>
  </si>
  <si>
    <r>
      <rPr>
        <sz val="13"/>
        <color theme="1"/>
        <rFont val="Arial"/>
        <family val="3"/>
        <charset val="129"/>
        <scheme val="minor"/>
      </rPr>
      <t>온라인교육시간</t>
    </r>
    <phoneticPr fontId="11" type="noConversion"/>
  </si>
  <si>
    <r>
      <rPr>
        <sz val="13"/>
        <color theme="1"/>
        <rFont val="Arial"/>
        <family val="3"/>
        <charset val="129"/>
        <scheme val="minor"/>
      </rPr>
      <t>날짜</t>
    </r>
    <r>
      <rPr>
        <sz val="13"/>
        <color theme="1"/>
        <rFont val="Arial"/>
        <family val="2"/>
        <scheme val="minor"/>
      </rPr>
      <t>_1</t>
    </r>
    <phoneticPr fontId="11" type="noConversion"/>
  </si>
  <si>
    <r>
      <rPr>
        <sz val="13"/>
        <color theme="1"/>
        <rFont val="Arial"/>
        <family val="3"/>
        <charset val="129"/>
        <scheme val="minor"/>
      </rPr>
      <t>날짜</t>
    </r>
    <r>
      <rPr>
        <sz val="13"/>
        <color theme="1"/>
        <rFont val="Arial"/>
        <family val="2"/>
        <scheme val="minor"/>
      </rPr>
      <t>_2</t>
    </r>
    <r>
      <rPr>
        <sz val="11"/>
        <color theme="1"/>
        <rFont val="Arial"/>
        <family val="2"/>
        <charset val="129"/>
        <scheme val="minor"/>
      </rPr>
      <t/>
    </r>
  </si>
  <si>
    <r>
      <rPr>
        <sz val="13"/>
        <color theme="1"/>
        <rFont val="Arial"/>
        <family val="3"/>
        <charset val="129"/>
        <scheme val="minor"/>
      </rPr>
      <t>날짜</t>
    </r>
    <r>
      <rPr>
        <sz val="13"/>
        <color theme="1"/>
        <rFont val="Arial"/>
        <family val="2"/>
        <scheme val="minor"/>
      </rPr>
      <t>_3</t>
    </r>
    <r>
      <rPr>
        <sz val="11"/>
        <color theme="1"/>
        <rFont val="Arial"/>
        <family val="2"/>
        <charset val="129"/>
        <scheme val="minor"/>
      </rPr>
      <t/>
    </r>
  </si>
  <si>
    <r>
      <rPr>
        <sz val="13"/>
        <color theme="1"/>
        <rFont val="Arial"/>
        <family val="3"/>
        <charset val="129"/>
        <scheme val="minor"/>
      </rPr>
      <t>날짜</t>
    </r>
    <r>
      <rPr>
        <sz val="13"/>
        <color theme="1"/>
        <rFont val="Arial"/>
        <family val="2"/>
        <scheme val="minor"/>
      </rPr>
      <t>_4</t>
    </r>
    <r>
      <rPr>
        <sz val="11"/>
        <color theme="1"/>
        <rFont val="Arial"/>
        <family val="2"/>
        <charset val="129"/>
        <scheme val="minor"/>
      </rPr>
      <t/>
    </r>
  </si>
  <si>
    <r>
      <rPr>
        <sz val="13"/>
        <color theme="1"/>
        <rFont val="Arial"/>
        <family val="3"/>
        <charset val="129"/>
        <scheme val="minor"/>
      </rPr>
      <t>날짜</t>
    </r>
    <r>
      <rPr>
        <sz val="13"/>
        <color theme="1"/>
        <rFont val="Arial"/>
        <family val="2"/>
        <scheme val="minor"/>
      </rPr>
      <t>_5</t>
    </r>
    <r>
      <rPr>
        <sz val="11"/>
        <color theme="1"/>
        <rFont val="Arial"/>
        <family val="2"/>
        <charset val="129"/>
        <scheme val="minor"/>
      </rPr>
      <t/>
    </r>
  </si>
  <si>
    <r>
      <rPr>
        <sz val="13"/>
        <color theme="1"/>
        <rFont val="Arial"/>
        <family val="3"/>
        <charset val="129"/>
        <scheme val="minor"/>
      </rPr>
      <t>담당자</t>
    </r>
    <phoneticPr fontId="11" type="noConversion"/>
  </si>
  <si>
    <r>
      <rPr>
        <b/>
        <sz val="20"/>
        <color theme="1"/>
        <rFont val="Arial"/>
        <family val="3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출석부</t>
    </r>
    <phoneticPr fontId="11" type="noConversion"/>
  </si>
  <si>
    <r>
      <rPr>
        <sz val="9"/>
        <color rgb="FF0000FF"/>
        <rFont val="Arial"/>
        <family val="3"/>
        <charset val="129"/>
        <scheme val="minor"/>
      </rPr>
      <t>※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공가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활용시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해당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사유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확인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및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관련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증빙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첨부</t>
    </r>
    <r>
      <rPr>
        <sz val="9"/>
        <color rgb="FF0000FF"/>
        <rFont val="Arial"/>
        <family val="2"/>
        <scheme val="minor"/>
      </rPr>
      <t xml:space="preserve"> </t>
    </r>
  </si>
  <si>
    <r>
      <rPr>
        <b/>
        <sz val="20"/>
        <color theme="1"/>
        <rFont val="Arial"/>
        <family val="3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출석부</t>
    </r>
    <r>
      <rPr>
        <b/>
        <sz val="20"/>
        <color theme="1"/>
        <rFont val="Arial"/>
        <family val="2"/>
        <scheme val="minor"/>
      </rPr>
      <t>_(5~8</t>
    </r>
    <r>
      <rPr>
        <b/>
        <sz val="20"/>
        <color theme="1"/>
        <rFont val="Arial"/>
        <family val="3"/>
        <charset val="129"/>
        <scheme val="minor"/>
      </rPr>
      <t>주</t>
    </r>
    <r>
      <rPr>
        <b/>
        <sz val="20"/>
        <color theme="1"/>
        <rFont val="Arial"/>
        <family val="2"/>
        <scheme val="minor"/>
      </rPr>
      <t>)</t>
    </r>
    <phoneticPr fontId="11" type="noConversion"/>
  </si>
  <si>
    <r>
      <rPr>
        <b/>
        <sz val="12"/>
        <color rgb="FF000000"/>
        <rFont val="Arial"/>
        <family val="3"/>
        <charset val="129"/>
        <scheme val="minor"/>
      </rPr>
      <t>사전직무교육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출석부</t>
    </r>
    <r>
      <rPr>
        <b/>
        <sz val="12"/>
        <color rgb="FF000000"/>
        <rFont val="Arial"/>
        <family val="2"/>
        <scheme val="minor"/>
      </rPr>
      <t xml:space="preserve"> (2/2)</t>
    </r>
    <phoneticPr fontId="11" type="noConversion"/>
  </si>
  <si>
    <r>
      <rPr>
        <sz val="18"/>
        <color rgb="FF000000"/>
        <rFont val="Arial"/>
        <family val="1"/>
        <charset val="129"/>
        <scheme val="minor"/>
      </rPr>
      <t>사전직무교육</t>
    </r>
    <r>
      <rPr>
        <sz val="18"/>
        <color rgb="FF000000"/>
        <rFont val="Arial"/>
        <family val="2"/>
        <scheme val="minor"/>
      </rPr>
      <t xml:space="preserve"> </t>
    </r>
    <r>
      <rPr>
        <sz val="18"/>
        <color rgb="FF000000"/>
        <rFont val="Arial"/>
        <family val="1"/>
        <charset val="129"/>
        <scheme val="minor"/>
      </rPr>
      <t>출석부</t>
    </r>
    <r>
      <rPr>
        <sz val="18"/>
        <color rgb="FF000000"/>
        <rFont val="Arial"/>
        <family val="2"/>
        <scheme val="minor"/>
      </rPr>
      <t xml:space="preserve"> </t>
    </r>
    <r>
      <rPr>
        <sz val="12"/>
        <color rgb="FF000000"/>
        <rFont val="Arial"/>
        <family val="2"/>
        <scheme val="minor"/>
      </rPr>
      <t>(2/2)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</si>
  <si>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운영기관명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</si>
  <si>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프로젝트명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</si>
  <si>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팀명및팀원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</si>
  <si>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청년요청사항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</si>
  <si>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프로젝트진행현황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</si>
  <si>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피드백내용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</si>
  <si>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참여기업명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</si>
  <si>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직급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</si>
  <si>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연락처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</si>
  <si>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이메일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</si>
  <si>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점검일</t>
    </r>
    <phoneticPr fontId="11" type="noConversion"/>
  </si>
  <si>
    <r>
      <rPr>
        <u/>
        <sz val="20"/>
        <color rgb="FF000000"/>
        <rFont val="Arial"/>
        <family val="2"/>
        <charset val="129"/>
        <scheme val="minor"/>
      </rPr>
      <t>담당자</t>
    </r>
    <phoneticPr fontId="11" type="noConversion"/>
  </si>
  <si>
    <r>
      <rPr>
        <sz val="18"/>
        <color rgb="FF000000"/>
        <rFont val="Arial"/>
        <family val="1"/>
        <charset val="129"/>
        <scheme val="minor"/>
      </rPr>
      <t>참여기업</t>
    </r>
    <r>
      <rPr>
        <sz val="18"/>
        <color rgb="FF000000"/>
        <rFont val="Arial"/>
        <family val="2"/>
        <scheme val="minor"/>
      </rPr>
      <t xml:space="preserve"> </t>
    </r>
    <r>
      <rPr>
        <sz val="18"/>
        <color rgb="FF000000"/>
        <rFont val="Arial"/>
        <family val="1"/>
        <charset val="129"/>
        <scheme val="minor"/>
      </rPr>
      <t>중간점검</t>
    </r>
    <r>
      <rPr>
        <sz val="18"/>
        <color rgb="FF000000"/>
        <rFont val="Arial"/>
        <family val="2"/>
        <scheme val="minor"/>
      </rPr>
      <t xml:space="preserve"> </t>
    </r>
    <r>
      <rPr>
        <sz val="18"/>
        <color rgb="FF000000"/>
        <rFont val="Arial"/>
        <family val="1"/>
        <charset val="129"/>
        <scheme val="minor"/>
      </rPr>
      <t>일지</t>
    </r>
  </si>
  <si>
    <r>
      <rPr>
        <sz val="11"/>
        <color rgb="FF000000"/>
        <rFont val="Arial"/>
        <family val="1"/>
        <charset val="129"/>
        <scheme val="minor"/>
      </rPr>
      <t>운영기관명</t>
    </r>
  </si>
  <si>
    <r>
      <rPr>
        <sz val="11"/>
        <color rgb="FF000000"/>
        <rFont val="Arial"/>
        <family val="1"/>
        <charset val="129"/>
        <scheme val="minor"/>
      </rPr>
      <t>프로젝트명</t>
    </r>
  </si>
  <si>
    <r>
      <rPr>
        <sz val="11"/>
        <color rgb="FF000000"/>
        <rFont val="Arial"/>
        <family val="1"/>
        <charset val="129"/>
        <scheme val="minor"/>
      </rPr>
      <t>팀명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및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팀원</t>
    </r>
  </si>
  <si>
    <r>
      <rPr>
        <sz val="11"/>
        <color rgb="FF000000"/>
        <rFont val="Arial"/>
        <family val="1"/>
        <charset val="129"/>
        <scheme val="minor"/>
      </rPr>
      <t>청년</t>
    </r>
  </si>
  <si>
    <r>
      <rPr>
        <sz val="11"/>
        <color rgb="FF000000"/>
        <rFont val="Arial"/>
        <family val="1"/>
        <charset val="129"/>
        <scheme val="minor"/>
      </rPr>
      <t>요청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사항</t>
    </r>
  </si>
  <si>
    <r>
      <rPr>
        <sz val="11"/>
        <color rgb="FF000000"/>
        <rFont val="Arial"/>
        <family val="1"/>
        <charset val="129"/>
        <scheme val="minor"/>
      </rPr>
      <t>프로젝트</t>
    </r>
  </si>
  <si>
    <r>
      <rPr>
        <sz val="11"/>
        <color rgb="FF000000"/>
        <rFont val="Arial"/>
        <family val="1"/>
        <charset val="129"/>
        <scheme val="minor"/>
      </rPr>
      <t>진행현황</t>
    </r>
  </si>
  <si>
    <r>
      <rPr>
        <sz val="11"/>
        <color rgb="FF000000"/>
        <rFont val="Arial"/>
        <family val="1"/>
        <charset val="129"/>
        <scheme val="minor"/>
      </rPr>
      <t>피드백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내용</t>
    </r>
  </si>
  <si>
    <r>
      <rPr>
        <sz val="11"/>
        <color rgb="FF000000"/>
        <rFont val="Arial"/>
        <family val="1"/>
        <charset val="129"/>
        <scheme val="minor"/>
      </rPr>
      <t>참여기업명</t>
    </r>
  </si>
  <si>
    <r>
      <rPr>
        <sz val="11"/>
        <color rgb="FF000000"/>
        <rFont val="Arial"/>
        <family val="1"/>
        <charset val="129"/>
        <scheme val="minor"/>
      </rPr>
      <t>담당자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성명</t>
    </r>
  </si>
  <si>
    <r>
      <rPr>
        <sz val="11"/>
        <color rgb="FF000000"/>
        <rFont val="Arial"/>
        <family val="1"/>
        <charset val="129"/>
        <scheme val="minor"/>
      </rPr>
      <t>담당자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직급</t>
    </r>
  </si>
  <si>
    <r>
      <rPr>
        <sz val="11"/>
        <color rgb="FF000000"/>
        <rFont val="Arial"/>
        <family val="1"/>
        <charset val="129"/>
        <scheme val="minor"/>
      </rPr>
      <t>담당자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연락처</t>
    </r>
  </si>
  <si>
    <r>
      <rPr>
        <sz val="11"/>
        <color rgb="FF000000"/>
        <rFont val="Arial"/>
        <family val="1"/>
        <charset val="129"/>
        <scheme val="minor"/>
      </rPr>
      <t>담당자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이메일</t>
    </r>
  </si>
  <si>
    <r>
      <rPr>
        <sz val="11"/>
        <color rgb="FF000000"/>
        <rFont val="Arial"/>
        <family val="1"/>
        <charset val="129"/>
        <scheme val="minor"/>
      </rPr>
      <t>점검일</t>
    </r>
    <r>
      <rPr>
        <sz val="11"/>
        <color rgb="FF000000"/>
        <rFont val="Arial"/>
        <family val="2"/>
        <scheme val="minor"/>
      </rPr>
      <t xml:space="preserve"> :</t>
    </r>
  </si>
  <si>
    <r>
      <rPr>
        <sz val="11"/>
        <color rgb="FF000000"/>
        <rFont val="Arial"/>
        <family val="1"/>
        <charset val="129"/>
        <scheme val="minor"/>
      </rPr>
      <t>담당자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확인</t>
    </r>
    <r>
      <rPr>
        <sz val="11"/>
        <color rgb="FF000000"/>
        <rFont val="Arial"/>
        <family val="2"/>
        <scheme val="minor"/>
      </rPr>
      <t xml:space="preserve"> :</t>
    </r>
  </si>
  <si>
    <r>
      <rPr>
        <b/>
        <sz val="20"/>
        <color theme="1"/>
        <rFont val="맑은 고딕"/>
        <family val="3"/>
        <charset val="129"/>
      </rPr>
      <t>참여기업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중간점검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일지</t>
    </r>
    <r>
      <rPr>
        <b/>
        <sz val="20"/>
        <color theme="1"/>
        <rFont val="Arial"/>
        <family val="2"/>
        <scheme val="minor"/>
      </rPr>
      <t>_(1)</t>
    </r>
    <phoneticPr fontId="11" type="noConversion"/>
  </si>
  <si>
    <r>
      <rPr>
        <b/>
        <sz val="12"/>
        <rFont val="맑은 고딕"/>
        <family val="3"/>
        <charset val="129"/>
      </rPr>
      <t>참여기업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맑은 고딕"/>
        <family val="3"/>
        <charset val="129"/>
      </rPr>
      <t>중간점검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맑은 고딕"/>
        <family val="3"/>
        <charset val="129"/>
      </rPr>
      <t>일지</t>
    </r>
    <r>
      <rPr>
        <b/>
        <sz val="12"/>
        <rFont val="Arial"/>
        <family val="2"/>
        <scheme val="minor"/>
      </rPr>
      <t>_(1)</t>
    </r>
    <phoneticPr fontId="11" type="noConversion"/>
  </si>
  <si>
    <r>
      <rPr>
        <b/>
        <sz val="20"/>
        <color theme="1"/>
        <rFont val="맑은 고딕"/>
        <family val="3"/>
        <charset val="129"/>
      </rPr>
      <t>참여기업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중간점검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일지</t>
    </r>
    <r>
      <rPr>
        <b/>
        <sz val="20"/>
        <color theme="1"/>
        <rFont val="Arial"/>
        <family val="2"/>
        <scheme val="minor"/>
      </rPr>
      <t>_(2)</t>
    </r>
    <phoneticPr fontId="11" type="noConversion"/>
  </si>
  <si>
    <r>
      <rPr>
        <b/>
        <sz val="12"/>
        <rFont val="맑은 고딕"/>
        <family val="3"/>
        <charset val="129"/>
      </rPr>
      <t>참여기업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맑은 고딕"/>
        <family val="3"/>
        <charset val="129"/>
      </rPr>
      <t>중간점검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맑은 고딕"/>
        <family val="3"/>
        <charset val="129"/>
      </rPr>
      <t>일지</t>
    </r>
    <r>
      <rPr>
        <b/>
        <sz val="12"/>
        <rFont val="Arial"/>
        <family val="2"/>
        <scheme val="minor"/>
      </rPr>
      <t>_(2)</t>
    </r>
    <phoneticPr fontId="11" type="noConversion"/>
  </si>
  <si>
    <t>서식명 겸 값 새로 받는 것. 표기')' 넣음            106)참여기업 중간점검 일지</t>
    <phoneticPr fontId="11" type="noConversion"/>
  </si>
  <si>
    <r>
      <rPr>
        <sz val="10"/>
        <color rgb="FF000000"/>
        <rFont val="Arial"/>
        <family val="2"/>
        <charset val="129"/>
        <scheme val="major"/>
      </rPr>
      <t>이름</t>
    </r>
    <phoneticPr fontId="11" type="noConversion"/>
  </si>
  <si>
    <r>
      <rPr>
        <sz val="10"/>
        <color rgb="FF000000"/>
        <rFont val="Arial"/>
        <family val="2"/>
        <charset val="129"/>
        <scheme val="major"/>
      </rPr>
      <t>생년월일</t>
    </r>
    <phoneticPr fontId="11" type="noConversion"/>
  </si>
  <si>
    <r>
      <rPr>
        <sz val="10"/>
        <color rgb="FF000000"/>
        <rFont val="Arial"/>
        <family val="2"/>
        <charset val="129"/>
        <scheme val="major"/>
      </rPr>
      <t>전화번호</t>
    </r>
    <phoneticPr fontId="11" type="noConversion"/>
  </si>
  <si>
    <r>
      <rPr>
        <sz val="10"/>
        <color rgb="FF000000"/>
        <rFont val="Arial"/>
        <family val="2"/>
        <charset val="129"/>
        <scheme val="major"/>
      </rPr>
      <t>성별</t>
    </r>
    <phoneticPr fontId="11" type="noConversion"/>
  </si>
  <si>
    <r>
      <rPr>
        <sz val="10"/>
        <color rgb="FF000000"/>
        <rFont val="Arial"/>
        <family val="2"/>
        <charset val="129"/>
        <scheme val="major"/>
      </rPr>
      <t>운영기관명</t>
    </r>
    <phoneticPr fontId="11" type="noConversion"/>
  </si>
  <si>
    <r>
      <rPr>
        <sz val="10"/>
        <color rgb="FF000000"/>
        <rFont val="Arial"/>
        <family val="2"/>
        <charset val="129"/>
        <scheme val="major"/>
      </rPr>
      <t>참여기업명</t>
    </r>
    <phoneticPr fontId="11" type="noConversion"/>
  </si>
  <si>
    <r>
      <rPr>
        <sz val="10"/>
        <color rgb="FF000000"/>
        <rFont val="Arial"/>
        <family val="2"/>
        <charset val="129"/>
        <scheme val="major"/>
      </rPr>
      <t>일경험직무</t>
    </r>
    <phoneticPr fontId="11" type="noConversion"/>
  </si>
  <si>
    <r>
      <rPr>
        <sz val="10"/>
        <color rgb="FF000000"/>
        <rFont val="Arial"/>
        <family val="2"/>
        <charset val="129"/>
        <scheme val="major"/>
      </rPr>
      <t>일경험기간</t>
    </r>
    <phoneticPr fontId="11" type="noConversion"/>
  </si>
  <si>
    <r>
      <t>1</t>
    </r>
    <r>
      <rPr>
        <sz val="10"/>
        <color rgb="FF000000"/>
        <rFont val="Arial"/>
        <family val="3"/>
        <charset val="129"/>
        <scheme val="major"/>
      </rPr>
      <t>주차</t>
    </r>
    <phoneticPr fontId="11" type="noConversion"/>
  </si>
  <si>
    <r>
      <t>2</t>
    </r>
    <r>
      <rPr>
        <sz val="10"/>
        <color rgb="FF000000"/>
        <rFont val="Arial"/>
        <family val="2"/>
        <charset val="129"/>
        <scheme val="major"/>
      </rPr>
      <t>주차</t>
    </r>
    <r>
      <rPr>
        <sz val="10"/>
        <color rgb="FF000000"/>
        <rFont val="굴림"/>
        <family val="3"/>
        <charset val="129"/>
      </rPr>
      <t/>
    </r>
  </si>
  <si>
    <r>
      <t>3</t>
    </r>
    <r>
      <rPr>
        <sz val="10"/>
        <color rgb="FF000000"/>
        <rFont val="Arial"/>
        <family val="2"/>
        <charset val="129"/>
        <scheme val="major"/>
      </rPr>
      <t>주차</t>
    </r>
    <r>
      <rPr>
        <sz val="10"/>
        <color rgb="FF000000"/>
        <rFont val="굴림"/>
        <family val="3"/>
        <charset val="129"/>
      </rPr>
      <t/>
    </r>
  </si>
  <si>
    <r>
      <t>4</t>
    </r>
    <r>
      <rPr>
        <sz val="10"/>
        <color rgb="FF000000"/>
        <rFont val="Arial"/>
        <family val="2"/>
        <charset val="129"/>
        <scheme val="major"/>
      </rPr>
      <t>주차</t>
    </r>
    <r>
      <rPr>
        <sz val="10"/>
        <color rgb="FF000000"/>
        <rFont val="굴림"/>
        <family val="3"/>
        <charset val="129"/>
      </rPr>
      <t/>
    </r>
  </si>
  <si>
    <r>
      <t>5</t>
    </r>
    <r>
      <rPr>
        <sz val="10"/>
        <color rgb="FF000000"/>
        <rFont val="Arial"/>
        <family val="2"/>
        <charset val="129"/>
        <scheme val="major"/>
      </rPr>
      <t>주차</t>
    </r>
    <r>
      <rPr>
        <sz val="10"/>
        <color rgb="FF000000"/>
        <rFont val="굴림"/>
        <family val="3"/>
        <charset val="129"/>
      </rPr>
      <t/>
    </r>
  </si>
  <si>
    <r>
      <t>6</t>
    </r>
    <r>
      <rPr>
        <sz val="10"/>
        <color rgb="FF000000"/>
        <rFont val="Arial"/>
        <family val="2"/>
        <charset val="129"/>
        <scheme val="major"/>
      </rPr>
      <t>주차</t>
    </r>
    <r>
      <rPr>
        <sz val="10"/>
        <color rgb="FF000000"/>
        <rFont val="굴림"/>
        <family val="3"/>
        <charset val="129"/>
      </rPr>
      <t/>
    </r>
  </si>
  <si>
    <r>
      <t>7</t>
    </r>
    <r>
      <rPr>
        <sz val="10"/>
        <color rgb="FF000000"/>
        <rFont val="Arial"/>
        <family val="2"/>
        <charset val="129"/>
        <scheme val="major"/>
      </rPr>
      <t>주차</t>
    </r>
    <r>
      <rPr>
        <sz val="10"/>
        <color rgb="FF000000"/>
        <rFont val="굴림"/>
        <family val="3"/>
        <charset val="129"/>
      </rPr>
      <t/>
    </r>
  </si>
  <si>
    <r>
      <t>8</t>
    </r>
    <r>
      <rPr>
        <sz val="10"/>
        <color rgb="FF000000"/>
        <rFont val="Arial"/>
        <family val="2"/>
        <charset val="129"/>
        <scheme val="major"/>
      </rPr>
      <t>주차</t>
    </r>
    <r>
      <rPr>
        <sz val="10"/>
        <color rgb="FF000000"/>
        <rFont val="굴림"/>
        <family val="3"/>
        <charset val="129"/>
      </rPr>
      <t/>
    </r>
  </si>
  <si>
    <r>
      <rPr>
        <sz val="10"/>
        <color rgb="FF000000"/>
        <rFont val="Arial"/>
        <family val="2"/>
        <charset val="129"/>
        <scheme val="major"/>
      </rPr>
      <t>일경험</t>
    </r>
    <r>
      <rPr>
        <sz val="10"/>
        <color rgb="FF000000"/>
        <rFont val="Arial"/>
        <family val="2"/>
        <scheme val="major"/>
      </rPr>
      <t xml:space="preserve"> </t>
    </r>
    <r>
      <rPr>
        <sz val="10"/>
        <color rgb="FF000000"/>
        <rFont val="Arial"/>
        <family val="2"/>
        <charset val="129"/>
        <scheme val="major"/>
      </rPr>
      <t>결과</t>
    </r>
    <r>
      <rPr>
        <sz val="10"/>
        <color rgb="FF000000"/>
        <rFont val="Arial"/>
        <family val="2"/>
        <scheme val="major"/>
      </rPr>
      <t xml:space="preserve"> </t>
    </r>
    <r>
      <rPr>
        <sz val="10"/>
        <color rgb="FF000000"/>
        <rFont val="Arial"/>
        <family val="2"/>
        <charset val="129"/>
        <scheme val="major"/>
      </rPr>
      <t>및</t>
    </r>
    <r>
      <rPr>
        <sz val="10"/>
        <color rgb="FF000000"/>
        <rFont val="Arial"/>
        <family val="2"/>
        <scheme val="major"/>
      </rPr>
      <t xml:space="preserve"> </t>
    </r>
    <r>
      <rPr>
        <sz val="10"/>
        <color rgb="FF000000"/>
        <rFont val="Arial"/>
        <family val="2"/>
        <charset val="129"/>
        <scheme val="major"/>
      </rPr>
      <t>소감</t>
    </r>
    <phoneticPr fontId="11" type="noConversion"/>
  </si>
  <si>
    <r>
      <t>109. (</t>
    </r>
    <r>
      <rPr>
        <sz val="14"/>
        <color rgb="FF000000"/>
        <rFont val="맑은 고딕"/>
        <family val="3"/>
        <charset val="129"/>
      </rPr>
      <t>인턴형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맑은 고딕"/>
        <family val="3"/>
        <charset val="129"/>
      </rPr>
      <t>참여청년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인턴형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종합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보고서</t>
    </r>
    <phoneticPr fontId="11" type="noConversion"/>
  </si>
  <si>
    <r>
      <t>106. (</t>
    </r>
    <r>
      <rPr>
        <sz val="14"/>
        <color rgb="FF000000"/>
        <rFont val="맑은 고딕"/>
        <family val="3"/>
        <charset val="129"/>
      </rPr>
      <t>공통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맑은 고딕"/>
        <family val="3"/>
        <charset val="129"/>
      </rPr>
      <t>참여기업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중간점검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일지</t>
    </r>
    <phoneticPr fontId="11" type="noConversion"/>
  </si>
  <si>
    <r>
      <t>104. (</t>
    </r>
    <r>
      <rPr>
        <sz val="14"/>
        <color rgb="FF000000"/>
        <rFont val="맑은 고딕"/>
        <family val="3"/>
        <charset val="129"/>
      </rPr>
      <t>공통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맑은 고딕"/>
        <family val="3"/>
        <charset val="129"/>
      </rPr>
      <t>직무교육기관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사전직무교육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공가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관리대장</t>
    </r>
    <phoneticPr fontId="11" type="noConversion"/>
  </si>
  <si>
    <r>
      <t>103. (</t>
    </r>
    <r>
      <rPr>
        <sz val="14"/>
        <color rgb="FF000000"/>
        <rFont val="맑은 고딕"/>
        <family val="3"/>
        <charset val="129"/>
      </rPr>
      <t>공통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맑은 고딕"/>
        <family val="3"/>
        <charset val="129"/>
      </rPr>
      <t>직무교육기관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사전직무교육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출석부</t>
    </r>
    <phoneticPr fontId="11" type="noConversion"/>
  </si>
  <si>
    <r>
      <t>118. (</t>
    </r>
    <r>
      <rPr>
        <sz val="14"/>
        <color rgb="FF000000"/>
        <rFont val="맑은 고딕"/>
        <family val="3"/>
        <charset val="129"/>
      </rPr>
      <t>인턴형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맑은 고딕"/>
        <family val="3"/>
        <charset val="129"/>
      </rPr>
      <t>참여기업청년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인턴형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프로그램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표준계약서</t>
    </r>
    <phoneticPr fontId="11" type="noConversion"/>
  </si>
  <si>
    <r>
      <t>매칭</t>
    </r>
    <r>
      <rPr>
        <i/>
        <sz val="11"/>
        <color rgb="FFFF0000"/>
        <rFont val="Arial"/>
        <family val="2"/>
        <scheme val="minor"/>
      </rPr>
      <t>-</t>
    </r>
    <r>
      <rPr>
        <i/>
        <sz val="11"/>
        <color rgb="FFFF0000"/>
        <rFont val="함초롬바탕"/>
        <family val="1"/>
        <charset val="129"/>
      </rPr>
      <t>프로그램명</t>
    </r>
  </si>
  <si>
    <r>
      <t>매칭</t>
    </r>
    <r>
      <rPr>
        <i/>
        <sz val="11"/>
        <color rgb="FFFF0000"/>
        <rFont val="Arial"/>
        <family val="2"/>
        <scheme val="minor"/>
      </rPr>
      <t>-</t>
    </r>
    <r>
      <rPr>
        <i/>
        <sz val="11"/>
        <color rgb="FFFF0000"/>
        <rFont val="함초롬바탕"/>
        <family val="1"/>
        <charset val="129"/>
      </rPr>
      <t>운영기관명</t>
    </r>
  </si>
  <si>
    <t>주소</t>
  </si>
  <si>
    <r>
      <t>(</t>
    </r>
    <r>
      <rPr>
        <b/>
        <i/>
        <sz val="11"/>
        <color rgb="FFFF0000"/>
        <rFont val="Arial"/>
        <family val="2"/>
        <scheme val="minor"/>
      </rPr>
      <t>1</t>
    </r>
    <r>
      <rPr>
        <b/>
        <i/>
        <sz val="11"/>
        <color rgb="FFFF0000"/>
        <rFont val="맑은 고딕"/>
        <family val="3"/>
        <charset val="129"/>
      </rPr>
      <t>주차</t>
    </r>
    <r>
      <rPr>
        <b/>
        <sz val="11"/>
        <color rgb="FF000000"/>
        <rFont val="Arial"/>
        <family val="2"/>
        <scheme val="minor"/>
      </rPr>
      <t>H)</t>
    </r>
  </si>
  <si>
    <r>
      <t>(</t>
    </r>
    <r>
      <rPr>
        <b/>
        <i/>
        <sz val="11"/>
        <color rgb="FFFF0000"/>
        <rFont val="Arial"/>
        <family val="2"/>
        <scheme val="minor"/>
      </rPr>
      <t>2</t>
    </r>
    <r>
      <rPr>
        <b/>
        <i/>
        <sz val="11"/>
        <color rgb="FFFF0000"/>
        <rFont val="맑은 고딕"/>
        <family val="3"/>
        <charset val="129"/>
      </rPr>
      <t>주차</t>
    </r>
    <r>
      <rPr>
        <b/>
        <sz val="11"/>
        <color rgb="FF000000"/>
        <rFont val="Arial"/>
        <family val="2"/>
        <scheme val="minor"/>
      </rPr>
      <t>H)</t>
    </r>
  </si>
  <si>
    <r>
      <t>(</t>
    </r>
    <r>
      <rPr>
        <b/>
        <i/>
        <sz val="11"/>
        <color rgb="FFFF0000"/>
        <rFont val="Arial"/>
        <family val="2"/>
        <scheme val="minor"/>
      </rPr>
      <t>3</t>
    </r>
    <r>
      <rPr>
        <b/>
        <i/>
        <sz val="11"/>
        <color rgb="FFFF0000"/>
        <rFont val="맑은 고딕"/>
        <family val="3"/>
        <charset val="129"/>
      </rPr>
      <t>주차</t>
    </r>
    <r>
      <rPr>
        <b/>
        <sz val="11"/>
        <color rgb="FF000000"/>
        <rFont val="Arial"/>
        <family val="2"/>
        <scheme val="minor"/>
      </rPr>
      <t>H)</t>
    </r>
  </si>
  <si>
    <t>내용</t>
    <phoneticPr fontId="11" type="noConversion"/>
  </si>
  <si>
    <t>장소</t>
    <phoneticPr fontId="11" type="noConversion"/>
  </si>
  <si>
    <t>강사</t>
    <phoneticPr fontId="11" type="noConversion"/>
  </si>
  <si>
    <r>
      <t>1</t>
    </r>
    <r>
      <rPr>
        <sz val="10"/>
        <color rgb="FF000000"/>
        <rFont val="Arial Unicode MS"/>
        <family val="2"/>
        <charset val="129"/>
      </rPr>
      <t>주차</t>
    </r>
    <phoneticPr fontId="11" type="noConversion"/>
  </si>
  <si>
    <t>화</t>
    <phoneticPr fontId="11" type="noConversion"/>
  </si>
  <si>
    <t>수</t>
    <phoneticPr fontId="11" type="noConversion"/>
  </si>
  <si>
    <t>목</t>
    <phoneticPr fontId="11" type="noConversion"/>
  </si>
  <si>
    <t>금</t>
    <phoneticPr fontId="11" type="noConversion"/>
  </si>
  <si>
    <t>주차</t>
    <phoneticPr fontId="11" type="noConversion"/>
  </si>
  <si>
    <t>요일</t>
    <phoneticPr fontId="11" type="noConversion"/>
  </si>
  <si>
    <t>2주차</t>
    <phoneticPr fontId="11" type="noConversion"/>
  </si>
  <si>
    <t>3주차</t>
    <phoneticPr fontId="11" type="noConversion"/>
  </si>
  <si>
    <t>내용15</t>
  </si>
  <si>
    <t>장소15</t>
  </si>
  <si>
    <t>강사15</t>
  </si>
  <si>
    <r>
      <rPr>
        <b/>
        <u/>
        <sz val="20"/>
        <color rgb="FF000000"/>
        <rFont val="Arial Unicode MS"/>
        <family val="2"/>
        <charset val="129"/>
      </rPr>
      <t>사전직무교육</t>
    </r>
    <r>
      <rPr>
        <b/>
        <u/>
        <sz val="20"/>
        <color rgb="FF000000"/>
        <rFont val="Arial"/>
        <family val="2"/>
        <scheme val="minor"/>
      </rPr>
      <t xml:space="preserve"> </t>
    </r>
    <r>
      <rPr>
        <b/>
        <u/>
        <sz val="20"/>
        <color rgb="FF000000"/>
        <rFont val="Arial Unicode MS"/>
        <family val="2"/>
        <charset val="129"/>
      </rPr>
      <t>운영</t>
    </r>
    <r>
      <rPr>
        <b/>
        <u/>
        <sz val="20"/>
        <color rgb="FF000000"/>
        <rFont val="Arial"/>
        <family val="2"/>
        <scheme val="minor"/>
      </rPr>
      <t xml:space="preserve"> </t>
    </r>
    <r>
      <rPr>
        <b/>
        <u/>
        <sz val="20"/>
        <color rgb="FF000000"/>
        <rFont val="Arial Unicode MS"/>
        <family val="2"/>
        <charset val="129"/>
      </rPr>
      <t>계획서</t>
    </r>
    <r>
      <rPr>
        <b/>
        <u/>
        <sz val="20"/>
        <color rgb="FF000000"/>
        <rFont val="Arial"/>
        <family val="2"/>
        <charset val="129"/>
        <scheme val="minor"/>
      </rPr>
      <t>_</t>
    </r>
    <r>
      <rPr>
        <b/>
        <u/>
        <sz val="20"/>
        <color rgb="FF000000"/>
        <rFont val="Arial Unicode MS"/>
        <family val="2"/>
        <charset val="129"/>
      </rPr>
      <t>세로</t>
    </r>
    <phoneticPr fontId="11" type="noConversion"/>
  </si>
  <si>
    <t>시간</t>
    <phoneticPr fontId="11" type="noConversion"/>
  </si>
  <si>
    <t>09:00 ~ 18:00</t>
    <phoneticPr fontId="11" type="noConversion"/>
  </si>
  <si>
    <t>20H</t>
    <phoneticPr fontId="11" type="noConversion"/>
  </si>
  <si>
    <t>내용14</t>
    <phoneticPr fontId="11" type="noConversion"/>
  </si>
  <si>
    <t>내용16</t>
  </si>
  <si>
    <t>내용17</t>
  </si>
  <si>
    <t>내용18</t>
  </si>
  <si>
    <t>내용19</t>
  </si>
  <si>
    <t>내용20</t>
  </si>
  <si>
    <t>내용21</t>
  </si>
  <si>
    <t>내용22</t>
  </si>
  <si>
    <t>내용23</t>
  </si>
  <si>
    <t>내용24</t>
  </si>
  <si>
    <t>내용25</t>
  </si>
  <si>
    <t>내용26</t>
  </si>
  <si>
    <t>내용27</t>
  </si>
  <si>
    <t>내용28</t>
  </si>
  <si>
    <t>장소14</t>
    <phoneticPr fontId="11" type="noConversion"/>
  </si>
  <si>
    <t>강사14</t>
    <phoneticPr fontId="11" type="noConversion"/>
  </si>
  <si>
    <t>장소16</t>
  </si>
  <si>
    <t>장소17</t>
  </si>
  <si>
    <t>장소18</t>
  </si>
  <si>
    <t>장소19</t>
  </si>
  <si>
    <t>장소20</t>
  </si>
  <si>
    <t>장소21</t>
  </si>
  <si>
    <t>장소22</t>
  </si>
  <si>
    <t>장소23</t>
  </si>
  <si>
    <t>장소24</t>
  </si>
  <si>
    <t>장소25</t>
  </si>
  <si>
    <t>장소26</t>
  </si>
  <si>
    <t>장소27</t>
  </si>
  <si>
    <t>장소28</t>
  </si>
  <si>
    <t>강사16</t>
  </si>
  <si>
    <t>강사17</t>
  </si>
  <si>
    <t>강사18</t>
  </si>
  <si>
    <t>강사19</t>
  </si>
  <si>
    <t>강사20</t>
  </si>
  <si>
    <t>강사21</t>
  </si>
  <si>
    <t>강사22</t>
  </si>
  <si>
    <t>강사23</t>
  </si>
  <si>
    <t>강사24</t>
  </si>
  <si>
    <t>강사25</t>
  </si>
  <si>
    <t>강사26</t>
  </si>
  <si>
    <t>강사27</t>
  </si>
  <si>
    <t>강사28</t>
  </si>
  <si>
    <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주민등록번호</t>
    </r>
  </si>
  <si>
    <r>
      <rPr>
        <b/>
        <sz val="12"/>
        <color theme="1"/>
        <rFont val="Arial"/>
        <family val="2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2"/>
        <charset val="129"/>
        <scheme val="minor"/>
      </rPr>
      <t>주민등록번호</t>
    </r>
    <phoneticPr fontId="11" type="noConversion"/>
  </si>
  <si>
    <r>
      <t xml:space="preserve">* </t>
    </r>
    <r>
      <rPr>
        <sz val="14"/>
        <color rgb="FFFF0000"/>
        <rFont val="굴림"/>
        <family val="2"/>
        <charset val="129"/>
      </rPr>
      <t>담당자는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프로그램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전담인력을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의미하며</t>
    </r>
    <r>
      <rPr>
        <sz val="14"/>
        <color rgb="FFFF0000"/>
        <rFont val="Arial"/>
        <family val="2"/>
        <scheme val="minor"/>
      </rPr>
      <t xml:space="preserve"> 1</t>
    </r>
    <r>
      <rPr>
        <sz val="14"/>
        <color rgb="FFFF0000"/>
        <rFont val="굴림"/>
        <family val="2"/>
        <charset val="129"/>
      </rPr>
      <t>인당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청년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참여인원</t>
    </r>
    <r>
      <rPr>
        <sz val="14"/>
        <color rgb="FFFF0000"/>
        <rFont val="Arial"/>
        <family val="2"/>
        <scheme val="minor"/>
      </rPr>
      <t xml:space="preserve"> 10</t>
    </r>
    <r>
      <rPr>
        <sz val="14"/>
        <color rgb="FFFF0000"/>
        <rFont val="굴림"/>
        <family val="2"/>
        <charset val="129"/>
      </rPr>
      <t>명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이하로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제한</t>
    </r>
    <r>
      <rPr>
        <sz val="14"/>
        <color rgb="FFFF0000"/>
        <rFont val="Arial"/>
        <family val="2"/>
        <scheme val="minor"/>
      </rPr>
      <t xml:space="preserve">
  (</t>
    </r>
    <r>
      <rPr>
        <sz val="14"/>
        <color rgb="FFFF0000"/>
        <rFont val="굴림"/>
        <family val="2"/>
        <charset val="129"/>
      </rPr>
      <t>프로그램의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참여인원이</t>
    </r>
    <r>
      <rPr>
        <sz val="14"/>
        <color rgb="FFFF0000"/>
        <rFont val="Arial"/>
        <family val="2"/>
        <scheme val="minor"/>
      </rPr>
      <t xml:space="preserve"> 10</t>
    </r>
    <r>
      <rPr>
        <sz val="14"/>
        <color rgb="FFFF0000"/>
        <rFont val="굴림"/>
        <family val="2"/>
        <charset val="129"/>
      </rPr>
      <t>명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이상인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경우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각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각의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담당자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명단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제출</t>
    </r>
    <r>
      <rPr>
        <sz val="14"/>
        <color rgb="FFFF0000"/>
        <rFont val="Arial"/>
        <family val="2"/>
        <scheme val="minor"/>
      </rPr>
      <t>)</t>
    </r>
    <phoneticPr fontId="11" type="noConversion"/>
  </si>
  <si>
    <t>기업명</t>
    <phoneticPr fontId="11" type="noConversion"/>
  </si>
  <si>
    <t>일경험기간</t>
    <phoneticPr fontId="11" type="noConversion"/>
  </si>
  <si>
    <t>직위</t>
    <phoneticPr fontId="11" type="noConversion"/>
  </si>
  <si>
    <t>참여직무</t>
    <phoneticPr fontId="11" type="noConversion"/>
  </si>
  <si>
    <t>참여청년성명</t>
    <phoneticPr fontId="11" type="noConversion"/>
  </si>
  <si>
    <t>참여청년연령</t>
    <phoneticPr fontId="11" type="noConversion"/>
  </si>
  <si>
    <t>일경험프로그램명</t>
    <phoneticPr fontId="11" type="noConversion"/>
  </si>
  <si>
    <r>
      <t>1</t>
    </r>
    <r>
      <rPr>
        <sz val="10"/>
        <color rgb="FF000000"/>
        <rFont val="굴림"/>
        <family val="3"/>
        <charset val="129"/>
      </rPr>
      <t>주차주요직무</t>
    </r>
    <phoneticPr fontId="11" type="noConversion"/>
  </si>
  <si>
    <r>
      <t>1</t>
    </r>
    <r>
      <rPr>
        <sz val="10"/>
        <color rgb="FF000000"/>
        <rFont val="굴림"/>
        <family val="3"/>
        <charset val="129"/>
      </rPr>
      <t>주차</t>
    </r>
    <r>
      <rPr>
        <sz val="10"/>
        <color rgb="FF000000"/>
        <rFont val="굴림"/>
        <family val="2"/>
        <charset val="129"/>
      </rPr>
      <t>일경험시간</t>
    </r>
    <phoneticPr fontId="11" type="noConversion"/>
  </si>
  <si>
    <r>
      <t>2주차일경험시간</t>
    </r>
    <r>
      <rPr>
        <sz val="10"/>
        <color rgb="FF000000"/>
        <rFont val="굴림"/>
        <family val="2"/>
        <charset val="129"/>
      </rPr>
      <t/>
    </r>
  </si>
  <si>
    <r>
      <t>3주차일경험시간</t>
    </r>
    <r>
      <rPr>
        <sz val="10"/>
        <color rgb="FF000000"/>
        <rFont val="굴림"/>
        <family val="2"/>
        <charset val="129"/>
      </rPr>
      <t/>
    </r>
  </si>
  <si>
    <r>
      <t>4주차일경험시간</t>
    </r>
    <r>
      <rPr>
        <sz val="10"/>
        <color rgb="FF000000"/>
        <rFont val="굴림"/>
        <family val="2"/>
        <charset val="129"/>
      </rPr>
      <t/>
    </r>
  </si>
  <si>
    <r>
      <t>2주차주요직무</t>
    </r>
    <r>
      <rPr>
        <sz val="10"/>
        <color rgb="FF000000"/>
        <rFont val="굴림"/>
        <family val="3"/>
        <charset val="129"/>
      </rPr>
      <t/>
    </r>
  </si>
  <si>
    <r>
      <t>3주차주요직무</t>
    </r>
    <r>
      <rPr>
        <sz val="10"/>
        <color rgb="FF000000"/>
        <rFont val="굴림"/>
        <family val="3"/>
        <charset val="129"/>
      </rPr>
      <t/>
    </r>
  </si>
  <si>
    <r>
      <t>4주차주요직무</t>
    </r>
    <r>
      <rPr>
        <sz val="10"/>
        <color rgb="FF000000"/>
        <rFont val="굴림"/>
        <family val="3"/>
        <charset val="129"/>
      </rPr>
      <t/>
    </r>
  </si>
  <si>
    <t>필요서식</t>
    <phoneticPr fontId="11" type="noConversion"/>
  </si>
  <si>
    <r>
      <rPr>
        <b/>
        <sz val="13"/>
        <color theme="1"/>
        <rFont val="Arial"/>
        <family val="3"/>
        <charset val="129"/>
        <scheme val="minor"/>
      </rPr>
      <t>프로그램</t>
    </r>
    <r>
      <rPr>
        <b/>
        <sz val="13"/>
        <color theme="1"/>
        <rFont val="Arial"/>
        <family val="2"/>
        <scheme val="minor"/>
      </rPr>
      <t>(</t>
    </r>
    <r>
      <rPr>
        <b/>
        <sz val="13"/>
        <color theme="1"/>
        <rFont val="Arial"/>
        <family val="3"/>
        <charset val="129"/>
        <scheme val="minor"/>
      </rPr>
      <t>프로젝트</t>
    </r>
    <r>
      <rPr>
        <b/>
        <sz val="13"/>
        <color theme="1"/>
        <rFont val="Arial"/>
        <family val="2"/>
        <scheme val="minor"/>
      </rPr>
      <t>)</t>
    </r>
    <r>
      <rPr>
        <b/>
        <sz val="13"/>
        <color theme="1"/>
        <rFont val="Arial"/>
        <family val="3"/>
        <charset val="129"/>
        <scheme val="minor"/>
      </rPr>
      <t>명</t>
    </r>
    <phoneticPr fontId="11" type="noConversion"/>
  </si>
  <si>
    <r>
      <t>(</t>
    </r>
    <r>
      <rPr>
        <b/>
        <sz val="20"/>
        <color theme="1"/>
        <rFont val="Arial"/>
        <family val="3"/>
        <charset val="129"/>
        <scheme val="minor"/>
      </rPr>
      <t>공통직무교육기관</t>
    </r>
    <r>
      <rPr>
        <b/>
        <sz val="20"/>
        <color theme="1"/>
        <rFont val="Arial"/>
        <family val="2"/>
        <scheme val="minor"/>
      </rPr>
      <t xml:space="preserve">) </t>
    </r>
    <r>
      <rPr>
        <b/>
        <sz val="20"/>
        <color theme="1"/>
        <rFont val="Arial"/>
        <family val="3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실시보고</t>
    </r>
    <phoneticPr fontId="11" type="noConversion"/>
  </si>
  <si>
    <r>
      <rPr>
        <b/>
        <sz val="13"/>
        <color theme="1"/>
        <rFont val="Arial"/>
        <family val="3"/>
        <charset val="129"/>
        <scheme val="minor"/>
      </rPr>
      <t>장소</t>
    </r>
    <r>
      <rPr>
        <b/>
        <sz val="13"/>
        <color theme="1"/>
        <rFont val="Arial"/>
        <family val="2"/>
        <scheme val="minor"/>
      </rPr>
      <t>(</t>
    </r>
    <r>
      <rPr>
        <b/>
        <sz val="13"/>
        <color theme="1"/>
        <rFont val="Arial"/>
        <family val="3"/>
        <charset val="129"/>
        <scheme val="minor"/>
      </rPr>
      <t>소재지</t>
    </r>
    <r>
      <rPr>
        <b/>
        <sz val="13"/>
        <color theme="1"/>
        <rFont val="Arial"/>
        <family val="2"/>
        <scheme val="minor"/>
      </rPr>
      <t>)</t>
    </r>
    <phoneticPr fontId="11" type="noConversion"/>
  </si>
  <si>
    <r>
      <rPr>
        <b/>
        <sz val="13"/>
        <color theme="1"/>
        <rFont val="Arial"/>
        <family val="3"/>
        <charset val="129"/>
        <scheme val="minor"/>
      </rPr>
      <t>참여프로그램명</t>
    </r>
    <phoneticPr fontId="11" type="noConversion"/>
  </si>
  <si>
    <r>
      <rPr>
        <sz val="13"/>
        <color rgb="FF000000"/>
        <rFont val="Arial"/>
        <family val="2"/>
        <charset val="129"/>
        <scheme val="minor"/>
      </rPr>
      <t>사전직무교육</t>
    </r>
    <r>
      <rPr>
        <sz val="13"/>
        <color rgb="FF000000"/>
        <rFont val="Arial"/>
        <family val="2"/>
        <scheme val="minor"/>
      </rPr>
      <t xml:space="preserve"> </t>
    </r>
    <r>
      <rPr>
        <sz val="13"/>
        <color rgb="FF000000"/>
        <rFont val="Arial"/>
        <family val="2"/>
        <charset val="129"/>
        <scheme val="minor"/>
      </rPr>
      <t>실시보고</t>
    </r>
    <phoneticPr fontId="11" type="noConversion"/>
  </si>
  <si>
    <r>
      <rPr>
        <b/>
        <sz val="18"/>
        <color rgb="FF000000"/>
        <rFont val="Arial"/>
        <family val="3"/>
        <charset val="129"/>
        <scheme val="minor"/>
      </rPr>
      <t>사전직무교육</t>
    </r>
    <r>
      <rPr>
        <b/>
        <sz val="18"/>
        <color rgb="FF000000"/>
        <rFont val="Arial"/>
        <family val="2"/>
        <scheme val="minor"/>
      </rPr>
      <t xml:space="preserve"> </t>
    </r>
    <r>
      <rPr>
        <b/>
        <sz val="18"/>
        <color rgb="FF000000"/>
        <rFont val="Arial"/>
        <family val="3"/>
        <charset val="129"/>
        <scheme val="minor"/>
      </rPr>
      <t>실시보고</t>
    </r>
  </si>
  <si>
    <r>
      <rPr>
        <sz val="10"/>
        <color rgb="FF000000"/>
        <rFont val="Arial"/>
        <family val="3"/>
        <charset val="129"/>
        <scheme val="minor"/>
      </rPr>
      <t>직무교육</t>
    </r>
  </si>
  <si>
    <r>
      <rPr>
        <sz val="10"/>
        <color rgb="FF000000"/>
        <rFont val="Arial"/>
        <family val="3"/>
        <charset val="129"/>
        <scheme val="minor"/>
      </rPr>
      <t>사업장명</t>
    </r>
  </si>
  <si>
    <r>
      <rPr>
        <sz val="10"/>
        <color rgb="FF000000"/>
        <rFont val="Arial"/>
        <family val="3"/>
        <charset val="129"/>
        <scheme val="minor"/>
      </rPr>
      <t>한국융합인재교육협회</t>
    </r>
  </si>
  <si>
    <r>
      <rPr>
        <sz val="10"/>
        <color rgb="FF000000"/>
        <rFont val="Arial"/>
        <family val="3"/>
        <charset val="129"/>
        <scheme val="minor"/>
      </rPr>
      <t>대표자명</t>
    </r>
  </si>
  <si>
    <r>
      <rPr>
        <sz val="10"/>
        <color rgb="FF000000"/>
        <rFont val="Arial"/>
        <family val="3"/>
        <charset val="129"/>
        <scheme val="minor"/>
      </rPr>
      <t>황승준</t>
    </r>
  </si>
  <si>
    <r>
      <rPr>
        <sz val="10"/>
        <color rgb="FF000000"/>
        <rFont val="Arial"/>
        <family val="3"/>
        <charset val="129"/>
        <scheme val="minor"/>
      </rPr>
      <t>기관정보</t>
    </r>
  </si>
  <si>
    <r>
      <rPr>
        <sz val="10"/>
        <color rgb="FF000000"/>
        <rFont val="Arial"/>
        <family val="3"/>
        <charset val="129"/>
        <scheme val="minor"/>
      </rPr>
      <t>소재지</t>
    </r>
  </si>
  <si>
    <r>
      <rPr>
        <sz val="10"/>
        <color rgb="FF000000"/>
        <rFont val="Arial"/>
        <family val="3"/>
        <charset val="129"/>
        <scheme val="minor"/>
      </rPr>
      <t>부산광역시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사상구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주례로</t>
    </r>
    <r>
      <rPr>
        <sz val="10"/>
        <color rgb="FF000000"/>
        <rFont val="Arial"/>
        <family val="2"/>
        <scheme val="minor"/>
      </rPr>
      <t>27</t>
    </r>
    <r>
      <rPr>
        <sz val="10"/>
        <color rgb="FF000000"/>
        <rFont val="Arial"/>
        <family val="3"/>
        <charset val="129"/>
        <scheme val="minor"/>
      </rPr>
      <t>번길</t>
    </r>
    <r>
      <rPr>
        <sz val="10"/>
        <color rgb="FF000000"/>
        <rFont val="Arial"/>
        <family val="2"/>
        <scheme val="minor"/>
      </rPr>
      <t xml:space="preserve"> 34, 3</t>
    </r>
    <r>
      <rPr>
        <sz val="10"/>
        <color rgb="FF000000"/>
        <rFont val="Arial"/>
        <family val="3"/>
        <charset val="129"/>
        <scheme val="minor"/>
      </rPr>
      <t>층</t>
    </r>
    <r>
      <rPr>
        <sz val="10"/>
        <color rgb="FF000000"/>
        <rFont val="Arial"/>
        <family val="2"/>
        <scheme val="minor"/>
      </rPr>
      <t xml:space="preserve"> 305</t>
    </r>
    <r>
      <rPr>
        <sz val="10"/>
        <color rgb="FF000000"/>
        <rFont val="Arial"/>
        <family val="3"/>
        <charset val="129"/>
        <scheme val="minor"/>
      </rPr>
      <t>호</t>
    </r>
  </si>
  <si>
    <r>
      <rPr>
        <sz val="10"/>
        <color rgb="FF000000"/>
        <rFont val="Arial"/>
        <family val="3"/>
        <charset val="129"/>
        <scheme val="minor"/>
      </rPr>
      <t>업종</t>
    </r>
  </si>
  <si>
    <r>
      <rPr>
        <sz val="10"/>
        <color rgb="FF000000"/>
        <rFont val="Arial"/>
        <family val="3"/>
        <charset val="129"/>
        <scheme val="minor"/>
      </rPr>
      <t>융합인재교육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및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교육용역</t>
    </r>
  </si>
  <si>
    <r>
      <rPr>
        <sz val="9"/>
        <color rgb="FF000000"/>
        <rFont val="Arial"/>
        <family val="3"/>
        <charset val="129"/>
        <scheme val="minor"/>
      </rPr>
      <t>피보험자수</t>
    </r>
  </si>
  <si>
    <r>
      <rPr>
        <sz val="10"/>
        <color rgb="FF000000"/>
        <rFont val="Arial"/>
        <family val="3"/>
        <charset val="129"/>
        <scheme val="minor"/>
      </rPr>
      <t>교육기관</t>
    </r>
  </si>
  <si>
    <r>
      <rPr>
        <sz val="10"/>
        <color rgb="FF000000"/>
        <rFont val="Arial"/>
        <family val="3"/>
        <charset val="129"/>
        <scheme val="minor"/>
      </rPr>
      <t>담당부서</t>
    </r>
  </si>
  <si>
    <r>
      <rPr>
        <sz val="10"/>
        <color rgb="FF000000"/>
        <rFont val="Arial"/>
        <family val="3"/>
        <charset val="129"/>
        <scheme val="minor"/>
      </rPr>
      <t>운영지원팀</t>
    </r>
  </si>
  <si>
    <r>
      <rPr>
        <sz val="10"/>
        <color rgb="FF000000"/>
        <rFont val="Arial"/>
        <family val="3"/>
        <charset val="129"/>
        <scheme val="minor"/>
      </rPr>
      <t>성명</t>
    </r>
  </si>
  <si>
    <r>
      <rPr>
        <sz val="10"/>
        <color rgb="FF000000"/>
        <rFont val="Arial"/>
        <family val="3"/>
        <charset val="129"/>
        <scheme val="minor"/>
      </rPr>
      <t>김민재</t>
    </r>
  </si>
  <si>
    <r>
      <rPr>
        <sz val="10"/>
        <color rgb="FF000000"/>
        <rFont val="Arial"/>
        <family val="3"/>
        <charset val="129"/>
        <scheme val="minor"/>
      </rPr>
      <t>담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당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자</t>
    </r>
  </si>
  <si>
    <r>
      <rPr>
        <sz val="10"/>
        <color rgb="FF000000"/>
        <rFont val="Arial"/>
        <family val="3"/>
        <charset val="129"/>
        <scheme val="minor"/>
      </rPr>
      <t>전화번호</t>
    </r>
  </si>
  <si>
    <r>
      <rPr>
        <sz val="10"/>
        <color rgb="FF000000"/>
        <rFont val="Arial"/>
        <family val="3"/>
        <charset val="129"/>
        <scheme val="minor"/>
      </rPr>
      <t>이메일</t>
    </r>
  </si>
  <si>
    <r>
      <rPr>
        <sz val="10"/>
        <color rgb="FF000000"/>
        <rFont val="Arial"/>
        <family val="3"/>
        <charset val="129"/>
        <scheme val="minor"/>
      </rPr>
      <t>프로그램</t>
    </r>
  </si>
  <si>
    <r>
      <rPr>
        <sz val="10"/>
        <color rgb="FF000000"/>
        <rFont val="Arial"/>
        <family val="3"/>
        <charset val="129"/>
        <scheme val="minor"/>
      </rPr>
      <t>프로그램</t>
    </r>
    <r>
      <rPr>
        <sz val="10"/>
        <color rgb="FF000000"/>
        <rFont val="Arial"/>
        <family val="2"/>
        <scheme val="minor"/>
      </rPr>
      <t>(</t>
    </r>
    <r>
      <rPr>
        <sz val="10"/>
        <color rgb="FF000000"/>
        <rFont val="Arial"/>
        <family val="3"/>
        <charset val="129"/>
        <scheme val="minor"/>
      </rPr>
      <t>프로젝트</t>
    </r>
    <r>
      <rPr>
        <sz val="10"/>
        <color rgb="FF000000"/>
        <rFont val="Arial"/>
        <family val="2"/>
        <scheme val="minor"/>
      </rPr>
      <t>)</t>
    </r>
    <r>
      <rPr>
        <sz val="10"/>
        <color rgb="FF000000"/>
        <rFont val="Arial"/>
        <family val="3"/>
        <charset val="129"/>
        <scheme val="minor"/>
      </rPr>
      <t>명</t>
    </r>
  </si>
  <si>
    <r>
      <rPr>
        <sz val="10"/>
        <color rgb="FF000000"/>
        <rFont val="Arial"/>
        <family val="3"/>
        <charset val="129"/>
        <scheme val="minor"/>
      </rPr>
      <t>직무분야</t>
    </r>
  </si>
  <si>
    <r>
      <rPr>
        <sz val="10"/>
        <color rgb="FF000000"/>
        <rFont val="Arial"/>
        <family val="3"/>
        <charset val="129"/>
        <scheme val="minor"/>
      </rPr>
      <t>참여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인원</t>
    </r>
  </si>
  <si>
    <r>
      <t>(</t>
    </r>
    <r>
      <rPr>
        <sz val="10"/>
        <color rgb="FF000000"/>
        <rFont val="Arial"/>
        <family val="3"/>
        <charset val="129"/>
        <scheme val="minor"/>
      </rPr>
      <t>프로젝트</t>
    </r>
    <r>
      <rPr>
        <sz val="10"/>
        <color rgb="FF000000"/>
        <rFont val="Arial"/>
        <family val="2"/>
        <scheme val="minor"/>
      </rPr>
      <t>)</t>
    </r>
  </si>
  <si>
    <r>
      <rPr>
        <sz val="10"/>
        <color rgb="FF000000"/>
        <rFont val="Arial"/>
        <family val="3"/>
        <charset val="129"/>
        <scheme val="minor"/>
      </rPr>
      <t>정보</t>
    </r>
  </si>
  <si>
    <r>
      <rPr>
        <sz val="10"/>
        <color rgb="FF000000"/>
        <rFont val="Arial"/>
        <family val="3"/>
        <charset val="129"/>
        <scheme val="minor"/>
      </rPr>
      <t>직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무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교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육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명</t>
    </r>
  </si>
  <si>
    <r>
      <rPr>
        <sz val="10"/>
        <color rgb="FF000000"/>
        <rFont val="Arial"/>
        <family val="3"/>
        <charset val="129"/>
        <scheme val="minor"/>
      </rPr>
      <t>정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보</t>
    </r>
  </si>
  <si>
    <r>
      <rPr>
        <sz val="10"/>
        <color rgb="FF000000"/>
        <rFont val="Arial"/>
        <family val="3"/>
        <charset val="129"/>
        <scheme val="minor"/>
      </rPr>
      <t>교육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주요내용</t>
    </r>
  </si>
  <si>
    <r>
      <rPr>
        <sz val="10"/>
        <color rgb="FF000000"/>
        <rFont val="Arial"/>
        <family val="3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 xml:space="preserve"> (</t>
    </r>
    <r>
      <rPr>
        <sz val="10"/>
        <color rgb="FF000000"/>
        <rFont val="Arial"/>
        <family val="3"/>
        <charset val="129"/>
        <scheme val="minor"/>
      </rPr>
      <t>소재지</t>
    </r>
    <r>
      <rPr>
        <sz val="10"/>
        <color rgb="FF000000"/>
        <rFont val="Arial"/>
        <family val="2"/>
        <scheme val="minor"/>
      </rPr>
      <t>)</t>
    </r>
  </si>
  <si>
    <r>
      <rPr>
        <sz val="10"/>
        <color rgb="FF000000"/>
        <rFont val="Arial"/>
        <family val="3"/>
        <charset val="129"/>
        <scheme val="minor"/>
      </rPr>
      <t>첨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부</t>
    </r>
  </si>
  <si>
    <r>
      <t>[</t>
    </r>
    <r>
      <rPr>
        <sz val="10"/>
        <color rgb="FF000000"/>
        <rFont val="Arial"/>
        <family val="3"/>
        <charset val="129"/>
        <scheme val="minor"/>
      </rPr>
      <t>별첨</t>
    </r>
    <r>
      <rPr>
        <sz val="10"/>
        <color rgb="FF000000"/>
        <rFont val="Arial"/>
        <family val="2"/>
        <scheme val="minor"/>
      </rPr>
      <t xml:space="preserve">] </t>
    </r>
    <r>
      <rPr>
        <sz val="10"/>
        <color rgb="FF000000"/>
        <rFont val="Arial"/>
        <family val="3"/>
        <charset val="129"/>
        <scheme val="minor"/>
      </rPr>
      <t>사전직무교육참여자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명단</t>
    </r>
  </si>
  <si>
    <r>
      <t>2. [</t>
    </r>
    <r>
      <rPr>
        <sz val="10"/>
        <color rgb="FF000000"/>
        <rFont val="Arial"/>
        <family val="3"/>
        <charset val="129"/>
        <scheme val="minor"/>
      </rPr>
      <t>서식</t>
    </r>
    <r>
      <rPr>
        <sz val="10"/>
        <color rgb="FF000000"/>
        <rFont val="Arial"/>
        <family val="2"/>
        <scheme val="minor"/>
      </rPr>
      <t xml:space="preserve"> 102] </t>
    </r>
    <r>
      <rPr>
        <sz val="10"/>
        <color rgb="FF000000"/>
        <rFont val="Arial"/>
        <family val="3"/>
        <charset val="129"/>
        <scheme val="minor"/>
      </rPr>
      <t>사전직무교육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운영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계획서</t>
    </r>
  </si>
  <si>
    <r>
      <rPr>
        <b/>
        <sz val="11"/>
        <color rgb="FF000000"/>
        <rFont val="Arial"/>
        <family val="3"/>
        <charset val="129"/>
        <scheme val="minor"/>
      </rPr>
      <t>위와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같이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『청년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일경험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지원사업』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직무교육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실시현황을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통보합니다</t>
    </r>
    <r>
      <rPr>
        <b/>
        <sz val="11"/>
        <color rgb="FF000000"/>
        <rFont val="Arial"/>
        <family val="2"/>
        <scheme val="minor"/>
      </rPr>
      <t xml:space="preserve">. </t>
    </r>
  </si>
  <si>
    <r>
      <rPr>
        <sz val="10"/>
        <color rgb="FF000000"/>
        <rFont val="Arial"/>
        <family val="3"/>
        <charset val="129"/>
        <scheme val="minor"/>
      </rPr>
      <t>확인자</t>
    </r>
  </si>
  <si>
    <r>
      <t>(</t>
    </r>
    <r>
      <rPr>
        <sz val="10"/>
        <color rgb="FF5D5D5D"/>
        <rFont val="Arial"/>
        <family val="3"/>
        <charset val="129"/>
        <scheme val="minor"/>
      </rPr>
      <t>서명</t>
    </r>
    <r>
      <rPr>
        <sz val="10"/>
        <color rgb="FF5D5D5D"/>
        <rFont val="Arial"/>
        <family val="2"/>
        <scheme val="minor"/>
      </rPr>
      <t xml:space="preserve"> </t>
    </r>
    <r>
      <rPr>
        <sz val="10"/>
        <color rgb="FF5D5D5D"/>
        <rFont val="Arial"/>
        <family val="3"/>
        <charset val="129"/>
        <scheme val="minor"/>
      </rPr>
      <t>또는</t>
    </r>
    <r>
      <rPr>
        <sz val="10"/>
        <color rgb="FF5D5D5D"/>
        <rFont val="Arial"/>
        <family val="2"/>
        <scheme val="minor"/>
      </rPr>
      <t xml:space="preserve"> </t>
    </r>
    <r>
      <rPr>
        <sz val="10"/>
        <color rgb="FF5D5D5D"/>
        <rFont val="Arial"/>
        <family val="3"/>
        <charset val="129"/>
        <scheme val="minor"/>
      </rPr>
      <t>인</t>
    </r>
    <r>
      <rPr>
        <sz val="10"/>
        <color rgb="FF5D5D5D"/>
        <rFont val="Arial"/>
        <family val="2"/>
        <scheme val="minor"/>
      </rPr>
      <t>)</t>
    </r>
  </si>
  <si>
    <r>
      <t>(</t>
    </r>
    <r>
      <rPr>
        <sz val="10"/>
        <color rgb="FF000000"/>
        <rFont val="Arial"/>
        <family val="3"/>
        <charset val="129"/>
        <scheme val="minor"/>
      </rPr>
      <t>대표자</t>
    </r>
    <r>
      <rPr>
        <sz val="10"/>
        <color rgb="FF000000"/>
        <rFont val="Arial"/>
        <family val="2"/>
        <scheme val="minor"/>
      </rPr>
      <t>)</t>
    </r>
  </si>
  <si>
    <r>
      <rPr>
        <b/>
        <sz val="11"/>
        <color rgb="FF000000"/>
        <rFont val="Arial"/>
        <family val="3"/>
        <charset val="129"/>
        <scheme val="minor"/>
      </rPr>
      <t>일경험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통합지원센터장</t>
    </r>
  </si>
  <si>
    <r>
      <rPr>
        <sz val="11"/>
        <color rgb="FF000000"/>
        <rFont val="Arial"/>
        <family val="3"/>
        <charset val="129"/>
        <scheme val="minor"/>
      </rPr>
      <t>귀하</t>
    </r>
  </si>
  <si>
    <t>[별첨] 사전직무교육 참여자 명단</t>
  </si>
  <si>
    <t>참여 프로그램명</t>
  </si>
  <si>
    <r>
      <t>129. (</t>
    </r>
    <r>
      <rPr>
        <sz val="14"/>
        <color rgb="FF000000"/>
        <rFont val="맑은 고딕"/>
        <family val="3"/>
        <charset val="129"/>
      </rPr>
      <t>공통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맑은 고딕"/>
        <family val="3"/>
        <charset val="129"/>
      </rPr>
      <t>직무교육기관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사전직무교육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수료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보고서</t>
    </r>
    <phoneticPr fontId="11" type="noConversion"/>
  </si>
  <si>
    <r>
      <t>(</t>
    </r>
    <r>
      <rPr>
        <b/>
        <sz val="20"/>
        <color theme="1"/>
        <rFont val="Arial"/>
        <family val="2"/>
        <charset val="129"/>
        <scheme val="minor"/>
      </rPr>
      <t>공통</t>
    </r>
    <r>
      <rPr>
        <b/>
        <sz val="20"/>
        <color theme="1"/>
        <rFont val="Arial"/>
        <family val="2"/>
        <scheme val="minor"/>
      </rPr>
      <t>-</t>
    </r>
    <r>
      <rPr>
        <b/>
        <sz val="20"/>
        <color theme="1"/>
        <rFont val="Arial"/>
        <family val="2"/>
        <charset val="129"/>
        <scheme val="minor"/>
      </rPr>
      <t>직무교육기관</t>
    </r>
    <r>
      <rPr>
        <b/>
        <sz val="20"/>
        <color theme="1"/>
        <rFont val="Arial"/>
        <family val="2"/>
        <scheme val="minor"/>
      </rPr>
      <t xml:space="preserve">) </t>
    </r>
    <r>
      <rPr>
        <b/>
        <sz val="20"/>
        <color theme="1"/>
        <rFont val="Arial"/>
        <family val="2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수료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보고서</t>
    </r>
    <phoneticPr fontId="11" type="noConversion"/>
  </si>
  <si>
    <r>
      <rPr>
        <b/>
        <sz val="13"/>
        <color theme="1"/>
        <rFont val="Arial"/>
        <family val="3"/>
        <charset val="129"/>
        <scheme val="minor"/>
      </rPr>
      <t>교육기관명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</si>
  <si>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교육기간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</si>
  <si>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대표자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</si>
  <si>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소재지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</si>
  <si>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교육장소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</si>
  <si>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일경험프로그램명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</si>
  <si>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직무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</si>
  <si>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일경험기간</t>
    </r>
    <phoneticPr fontId="11" type="noConversion"/>
  </si>
  <si>
    <r>
      <rPr>
        <b/>
        <u/>
        <sz val="20"/>
        <color rgb="FF000000"/>
        <rFont val="Arial"/>
        <family val="2"/>
        <charset val="129"/>
        <scheme val="minor"/>
      </rPr>
      <t>사전직무교육</t>
    </r>
    <r>
      <rPr>
        <b/>
        <u/>
        <sz val="20"/>
        <color rgb="FF000000"/>
        <rFont val="Arial"/>
        <family val="2"/>
        <scheme val="minor"/>
      </rPr>
      <t xml:space="preserve"> </t>
    </r>
    <r>
      <rPr>
        <b/>
        <u/>
        <sz val="20"/>
        <color rgb="FF000000"/>
        <rFont val="Arial"/>
        <family val="2"/>
        <charset val="129"/>
        <scheme val="minor"/>
      </rPr>
      <t>운영</t>
    </r>
    <r>
      <rPr>
        <b/>
        <u/>
        <sz val="20"/>
        <color rgb="FF000000"/>
        <rFont val="Arial"/>
        <family val="2"/>
        <scheme val="minor"/>
      </rPr>
      <t xml:space="preserve"> </t>
    </r>
    <r>
      <rPr>
        <b/>
        <u/>
        <sz val="20"/>
        <color rgb="FF000000"/>
        <rFont val="Arial"/>
        <family val="2"/>
        <charset val="129"/>
        <scheme val="minor"/>
      </rPr>
      <t>계획서</t>
    </r>
    <r>
      <rPr>
        <b/>
        <u/>
        <sz val="20"/>
        <color rgb="FF000000"/>
        <rFont val="Arial"/>
        <family val="2"/>
        <scheme val="minor"/>
      </rPr>
      <t>_</t>
    </r>
    <r>
      <rPr>
        <b/>
        <u/>
        <sz val="20"/>
        <color rgb="FF000000"/>
        <rFont val="Arial"/>
        <family val="2"/>
        <charset val="129"/>
        <scheme val="minor"/>
      </rPr>
      <t>세로</t>
    </r>
    <phoneticPr fontId="11" type="noConversion"/>
  </si>
  <si>
    <r>
      <rPr>
        <b/>
        <sz val="10"/>
        <color rgb="FF000000"/>
        <rFont val="Arial"/>
        <family val="3"/>
        <charset val="129"/>
        <scheme val="minor"/>
      </rPr>
      <t>주차</t>
    </r>
    <phoneticPr fontId="11" type="noConversion"/>
  </si>
  <si>
    <r>
      <rPr>
        <b/>
        <sz val="10"/>
        <color rgb="FF000000"/>
        <rFont val="Arial"/>
        <family val="3"/>
        <charset val="129"/>
        <scheme val="minor"/>
      </rPr>
      <t>요일</t>
    </r>
    <phoneticPr fontId="11" type="noConversion"/>
  </si>
  <si>
    <r>
      <rPr>
        <b/>
        <sz val="10"/>
        <color rgb="FF000000"/>
        <rFont val="Arial"/>
        <family val="2"/>
        <charset val="129"/>
        <scheme val="minor"/>
      </rPr>
      <t>시간</t>
    </r>
    <phoneticPr fontId="11" type="noConversion"/>
  </si>
  <si>
    <r>
      <rPr>
        <b/>
        <sz val="10"/>
        <color rgb="FF000000"/>
        <rFont val="Arial"/>
        <family val="2"/>
        <charset val="129"/>
        <scheme val="minor"/>
      </rPr>
      <t>내용</t>
    </r>
    <phoneticPr fontId="11" type="noConversion"/>
  </si>
  <si>
    <r>
      <rPr>
        <b/>
        <sz val="10"/>
        <color rgb="FF000000"/>
        <rFont val="Arial"/>
        <family val="2"/>
        <charset val="129"/>
        <scheme val="minor"/>
      </rPr>
      <t>장소</t>
    </r>
    <phoneticPr fontId="11" type="noConversion"/>
  </si>
  <si>
    <r>
      <rPr>
        <b/>
        <sz val="10"/>
        <color rgb="FF000000"/>
        <rFont val="Arial"/>
        <family val="2"/>
        <charset val="129"/>
        <scheme val="minor"/>
      </rPr>
      <t>강사</t>
    </r>
    <phoneticPr fontId="11" type="noConversion"/>
  </si>
  <si>
    <r>
      <t>1</t>
    </r>
    <r>
      <rPr>
        <sz val="10"/>
        <color rgb="FF000000"/>
        <rFont val="Arial"/>
        <family val="2"/>
        <charset val="129"/>
        <scheme val="minor"/>
      </rPr>
      <t>주차</t>
    </r>
    <phoneticPr fontId="11" type="noConversion"/>
  </si>
  <si>
    <r>
      <rPr>
        <sz val="10"/>
        <color rgb="FF000000"/>
        <rFont val="Arial"/>
        <family val="2"/>
        <charset val="129"/>
        <scheme val="minor"/>
      </rPr>
      <t>월</t>
    </r>
    <phoneticPr fontId="11" type="noConversion"/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</si>
  <si>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14</t>
    </r>
    <phoneticPr fontId="11" type="noConversion"/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</si>
  <si>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14</t>
    </r>
    <phoneticPr fontId="11" type="noConversion"/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</si>
  <si>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14</t>
    </r>
    <phoneticPr fontId="11" type="noConversion"/>
  </si>
  <si>
    <r>
      <rPr>
        <sz val="10"/>
        <color rgb="FF000000"/>
        <rFont val="Arial"/>
        <family val="2"/>
        <charset val="129"/>
        <scheme val="minor"/>
      </rPr>
      <t>화</t>
    </r>
    <phoneticPr fontId="11" type="noConversion"/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</si>
  <si>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15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</si>
  <si>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15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</si>
  <si>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15</t>
    </r>
  </si>
  <si>
    <r>
      <rPr>
        <sz val="10"/>
        <color rgb="FF000000"/>
        <rFont val="Arial"/>
        <family val="2"/>
        <charset val="129"/>
        <scheme val="minor"/>
      </rPr>
      <t>수</t>
    </r>
    <phoneticPr fontId="11" type="noConversion"/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</si>
  <si>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16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</si>
  <si>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16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</si>
  <si>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16</t>
    </r>
  </si>
  <si>
    <r>
      <rPr>
        <sz val="10"/>
        <color rgb="FF000000"/>
        <rFont val="Arial"/>
        <family val="2"/>
        <charset val="129"/>
        <scheme val="minor"/>
      </rPr>
      <t>목</t>
    </r>
    <phoneticPr fontId="11" type="noConversion"/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</si>
  <si>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17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</si>
  <si>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17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</si>
  <si>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17</t>
    </r>
  </si>
  <si>
    <r>
      <rPr>
        <sz val="10"/>
        <color rgb="FF000000"/>
        <rFont val="Arial"/>
        <family val="2"/>
        <charset val="129"/>
        <scheme val="minor"/>
      </rPr>
      <t>금</t>
    </r>
    <phoneticPr fontId="11" type="noConversion"/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</si>
  <si>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18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</si>
  <si>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18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</si>
  <si>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18</t>
    </r>
  </si>
  <si>
    <r>
      <t>2</t>
    </r>
    <r>
      <rPr>
        <sz val="10"/>
        <color rgb="FF000000"/>
        <rFont val="Arial"/>
        <family val="2"/>
        <charset val="129"/>
        <scheme val="minor"/>
      </rPr>
      <t>주차</t>
    </r>
    <phoneticPr fontId="11" type="noConversion"/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</si>
  <si>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19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</si>
  <si>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19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</si>
  <si>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19</t>
    </r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</si>
  <si>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20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</si>
  <si>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20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</si>
  <si>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20</t>
    </r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</si>
  <si>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21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</si>
  <si>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21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</si>
  <si>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21</t>
    </r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</si>
  <si>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22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</si>
  <si>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22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</si>
  <si>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22</t>
    </r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</si>
  <si>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23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</si>
  <si>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23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</si>
  <si>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23</t>
    </r>
  </si>
  <si>
    <r>
      <t>3</t>
    </r>
    <r>
      <rPr>
        <sz val="10"/>
        <color rgb="FF000000"/>
        <rFont val="Arial"/>
        <family val="2"/>
        <charset val="129"/>
        <scheme val="minor"/>
      </rPr>
      <t>주차</t>
    </r>
    <phoneticPr fontId="11" type="noConversion"/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</si>
  <si>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24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</si>
  <si>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24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</si>
  <si>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24</t>
    </r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</si>
  <si>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25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</si>
  <si>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25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</si>
  <si>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25</t>
    </r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</si>
  <si>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26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</si>
  <si>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26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</si>
  <si>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26</t>
    </r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</si>
  <si>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27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</si>
  <si>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27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</si>
  <si>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27</t>
    </r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</si>
  <si>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28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</si>
  <si>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28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</si>
  <si>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28</t>
    </r>
  </si>
  <si>
    <r>
      <rPr>
        <b/>
        <sz val="12"/>
        <color theme="1"/>
        <rFont val="Arial"/>
        <family val="2"/>
        <charset val="129"/>
        <scheme val="minor"/>
      </rPr>
      <t>정원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</si>
  <si>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비고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</si>
  <si>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실시인원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</si>
  <si>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중도탈락</t>
    </r>
    <phoneticPr fontId="11" type="noConversion"/>
  </si>
  <si>
    <r>
      <rPr>
        <b/>
        <sz val="12"/>
        <color theme="1"/>
        <rFont val="Arial"/>
        <family val="2"/>
        <charset val="129"/>
        <scheme val="minor"/>
      </rPr>
      <t>수료인원</t>
    </r>
    <phoneticPr fontId="11" type="noConversion"/>
  </si>
  <si>
    <t>(40H)</t>
  </si>
  <si>
    <t>09:00~18:00</t>
  </si>
  <si>
    <r>
      <t xml:space="preserve">1. </t>
    </r>
    <r>
      <rPr>
        <b/>
        <sz val="12"/>
        <color rgb="FF000000"/>
        <rFont val="Arial"/>
        <family val="3"/>
        <charset val="129"/>
        <scheme val="minor"/>
      </rPr>
      <t>사전직무교육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기관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정보</t>
    </r>
  </si>
  <si>
    <r>
      <rPr>
        <b/>
        <sz val="10"/>
        <color rgb="FF000000"/>
        <rFont val="Arial"/>
        <family val="3"/>
        <charset val="129"/>
        <scheme val="minor"/>
      </rPr>
      <t>교육기관명</t>
    </r>
  </si>
  <si>
    <r>
      <rPr>
        <b/>
        <sz val="10"/>
        <color rgb="FF000000"/>
        <rFont val="Arial"/>
        <family val="3"/>
        <charset val="129"/>
        <scheme val="minor"/>
      </rPr>
      <t>대표자</t>
    </r>
  </si>
  <si>
    <r>
      <rPr>
        <b/>
        <sz val="10"/>
        <color rgb="FF000000"/>
        <rFont val="Arial"/>
        <family val="3"/>
        <charset val="129"/>
        <scheme val="minor"/>
      </rPr>
      <t>소재지</t>
    </r>
  </si>
  <si>
    <r>
      <rPr>
        <b/>
        <sz val="10"/>
        <color rgb="FF000000"/>
        <rFont val="Arial"/>
        <family val="3"/>
        <charset val="129"/>
        <scheme val="minor"/>
      </rPr>
      <t>담당자</t>
    </r>
  </si>
  <si>
    <r>
      <rPr>
        <b/>
        <sz val="10"/>
        <color rgb="FF000000"/>
        <rFont val="Arial"/>
        <family val="3"/>
        <charset val="129"/>
        <scheme val="minor"/>
      </rPr>
      <t>성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명</t>
    </r>
    <r>
      <rPr>
        <b/>
        <sz val="10"/>
        <color rgb="FF000000"/>
        <rFont val="Arial"/>
        <family val="2"/>
        <scheme val="minor"/>
      </rPr>
      <t xml:space="preserve"> </t>
    </r>
  </si>
  <si>
    <r>
      <rPr>
        <b/>
        <sz val="10"/>
        <color rgb="FF000000"/>
        <rFont val="Arial"/>
        <family val="3"/>
        <charset val="129"/>
        <scheme val="minor"/>
      </rPr>
      <t>연락처</t>
    </r>
  </si>
  <si>
    <r>
      <t xml:space="preserve">2. </t>
    </r>
    <r>
      <rPr>
        <b/>
        <sz val="12"/>
        <color rgb="FF000000"/>
        <rFont val="Arial"/>
        <family val="3"/>
        <charset val="129"/>
        <scheme val="minor"/>
      </rPr>
      <t>운영기관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및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일경험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정보</t>
    </r>
  </si>
  <si>
    <r>
      <rPr>
        <b/>
        <sz val="10"/>
        <color rgb="FF000000"/>
        <rFont val="Arial"/>
        <family val="3"/>
        <charset val="129"/>
        <scheme val="minor"/>
      </rPr>
      <t>운영기관명</t>
    </r>
  </si>
  <si>
    <r>
      <rPr>
        <b/>
        <sz val="11"/>
        <color rgb="FF000000"/>
        <rFont val="Arial"/>
        <family val="3"/>
        <charset val="129"/>
        <scheme val="minor"/>
      </rPr>
      <t>대표자</t>
    </r>
  </si>
  <si>
    <r>
      <rPr>
        <b/>
        <sz val="11"/>
        <color rgb="FF000000"/>
        <rFont val="Arial"/>
        <family val="3"/>
        <charset val="129"/>
        <scheme val="minor"/>
      </rPr>
      <t>성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명</t>
    </r>
    <r>
      <rPr>
        <b/>
        <sz val="11"/>
        <color rgb="FF000000"/>
        <rFont val="Arial"/>
        <family val="2"/>
        <scheme val="minor"/>
      </rPr>
      <t xml:space="preserve"> </t>
    </r>
  </si>
  <si>
    <r>
      <rPr>
        <b/>
        <sz val="11"/>
        <color rgb="FF000000"/>
        <rFont val="Arial"/>
        <family val="3"/>
        <charset val="129"/>
        <scheme val="minor"/>
      </rPr>
      <t>연락처</t>
    </r>
  </si>
  <si>
    <r>
      <rPr>
        <b/>
        <sz val="10"/>
        <color rgb="FF000000"/>
        <rFont val="Arial"/>
        <family val="3"/>
        <charset val="129"/>
        <scheme val="minor"/>
      </rPr>
      <t>일경험</t>
    </r>
  </si>
  <si>
    <r>
      <rPr>
        <b/>
        <sz val="11"/>
        <color rgb="FF000000"/>
        <rFont val="Arial"/>
        <family val="3"/>
        <charset val="129"/>
        <scheme val="minor"/>
      </rPr>
      <t>직무</t>
    </r>
  </si>
  <si>
    <r>
      <rPr>
        <b/>
        <sz val="10"/>
        <color rgb="FF000000"/>
        <rFont val="Arial"/>
        <family val="3"/>
        <charset val="129"/>
        <scheme val="minor"/>
      </rPr>
      <t>프로그램명</t>
    </r>
  </si>
  <si>
    <r>
      <rPr>
        <b/>
        <sz val="10"/>
        <color rgb="FF000000"/>
        <rFont val="Arial"/>
        <family val="3"/>
        <charset val="129"/>
        <scheme val="minor"/>
      </rPr>
      <t>일경험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기간</t>
    </r>
  </si>
  <si>
    <r>
      <t xml:space="preserve">3. </t>
    </r>
    <r>
      <rPr>
        <b/>
        <sz val="12"/>
        <color rgb="FF000000"/>
        <rFont val="Arial"/>
        <family val="3"/>
        <charset val="129"/>
        <scheme val="minor"/>
      </rPr>
      <t>사전직무교육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정보</t>
    </r>
  </si>
  <si>
    <r>
      <rPr>
        <b/>
        <sz val="10"/>
        <color rgb="FF000000"/>
        <rFont val="Arial"/>
        <family val="3"/>
        <charset val="129"/>
        <scheme val="minor"/>
      </rPr>
      <t>교육방법</t>
    </r>
  </si>
  <si>
    <r>
      <rPr>
        <sz val="10"/>
        <color rgb="FF000000"/>
        <rFont val="Arial"/>
        <family val="3"/>
        <charset val="129"/>
        <scheme val="minor"/>
      </rPr>
      <t>■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오프라인</t>
    </r>
    <r>
      <rPr>
        <sz val="10"/>
        <color rgb="FF000000"/>
        <rFont val="Arial"/>
        <family val="2"/>
        <scheme val="minor"/>
      </rPr>
      <t xml:space="preserve"> </t>
    </r>
  </si>
  <si>
    <r>
      <rPr>
        <sz val="10"/>
        <color rgb="FF000000"/>
        <rFont val="Arial"/>
        <family val="3"/>
        <charset val="129"/>
        <scheme val="minor"/>
      </rPr>
      <t>□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온라인</t>
    </r>
  </si>
  <si>
    <r>
      <rPr>
        <sz val="10"/>
        <color rgb="FF000000"/>
        <rFont val="Arial"/>
        <family val="3"/>
        <charset val="129"/>
        <scheme val="minor"/>
      </rPr>
      <t>□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혼합</t>
    </r>
    <r>
      <rPr>
        <sz val="10"/>
        <color rgb="FF000000"/>
        <rFont val="Arial"/>
        <family val="2"/>
        <scheme val="minor"/>
      </rPr>
      <t>(</t>
    </r>
    <r>
      <rPr>
        <sz val="10"/>
        <color rgb="FF000000"/>
        <rFont val="Arial"/>
        <family val="3"/>
        <charset val="129"/>
        <scheme val="minor"/>
      </rPr>
      <t>오프라인</t>
    </r>
    <r>
      <rPr>
        <sz val="10"/>
        <color rgb="FF000000"/>
        <rFont val="Arial"/>
        <family val="2"/>
        <scheme val="minor"/>
      </rPr>
      <t>+</t>
    </r>
    <r>
      <rPr>
        <sz val="10"/>
        <color rgb="FF000000"/>
        <rFont val="Arial"/>
        <family val="3"/>
        <charset val="129"/>
        <scheme val="minor"/>
      </rPr>
      <t>온라인</t>
    </r>
    <r>
      <rPr>
        <sz val="10"/>
        <color rgb="FF000000"/>
        <rFont val="Arial"/>
        <family val="2"/>
        <scheme val="minor"/>
      </rPr>
      <t>)</t>
    </r>
  </si>
  <si>
    <r>
      <rPr>
        <b/>
        <sz val="10"/>
        <color rgb="FF000000"/>
        <rFont val="Arial"/>
        <family val="3"/>
        <charset val="129"/>
        <scheme val="minor"/>
      </rPr>
      <t>교육기간</t>
    </r>
  </si>
  <si>
    <r>
      <rPr>
        <b/>
        <sz val="10"/>
        <color rgb="FF000000"/>
        <rFont val="Arial"/>
        <family val="3"/>
        <charset val="129"/>
        <scheme val="minor"/>
      </rPr>
      <t>교육정원</t>
    </r>
  </si>
  <si>
    <r>
      <rPr>
        <b/>
        <sz val="10"/>
        <color rgb="FF000000"/>
        <rFont val="Arial"/>
        <family val="3"/>
        <charset val="129"/>
        <scheme val="minor"/>
      </rPr>
      <t>교육목적</t>
    </r>
  </si>
  <si>
    <r>
      <rPr>
        <b/>
        <sz val="10"/>
        <color rgb="FF000000"/>
        <rFont val="Arial"/>
        <family val="3"/>
        <charset val="129"/>
        <scheme val="minor"/>
      </rPr>
      <t>교육장소</t>
    </r>
  </si>
  <si>
    <r>
      <rPr>
        <b/>
        <sz val="11"/>
        <color rgb="FF000000"/>
        <rFont val="Arial"/>
        <family val="3"/>
        <charset val="129"/>
        <scheme val="minor"/>
      </rPr>
      <t>주차</t>
    </r>
  </si>
  <si>
    <r>
      <rPr>
        <b/>
        <sz val="11"/>
        <color rgb="FF000000"/>
        <rFont val="Arial"/>
        <family val="3"/>
        <charset val="129"/>
        <scheme val="minor"/>
      </rPr>
      <t>구분</t>
    </r>
  </si>
  <si>
    <r>
      <rPr>
        <b/>
        <sz val="11"/>
        <color rgb="FF000000"/>
        <rFont val="Arial"/>
        <family val="3"/>
        <charset val="129"/>
        <scheme val="minor"/>
      </rPr>
      <t>월</t>
    </r>
  </si>
  <si>
    <r>
      <rPr>
        <b/>
        <sz val="11"/>
        <color rgb="FF000000"/>
        <rFont val="Arial"/>
        <family val="3"/>
        <charset val="129"/>
        <scheme val="minor"/>
      </rPr>
      <t>화</t>
    </r>
  </si>
  <si>
    <r>
      <rPr>
        <b/>
        <sz val="11"/>
        <color rgb="FF000000"/>
        <rFont val="Arial"/>
        <family val="3"/>
        <charset val="129"/>
        <scheme val="minor"/>
      </rPr>
      <t>수</t>
    </r>
  </si>
  <si>
    <r>
      <rPr>
        <b/>
        <sz val="11"/>
        <color rgb="FF000000"/>
        <rFont val="Arial"/>
        <family val="3"/>
        <charset val="129"/>
        <scheme val="minor"/>
      </rPr>
      <t>목</t>
    </r>
  </si>
  <si>
    <r>
      <rPr>
        <b/>
        <sz val="11"/>
        <color rgb="FF000000"/>
        <rFont val="Arial"/>
        <family val="3"/>
        <charset val="129"/>
        <scheme val="minor"/>
      </rPr>
      <t>금</t>
    </r>
  </si>
  <si>
    <r>
      <t>1</t>
    </r>
    <r>
      <rPr>
        <b/>
        <sz val="11"/>
        <color rgb="FF000000"/>
        <rFont val="Arial"/>
        <family val="3"/>
        <charset val="129"/>
        <scheme val="minor"/>
      </rPr>
      <t>주차</t>
    </r>
  </si>
  <si>
    <r>
      <rPr>
        <b/>
        <sz val="11"/>
        <color rgb="FF000000"/>
        <rFont val="Arial"/>
        <family val="3"/>
        <charset val="129"/>
        <scheme val="minor"/>
      </rPr>
      <t>시간</t>
    </r>
  </si>
  <si>
    <r>
      <rPr>
        <b/>
        <sz val="11"/>
        <color rgb="FF000000"/>
        <rFont val="Arial"/>
        <family val="3"/>
        <charset val="129"/>
        <scheme val="minor"/>
      </rPr>
      <t>내용</t>
    </r>
  </si>
  <si>
    <r>
      <rPr>
        <b/>
        <sz val="11"/>
        <color rgb="FF000000"/>
        <rFont val="Arial"/>
        <family val="3"/>
        <charset val="129"/>
        <scheme val="minor"/>
      </rPr>
      <t>장소</t>
    </r>
  </si>
  <si>
    <r>
      <rPr>
        <b/>
        <sz val="11"/>
        <color rgb="FF000000"/>
        <rFont val="Arial"/>
        <family val="3"/>
        <charset val="129"/>
        <scheme val="minor"/>
      </rPr>
      <t>강사</t>
    </r>
  </si>
  <si>
    <r>
      <t>2</t>
    </r>
    <r>
      <rPr>
        <b/>
        <sz val="11"/>
        <color rgb="FF000000"/>
        <rFont val="Arial"/>
        <family val="3"/>
        <charset val="129"/>
        <scheme val="minor"/>
      </rPr>
      <t>주차</t>
    </r>
  </si>
  <si>
    <r>
      <rPr>
        <b/>
        <u/>
        <sz val="20"/>
        <color rgb="FF000000"/>
        <rFont val="Arial"/>
        <family val="3"/>
        <charset val="129"/>
        <scheme val="minor"/>
      </rPr>
      <t>사전직무</t>
    </r>
    <r>
      <rPr>
        <b/>
        <u/>
        <sz val="20"/>
        <color rgb="FF000000"/>
        <rFont val="Arial"/>
        <family val="2"/>
        <scheme val="minor"/>
      </rPr>
      <t xml:space="preserve">  </t>
    </r>
    <r>
      <rPr>
        <b/>
        <u/>
        <sz val="20"/>
        <color rgb="FF000000"/>
        <rFont val="Arial"/>
        <family val="3"/>
        <charset val="129"/>
        <scheme val="minor"/>
      </rPr>
      <t>교육</t>
    </r>
    <r>
      <rPr>
        <b/>
        <u/>
        <sz val="20"/>
        <color rgb="FF000000"/>
        <rFont val="Arial"/>
        <family val="2"/>
        <scheme val="minor"/>
      </rPr>
      <t xml:space="preserve"> </t>
    </r>
    <r>
      <rPr>
        <b/>
        <u/>
        <sz val="20"/>
        <color rgb="FF000000"/>
        <rFont val="Arial"/>
        <family val="3"/>
        <charset val="129"/>
        <scheme val="minor"/>
      </rPr>
      <t>현황</t>
    </r>
    <phoneticPr fontId="11" type="noConversion"/>
  </si>
  <si>
    <r>
      <rPr>
        <b/>
        <sz val="13"/>
        <color theme="1"/>
        <rFont val="Arial"/>
        <family val="3"/>
        <charset val="129"/>
        <scheme val="minor"/>
      </rPr>
      <t>참여시간</t>
    </r>
    <phoneticPr fontId="11" type="noConversion"/>
  </si>
  <si>
    <r>
      <rPr>
        <b/>
        <sz val="13"/>
        <color theme="1"/>
        <rFont val="Arial"/>
        <family val="3"/>
        <charset val="129"/>
        <scheme val="minor"/>
      </rPr>
      <t>출석률</t>
    </r>
    <phoneticPr fontId="11" type="noConversion"/>
  </si>
  <si>
    <r>
      <rPr>
        <b/>
        <sz val="13"/>
        <color theme="1"/>
        <rFont val="Arial"/>
        <family val="3"/>
        <charset val="129"/>
        <scheme val="minor"/>
      </rPr>
      <t>비고</t>
    </r>
    <phoneticPr fontId="11" type="noConversion"/>
  </si>
  <si>
    <r>
      <rPr>
        <b/>
        <sz val="12"/>
        <color rgb="FF000000"/>
        <rFont val="Arial"/>
        <family val="3"/>
      </rPr>
      <t xml:space="preserve"> (</t>
    </r>
    <r>
      <rPr>
        <b/>
        <sz val="12"/>
        <color rgb="FF000000"/>
        <rFont val="Arial Unicode MS"/>
        <family val="3"/>
        <charset val="129"/>
      </rPr>
      <t>공통</t>
    </r>
    <r>
      <rPr>
        <b/>
        <sz val="12"/>
        <color rgb="FF000000"/>
        <rFont val="Arial"/>
        <family val="3"/>
      </rPr>
      <t>-</t>
    </r>
    <r>
      <rPr>
        <b/>
        <sz val="12"/>
        <color rgb="FF000000"/>
        <rFont val="Arial Unicode MS"/>
        <family val="3"/>
        <charset val="129"/>
      </rPr>
      <t>직무교육기관</t>
    </r>
    <r>
      <rPr>
        <b/>
        <sz val="12"/>
        <color rgb="FF000000"/>
        <rFont val="Arial"/>
        <family val="3"/>
      </rPr>
      <t xml:space="preserve">) </t>
    </r>
    <r>
      <rPr>
        <b/>
        <sz val="12"/>
        <color rgb="FF000000"/>
        <rFont val="Arial Unicode MS"/>
        <family val="3"/>
        <charset val="129"/>
      </rPr>
      <t>사전직무교육</t>
    </r>
    <r>
      <rPr>
        <b/>
        <sz val="12"/>
        <color rgb="FF000000"/>
        <rFont val="Arial"/>
        <family val="3"/>
      </rPr>
      <t xml:space="preserve"> </t>
    </r>
    <r>
      <rPr>
        <b/>
        <sz val="12"/>
        <color rgb="FF000000"/>
        <rFont val="Arial Unicode MS"/>
        <family val="3"/>
        <charset val="129"/>
      </rPr>
      <t>수료</t>
    </r>
    <r>
      <rPr>
        <b/>
        <sz val="12"/>
        <color rgb="FF000000"/>
        <rFont val="Arial"/>
        <family val="3"/>
      </rPr>
      <t xml:space="preserve"> </t>
    </r>
    <r>
      <rPr>
        <b/>
        <sz val="12"/>
        <color rgb="FF000000"/>
        <rFont val="Arial Unicode MS"/>
        <family val="3"/>
        <charset val="129"/>
      </rPr>
      <t>보고서</t>
    </r>
    <phoneticPr fontId="11" type="noConversion"/>
  </si>
  <si>
    <t>4. 사전직무교육 현황</t>
  </si>
  <si>
    <t>정원</t>
  </si>
  <si>
    <t>실시인원</t>
  </si>
  <si>
    <t>중도탈락</t>
  </si>
  <si>
    <t>수료인원</t>
  </si>
  <si>
    <t>번호</t>
  </si>
  <si>
    <t>참여시간</t>
  </si>
  <si>
    <t>출석률</t>
  </si>
  <si>
    <t>시트이름</t>
    <phoneticPr fontId="11" type="noConversion"/>
  </si>
  <si>
    <r>
      <rPr>
        <sz val="14"/>
        <color rgb="FF000000"/>
        <rFont val="Arial"/>
        <family val="3"/>
        <charset val="129"/>
        <scheme val="minor"/>
      </rPr>
      <t>체크리스트</t>
    </r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</si>
</sst>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&quot;년&quot;\ m&quot;월&quot;\ d&quot;일&quot;"/>
    <numFmt numFmtId="177" formatCode="0_);[Red]\(0\)"/>
    <numFmt numFmtId="178" formatCode="yyyy&quot;년&quot;\ m&quot;월&quot;\ d&quot;일&quot;;@"/>
    <numFmt numFmtId="179" formatCode="m&quot;월&quot;\ d&quot;일&quot;;@"/>
  </numFmts>
  <fonts count="270">
    <font>
      <sz val="10"/>
      <color rgb="FF000000"/>
      <name val="Arial"/>
      <scheme val="minor"/>
    </font>
    <font>
      <sz val="11"/>
      <color theme="1"/>
      <name val="Arial"/>
      <family val="2"/>
      <charset val="129"/>
      <scheme val="minor"/>
    </font>
    <font>
      <sz val="10"/>
      <color theme="1"/>
      <name val="Arial"/>
      <family val="2"/>
      <scheme val="minor"/>
    </font>
    <font>
      <sz val="15"/>
      <color theme="1"/>
      <name val="Arial"/>
      <family val="2"/>
      <scheme val="minor"/>
    </font>
    <font>
      <sz val="13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휴먼명조"/>
      <family val="3"/>
      <charset val="129"/>
    </font>
    <font>
      <sz val="12"/>
      <color rgb="FF000000"/>
      <name val="Arial"/>
      <family val="2"/>
      <scheme val="minor"/>
    </font>
    <font>
      <b/>
      <sz val="12"/>
      <color rgb="FFFF0000"/>
      <name val="Arial"/>
      <family val="2"/>
      <scheme val="minor"/>
    </font>
    <font>
      <sz val="11"/>
      <color theme="1"/>
      <name val="Arial"/>
      <family val="2"/>
      <scheme val="minor"/>
    </font>
    <font>
      <sz val="9"/>
      <color rgb="FF000000"/>
      <name val="맑은 고딕"/>
      <family val="3"/>
      <charset val="129"/>
    </font>
    <font>
      <sz val="8"/>
      <name val="Arial"/>
      <family val="3"/>
      <charset val="129"/>
      <scheme val="minor"/>
    </font>
    <font>
      <sz val="8"/>
      <name val="돋움"/>
      <family val="3"/>
      <charset val="129"/>
    </font>
    <font>
      <sz val="11"/>
      <color rgb="FF000000"/>
      <name val="맑은 고딕"/>
      <family val="2"/>
      <charset val="129"/>
    </font>
    <font>
      <sz val="13"/>
      <color theme="1"/>
      <name val="맑은 고딕"/>
      <family val="2"/>
      <charset val="129"/>
    </font>
    <font>
      <b/>
      <sz val="14"/>
      <color theme="1"/>
      <name val="Arial"/>
      <family val="2"/>
      <scheme val="minor"/>
    </font>
    <font>
      <sz val="13"/>
      <color theme="1"/>
      <name val="Arial"/>
      <family val="2"/>
      <charset val="129"/>
      <scheme val="minor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sz val="15"/>
      <color theme="1"/>
      <name val="Arial"/>
      <family val="2"/>
      <scheme val="major"/>
    </font>
    <font>
      <sz val="10"/>
      <name val="Arial"/>
      <family val="2"/>
      <scheme val="major"/>
    </font>
    <font>
      <sz val="15"/>
      <color theme="1"/>
      <name val="Arial"/>
      <family val="2"/>
      <charset val="129"/>
      <scheme val="minor"/>
    </font>
    <font>
      <sz val="10"/>
      <name val="Arial"/>
      <family val="2"/>
      <scheme val="minor"/>
    </font>
    <font>
      <sz val="10"/>
      <color theme="1"/>
      <name val="Arial"/>
      <family val="2"/>
      <scheme val="major"/>
    </font>
    <font>
      <sz val="10"/>
      <color rgb="FF000000"/>
      <name val="Arial"/>
      <family val="2"/>
      <scheme val="major"/>
    </font>
    <font>
      <b/>
      <sz val="20"/>
      <color theme="1"/>
      <name val="Arial"/>
      <family val="2"/>
      <scheme val="minor"/>
    </font>
    <font>
      <b/>
      <sz val="20"/>
      <color theme="1"/>
      <name val="Arial"/>
      <family val="2"/>
      <charset val="129"/>
      <scheme val="minor"/>
    </font>
    <font>
      <sz val="10"/>
      <color rgb="FF000000"/>
      <name val="Arial"/>
      <family val="2"/>
      <charset val="129"/>
      <scheme val="minor"/>
    </font>
    <font>
      <b/>
      <sz val="20"/>
      <color theme="1"/>
      <name val="돋움체"/>
      <family val="2"/>
      <charset val="129"/>
    </font>
    <font>
      <b/>
      <sz val="18"/>
      <name val="Arial"/>
      <family val="2"/>
      <scheme val="minor"/>
    </font>
    <font>
      <b/>
      <sz val="18"/>
      <color theme="1"/>
      <name val="Arial"/>
      <family val="2"/>
      <scheme val="major"/>
    </font>
    <font>
      <b/>
      <sz val="14"/>
      <color theme="1"/>
      <name val="Arial"/>
      <family val="2"/>
      <scheme val="major"/>
    </font>
    <font>
      <sz val="12"/>
      <color theme="1"/>
      <name val="Arial"/>
      <family val="2"/>
      <scheme val="major"/>
    </font>
    <font>
      <sz val="12"/>
      <color theme="1"/>
      <name val="Arial"/>
      <family val="2"/>
      <charset val="129"/>
      <scheme val="major"/>
    </font>
    <font>
      <b/>
      <sz val="14"/>
      <color theme="1"/>
      <name val="Arial"/>
      <family val="2"/>
      <charset val="129"/>
      <scheme val="major"/>
    </font>
    <font>
      <sz val="10"/>
      <color rgb="FF000000"/>
      <name val="Arial"/>
      <family val="3"/>
      <charset val="129"/>
      <scheme val="minor"/>
    </font>
    <font>
      <sz val="10"/>
      <color rgb="FF000000"/>
      <name val="맑은 고딕"/>
      <family val="3"/>
      <charset val="129"/>
    </font>
    <font>
      <sz val="13"/>
      <color theme="1"/>
      <name val="Arial"/>
      <family val="3"/>
      <charset val="129"/>
      <scheme val="minor"/>
    </font>
    <font>
      <sz val="13"/>
      <color theme="1"/>
      <name val="Arial Unicode MS"/>
      <family val="2"/>
      <charset val="129"/>
    </font>
    <font>
      <sz val="10"/>
      <color rgb="FF000000"/>
      <name val="Arial Unicode MS"/>
      <family val="2"/>
      <charset val="129"/>
    </font>
    <font>
      <b/>
      <sz val="20"/>
      <color theme="1"/>
      <name val="Arial"/>
      <family val="3"/>
      <charset val="129"/>
      <scheme val="minor"/>
    </font>
    <font>
      <sz val="8"/>
      <color rgb="FF000000"/>
      <name val="Malgun Gothic"/>
      <family val="3"/>
      <charset val="129"/>
    </font>
    <font>
      <b/>
      <sz val="8"/>
      <color rgb="FF000000"/>
      <name val="Malgun Gothic"/>
      <family val="3"/>
      <charset val="129"/>
    </font>
    <font>
      <b/>
      <sz val="11"/>
      <color rgb="FFFF0000"/>
      <name val="&quot;\&quot;Malgun Gothic\&quot;&quot;"/>
    </font>
    <font>
      <b/>
      <sz val="11"/>
      <color rgb="FFFF0000"/>
      <name val="새굴림"/>
      <family val="1"/>
      <charset val="129"/>
    </font>
    <font>
      <sz val="10"/>
      <color rgb="FFFF0000"/>
      <name val="Arial"/>
      <family val="2"/>
      <scheme val="minor"/>
    </font>
    <font>
      <sz val="9"/>
      <color rgb="FF000000"/>
      <name val="Arial"/>
      <family val="2"/>
      <scheme val="minor"/>
    </font>
    <font>
      <sz val="9"/>
      <color rgb="FF000000"/>
      <name val="Arial"/>
      <family val="3"/>
      <charset val="129"/>
      <scheme val="minor"/>
    </font>
    <font>
      <sz val="11"/>
      <color rgb="FF000000"/>
      <name val="Arial"/>
      <family val="2"/>
      <scheme val="minor"/>
    </font>
    <font>
      <b/>
      <sz val="20"/>
      <color theme="1"/>
      <name val="Arial"/>
      <family val="3"/>
    </font>
    <font>
      <b/>
      <sz val="20"/>
      <color theme="1"/>
      <name val="Malgun Gothic"/>
      <family val="3"/>
      <charset val="129"/>
    </font>
    <font>
      <b/>
      <sz val="20"/>
      <color theme="1"/>
      <name val="Arial"/>
      <family val="3"/>
      <charset val="129"/>
    </font>
    <font>
      <sz val="13"/>
      <color theme="1"/>
      <name val="맑은 고딕"/>
      <family val="3"/>
      <charset val="129"/>
    </font>
    <font>
      <sz val="13"/>
      <color theme="1"/>
      <name val="Arial"/>
      <family val="3"/>
    </font>
    <font>
      <sz val="13"/>
      <color theme="1"/>
      <name val="Arial"/>
      <family val="3"/>
      <charset val="129"/>
    </font>
    <font>
      <sz val="10"/>
      <color rgb="FF000000"/>
      <name val="Arial"/>
      <family val="3"/>
    </font>
    <font>
      <sz val="10"/>
      <color rgb="FF000000"/>
      <name val="Arial"/>
      <family val="3"/>
      <charset val="129"/>
    </font>
    <font>
      <sz val="10"/>
      <color rgb="FF000000"/>
      <name val="돋움"/>
      <family val="2"/>
      <charset val="129"/>
    </font>
    <font>
      <sz val="13"/>
      <color theme="1"/>
      <name val="Arial"/>
      <family val="2"/>
    </font>
    <font>
      <sz val="10"/>
      <color rgb="FF000000"/>
      <name val="Arial Unicode MS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  <charset val="129"/>
    </font>
    <font>
      <b/>
      <sz val="11"/>
      <color theme="1"/>
      <name val="Arial"/>
      <family val="3"/>
      <charset val="129"/>
      <scheme val="minor"/>
    </font>
    <font>
      <b/>
      <sz val="11"/>
      <color rgb="FF000000"/>
      <name val="Arial"/>
      <family val="3"/>
      <charset val="129"/>
      <scheme val="minor"/>
    </font>
    <font>
      <sz val="11"/>
      <color rgb="FF9C0006"/>
      <name val="Arial"/>
      <family val="2"/>
      <charset val="129"/>
      <scheme val="minor"/>
    </font>
    <font>
      <b/>
      <sz val="12"/>
      <color rgb="FFFF0000"/>
      <name val="Arial"/>
      <family val="3"/>
      <charset val="129"/>
      <scheme val="minor"/>
    </font>
    <font>
      <b/>
      <sz val="12"/>
      <color rgb="FFFF0000"/>
      <name val="맑은 고딕"/>
      <family val="3"/>
      <charset val="129"/>
    </font>
    <font>
      <b/>
      <sz val="18"/>
      <color rgb="FF000000"/>
      <name val="휴먼명조"/>
      <charset val="129"/>
    </font>
    <font>
      <b/>
      <sz val="12"/>
      <color rgb="FF000000"/>
      <name val="휴먼명조"/>
      <charset val="129"/>
    </font>
    <font>
      <b/>
      <sz val="10"/>
      <color rgb="FF000000"/>
      <name val="휴먼명조"/>
      <charset val="129"/>
    </font>
    <font>
      <i/>
      <sz val="10"/>
      <color rgb="FFFF0000"/>
      <name val="휴먼명조"/>
      <charset val="129"/>
    </font>
    <font>
      <i/>
      <sz val="9"/>
      <color rgb="FFFF0000"/>
      <name val="KoPubWorld돋움체 Light"/>
      <family val="3"/>
      <charset val="129"/>
    </font>
    <font>
      <sz val="10"/>
      <color rgb="FF000000"/>
      <name val="휴먼명조"/>
      <charset val="129"/>
    </font>
    <font>
      <sz val="6"/>
      <color rgb="FF000000"/>
      <name val="Arial"/>
      <family val="2"/>
      <scheme val="minor"/>
    </font>
    <font>
      <i/>
      <sz val="11"/>
      <color rgb="FFFF0000"/>
      <name val="KoPubWorld바탕체 Light"/>
      <family val="3"/>
      <charset val="129"/>
    </font>
    <font>
      <sz val="10"/>
      <color rgb="FF000000"/>
      <name val="굴림"/>
      <family val="3"/>
      <charset val="129"/>
    </font>
    <font>
      <i/>
      <sz val="10"/>
      <color rgb="FFFF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i/>
      <sz val="10"/>
      <color rgb="FFFF0000"/>
      <name val="함초롬바탕"/>
      <family val="1"/>
      <charset val="129"/>
    </font>
    <font>
      <i/>
      <sz val="10"/>
      <color rgb="FFFF0000"/>
      <name val="Arial"/>
      <family val="2"/>
      <scheme val="minor"/>
    </font>
    <font>
      <sz val="12"/>
      <color theme="1"/>
      <name val="Arial"/>
      <family val="3"/>
      <charset val="129"/>
      <scheme val="minor"/>
    </font>
    <font>
      <sz val="7"/>
      <name val="Arial"/>
      <family val="2"/>
      <scheme val="minor"/>
    </font>
    <font>
      <b/>
      <sz val="14"/>
      <color rgb="FFFF0000"/>
      <name val="Arial"/>
      <family val="3"/>
      <charset val="129"/>
      <scheme val="minor"/>
    </font>
    <font>
      <sz val="14"/>
      <color theme="1"/>
      <name val="Arial"/>
      <family val="3"/>
      <charset val="129"/>
      <scheme val="minor"/>
    </font>
    <font>
      <sz val="11"/>
      <color theme="1"/>
      <name val="Arial"/>
      <family val="3"/>
      <charset val="129"/>
      <scheme val="minor"/>
    </font>
    <font>
      <sz val="16"/>
      <color theme="1"/>
      <name val="Arial"/>
      <family val="3"/>
      <charset val="129"/>
      <scheme val="minor"/>
    </font>
    <font>
      <b/>
      <sz val="14"/>
      <color theme="1"/>
      <name val="Arial"/>
      <family val="3"/>
      <charset val="129"/>
      <scheme val="minor"/>
    </font>
    <font>
      <b/>
      <sz val="14"/>
      <name val="Arial"/>
      <family val="3"/>
      <charset val="129"/>
      <scheme val="minor"/>
    </font>
    <font>
      <sz val="12"/>
      <color rgb="FF000000"/>
      <name val="KoPub돋움체 Light"/>
      <family val="3"/>
      <charset val="129"/>
    </font>
    <font>
      <b/>
      <sz val="12"/>
      <color theme="1"/>
      <name val="Arial"/>
      <family val="3"/>
      <charset val="129"/>
      <scheme val="minor"/>
    </font>
    <font>
      <b/>
      <sz val="12"/>
      <color rgb="FF000000"/>
      <name val="Arial"/>
      <family val="3"/>
      <charset val="129"/>
      <scheme val="minor"/>
    </font>
    <font>
      <sz val="10"/>
      <color rgb="FF000000"/>
      <name val="한컴바탕"/>
      <family val="1"/>
      <charset val="129"/>
    </font>
    <font>
      <sz val="12"/>
      <name val="Arial"/>
      <family val="3"/>
      <charset val="129"/>
      <scheme val="minor"/>
    </font>
    <font>
      <b/>
      <sz val="16"/>
      <color theme="1"/>
      <name val="Arial"/>
      <family val="3"/>
      <charset val="129"/>
      <scheme val="minor"/>
    </font>
    <font>
      <sz val="12"/>
      <color rgb="FF000000"/>
      <name val="Arial"/>
      <family val="3"/>
      <charset val="129"/>
      <scheme val="minor"/>
    </font>
    <font>
      <b/>
      <sz val="11"/>
      <name val="Arial"/>
      <family val="3"/>
      <charset val="129"/>
      <scheme val="minor"/>
    </font>
    <font>
      <b/>
      <sz val="10"/>
      <color rgb="FF000000"/>
      <name val="Arial"/>
      <family val="3"/>
      <charset val="129"/>
      <scheme val="minor"/>
    </font>
    <font>
      <b/>
      <sz val="28"/>
      <color theme="1"/>
      <name val="Arial"/>
      <family val="3"/>
      <charset val="129"/>
      <scheme val="minor"/>
    </font>
    <font>
      <sz val="11"/>
      <name val="Arial"/>
      <family val="3"/>
      <charset val="129"/>
      <scheme val="minor"/>
    </font>
    <font>
      <vertAlign val="superscript"/>
      <sz val="12"/>
      <color rgb="FF000000"/>
      <name val="KoPub돋움체 Light"/>
      <family val="3"/>
      <charset val="129"/>
    </font>
    <font>
      <sz val="11"/>
      <color rgb="FFFF0000"/>
      <name val="Arial"/>
      <family val="3"/>
      <charset val="129"/>
      <scheme val="minor"/>
    </font>
    <font>
      <sz val="11"/>
      <color rgb="FF000000"/>
      <name val="Arial"/>
      <family val="3"/>
      <charset val="129"/>
      <scheme val="minor"/>
    </font>
    <font>
      <i/>
      <sz val="12"/>
      <color rgb="FF000000"/>
      <name val="KoPub돋움체 Light"/>
      <family val="3"/>
      <charset val="129"/>
    </font>
    <font>
      <i/>
      <sz val="12"/>
      <color rgb="FF000000"/>
      <name val="Arial"/>
      <family val="3"/>
      <charset val="129"/>
      <scheme val="minor"/>
    </font>
    <font>
      <sz val="9"/>
      <color rgb="FF000000"/>
      <name val="한컴바탕"/>
      <family val="1"/>
      <charset val="129"/>
    </font>
    <font>
      <b/>
      <sz val="12"/>
      <color rgb="FF000000"/>
      <name val="KoPub돋움체 Light"/>
      <family val="3"/>
      <charset val="129"/>
    </font>
    <font>
      <b/>
      <sz val="11"/>
      <color rgb="FFFF0000"/>
      <name val="Arial"/>
      <family val="3"/>
      <charset val="129"/>
      <scheme val="minor"/>
    </font>
    <font>
      <b/>
      <sz val="11"/>
      <color rgb="FF9C0006"/>
      <name val="Arial"/>
      <family val="3"/>
      <charset val="129"/>
      <scheme val="minor"/>
    </font>
    <font>
      <sz val="11"/>
      <color theme="1"/>
      <name val="굴림"/>
      <family val="2"/>
      <charset val="129"/>
    </font>
    <font>
      <b/>
      <sz val="11"/>
      <color rgb="FF9C0006"/>
      <name val="Arial"/>
      <family val="2"/>
      <scheme val="minor"/>
    </font>
    <font>
      <b/>
      <sz val="11"/>
      <color rgb="FF9C0006"/>
      <name val="Arial"/>
      <family val="2"/>
      <charset val="129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charset val="129"/>
      <scheme val="minor"/>
    </font>
    <font>
      <b/>
      <sz val="12"/>
      <color rgb="FF000000"/>
      <name val="Arial"/>
      <family val="2"/>
      <scheme val="minor"/>
    </font>
    <font>
      <u val="double"/>
      <sz val="20"/>
      <color rgb="FF000000"/>
      <name val="Arial"/>
      <family val="2"/>
      <scheme val="minor"/>
    </font>
    <font>
      <b/>
      <sz val="13"/>
      <color theme="1"/>
      <name val="Arial"/>
      <family val="2"/>
      <scheme val="minor"/>
    </font>
    <font>
      <b/>
      <sz val="13"/>
      <color theme="1"/>
      <name val="Arial"/>
      <family val="3"/>
      <charset val="129"/>
      <scheme val="minor"/>
    </font>
    <font>
      <b/>
      <sz val="13"/>
      <color theme="1"/>
      <name val="Arial"/>
      <family val="2"/>
      <charset val="129"/>
      <scheme val="minor"/>
    </font>
    <font>
      <u/>
      <sz val="20"/>
      <color rgb="FF000000"/>
      <name val="Arial"/>
      <family val="2"/>
      <scheme val="minor"/>
    </font>
    <font>
      <u/>
      <sz val="20"/>
      <color rgb="FF000000"/>
      <name val="Arial"/>
      <family val="2"/>
      <charset val="129"/>
      <scheme val="minor"/>
    </font>
    <font>
      <sz val="10"/>
      <color rgb="FFFF0000"/>
      <name val="Arial"/>
      <family val="3"/>
      <charset val="129"/>
      <scheme val="minor"/>
    </font>
    <font>
      <b/>
      <sz val="12"/>
      <name val="Arial"/>
      <family val="2"/>
      <scheme val="minor"/>
    </font>
    <font>
      <sz val="12"/>
      <name val="Arial"/>
      <family val="2"/>
      <scheme val="minor"/>
    </font>
    <font>
      <vertAlign val="superscript"/>
      <sz val="12"/>
      <name val="Arial"/>
      <family val="2"/>
      <scheme val="minor"/>
    </font>
    <font>
      <b/>
      <vertAlign val="superscript"/>
      <sz val="12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i/>
      <u/>
      <sz val="11"/>
      <color rgb="FFFF0000"/>
      <name val="Arial"/>
      <family val="2"/>
      <scheme val="minor"/>
    </font>
    <font>
      <b/>
      <i/>
      <u/>
      <sz val="11"/>
      <color rgb="FFFF0000"/>
      <name val="Arial"/>
      <family val="3"/>
      <charset val="129"/>
      <scheme val="minor"/>
    </font>
    <font>
      <sz val="14"/>
      <color rgb="FF000000"/>
      <name val="Arial"/>
      <family val="2"/>
      <scheme val="minor"/>
    </font>
    <font>
      <sz val="14"/>
      <color rgb="FF000000"/>
      <name val="Arial"/>
      <family val="3"/>
      <charset val="129"/>
      <scheme val="minor"/>
    </font>
    <font>
      <b/>
      <u/>
      <sz val="15"/>
      <color rgb="FF000000"/>
      <name val="Arial"/>
      <family val="2"/>
      <scheme val="minor"/>
    </font>
    <font>
      <b/>
      <u/>
      <sz val="15"/>
      <color rgb="FF000000"/>
      <name val="Arial"/>
      <family val="3"/>
      <charset val="129"/>
      <scheme val="minor"/>
    </font>
    <font>
      <b/>
      <i/>
      <sz val="10"/>
      <color rgb="FFFF0000"/>
      <name val="Arial"/>
      <family val="2"/>
      <scheme val="minor"/>
    </font>
    <font>
      <sz val="14"/>
      <color rgb="FF000000"/>
      <name val="Arial"/>
      <family val="2"/>
      <charset val="129"/>
      <scheme val="minor"/>
    </font>
    <font>
      <b/>
      <u/>
      <sz val="20"/>
      <color rgb="FF000000"/>
      <name val="Arial"/>
      <family val="2"/>
      <scheme val="minor"/>
    </font>
    <font>
      <b/>
      <u/>
      <sz val="20"/>
      <color rgb="FF000000"/>
      <name val="Arial"/>
      <family val="3"/>
      <charset val="129"/>
      <scheme val="minor"/>
    </font>
    <font>
      <sz val="12"/>
      <color theme="1"/>
      <name val="Arial"/>
      <family val="2"/>
      <charset val="129"/>
      <scheme val="minor"/>
    </font>
    <font>
      <u/>
      <sz val="20"/>
      <color rgb="FF000000"/>
      <name val="Arial"/>
      <family val="3"/>
      <charset val="129"/>
      <scheme val="minor"/>
    </font>
    <font>
      <b/>
      <sz val="14"/>
      <color rgb="FF000000"/>
      <name val="Arial"/>
      <family val="2"/>
      <scheme val="minor"/>
    </font>
    <font>
      <b/>
      <sz val="14"/>
      <color rgb="FF000000"/>
      <name val="Arial"/>
      <family val="3"/>
      <charset val="129"/>
      <scheme val="minor"/>
    </font>
    <font>
      <sz val="10"/>
      <color rgb="FF000000"/>
      <name val="Arial"/>
      <family val="1"/>
      <charset val="129"/>
      <scheme val="minor"/>
    </font>
    <font>
      <sz val="7"/>
      <color rgb="FF000000"/>
      <name val="Arial"/>
      <family val="2"/>
      <scheme val="minor"/>
    </font>
    <font>
      <sz val="7"/>
      <color rgb="FF000000"/>
      <name val="Arial"/>
      <family val="3"/>
      <charset val="129"/>
      <scheme val="minor"/>
    </font>
    <font>
      <sz val="9"/>
      <color rgb="FFFF0000"/>
      <name val="Arial"/>
      <family val="2"/>
      <scheme val="minor"/>
    </font>
    <font>
      <sz val="9"/>
      <color rgb="FFFF0000"/>
      <name val="Arial"/>
      <family val="1"/>
      <charset val="129"/>
      <scheme val="minor"/>
    </font>
    <font>
      <sz val="9"/>
      <color rgb="FF5D5D5D"/>
      <name val="Arial"/>
      <family val="2"/>
      <scheme val="minor"/>
    </font>
    <font>
      <sz val="9"/>
      <color rgb="FF5D5D5D"/>
      <name val="Arial"/>
      <family val="3"/>
      <charset val="129"/>
      <scheme val="minor"/>
    </font>
    <font>
      <b/>
      <sz val="12"/>
      <name val="Arial"/>
      <family val="3"/>
      <charset val="129"/>
      <scheme val="minor"/>
    </font>
    <font>
      <sz val="12"/>
      <color rgb="FFFF0000"/>
      <name val="Arial"/>
      <family val="2"/>
      <scheme val="minor"/>
    </font>
    <font>
      <sz val="12"/>
      <color rgb="FFFF0000"/>
      <name val="Arial"/>
      <family val="2"/>
      <charset val="129"/>
      <scheme val="minor"/>
    </font>
    <font>
      <sz val="12"/>
      <color rgb="FFFF0000"/>
      <name val="Arial"/>
      <family val="3"/>
      <charset val="129"/>
      <scheme val="minor"/>
    </font>
    <font>
      <u/>
      <sz val="12"/>
      <name val="Arial"/>
      <family val="2"/>
      <scheme val="minor"/>
    </font>
    <font>
      <b/>
      <sz val="20"/>
      <color rgb="FF000000"/>
      <name val="Arial"/>
      <family val="2"/>
      <scheme val="minor"/>
    </font>
    <font>
      <b/>
      <sz val="12"/>
      <color rgb="FF000000"/>
      <name val="Arial Unicode MS"/>
      <family val="2"/>
      <charset val="129"/>
    </font>
    <font>
      <b/>
      <sz val="14"/>
      <color rgb="FF000000"/>
      <name val="Arial"/>
      <family val="2"/>
      <charset val="129"/>
      <scheme val="minor"/>
    </font>
    <font>
      <b/>
      <sz val="20"/>
      <color theme="1"/>
      <name val="맑은 고딕"/>
      <family val="3"/>
      <charset val="129"/>
    </font>
    <font>
      <b/>
      <sz val="20"/>
      <color theme="1"/>
      <name val="Arial Unicode MS"/>
      <family val="2"/>
      <charset val="129"/>
    </font>
    <font>
      <b/>
      <sz val="13"/>
      <color theme="1"/>
      <name val="맑은 고딕"/>
      <family val="3"/>
      <charset val="129"/>
    </font>
    <font>
      <b/>
      <sz val="12"/>
      <color rgb="FF000000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sz val="13"/>
      <name val="Arial"/>
      <family val="3"/>
      <charset val="129"/>
      <scheme val="minor"/>
    </font>
    <font>
      <b/>
      <sz val="13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3"/>
      <color theme="1"/>
      <name val="Arial Unicode MS"/>
      <family val="2"/>
      <charset val="129"/>
    </font>
    <font>
      <sz val="9"/>
      <color rgb="FFFF0000"/>
      <name val="맑은 고딕"/>
      <family val="3"/>
      <charset val="129"/>
    </font>
    <font>
      <b/>
      <sz val="14"/>
      <color theme="1"/>
      <name val="Arial"/>
      <family val="2"/>
      <charset val="129"/>
      <scheme val="minor"/>
    </font>
    <font>
      <sz val="12"/>
      <color rgb="FF000000"/>
      <name val="Arial"/>
      <family val="2"/>
      <charset val="129"/>
      <scheme val="minor"/>
    </font>
    <font>
      <b/>
      <sz val="18"/>
      <color rgb="FF000000"/>
      <name val="맑은 고딕"/>
      <family val="3"/>
      <charset val="129"/>
    </font>
    <font>
      <sz val="5"/>
      <color rgb="FF000000"/>
      <name val="Arial"/>
      <family val="2"/>
      <scheme val="minor"/>
    </font>
    <font>
      <sz val="12"/>
      <color rgb="FF000000"/>
      <name val="맑은 고딕"/>
      <family val="3"/>
      <charset val="129"/>
    </font>
    <font>
      <i/>
      <sz val="11"/>
      <color rgb="FFFF0000"/>
      <name val="함초롬바탕"/>
      <family val="1"/>
      <charset val="129"/>
    </font>
    <font>
      <i/>
      <sz val="11"/>
      <color rgb="FFFF0000"/>
      <name val="Arial"/>
      <family val="2"/>
      <scheme val="minor"/>
    </font>
    <font>
      <sz val="11"/>
      <color rgb="FF000000"/>
      <name val="함초롬바탕"/>
      <family val="1"/>
      <charset val="129"/>
    </font>
    <font>
      <b/>
      <sz val="11"/>
      <color rgb="FF000000"/>
      <name val="맑은 고딕"/>
      <family val="3"/>
      <charset val="129"/>
    </font>
    <font>
      <b/>
      <sz val="11"/>
      <color rgb="FF000000"/>
      <name val="Arial"/>
      <family val="2"/>
      <scheme val="minor"/>
    </font>
    <font>
      <sz val="14"/>
      <color rgb="FF000000"/>
      <name val="맑은 고딕"/>
      <family val="3"/>
      <charset val="129"/>
    </font>
    <font>
      <sz val="11"/>
      <color rgb="FF006100"/>
      <name val="Arial"/>
      <family val="2"/>
      <charset val="129"/>
      <scheme val="minor"/>
    </font>
    <font>
      <b/>
      <i/>
      <sz val="10"/>
      <color rgb="FFFF0000"/>
      <name val="Arial"/>
      <family val="3"/>
      <charset val="129"/>
      <scheme val="minor"/>
    </font>
    <font>
      <b/>
      <i/>
      <sz val="10"/>
      <color rgb="FFFF0000"/>
      <name val="맑은 고딕"/>
      <family val="3"/>
      <charset val="129"/>
    </font>
    <font>
      <sz val="12"/>
      <color rgb="FF000000"/>
      <name val="맑은 고딕"/>
      <family val="2"/>
      <charset val="129"/>
    </font>
    <font>
      <sz val="12"/>
      <color rgb="FF006100"/>
      <name val="Arial"/>
      <family val="2"/>
      <charset val="129"/>
      <scheme val="minor"/>
    </font>
    <font>
      <sz val="12"/>
      <color rgb="FF006100"/>
      <name val="Arial"/>
      <family val="2"/>
      <scheme val="minor"/>
    </font>
    <font>
      <b/>
      <u/>
      <sz val="15"/>
      <color rgb="FF000000"/>
      <name val="맑은 고딕"/>
      <family val="3"/>
      <charset val="129"/>
    </font>
    <font>
      <sz val="10"/>
      <color rgb="FF000000"/>
      <name val="맑은 고딕"/>
      <family val="2"/>
      <charset val="129"/>
    </font>
    <font>
      <b/>
      <u/>
      <sz val="20"/>
      <color rgb="FF000000"/>
      <name val="Arial Unicode MS"/>
      <family val="2"/>
      <charset val="129"/>
    </font>
    <font>
      <b/>
      <u/>
      <sz val="20"/>
      <color rgb="FF000000"/>
      <name val="Arial Unicode MS"/>
      <family val="2"/>
    </font>
    <font>
      <b/>
      <sz val="12"/>
      <color theme="1"/>
      <name val="Arial Unicode MS"/>
      <family val="2"/>
      <charset val="129"/>
    </font>
    <font>
      <b/>
      <sz val="12"/>
      <color theme="1"/>
      <name val="굴림"/>
      <family val="2"/>
      <charset val="129"/>
    </font>
    <font>
      <b/>
      <sz val="12"/>
      <color theme="1"/>
      <name val="Arial"/>
      <family val="2"/>
    </font>
    <font>
      <b/>
      <sz val="12"/>
      <color theme="1"/>
      <name val="Arial"/>
      <family val="2"/>
      <charset val="129"/>
    </font>
    <font>
      <sz val="12"/>
      <color theme="1"/>
      <name val="굴림"/>
      <family val="2"/>
      <charset val="129"/>
    </font>
    <font>
      <u/>
      <sz val="20"/>
      <color rgb="FF000000"/>
      <name val="맑은 고딕"/>
      <family val="3"/>
      <charset val="129"/>
    </font>
    <font>
      <sz val="10"/>
      <color rgb="FF000000"/>
      <name val="굴림"/>
      <family val="2"/>
      <charset val="129"/>
    </font>
    <font>
      <b/>
      <sz val="12"/>
      <color theme="1"/>
      <name val="맑은 고딕"/>
      <family val="3"/>
      <charset val="129"/>
    </font>
    <font>
      <u/>
      <sz val="20"/>
      <color rgb="FF000000"/>
      <name val="Arial"/>
      <family val="2"/>
      <scheme val="major"/>
    </font>
    <font>
      <u/>
      <sz val="20"/>
      <color rgb="FF000000"/>
      <name val="Arial"/>
      <family val="2"/>
      <charset val="129"/>
      <scheme val="major"/>
    </font>
    <font>
      <sz val="9"/>
      <color rgb="FF000000"/>
      <name val="KoPubWorld돋움체 Light"/>
      <family val="3"/>
      <charset val="129"/>
    </font>
    <font>
      <i/>
      <sz val="10"/>
      <color rgb="FFFF0000"/>
      <name val="KoPubWorld돋움체 Light"/>
      <family val="3"/>
      <charset val="129"/>
    </font>
    <font>
      <sz val="1"/>
      <color rgb="FF000000"/>
      <name val="Arial"/>
      <family val="2"/>
      <scheme val="minor"/>
    </font>
    <font>
      <sz val="7.5"/>
      <color rgb="FF000000"/>
      <name val="KoPubWorld돋움체 Light"/>
      <family val="3"/>
      <charset val="129"/>
    </font>
    <font>
      <vertAlign val="superscript"/>
      <sz val="7.5"/>
      <color rgb="FF000000"/>
      <name val="KoPubWorld돋움체 Light"/>
      <family val="3"/>
      <charset val="129"/>
    </font>
    <font>
      <i/>
      <sz val="5"/>
      <color rgb="FFFF0000"/>
      <name val="KoPubWorld돋움체 Light"/>
      <family val="3"/>
      <charset val="129"/>
    </font>
    <font>
      <b/>
      <sz val="10"/>
      <color rgb="FF000000"/>
      <name val="KoPubWorld돋움체 Light"/>
      <family val="3"/>
      <charset val="129"/>
    </font>
    <font>
      <sz val="9"/>
      <color rgb="FF5D5D5D"/>
      <name val="KoPubWorld돋움체 Light"/>
      <family val="3"/>
      <charset val="129"/>
    </font>
    <font>
      <b/>
      <sz val="9"/>
      <color rgb="FF000000"/>
      <name val="KoPub돋움체 Light"/>
      <family val="3"/>
      <charset val="129"/>
    </font>
    <font>
      <sz val="10"/>
      <color rgb="FF000000"/>
      <name val="KoPubWorld돋움체 Light"/>
      <family val="3"/>
      <charset val="129"/>
    </font>
    <font>
      <i/>
      <sz val="12"/>
      <color rgb="FFFF0000"/>
      <name val="KoPubWorld돋움체 Light"/>
      <family val="3"/>
      <charset val="129"/>
    </font>
    <font>
      <b/>
      <sz val="9"/>
      <color rgb="FF000000"/>
      <name val="KoPubWorld돋움체 Light"/>
      <family val="3"/>
      <charset val="129"/>
    </font>
    <font>
      <b/>
      <sz val="12"/>
      <color theme="1"/>
      <name val="맑은 고딕"/>
      <family val="2"/>
      <charset val="129"/>
    </font>
    <font>
      <sz val="12"/>
      <color rgb="FF000000"/>
      <name val="Arial Unicode MS"/>
      <family val="2"/>
      <charset val="129"/>
    </font>
    <font>
      <b/>
      <sz val="8"/>
      <color rgb="FFFF0000"/>
      <name val="Arial"/>
      <family val="2"/>
      <scheme val="minor"/>
    </font>
    <font>
      <b/>
      <sz val="8"/>
      <color rgb="FFFF0000"/>
      <name val="Arial"/>
      <family val="3"/>
      <charset val="129"/>
      <scheme val="minor"/>
    </font>
    <font>
      <sz val="10"/>
      <color rgb="FF000000"/>
      <name val="Arial Unicode MS"/>
      <family val="3"/>
      <charset val="129"/>
    </font>
    <font>
      <b/>
      <u/>
      <sz val="20"/>
      <color theme="1"/>
      <name val="Arial"/>
      <family val="2"/>
      <scheme val="minor"/>
    </font>
    <font>
      <b/>
      <u/>
      <sz val="20"/>
      <color theme="1"/>
      <name val="Arial"/>
      <family val="3"/>
      <charset val="129"/>
      <scheme val="minor"/>
    </font>
    <font>
      <sz val="10"/>
      <color rgb="FFFF0000"/>
      <name val="맑은 고딕"/>
      <family val="2"/>
      <charset val="129"/>
    </font>
    <font>
      <u val="double"/>
      <sz val="10"/>
      <color rgb="FF000000"/>
      <name val="Arial"/>
      <family val="2"/>
      <scheme val="minor"/>
    </font>
    <font>
      <u val="double"/>
      <sz val="10"/>
      <color rgb="FF000000"/>
      <name val="Arial"/>
      <family val="3"/>
      <charset val="129"/>
      <scheme val="minor"/>
    </font>
    <font>
      <u val="double"/>
      <sz val="10"/>
      <color rgb="FF000000"/>
      <name val="Arial"/>
      <family val="2"/>
      <charset val="129"/>
      <scheme val="minor"/>
    </font>
    <font>
      <b/>
      <sz val="14"/>
      <color rgb="FF000000"/>
      <name val="맑은 고딕"/>
      <family val="2"/>
      <charset val="129"/>
    </font>
    <font>
      <b/>
      <sz val="14"/>
      <color rgb="FF000000"/>
      <name val="Arial Unicode MS"/>
      <family val="2"/>
      <charset val="129"/>
    </font>
    <font>
      <b/>
      <u/>
      <sz val="20"/>
      <color rgb="FF000000"/>
      <name val="Arial"/>
      <family val="2"/>
      <scheme val="major"/>
    </font>
    <font>
      <b/>
      <sz val="20"/>
      <color rgb="FF000000"/>
      <name val="Arial"/>
      <family val="2"/>
      <charset val="129"/>
      <scheme val="minor"/>
    </font>
    <font>
      <b/>
      <u/>
      <sz val="20"/>
      <color rgb="FF000000"/>
      <name val="Arial"/>
      <family val="3"/>
      <charset val="129"/>
      <scheme val="major"/>
    </font>
    <font>
      <b/>
      <u/>
      <sz val="20"/>
      <color rgb="FF000000"/>
      <name val="Arial"/>
      <family val="2"/>
      <charset val="129"/>
      <scheme val="major"/>
    </font>
    <font>
      <sz val="13"/>
      <color rgb="FF000000"/>
      <name val="Arial"/>
      <family val="2"/>
      <scheme val="minor"/>
    </font>
    <font>
      <sz val="10"/>
      <color rgb="FF000000"/>
      <name val="Arial"/>
      <family val="3"/>
      <charset val="129"/>
      <scheme val="major"/>
    </font>
    <font>
      <sz val="8"/>
      <color rgb="FF000000"/>
      <name val="Arial"/>
      <family val="2"/>
      <scheme val="minor"/>
    </font>
    <font>
      <sz val="10.5"/>
      <color rgb="FF000000"/>
      <name val="Arial"/>
      <family val="2"/>
      <scheme val="minor"/>
    </font>
    <font>
      <b/>
      <sz val="12"/>
      <color rgb="FF000000"/>
      <name val="Arial"/>
      <family val="2"/>
      <charset val="129"/>
      <scheme val="minor"/>
    </font>
    <font>
      <sz val="18"/>
      <color rgb="FF000000"/>
      <name val="Arial"/>
      <family val="2"/>
      <scheme val="minor"/>
    </font>
    <font>
      <sz val="18"/>
      <color rgb="FF000000"/>
      <name val="Arial"/>
      <family val="1"/>
      <charset val="129"/>
      <scheme val="minor"/>
    </font>
    <font>
      <i/>
      <sz val="8"/>
      <color rgb="FFFF0000"/>
      <name val="Arial"/>
      <family val="2"/>
      <scheme val="minor"/>
    </font>
    <font>
      <u/>
      <sz val="15"/>
      <color rgb="FF000000"/>
      <name val="Arial"/>
      <family val="2"/>
      <scheme val="minor"/>
    </font>
    <font>
      <u/>
      <sz val="15"/>
      <color rgb="FF000000"/>
      <name val="Arial"/>
      <family val="1"/>
      <charset val="129"/>
      <scheme val="minor"/>
    </font>
    <font>
      <sz val="9"/>
      <color rgb="FF000000"/>
      <name val="Arial"/>
      <family val="1"/>
      <charset val="129"/>
      <scheme val="minor"/>
    </font>
    <font>
      <sz val="10.5"/>
      <color rgb="FF000000"/>
      <name val="Arial"/>
      <family val="1"/>
      <charset val="129"/>
      <scheme val="minor"/>
    </font>
    <font>
      <sz val="8"/>
      <color rgb="FF000000"/>
      <name val="Arial"/>
      <family val="1"/>
      <charset val="129"/>
      <scheme val="minor"/>
    </font>
    <font>
      <sz val="9"/>
      <color rgb="FF0000FF"/>
      <name val="Arial"/>
      <family val="2"/>
      <scheme val="minor"/>
    </font>
    <font>
      <sz val="9"/>
      <color rgb="FF0000FF"/>
      <name val="Arial"/>
      <family val="3"/>
      <charset val="129"/>
      <scheme val="minor"/>
    </font>
    <font>
      <sz val="11"/>
      <color rgb="FF000000"/>
      <name val="Arial"/>
      <family val="1"/>
      <charset val="129"/>
      <scheme val="minor"/>
    </font>
    <font>
      <i/>
      <sz val="9"/>
      <color rgb="FFFF0000"/>
      <name val="Arial"/>
      <family val="2"/>
      <scheme val="minor"/>
    </font>
    <font>
      <i/>
      <sz val="11"/>
      <color rgb="FFFF0000"/>
      <name val="맑은 고딕"/>
      <family val="3"/>
      <charset val="129"/>
    </font>
    <font>
      <b/>
      <sz val="12"/>
      <name val="맑은 고딕"/>
      <family val="3"/>
      <charset val="129"/>
    </font>
    <font>
      <sz val="12"/>
      <color rgb="FFFF0000"/>
      <name val="맑은 고딕"/>
      <family val="2"/>
      <charset val="129"/>
    </font>
    <font>
      <sz val="10"/>
      <color rgb="FF000000"/>
      <name val="Arial"/>
      <family val="2"/>
      <charset val="129"/>
      <scheme val="major"/>
    </font>
    <font>
      <b/>
      <i/>
      <sz val="11"/>
      <color rgb="FFFF0000"/>
      <name val="Arial"/>
      <family val="2"/>
      <scheme val="minor"/>
    </font>
    <font>
      <b/>
      <i/>
      <sz val="11"/>
      <color rgb="FFFF0000"/>
      <name val="맑은 고딕"/>
      <family val="3"/>
      <charset val="129"/>
    </font>
    <font>
      <b/>
      <sz val="10"/>
      <color rgb="FF000000"/>
      <name val="굴림"/>
      <family val="2"/>
      <charset val="129"/>
    </font>
    <font>
      <b/>
      <sz val="10"/>
      <color rgb="FF000000"/>
      <name val="Arial Unicode MS"/>
      <family val="3"/>
      <charset val="129"/>
    </font>
    <font>
      <b/>
      <u/>
      <sz val="20"/>
      <color rgb="FF000000"/>
      <name val="Arial"/>
      <family val="2"/>
      <charset val="129"/>
      <scheme val="minor"/>
    </font>
    <font>
      <b/>
      <sz val="14"/>
      <color theme="1"/>
      <name val="맑은 고딕"/>
      <family val="3"/>
      <charset val="129"/>
    </font>
    <font>
      <sz val="14"/>
      <color rgb="FFFF0000"/>
      <name val="Arial"/>
      <family val="2"/>
      <scheme val="minor"/>
    </font>
    <font>
      <sz val="14"/>
      <color rgb="FFFF0000"/>
      <name val="굴림"/>
      <family val="2"/>
      <charset val="129"/>
    </font>
    <font>
      <b/>
      <sz val="18"/>
      <color rgb="FF000000"/>
      <name val="Arial"/>
      <family val="2"/>
      <scheme val="minor"/>
    </font>
    <font>
      <i/>
      <sz val="10"/>
      <color rgb="FFFF0000"/>
      <name val="휴먼명조"/>
      <family val="3"/>
      <charset val="129"/>
    </font>
    <font>
      <sz val="2"/>
      <color rgb="FF000000"/>
      <name val="Arial"/>
      <family val="2"/>
      <scheme val="minor"/>
    </font>
    <font>
      <sz val="13"/>
      <color rgb="FF000000"/>
      <name val="Arial"/>
      <family val="2"/>
      <charset val="129"/>
      <scheme val="minor"/>
    </font>
    <font>
      <b/>
      <sz val="18"/>
      <color rgb="FF000000"/>
      <name val="Arial"/>
      <family val="3"/>
      <charset val="129"/>
      <scheme val="minor"/>
    </font>
    <font>
      <sz val="10"/>
      <color rgb="FF5D5D5D"/>
      <name val="Arial"/>
      <family val="2"/>
      <scheme val="minor"/>
    </font>
    <font>
      <sz val="10"/>
      <color rgb="FF5D5D5D"/>
      <name val="Arial"/>
      <family val="3"/>
      <charset val="129"/>
      <scheme val="minor"/>
    </font>
    <font>
      <sz val="12"/>
      <color rgb="FF000000"/>
      <name val="HY헤드라인M"/>
      <family val="1"/>
      <charset val="129"/>
    </font>
    <font>
      <sz val="10"/>
      <color rgb="FF000000"/>
      <name val="함초롬바탕"/>
      <family val="1"/>
      <charset val="129"/>
    </font>
    <font>
      <b/>
      <sz val="10"/>
      <color rgb="FF000000"/>
      <name val="Arial"/>
      <family val="2"/>
      <charset val="129"/>
      <scheme val="minor"/>
    </font>
    <font>
      <i/>
      <sz val="12"/>
      <color rgb="FFFF0000"/>
      <name val="Arial"/>
      <family val="2"/>
      <scheme val="minor"/>
    </font>
    <font>
      <i/>
      <sz val="11"/>
      <color rgb="FFFF0000"/>
      <name val="Arial Unicode MS"/>
      <family val="2"/>
      <charset val="129"/>
    </font>
    <font>
      <b/>
      <sz val="12"/>
      <color rgb="FF000000"/>
      <name val="Arial"/>
      <family val="3"/>
    </font>
    <font>
      <b/>
      <sz val="12"/>
      <color rgb="FF000000"/>
      <name val="Arial Unicode MS"/>
      <family val="3"/>
      <charset val="129"/>
    </font>
    <font>
      <sz val="3"/>
      <color rgb="FF000000"/>
      <name val="Arial"/>
      <family val="2"/>
      <scheme val="minor"/>
    </font>
    <font>
      <b/>
      <sz val="14"/>
      <color rgb="FF000000"/>
      <name val="맑은 고딕"/>
      <family val="3"/>
      <charset val="129"/>
    </font>
  </fonts>
  <fills count="3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C9DAF8"/>
        <bgColor rgb="FFC9DAF8"/>
      </patternFill>
    </fill>
    <fill>
      <patternFill patternType="solid">
        <fgColor rgb="FFFFF2CC"/>
        <bgColor rgb="FFFFF2CC"/>
      </patternFill>
    </fill>
    <fill>
      <patternFill patternType="solid">
        <fgColor theme="6" tint="0.59999389629810485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C9DAF8"/>
      </patternFill>
    </fill>
    <fill>
      <patternFill patternType="solid">
        <fgColor theme="4" tint="0.59999389629810485"/>
        <bgColor rgb="FFC9DAF8"/>
      </patternFill>
    </fill>
    <fill>
      <patternFill patternType="solid">
        <fgColor theme="0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rgb="FFFFF2CC"/>
      </patternFill>
    </fill>
    <fill>
      <patternFill patternType="solid">
        <fgColor theme="2" tint="-4.9989318521683403E-2"/>
        <bgColor rgb="FFFFF2CC"/>
      </patternFill>
    </fill>
    <fill>
      <patternFill patternType="solid">
        <fgColor rgb="FFBFBFBF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C7CE"/>
      </patternFill>
    </fill>
    <fill>
      <patternFill patternType="solid">
        <fgColor rgb="FFD6D6D6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rgb="FFFFF2C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rgb="FFC9DAF8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rgb="FFFFFF00"/>
      </patternFill>
    </fill>
    <fill>
      <patternFill patternType="solid">
        <fgColor theme="7" tint="0.79998168889431442"/>
        <bgColor rgb="FFFFFFFF"/>
      </patternFill>
    </fill>
  </fills>
  <borders count="2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98474074526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rgb="FF5D5D5D"/>
      </top>
      <bottom style="thin">
        <color rgb="FF5D5D5D"/>
      </bottom>
      <diagonal/>
    </border>
    <border>
      <left style="thin">
        <color rgb="FF5D5D5D"/>
      </left>
      <right/>
      <top style="thin">
        <color rgb="FF5D5D5D"/>
      </top>
      <bottom style="thin">
        <color rgb="FF5D5D5D"/>
      </bottom>
      <diagonal/>
    </border>
    <border>
      <left/>
      <right/>
      <top style="thin">
        <color rgb="FF5D5D5D"/>
      </top>
      <bottom style="thin">
        <color rgb="FF000000"/>
      </bottom>
      <diagonal/>
    </border>
    <border>
      <left/>
      <right style="thin">
        <color rgb="FF999999"/>
      </right>
      <top style="thin">
        <color rgb="FF000000"/>
      </top>
      <bottom style="thin">
        <color rgb="FF999999"/>
      </bottom>
      <diagonal/>
    </border>
    <border>
      <left/>
      <right/>
      <top style="thin">
        <color rgb="FF000000"/>
      </top>
      <bottom style="thin">
        <color rgb="FF999999"/>
      </bottom>
      <diagonal/>
    </border>
    <border>
      <left style="thin">
        <color rgb="FF999999"/>
      </left>
      <right/>
      <top style="thin">
        <color rgb="FF000000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/>
      <top/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999999"/>
      </right>
      <top/>
      <bottom style="thin">
        <color rgb="FF000000"/>
      </bottom>
      <diagonal/>
    </border>
    <border>
      <left style="thin">
        <color rgb="FF999999"/>
      </left>
      <right/>
      <top style="thin">
        <color rgb="FF999999"/>
      </top>
      <bottom style="thin">
        <color rgb="FF000000"/>
      </bottom>
      <diagonal/>
    </border>
    <border>
      <left/>
      <right/>
      <top style="thin">
        <color rgb="FF999999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999999"/>
      </right>
      <top style="thin">
        <color rgb="FF000000"/>
      </top>
      <bottom/>
      <diagonal/>
    </border>
    <border>
      <left style="thin">
        <color rgb="FF999999"/>
      </left>
      <right/>
      <top style="thin">
        <color rgb="FF000000"/>
      </top>
      <bottom/>
      <diagonal/>
    </border>
    <border>
      <left/>
      <right style="thin">
        <color rgb="FFA6A6A6"/>
      </right>
      <top style="thin">
        <color rgb="FF000000"/>
      </top>
      <bottom style="thin">
        <color rgb="FF000000"/>
      </bottom>
      <diagonal/>
    </border>
    <border>
      <left style="thin">
        <color rgb="FFA6A6A6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ck">
        <color rgb="FF666666"/>
      </bottom>
      <diagonal/>
    </border>
    <border>
      <left/>
      <right/>
      <top style="thick">
        <color rgb="FF666666"/>
      </top>
      <bottom style="thin">
        <color rgb="FF5D5D5D"/>
      </bottom>
      <diagonal/>
    </border>
    <border>
      <left/>
      <right style="thin">
        <color rgb="FF5D5D5D"/>
      </right>
      <top style="thin">
        <color rgb="FF5D5D5D"/>
      </top>
      <bottom style="thin">
        <color rgb="FF5D5D5D"/>
      </bottom>
      <diagonal/>
    </border>
    <border>
      <left/>
      <right/>
      <top style="thin">
        <color rgb="FF5D5D5D"/>
      </top>
      <bottom/>
      <diagonal/>
    </border>
    <border>
      <left/>
      <right style="thin">
        <color rgb="FF5D5D5D"/>
      </right>
      <top style="thin">
        <color rgb="FF5D5D5D"/>
      </top>
      <bottom/>
      <diagonal/>
    </border>
    <border>
      <left/>
      <right/>
      <top/>
      <bottom style="thin">
        <color rgb="FF5D5D5D"/>
      </bottom>
      <diagonal/>
    </border>
    <border>
      <left style="thin">
        <color rgb="FF5D5D5D"/>
      </left>
      <right/>
      <top style="thin">
        <color rgb="FF5D5D5D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rgb="FF7F7F7F"/>
      </right>
      <top style="medium">
        <color rgb="FF000000"/>
      </top>
      <bottom style="thin">
        <color rgb="FF7F7F7F"/>
      </bottom>
      <diagonal/>
    </border>
    <border>
      <left/>
      <right style="thin">
        <color rgb="FF7F7F7F"/>
      </right>
      <top style="medium">
        <color rgb="FF000000"/>
      </top>
      <bottom/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medium">
        <color rgb="FF000000"/>
      </top>
      <bottom style="thin">
        <color rgb="FF7F7F7F"/>
      </bottom>
      <diagonal/>
    </border>
    <border>
      <left/>
      <right/>
      <top style="medium">
        <color rgb="FF000000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 style="thin">
        <color rgb="FF7F7F7F"/>
      </right>
      <top/>
      <bottom style="medium">
        <color rgb="FF000000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thin">
        <color rgb="FF7F7F7F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7F7F7F"/>
      </left>
      <right/>
      <top style="thin">
        <color rgb="FF7F7F7F"/>
      </top>
      <bottom style="medium">
        <color rgb="FF000000"/>
      </bottom>
      <diagonal/>
    </border>
    <border>
      <left/>
      <right/>
      <top style="thin">
        <color rgb="FF7F7F7F"/>
      </top>
      <bottom style="medium">
        <color rgb="FF000000"/>
      </bottom>
      <diagonal/>
    </border>
    <border>
      <left/>
      <right style="thin">
        <color rgb="FF5D5D5D"/>
      </right>
      <top/>
      <bottom style="medium">
        <color rgb="FF000000"/>
      </bottom>
      <diagonal/>
    </border>
    <border>
      <left style="thin">
        <color rgb="FF5D5D5D"/>
      </left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/>
      <top style="thick">
        <color rgb="FF000000"/>
      </top>
      <bottom style="thin">
        <color rgb="FF000000"/>
      </bottom>
      <diagonal/>
    </border>
    <border>
      <left/>
      <right/>
      <top style="thick">
        <color rgb="FF000000"/>
      </top>
      <bottom style="thin">
        <color rgb="FF000000"/>
      </bottom>
      <diagonal/>
    </border>
    <border>
      <left/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ck">
        <color rgb="FF000000"/>
      </right>
      <top style="thin">
        <color rgb="FF000000"/>
      </top>
      <bottom/>
      <diagonal/>
    </border>
    <border>
      <left/>
      <right style="thick">
        <color rgb="FF000000"/>
      </right>
      <top/>
      <bottom style="thin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/>
      <diagonal/>
    </border>
    <border>
      <left style="thick">
        <color rgb="FF000000"/>
      </left>
      <right style="thin">
        <color rgb="FF000000"/>
      </right>
      <top/>
      <bottom/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ck">
        <color rgb="FF000000"/>
      </bottom>
      <diagonal/>
    </border>
    <border>
      <left/>
      <right/>
      <top style="thin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theme="0" tint="-0.14999847407452621"/>
      </left>
      <right/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n">
        <color theme="0" tint="-0.14999847407452621"/>
      </left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rgb="FF5D5D5D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rgb="FF666666"/>
      </right>
      <top style="thin">
        <color rgb="FF000000"/>
      </top>
      <bottom/>
      <diagonal/>
    </border>
    <border>
      <left/>
      <right style="thin">
        <color rgb="FF666666"/>
      </right>
      <top/>
      <bottom/>
      <diagonal/>
    </border>
    <border>
      <left/>
      <right style="thin">
        <color rgb="FF666666"/>
      </right>
      <top/>
      <bottom style="medium">
        <color rgb="FF000000"/>
      </bottom>
      <diagonal/>
    </border>
    <border>
      <left style="thin">
        <color rgb="FF666666"/>
      </left>
      <right style="thin">
        <color rgb="FF666666"/>
      </right>
      <top style="thin">
        <color rgb="FF000000"/>
      </top>
      <bottom style="thin">
        <color rgb="FF999999"/>
      </bottom>
      <diagonal/>
    </border>
    <border>
      <left/>
      <right style="thin">
        <color rgb="FF666666"/>
      </right>
      <top style="thin">
        <color rgb="FF000000"/>
      </top>
      <bottom style="thin">
        <color rgb="FF000000"/>
      </bottom>
      <diagonal/>
    </border>
    <border>
      <left style="thin">
        <color rgb="FF666666"/>
      </left>
      <right style="thin">
        <color rgb="FF666666"/>
      </right>
      <top style="thin">
        <color rgb="FF000000"/>
      </top>
      <bottom style="thin">
        <color rgb="FF000000"/>
      </bottom>
      <diagonal/>
    </border>
    <border>
      <left style="thin">
        <color rgb="FF666666"/>
      </left>
      <right/>
      <top style="thin">
        <color rgb="FF000000"/>
      </top>
      <bottom style="thin">
        <color rgb="FF000000"/>
      </bottom>
      <diagonal/>
    </border>
    <border>
      <left style="thin">
        <color rgb="FF666666"/>
      </left>
      <right style="thin">
        <color rgb="FF000000"/>
      </right>
      <top style="thin">
        <color rgb="FF999999"/>
      </top>
      <bottom style="thin">
        <color rgb="FF000000"/>
      </bottom>
      <diagonal/>
    </border>
    <border>
      <left style="thin">
        <color rgb="FF666666"/>
      </left>
      <right style="thin">
        <color rgb="FF666666"/>
      </right>
      <top style="thin">
        <color rgb="FF999999"/>
      </top>
      <bottom style="thin">
        <color rgb="FF999999"/>
      </bottom>
      <diagonal/>
    </border>
    <border>
      <left/>
      <right style="thin">
        <color rgb="FF666666"/>
      </right>
      <top style="medium">
        <color rgb="FF000000"/>
      </top>
      <bottom style="medium">
        <color rgb="FF000000"/>
      </bottom>
      <diagonal/>
    </border>
    <border>
      <left/>
      <right style="thin">
        <color rgb="FF666666"/>
      </right>
      <top style="medium">
        <color rgb="FF000000"/>
      </top>
      <bottom/>
      <diagonal/>
    </border>
    <border>
      <left style="thin">
        <color rgb="FF666666"/>
      </left>
      <right style="thin">
        <color rgb="FF666666"/>
      </right>
      <top style="thin">
        <color rgb="FF000000"/>
      </top>
      <bottom/>
      <diagonal/>
    </border>
    <border>
      <left style="thin">
        <color rgb="FF666666"/>
      </left>
      <right style="thin">
        <color rgb="FF666666"/>
      </right>
      <top/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666666"/>
      </left>
      <right style="thin">
        <color rgb="FF666666"/>
      </right>
      <top style="medium">
        <color rgb="FF000000"/>
      </top>
      <bottom style="medium">
        <color rgb="FF000000"/>
      </bottom>
      <diagonal/>
    </border>
    <border>
      <left style="thin">
        <color rgb="FF666666"/>
      </left>
      <right/>
      <top style="medium">
        <color rgb="FF000000"/>
      </top>
      <bottom style="medium">
        <color rgb="FF000000"/>
      </bottom>
      <diagonal/>
    </border>
    <border>
      <left style="thin">
        <color rgb="FF666666"/>
      </left>
      <right style="thin">
        <color rgb="FF666666"/>
      </right>
      <top style="medium">
        <color rgb="FF000000"/>
      </top>
      <bottom/>
      <diagonal/>
    </border>
    <border>
      <left style="thin">
        <color rgb="FF666666"/>
      </left>
      <right style="thin">
        <color rgb="FF666666"/>
      </right>
      <top/>
      <bottom style="thin">
        <color rgb="FF999999"/>
      </bottom>
      <diagonal/>
    </border>
    <border>
      <left style="thin">
        <color rgb="FF666666"/>
      </left>
      <right/>
      <top style="medium">
        <color rgb="FF000000"/>
      </top>
      <bottom/>
      <diagonal/>
    </border>
    <border>
      <left style="thin">
        <color rgb="FF666666"/>
      </left>
      <right/>
      <top/>
      <bottom style="thin">
        <color rgb="FF999999"/>
      </bottom>
      <diagonal/>
    </border>
    <border>
      <left/>
      <right style="thin">
        <color rgb="FF666666"/>
      </right>
      <top/>
      <bottom style="thin">
        <color rgb="FF999999"/>
      </bottom>
      <diagonal/>
    </border>
    <border>
      <left style="thin">
        <color rgb="FF666666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666666"/>
      </right>
      <top style="thin">
        <color rgb="FF999999"/>
      </top>
      <bottom style="thin">
        <color rgb="FF999999"/>
      </bottom>
      <diagonal/>
    </border>
    <border>
      <left/>
      <right/>
      <top style="thick">
        <color rgb="FF666666"/>
      </top>
      <bottom/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666666"/>
      </left>
      <right/>
      <top style="thin">
        <color rgb="FF999999"/>
      </top>
      <bottom style="medium">
        <color rgb="FF000000"/>
      </bottom>
      <diagonal/>
    </border>
    <border>
      <left/>
      <right style="thin">
        <color rgb="FF666666"/>
      </right>
      <top style="thin">
        <color rgb="FF999999"/>
      </top>
      <bottom style="medium">
        <color rgb="FF000000"/>
      </bottom>
      <diagonal/>
    </border>
    <border>
      <left/>
      <right/>
      <top style="thin">
        <color rgb="FF999999"/>
      </top>
      <bottom style="medium">
        <color rgb="FF000000"/>
      </bottom>
      <diagonal/>
    </border>
    <border>
      <left style="thin">
        <color theme="0" tint="-0.14999847407452621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rgb="FF666666"/>
      </right>
      <top/>
      <bottom style="thin">
        <color rgb="FF000000"/>
      </bottom>
      <diagonal/>
    </border>
    <border>
      <left style="thin">
        <color rgb="FF666666"/>
      </left>
      <right/>
      <top style="thin">
        <color rgb="FF000000"/>
      </top>
      <bottom style="thin">
        <color rgb="FF999999"/>
      </bottom>
      <diagonal/>
    </border>
    <border>
      <left/>
      <right style="thin">
        <color rgb="FF666666"/>
      </right>
      <top style="thin">
        <color rgb="FF000000"/>
      </top>
      <bottom style="thin">
        <color rgb="FF999999"/>
      </bottom>
      <diagonal/>
    </border>
    <border>
      <left style="thin">
        <color rgb="FF666666"/>
      </left>
      <right style="thin">
        <color rgb="FF666666"/>
      </right>
      <top style="thin">
        <color rgb="FF999999"/>
      </top>
      <bottom style="thin">
        <color rgb="FF000000"/>
      </bottom>
      <diagonal/>
    </border>
    <border>
      <left style="thin">
        <color rgb="FF666666"/>
      </left>
      <right/>
      <top style="thin">
        <color rgb="FF999999"/>
      </top>
      <bottom style="thin">
        <color rgb="FF000000"/>
      </bottom>
      <diagonal/>
    </border>
    <border>
      <left/>
      <right style="thin">
        <color rgb="FF666666"/>
      </right>
      <top style="thin">
        <color rgb="FF999999"/>
      </top>
      <bottom style="thin">
        <color rgb="FF000000"/>
      </bottom>
      <diagonal/>
    </border>
    <border>
      <left/>
      <right style="thin">
        <color rgb="FF666666"/>
      </right>
      <top style="thin">
        <color rgb="FF000000"/>
      </top>
      <bottom style="medium">
        <color rgb="FF000000"/>
      </bottom>
      <diagonal/>
    </border>
    <border>
      <left style="thin">
        <color rgb="FF666666"/>
      </left>
      <right/>
      <top style="thin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666666"/>
      </left>
      <right style="thin">
        <color rgb="FF666666"/>
      </right>
      <top style="medium">
        <color rgb="FF000000"/>
      </top>
      <bottom style="thin">
        <color rgb="FF999999"/>
      </bottom>
      <diagonal/>
    </border>
    <border>
      <left style="thin">
        <color rgb="FF666666"/>
      </left>
      <right/>
      <top style="medium">
        <color rgb="FF000000"/>
      </top>
      <bottom style="thin">
        <color rgb="FF999999"/>
      </bottom>
      <diagonal/>
    </border>
    <border>
      <left/>
      <right/>
      <top style="medium">
        <color rgb="FF000000"/>
      </top>
      <bottom style="thin">
        <color rgb="FF999999"/>
      </bottom>
      <diagonal/>
    </border>
    <border>
      <left/>
      <right style="thin">
        <color rgb="FF5D5D5D"/>
      </right>
      <top/>
      <bottom/>
      <diagonal/>
    </border>
    <border>
      <left/>
      <right style="thin">
        <color rgb="FF5D5D5D"/>
      </right>
      <top/>
      <bottom style="thin">
        <color rgb="FF5D5D5D"/>
      </bottom>
      <diagonal/>
    </border>
    <border>
      <left style="thin">
        <color rgb="FF5D5D5D"/>
      </left>
      <right/>
      <top/>
      <bottom/>
      <diagonal/>
    </border>
    <border>
      <left style="thin">
        <color rgb="FF5D5D5D"/>
      </left>
      <right/>
      <top/>
      <bottom style="thin">
        <color rgb="FF5D5D5D"/>
      </bottom>
      <diagonal/>
    </border>
    <border>
      <left style="thin">
        <color rgb="FF666666"/>
      </left>
      <right/>
      <top/>
      <bottom style="medium">
        <color rgb="FF000000"/>
      </bottom>
      <diagonal/>
    </border>
    <border>
      <left style="thin">
        <color rgb="FF666666"/>
      </left>
      <right/>
      <top/>
      <bottom/>
      <diagonal/>
    </border>
    <border>
      <left/>
      <right style="thin">
        <color rgb="FF666666"/>
      </right>
      <top style="medium">
        <color rgb="FF000000"/>
      </top>
      <bottom style="thin">
        <color rgb="FF999999"/>
      </bottom>
      <diagonal/>
    </border>
    <border>
      <left style="thin">
        <color rgb="FF666666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theme="0" tint="-0.14999847407452621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/>
      <top style="thin">
        <color indexed="64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8" fillId="0" borderId="0" applyNumberFormat="0" applyFill="0" applyBorder="0" applyAlignment="0" applyProtection="0"/>
    <xf numFmtId="0" fontId="64" fillId="18" borderId="0" applyNumberFormat="0" applyBorder="0" applyAlignment="0" applyProtection="0">
      <alignment vertical="center"/>
    </xf>
    <xf numFmtId="0" fontId="9" fillId="0" borderId="0"/>
    <xf numFmtId="0" fontId="176" fillId="32" borderId="0" applyNumberFormat="0" applyBorder="0" applyAlignment="0" applyProtection="0">
      <alignment vertical="center"/>
    </xf>
    <xf numFmtId="0" fontId="17" fillId="0" borderId="0"/>
  </cellStyleXfs>
  <cellXfs count="1571">
    <xf numFmtId="0" fontId="0" fillId="0" borderId="0" xfId="0"/>
    <xf numFmtId="0" fontId="10" fillId="5" borderId="2" xfId="0" applyFont="1" applyFill="1" applyBorder="1" applyAlignment="1">
      <alignment horizontal="left" vertical="center" wrapText="1"/>
    </xf>
    <xf numFmtId="0" fontId="13" fillId="5" borderId="1" xfId="0" applyFont="1" applyFill="1" applyBorder="1" applyAlignment="1">
      <alignment horizontal="center" vertical="center"/>
    </xf>
    <xf numFmtId="0" fontId="13" fillId="5" borderId="3" xfId="0" applyFont="1" applyFill="1" applyBorder="1" applyAlignment="1">
      <alignment horizontal="center" vertical="center"/>
    </xf>
    <xf numFmtId="0" fontId="0" fillId="6" borderId="1" xfId="0" applyFill="1" applyBorder="1"/>
    <xf numFmtId="0" fontId="4" fillId="4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vertical="center"/>
    </xf>
    <xf numFmtId="0" fontId="4" fillId="2" borderId="4" xfId="0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0" fillId="0" borderId="8" xfId="0" applyBorder="1"/>
    <xf numFmtId="0" fontId="2" fillId="2" borderId="9" xfId="0" applyFont="1" applyFill="1" applyBorder="1" applyAlignment="1">
      <alignment vertical="center"/>
    </xf>
    <xf numFmtId="0" fontId="2" fillId="2" borderId="11" xfId="0" applyFont="1" applyFill="1" applyBorder="1" applyAlignment="1">
      <alignment vertical="center"/>
    </xf>
    <xf numFmtId="0" fontId="0" fillId="0" borderId="13" xfId="0" applyBorder="1"/>
    <xf numFmtId="0" fontId="2" fillId="2" borderId="15" xfId="0" applyFont="1" applyFill="1" applyBorder="1" applyAlignment="1">
      <alignment vertical="center"/>
    </xf>
    <xf numFmtId="0" fontId="4" fillId="2" borderId="7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4" fillId="7" borderId="21" xfId="0" applyFont="1" applyFill="1" applyBorder="1" applyAlignment="1">
      <alignment vertical="center"/>
    </xf>
    <xf numFmtId="0" fontId="23" fillId="2" borderId="15" xfId="0" applyFont="1" applyFill="1" applyBorder="1" applyAlignment="1">
      <alignment vertical="center"/>
    </xf>
    <xf numFmtId="0" fontId="23" fillId="2" borderId="11" xfId="0" applyFont="1" applyFill="1" applyBorder="1" applyAlignment="1">
      <alignment vertical="center"/>
    </xf>
    <xf numFmtId="0" fontId="19" fillId="2" borderId="15" xfId="0" applyFont="1" applyFill="1" applyBorder="1" applyAlignment="1">
      <alignment horizontal="center" vertical="center"/>
    </xf>
    <xf numFmtId="0" fontId="24" fillId="0" borderId="11" xfId="0" applyFont="1" applyBorder="1"/>
    <xf numFmtId="0" fontId="24" fillId="0" borderId="0" xfId="0" applyFont="1"/>
    <xf numFmtId="0" fontId="24" fillId="0" borderId="14" xfId="0" applyFont="1" applyBorder="1"/>
    <xf numFmtId="0" fontId="24" fillId="0" borderId="8" xfId="0" applyFont="1" applyBorder="1"/>
    <xf numFmtId="0" fontId="0" fillId="6" borderId="6" xfId="0" applyFill="1" applyBorder="1"/>
    <xf numFmtId="0" fontId="20" fillId="8" borderId="17" xfId="0" applyFont="1" applyFill="1" applyBorder="1"/>
    <xf numFmtId="0" fontId="0" fillId="0" borderId="24" xfId="0" applyBorder="1"/>
    <xf numFmtId="0" fontId="20" fillId="0" borderId="10" xfId="0" applyFont="1" applyBorder="1"/>
    <xf numFmtId="0" fontId="20" fillId="8" borderId="25" xfId="0" applyFont="1" applyFill="1" applyBorder="1"/>
    <xf numFmtId="0" fontId="20" fillId="8" borderId="16" xfId="0" applyFont="1" applyFill="1" applyBorder="1"/>
    <xf numFmtId="0" fontId="4" fillId="4" borderId="3" xfId="0" applyFont="1" applyFill="1" applyBorder="1" applyAlignment="1">
      <alignment vertical="center"/>
    </xf>
    <xf numFmtId="0" fontId="17" fillId="0" borderId="6" xfId="0" applyFont="1" applyBorder="1"/>
    <xf numFmtId="0" fontId="17" fillId="0" borderId="1" xfId="0" applyFont="1" applyBorder="1"/>
    <xf numFmtId="0" fontId="17" fillId="0" borderId="18" xfId="0" applyFont="1" applyBorder="1"/>
    <xf numFmtId="0" fontId="2" fillId="2" borderId="26" xfId="0" applyFont="1" applyFill="1" applyBorder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23" xfId="0" applyFont="1" applyFill="1" applyBorder="1" applyAlignment="1">
      <alignment vertical="center"/>
    </xf>
    <xf numFmtId="0" fontId="3" fillId="2" borderId="17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22" fillId="0" borderId="16" xfId="0" applyFont="1" applyBorder="1"/>
    <xf numFmtId="0" fontId="22" fillId="0" borderId="19" xfId="0" applyFont="1" applyBorder="1"/>
    <xf numFmtId="0" fontId="18" fillId="2" borderId="4" xfId="1" applyFill="1" applyBorder="1" applyAlignment="1">
      <alignment vertical="center"/>
    </xf>
    <xf numFmtId="0" fontId="18" fillId="0" borderId="1" xfId="1" applyBorder="1"/>
    <xf numFmtId="0" fontId="17" fillId="0" borderId="3" xfId="0" applyFont="1" applyBorder="1" applyAlignment="1">
      <alignment horizontal="left"/>
    </xf>
    <xf numFmtId="0" fontId="17" fillId="0" borderId="1" xfId="0" applyFont="1" applyBorder="1" applyAlignment="1">
      <alignment horizontal="left"/>
    </xf>
    <xf numFmtId="0" fontId="17" fillId="0" borderId="18" xfId="0" applyFont="1" applyBorder="1" applyAlignment="1">
      <alignment horizontal="left"/>
    </xf>
    <xf numFmtId="0" fontId="17" fillId="0" borderId="0" xfId="0" applyFont="1"/>
    <xf numFmtId="0" fontId="13" fillId="5" borderId="4" xfId="0" applyFont="1" applyFill="1" applyBorder="1" applyAlignment="1">
      <alignment horizontal="center" vertical="center"/>
    </xf>
    <xf numFmtId="0" fontId="4" fillId="11" borderId="5" xfId="0" applyFont="1" applyFill="1" applyBorder="1" applyAlignment="1">
      <alignment vertical="center"/>
    </xf>
    <xf numFmtId="0" fontId="19" fillId="2" borderId="9" xfId="0" applyFont="1" applyFill="1" applyBorder="1" applyAlignment="1">
      <alignment horizontal="center" vertical="center"/>
    </xf>
    <xf numFmtId="0" fontId="15" fillId="7" borderId="0" xfId="0" applyFont="1" applyFill="1" applyAlignment="1">
      <alignment vertical="center"/>
    </xf>
    <xf numFmtId="0" fontId="2" fillId="11" borderId="28" xfId="0" applyFont="1" applyFill="1" applyBorder="1" applyAlignment="1">
      <alignment vertical="center"/>
    </xf>
    <xf numFmtId="0" fontId="2" fillId="11" borderId="27" xfId="0" applyFont="1" applyFill="1" applyBorder="1" applyAlignment="1">
      <alignment vertical="center"/>
    </xf>
    <xf numFmtId="0" fontId="2" fillId="11" borderId="30" xfId="0" applyFont="1" applyFill="1" applyBorder="1" applyAlignment="1">
      <alignment vertical="center"/>
    </xf>
    <xf numFmtId="0" fontId="2" fillId="11" borderId="23" xfId="0" applyFont="1" applyFill="1" applyBorder="1" applyAlignment="1">
      <alignment vertical="center"/>
    </xf>
    <xf numFmtId="0" fontId="0" fillId="8" borderId="27" xfId="0" applyFill="1" applyBorder="1"/>
    <xf numFmtId="0" fontId="2" fillId="11" borderId="11" xfId="0" applyFont="1" applyFill="1" applyBorder="1" applyAlignment="1">
      <alignment vertical="center"/>
    </xf>
    <xf numFmtId="0" fontId="15" fillId="7" borderId="14" xfId="0" applyFont="1" applyFill="1" applyBorder="1" applyAlignment="1">
      <alignment vertical="center"/>
    </xf>
    <xf numFmtId="0" fontId="2" fillId="11" borderId="12" xfId="0" applyFont="1" applyFill="1" applyBorder="1" applyAlignment="1">
      <alignment vertical="center"/>
    </xf>
    <xf numFmtId="0" fontId="0" fillId="0" borderId="27" xfId="0" applyBorder="1"/>
    <xf numFmtId="0" fontId="5" fillId="11" borderId="9" xfId="0" applyFont="1" applyFill="1" applyBorder="1" applyAlignment="1">
      <alignment horizontal="left" vertical="center"/>
    </xf>
    <xf numFmtId="176" fontId="5" fillId="11" borderId="23" xfId="0" applyNumberFormat="1" applyFont="1" applyFill="1" applyBorder="1" applyAlignment="1">
      <alignment horizontal="left" vertical="center"/>
    </xf>
    <xf numFmtId="0" fontId="5" fillId="11" borderId="23" xfId="0" applyFont="1" applyFill="1" applyBorder="1" applyAlignment="1">
      <alignment horizontal="left" vertical="center"/>
    </xf>
    <xf numFmtId="0" fontId="7" fillId="11" borderId="23" xfId="0" applyFont="1" applyFill="1" applyBorder="1" applyAlignment="1">
      <alignment horizontal="left" vertical="center"/>
    </xf>
    <xf numFmtId="0" fontId="0" fillId="8" borderId="23" xfId="0" applyFill="1" applyBorder="1"/>
    <xf numFmtId="0" fontId="0" fillId="0" borderId="23" xfId="0" applyBorder="1"/>
    <xf numFmtId="0" fontId="5" fillId="8" borderId="30" xfId="0" applyFont="1" applyFill="1" applyBorder="1" applyAlignment="1">
      <alignment horizontal="left"/>
    </xf>
    <xf numFmtId="0" fontId="0" fillId="8" borderId="29" xfId="0" applyFill="1" applyBorder="1"/>
    <xf numFmtId="0" fontId="5" fillId="8" borderId="17" xfId="0" applyFont="1" applyFill="1" applyBorder="1" applyAlignment="1">
      <alignment horizontal="left"/>
    </xf>
    <xf numFmtId="0" fontId="0" fillId="8" borderId="17" xfId="0" applyFill="1" applyBorder="1"/>
    <xf numFmtId="0" fontId="7" fillId="11" borderId="9" xfId="0" applyFont="1" applyFill="1" applyBorder="1" applyAlignment="1">
      <alignment horizontal="left" vertical="center"/>
    </xf>
    <xf numFmtId="0" fontId="0" fillId="8" borderId="12" xfId="0" applyFill="1" applyBorder="1"/>
    <xf numFmtId="0" fontId="15" fillId="7" borderId="11" xfId="0" applyFont="1" applyFill="1" applyBorder="1" applyAlignment="1">
      <alignment vertical="center"/>
    </xf>
    <xf numFmtId="0" fontId="6" fillId="8" borderId="9" xfId="0" applyFont="1" applyFill="1" applyBorder="1" applyAlignment="1">
      <alignment horizontal="left"/>
    </xf>
    <xf numFmtId="0" fontId="2" fillId="11" borderId="9" xfId="0" applyFont="1" applyFill="1" applyBorder="1" applyAlignment="1">
      <alignment vertical="center"/>
    </xf>
    <xf numFmtId="0" fontId="0" fillId="8" borderId="9" xfId="0" applyFill="1" applyBorder="1"/>
    <xf numFmtId="0" fontId="15" fillId="7" borderId="26" xfId="0" applyFont="1" applyFill="1" applyBorder="1" applyAlignment="1">
      <alignment vertical="center"/>
    </xf>
    <xf numFmtId="0" fontId="13" fillId="5" borderId="6" xfId="0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horizontal="center" vertical="center"/>
    </xf>
    <xf numFmtId="0" fontId="13" fillId="5" borderId="33" xfId="0" applyFont="1" applyFill="1" applyBorder="1" applyAlignment="1">
      <alignment horizontal="center" vertical="center"/>
    </xf>
    <xf numFmtId="0" fontId="5" fillId="11" borderId="17" xfId="0" applyFont="1" applyFill="1" applyBorder="1" applyAlignment="1">
      <alignment horizontal="left" vertical="center"/>
    </xf>
    <xf numFmtId="0" fontId="0" fillId="0" borderId="12" xfId="0" applyBorder="1"/>
    <xf numFmtId="0" fontId="15" fillId="7" borderId="10" xfId="0" applyFont="1" applyFill="1" applyBorder="1" applyAlignment="1">
      <alignment vertical="center"/>
    </xf>
    <xf numFmtId="0" fontId="5" fillId="2" borderId="16" xfId="0" applyFont="1" applyFill="1" applyBorder="1" applyAlignment="1">
      <alignment horizontal="left" vertical="center"/>
    </xf>
    <xf numFmtId="0" fontId="2" fillId="2" borderId="19" xfId="0" applyFont="1" applyFill="1" applyBorder="1" applyAlignment="1">
      <alignment vertical="center"/>
    </xf>
    <xf numFmtId="0" fontId="15" fillId="7" borderId="34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15" fillId="7" borderId="15" xfId="0" applyFont="1" applyFill="1" applyBorder="1" applyAlignment="1">
      <alignment vertical="center"/>
    </xf>
    <xf numFmtId="0" fontId="29" fillId="0" borderId="34" xfId="0" applyFont="1" applyBorder="1"/>
    <xf numFmtId="0" fontId="31" fillId="4" borderId="1" xfId="0" applyFont="1" applyFill="1" applyBorder="1" applyAlignment="1">
      <alignment vertical="center"/>
    </xf>
    <xf numFmtId="0" fontId="32" fillId="2" borderId="1" xfId="0" applyFont="1" applyFill="1" applyBorder="1" applyAlignment="1">
      <alignment horizontal="left" vertical="center"/>
    </xf>
    <xf numFmtId="0" fontId="23" fillId="2" borderId="1" xfId="0" applyFont="1" applyFill="1" applyBorder="1" applyAlignment="1">
      <alignment vertical="center"/>
    </xf>
    <xf numFmtId="0" fontId="23" fillId="4" borderId="1" xfId="0" applyFont="1" applyFill="1" applyBorder="1" applyAlignment="1">
      <alignment vertical="center"/>
    </xf>
    <xf numFmtId="0" fontId="31" fillId="7" borderId="4" xfId="0" applyFont="1" applyFill="1" applyBorder="1" applyAlignment="1">
      <alignment vertical="center"/>
    </xf>
    <xf numFmtId="0" fontId="32" fillId="11" borderId="36" xfId="0" applyFont="1" applyFill="1" applyBorder="1" applyAlignment="1">
      <alignment horizontal="left" vertical="center"/>
    </xf>
    <xf numFmtId="0" fontId="23" fillId="11" borderId="36" xfId="0" applyFont="1" applyFill="1" applyBorder="1" applyAlignment="1">
      <alignment vertical="center"/>
    </xf>
    <xf numFmtId="0" fontId="31" fillId="7" borderId="21" xfId="0" applyFont="1" applyFill="1" applyBorder="1" applyAlignment="1">
      <alignment vertical="center"/>
    </xf>
    <xf numFmtId="0" fontId="32" fillId="11" borderId="5" xfId="0" applyFont="1" applyFill="1" applyBorder="1" applyAlignment="1">
      <alignment horizontal="left" vertical="center"/>
    </xf>
    <xf numFmtId="0" fontId="23" fillId="11" borderId="31" xfId="0" applyFont="1" applyFill="1" applyBorder="1" applyAlignment="1">
      <alignment vertical="center"/>
    </xf>
    <xf numFmtId="176" fontId="32" fillId="2" borderId="1" xfId="0" applyNumberFormat="1" applyFont="1" applyFill="1" applyBorder="1" applyAlignment="1">
      <alignment horizontal="left" vertical="center"/>
    </xf>
    <xf numFmtId="31" fontId="4" fillId="2" borderId="1" xfId="0" applyNumberFormat="1" applyFont="1" applyFill="1" applyBorder="1" applyAlignment="1">
      <alignment vertical="center"/>
    </xf>
    <xf numFmtId="0" fontId="39" fillId="0" borderId="0" xfId="0" applyFont="1"/>
    <xf numFmtId="49" fontId="41" fillId="0" borderId="40" xfId="0" applyNumberFormat="1" applyFont="1" applyBorder="1" applyAlignment="1">
      <alignment horizontal="center" vertical="center"/>
    </xf>
    <xf numFmtId="0" fontId="41" fillId="0" borderId="40" xfId="0" applyFont="1" applyBorder="1" applyAlignment="1">
      <alignment horizontal="center" vertical="center"/>
    </xf>
    <xf numFmtId="0" fontId="41" fillId="0" borderId="39" xfId="0" applyFont="1" applyBorder="1" applyAlignment="1">
      <alignment horizontal="center" vertical="center"/>
    </xf>
    <xf numFmtId="49" fontId="41" fillId="0" borderId="39" xfId="0" applyNumberFormat="1" applyFont="1" applyBorder="1" applyAlignment="1">
      <alignment horizontal="center" vertical="center"/>
    </xf>
    <xf numFmtId="0" fontId="41" fillId="0" borderId="38" xfId="0" applyFont="1" applyBorder="1" applyAlignment="1">
      <alignment horizontal="center" vertical="center"/>
    </xf>
    <xf numFmtId="177" fontId="41" fillId="0" borderId="4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41" fillId="0" borderId="1" xfId="0" applyNumberFormat="1" applyFont="1" applyBorder="1" applyAlignment="1">
      <alignment horizontal="center" vertical="center"/>
    </xf>
    <xf numFmtId="0" fontId="41" fillId="0" borderId="1" xfId="0" applyFont="1" applyBorder="1" applyAlignment="1">
      <alignment horizontal="center" vertical="center"/>
    </xf>
    <xf numFmtId="0" fontId="46" fillId="5" borderId="2" xfId="0" applyFont="1" applyFill="1" applyBorder="1" applyAlignment="1">
      <alignment horizontal="left" vertical="center" wrapText="1"/>
    </xf>
    <xf numFmtId="0" fontId="17" fillId="6" borderId="1" xfId="0" applyFont="1" applyFill="1" applyBorder="1"/>
    <xf numFmtId="0" fontId="48" fillId="5" borderId="3" xfId="0" applyFont="1" applyFill="1" applyBorder="1" applyAlignment="1">
      <alignment horizontal="center" vertical="center"/>
    </xf>
    <xf numFmtId="0" fontId="48" fillId="5" borderId="1" xfId="0" applyFont="1" applyFill="1" applyBorder="1" applyAlignment="1">
      <alignment horizontal="center" vertical="center"/>
    </xf>
    <xf numFmtId="0" fontId="18" fillId="2" borderId="1" xfId="1" applyFill="1" applyBorder="1" applyAlignment="1">
      <alignment vertical="center"/>
    </xf>
    <xf numFmtId="0" fontId="52" fillId="4" borderId="1" xfId="0" applyFont="1" applyFill="1" applyBorder="1" applyAlignment="1">
      <alignment vertical="center"/>
    </xf>
    <xf numFmtId="0" fontId="54" fillId="4" borderId="1" xfId="0" applyFont="1" applyFill="1" applyBorder="1" applyAlignment="1">
      <alignment vertical="center"/>
    </xf>
    <xf numFmtId="0" fontId="36" fillId="0" borderId="0" xfId="0" applyFont="1"/>
    <xf numFmtId="0" fontId="56" fillId="0" borderId="0" xfId="0" applyFont="1"/>
    <xf numFmtId="0" fontId="57" fillId="0" borderId="0" xfId="0" applyFont="1"/>
    <xf numFmtId="0" fontId="52" fillId="2" borderId="1" xfId="0" applyFont="1" applyFill="1" applyBorder="1" applyAlignment="1">
      <alignment vertical="center"/>
    </xf>
    <xf numFmtId="0" fontId="52" fillId="2" borderId="1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vertical="center"/>
    </xf>
    <xf numFmtId="0" fontId="59" fillId="0" borderId="0" xfId="0" applyFont="1"/>
    <xf numFmtId="0" fontId="56" fillId="0" borderId="1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35" fillId="0" borderId="0" xfId="0" applyFont="1"/>
    <xf numFmtId="0" fontId="61" fillId="0" borderId="1" xfId="0" applyFont="1" applyBorder="1" applyAlignment="1">
      <alignment horizontal="center" vertical="center"/>
    </xf>
    <xf numFmtId="0" fontId="41" fillId="0" borderId="43" xfId="0" applyFont="1" applyBorder="1" applyAlignment="1">
      <alignment horizontal="center" vertical="center"/>
    </xf>
    <xf numFmtId="49" fontId="41" fillId="0" borderId="43" xfId="0" applyNumberFormat="1" applyFont="1" applyBorder="1" applyAlignment="1">
      <alignment horizontal="center" vertical="center"/>
    </xf>
    <xf numFmtId="0" fontId="65" fillId="0" borderId="1" xfId="0" applyFont="1" applyBorder="1"/>
    <xf numFmtId="0" fontId="16" fillId="4" borderId="1" xfId="0" applyFont="1" applyFill="1" applyBorder="1" applyAlignment="1">
      <alignment vertical="center"/>
    </xf>
    <xf numFmtId="0" fontId="69" fillId="20" borderId="107" xfId="0" applyFont="1" applyFill="1" applyBorder="1" applyAlignment="1">
      <alignment horizontal="center" vertical="center" wrapText="1"/>
    </xf>
    <xf numFmtId="0" fontId="69" fillId="20" borderId="114" xfId="0" applyFont="1" applyFill="1" applyBorder="1" applyAlignment="1">
      <alignment horizontal="center" vertical="center" wrapText="1"/>
    </xf>
    <xf numFmtId="0" fontId="69" fillId="20" borderId="117" xfId="0" applyFont="1" applyFill="1" applyBorder="1" applyAlignment="1">
      <alignment horizontal="center" vertical="center" wrapText="1"/>
    </xf>
    <xf numFmtId="0" fontId="72" fillId="0" borderId="119" xfId="0" applyFont="1" applyBorder="1" applyAlignment="1">
      <alignment horizontal="center" vertical="center" wrapText="1"/>
    </xf>
    <xf numFmtId="0" fontId="72" fillId="0" borderId="74" xfId="0" applyFont="1" applyBorder="1" applyAlignment="1">
      <alignment horizontal="center" vertical="center" wrapText="1"/>
    </xf>
    <xf numFmtId="0" fontId="69" fillId="20" borderId="118" xfId="0" applyFont="1" applyFill="1" applyBorder="1" applyAlignment="1">
      <alignment horizontal="center" vertical="center" wrapText="1"/>
    </xf>
    <xf numFmtId="0" fontId="69" fillId="20" borderId="108" xfId="0" applyFont="1" applyFill="1" applyBorder="1" applyAlignment="1">
      <alignment horizontal="center" vertical="center" wrapText="1"/>
    </xf>
    <xf numFmtId="0" fontId="70" fillId="0" borderId="112" xfId="0" applyFont="1" applyBorder="1" applyAlignment="1">
      <alignment horizontal="center" vertical="center" wrapText="1"/>
    </xf>
    <xf numFmtId="0" fontId="69" fillId="20" borderId="38" xfId="0" applyFont="1" applyFill="1" applyBorder="1" applyAlignment="1">
      <alignment horizontal="center" vertical="center" wrapText="1"/>
    </xf>
    <xf numFmtId="0" fontId="69" fillId="20" borderId="125" xfId="0" applyFont="1" applyFill="1" applyBorder="1" applyAlignment="1">
      <alignment horizontal="center" vertical="center" wrapText="1"/>
    </xf>
    <xf numFmtId="0" fontId="69" fillId="20" borderId="124" xfId="0" applyFont="1" applyFill="1" applyBorder="1" applyAlignment="1">
      <alignment horizontal="center" vertical="center" wrapText="1"/>
    </xf>
    <xf numFmtId="0" fontId="0" fillId="20" borderId="124" xfId="0" applyFill="1" applyBorder="1" applyAlignment="1">
      <alignment vertical="center" wrapText="1"/>
    </xf>
    <xf numFmtId="0" fontId="0" fillId="20" borderId="118" xfId="0" applyFill="1" applyBorder="1" applyAlignment="1">
      <alignment vertical="center" wrapText="1"/>
    </xf>
    <xf numFmtId="0" fontId="77" fillId="21" borderId="38" xfId="0" applyFont="1" applyFill="1" applyBorder="1" applyAlignment="1">
      <alignment horizontal="center" vertical="center" wrapText="1"/>
    </xf>
    <xf numFmtId="0" fontId="77" fillId="0" borderId="38" xfId="0" applyFont="1" applyBorder="1" applyAlignment="1">
      <alignment horizontal="center" vertical="center" wrapText="1"/>
    </xf>
    <xf numFmtId="0" fontId="36" fillId="0" borderId="38" xfId="0" applyFont="1" applyBorder="1" applyAlignment="1">
      <alignment horizontal="center" vertical="center" wrapText="1"/>
    </xf>
    <xf numFmtId="0" fontId="77" fillId="21" borderId="115" xfId="0" applyFont="1" applyFill="1" applyBorder="1" applyAlignment="1">
      <alignment horizontal="center" vertical="center" wrapText="1"/>
    </xf>
    <xf numFmtId="0" fontId="36" fillId="0" borderId="115" xfId="0" applyFont="1" applyBorder="1" applyAlignment="1">
      <alignment horizontal="center" vertical="center" wrapText="1"/>
    </xf>
    <xf numFmtId="0" fontId="70" fillId="0" borderId="138" xfId="0" applyFont="1" applyBorder="1" applyAlignment="1">
      <alignment horizontal="center" vertical="center" wrapText="1"/>
    </xf>
    <xf numFmtId="0" fontId="69" fillId="21" borderId="138" xfId="0" applyFont="1" applyFill="1" applyBorder="1" applyAlignment="1">
      <alignment horizontal="center" vertical="center" wrapText="1"/>
    </xf>
    <xf numFmtId="0" fontId="70" fillId="0" borderId="126" xfId="0" applyFont="1" applyBorder="1" applyAlignment="1">
      <alignment horizontal="center" vertical="center" wrapText="1"/>
    </xf>
    <xf numFmtId="0" fontId="83" fillId="8" borderId="0" xfId="3" applyFont="1" applyFill="1" applyAlignment="1">
      <alignment vertical="center"/>
    </xf>
    <xf numFmtId="0" fontId="84" fillId="8" borderId="0" xfId="3" applyFont="1" applyFill="1" applyAlignment="1">
      <alignment vertical="center"/>
    </xf>
    <xf numFmtId="0" fontId="85" fillId="8" borderId="0" xfId="3" applyFont="1" applyFill="1" applyAlignment="1">
      <alignment vertical="center"/>
    </xf>
    <xf numFmtId="0" fontId="84" fillId="8" borderId="0" xfId="3" applyFont="1" applyFill="1" applyAlignment="1">
      <alignment horizontal="center" vertical="center"/>
    </xf>
    <xf numFmtId="0" fontId="9" fillId="8" borderId="0" xfId="3" applyFill="1"/>
    <xf numFmtId="0" fontId="88" fillId="0" borderId="72" xfId="3" applyFont="1" applyBorder="1" applyAlignment="1">
      <alignment horizontal="center" vertical="center"/>
    </xf>
    <xf numFmtId="0" fontId="88" fillId="0" borderId="41" xfId="3" applyFont="1" applyBorder="1" applyAlignment="1">
      <alignment horizontal="center" vertical="center"/>
    </xf>
    <xf numFmtId="0" fontId="80" fillId="23" borderId="1" xfId="3" applyFont="1" applyFill="1" applyBorder="1"/>
    <xf numFmtId="0" fontId="80" fillId="8" borderId="1" xfId="3" applyFont="1" applyFill="1" applyBorder="1"/>
    <xf numFmtId="0" fontId="90" fillId="25" borderId="41" xfId="3" applyFont="1" applyFill="1" applyBorder="1" applyAlignment="1">
      <alignment vertical="center" wrapText="1"/>
    </xf>
    <xf numFmtId="0" fontId="90" fillId="25" borderId="73" xfId="3" applyFont="1" applyFill="1" applyBorder="1" applyAlignment="1">
      <alignment vertical="center" wrapText="1"/>
    </xf>
    <xf numFmtId="0" fontId="90" fillId="25" borderId="72" xfId="3" applyFont="1" applyFill="1" applyBorder="1" applyAlignment="1">
      <alignment vertical="center" wrapText="1"/>
    </xf>
    <xf numFmtId="0" fontId="91" fillId="0" borderId="41" xfId="3" applyFont="1" applyBorder="1" applyAlignment="1">
      <alignment vertical="center" wrapText="1"/>
    </xf>
    <xf numFmtId="0" fontId="91" fillId="0" borderId="73" xfId="3" applyFont="1" applyBorder="1" applyAlignment="1">
      <alignment vertical="center" wrapText="1"/>
    </xf>
    <xf numFmtId="0" fontId="91" fillId="0" borderId="72" xfId="3" applyFont="1" applyBorder="1" applyAlignment="1">
      <alignment vertical="center" wrapText="1"/>
    </xf>
    <xf numFmtId="0" fontId="80" fillId="23" borderId="1" xfId="3" applyFont="1" applyFill="1" applyBorder="1" applyAlignment="1">
      <alignment vertical="center"/>
    </xf>
    <xf numFmtId="0" fontId="80" fillId="8" borderId="1" xfId="3" applyFont="1" applyFill="1" applyBorder="1" applyAlignment="1">
      <alignment horizontal="center" vertical="center"/>
    </xf>
    <xf numFmtId="0" fontId="86" fillId="8" borderId="0" xfId="3" applyFont="1" applyFill="1" applyAlignment="1">
      <alignment horizontal="center" vertical="center"/>
    </xf>
    <xf numFmtId="14" fontId="87" fillId="0" borderId="0" xfId="3" applyNumberFormat="1" applyFont="1" applyAlignment="1">
      <alignment horizontal="center" vertical="center"/>
    </xf>
    <xf numFmtId="0" fontId="87" fillId="0" borderId="0" xfId="3" applyFont="1" applyAlignment="1">
      <alignment horizontal="center" vertical="center"/>
    </xf>
    <xf numFmtId="0" fontId="88" fillId="0" borderId="40" xfId="3" applyFont="1" applyBorder="1" applyAlignment="1">
      <alignment horizontal="center" vertical="center"/>
    </xf>
    <xf numFmtId="0" fontId="69" fillId="20" borderId="114" xfId="3" applyFont="1" applyFill="1" applyBorder="1" applyAlignment="1">
      <alignment horizontal="center" vertical="center" wrapText="1"/>
    </xf>
    <xf numFmtId="14" fontId="92" fillId="8" borderId="0" xfId="3" applyNumberFormat="1" applyFont="1" applyFill="1" applyAlignment="1">
      <alignment horizontal="center" vertical="center"/>
    </xf>
    <xf numFmtId="14" fontId="80" fillId="8" borderId="1" xfId="3" applyNumberFormat="1" applyFont="1" applyFill="1" applyBorder="1" applyAlignment="1">
      <alignment horizontal="center" vertical="center"/>
    </xf>
    <xf numFmtId="0" fontId="9" fillId="8" borderId="1" xfId="3" applyFill="1" applyBorder="1" applyAlignment="1">
      <alignment horizontal="center"/>
    </xf>
    <xf numFmtId="0" fontId="88" fillId="0" borderId="37" xfId="3" applyFont="1" applyBorder="1" applyAlignment="1">
      <alignment horizontal="center" vertical="center"/>
    </xf>
    <xf numFmtId="0" fontId="5" fillId="8" borderId="1" xfId="3" applyFont="1" applyFill="1" applyBorder="1" applyAlignment="1">
      <alignment horizontal="center" vertical="center"/>
    </xf>
    <xf numFmtId="0" fontId="89" fillId="23" borderId="149" xfId="3" applyFont="1" applyFill="1" applyBorder="1" applyAlignment="1">
      <alignment horizontal="center" vertical="center"/>
    </xf>
    <xf numFmtId="0" fontId="83" fillId="8" borderId="150" xfId="3" applyFont="1" applyFill="1" applyBorder="1" applyAlignment="1">
      <alignment horizontal="center" vertical="center"/>
    </xf>
    <xf numFmtId="0" fontId="94" fillId="0" borderId="41" xfId="3" applyFont="1" applyBorder="1" applyAlignment="1">
      <alignment horizontal="center" vertical="center"/>
    </xf>
    <xf numFmtId="0" fontId="69" fillId="20" borderId="117" xfId="3" applyFont="1" applyFill="1" applyBorder="1" applyAlignment="1">
      <alignment horizontal="center" vertical="center" wrapText="1"/>
    </xf>
    <xf numFmtId="0" fontId="9" fillId="26" borderId="1" xfId="3" applyFill="1" applyBorder="1"/>
    <xf numFmtId="0" fontId="9" fillId="26" borderId="3" xfId="3" applyFill="1" applyBorder="1" applyAlignment="1">
      <alignment horizontal="center"/>
    </xf>
    <xf numFmtId="0" fontId="62" fillId="8" borderId="0" xfId="3" applyFont="1" applyFill="1" applyAlignment="1">
      <alignment horizontal="center" vertical="center"/>
    </xf>
    <xf numFmtId="0" fontId="95" fillId="0" borderId="0" xfId="3" applyFont="1" applyAlignment="1">
      <alignment horizontal="center" vertical="center"/>
    </xf>
    <xf numFmtId="0" fontId="89" fillId="23" borderId="1" xfId="3" applyFont="1" applyFill="1" applyBorder="1" applyAlignment="1">
      <alignment horizontal="center" vertical="center"/>
    </xf>
    <xf numFmtId="0" fontId="83" fillId="8" borderId="153" xfId="3" applyFont="1" applyFill="1" applyBorder="1" applyAlignment="1">
      <alignment horizontal="center" vertical="center"/>
    </xf>
    <xf numFmtId="0" fontId="90" fillId="25" borderId="119" xfId="3" applyFont="1" applyFill="1" applyBorder="1" applyAlignment="1">
      <alignment vertical="center" wrapText="1"/>
    </xf>
    <xf numFmtId="0" fontId="90" fillId="25" borderId="40" xfId="3" applyFont="1" applyFill="1" applyBorder="1" applyAlignment="1">
      <alignment vertical="center" wrapText="1"/>
    </xf>
    <xf numFmtId="0" fontId="69" fillId="20" borderId="124" xfId="3" applyFont="1" applyFill="1" applyBorder="1" applyAlignment="1">
      <alignment horizontal="center" vertical="center" wrapText="1"/>
    </xf>
    <xf numFmtId="0" fontId="96" fillId="21" borderId="38" xfId="3" applyFont="1" applyFill="1" applyBorder="1" applyAlignment="1">
      <alignment horizontal="center" vertical="center" wrapText="1"/>
    </xf>
    <xf numFmtId="0" fontId="96" fillId="21" borderId="115" xfId="3" applyFont="1" applyFill="1" applyBorder="1" applyAlignment="1">
      <alignment horizontal="center" vertical="center" wrapText="1"/>
    </xf>
    <xf numFmtId="14" fontId="9" fillId="8" borderId="1" xfId="3" applyNumberFormat="1" applyFill="1" applyBorder="1"/>
    <xf numFmtId="0" fontId="86" fillId="23" borderId="45" xfId="3" applyFont="1" applyFill="1" applyBorder="1" applyAlignment="1">
      <alignment horizontal="center" vertical="center" wrapText="1" shrinkToFit="1"/>
    </xf>
    <xf numFmtId="0" fontId="86" fillId="23" borderId="154" xfId="3" applyFont="1" applyFill="1" applyBorder="1" applyAlignment="1">
      <alignment horizontal="center" vertical="center" shrinkToFit="1"/>
    </xf>
    <xf numFmtId="0" fontId="86" fillId="23" borderId="154" xfId="3" applyFont="1" applyFill="1" applyBorder="1" applyAlignment="1">
      <alignment horizontal="center" vertical="center"/>
    </xf>
    <xf numFmtId="0" fontId="86" fillId="22" borderId="155" xfId="3" applyFont="1" applyFill="1" applyBorder="1" applyAlignment="1">
      <alignment horizontal="center" vertical="center"/>
    </xf>
    <xf numFmtId="0" fontId="90" fillId="25" borderId="74" xfId="3" applyFont="1" applyFill="1" applyBorder="1" applyAlignment="1">
      <alignment vertical="center" wrapText="1"/>
    </xf>
    <xf numFmtId="0" fontId="90" fillId="25" borderId="37" xfId="3" applyFont="1" applyFill="1" applyBorder="1" applyAlignment="1">
      <alignment vertical="center" wrapText="1"/>
    </xf>
    <xf numFmtId="0" fontId="9" fillId="20" borderId="124" xfId="3" applyFill="1" applyBorder="1" applyAlignment="1">
      <alignment vertical="center" wrapText="1"/>
    </xf>
    <xf numFmtId="0" fontId="96" fillId="0" borderId="38" xfId="3" applyFont="1" applyBorder="1" applyAlignment="1">
      <alignment horizontal="center" vertical="center" wrapText="1"/>
    </xf>
    <xf numFmtId="0" fontId="35" fillId="0" borderId="38" xfId="3" applyFont="1" applyBorder="1" applyAlignment="1">
      <alignment horizontal="center" vertical="center" wrapText="1"/>
    </xf>
    <xf numFmtId="0" fontId="35" fillId="0" borderId="115" xfId="3" applyFont="1" applyBorder="1" applyAlignment="1">
      <alignment horizontal="center" vertical="center" wrapText="1"/>
    </xf>
    <xf numFmtId="0" fontId="84" fillId="8" borderId="1" xfId="3" applyFont="1" applyFill="1" applyBorder="1" applyAlignment="1">
      <alignment horizontal="center" vertical="center"/>
    </xf>
    <xf numFmtId="0" fontId="84" fillId="8" borderId="1" xfId="3" applyFont="1" applyFill="1" applyBorder="1" applyAlignment="1">
      <alignment vertical="center"/>
    </xf>
    <xf numFmtId="0" fontId="94" fillId="0" borderId="73" xfId="3" applyFont="1" applyBorder="1" applyAlignment="1">
      <alignment vertical="center" wrapText="1"/>
    </xf>
    <xf numFmtId="0" fontId="89" fillId="23" borderId="50" xfId="3" applyFont="1" applyFill="1" applyBorder="1" applyAlignment="1">
      <alignment horizontal="center" vertical="center"/>
    </xf>
    <xf numFmtId="0" fontId="83" fillId="8" borderId="159" xfId="3" applyFont="1" applyFill="1" applyBorder="1" applyAlignment="1">
      <alignment horizontal="center" vertical="center"/>
    </xf>
    <xf numFmtId="0" fontId="88" fillId="0" borderId="160" xfId="3" applyFont="1" applyBorder="1" applyAlignment="1">
      <alignment horizontal="center" vertical="center"/>
    </xf>
    <xf numFmtId="0" fontId="9" fillId="20" borderId="118" xfId="3" applyFill="1" applyBorder="1" applyAlignment="1">
      <alignment vertical="center" wrapText="1"/>
    </xf>
    <xf numFmtId="0" fontId="93" fillId="8" borderId="0" xfId="3" applyFont="1" applyFill="1" applyAlignment="1">
      <alignment vertical="center"/>
    </xf>
    <xf numFmtId="0" fontId="89" fillId="8" borderId="0" xfId="3" applyFont="1" applyFill="1" applyAlignment="1">
      <alignment horizontal="center" vertical="center"/>
    </xf>
    <xf numFmtId="0" fontId="83" fillId="8" borderId="0" xfId="3" applyFont="1" applyFill="1" applyAlignment="1">
      <alignment horizontal="center" vertical="center"/>
    </xf>
    <xf numFmtId="0" fontId="101" fillId="0" borderId="73" xfId="3" applyFont="1" applyBorder="1" applyAlignment="1">
      <alignment vertical="center" wrapText="1"/>
    </xf>
    <xf numFmtId="0" fontId="69" fillId="20" borderId="118" xfId="3" applyFont="1" applyFill="1" applyBorder="1" applyAlignment="1">
      <alignment horizontal="center" vertical="center" wrapText="1"/>
    </xf>
    <xf numFmtId="0" fontId="88" fillId="0" borderId="38" xfId="3" applyFont="1" applyBorder="1" applyAlignment="1">
      <alignment horizontal="center" vertical="center"/>
    </xf>
    <xf numFmtId="0" fontId="63" fillId="17" borderId="38" xfId="3" applyFont="1" applyFill="1" applyBorder="1" applyAlignment="1">
      <alignment horizontal="center" vertical="center" wrapText="1"/>
    </xf>
    <xf numFmtId="0" fontId="63" fillId="17" borderId="41" xfId="3" applyFont="1" applyFill="1" applyBorder="1" applyAlignment="1">
      <alignment vertical="center" wrapText="1"/>
    </xf>
    <xf numFmtId="0" fontId="63" fillId="17" borderId="72" xfId="3" applyFont="1" applyFill="1" applyBorder="1" applyAlignment="1">
      <alignment vertical="center" wrapText="1"/>
    </xf>
    <xf numFmtId="0" fontId="63" fillId="17" borderId="73" xfId="3" applyFont="1" applyFill="1" applyBorder="1" applyAlignment="1">
      <alignment vertical="center" wrapText="1"/>
    </xf>
    <xf numFmtId="0" fontId="103" fillId="0" borderId="38" xfId="3" applyFont="1" applyBorder="1" applyAlignment="1">
      <alignment horizontal="justify" vertical="center"/>
    </xf>
    <xf numFmtId="0" fontId="63" fillId="25" borderId="39" xfId="3" applyFont="1" applyFill="1" applyBorder="1" applyAlignment="1">
      <alignment horizontal="center" vertical="center" wrapText="1"/>
    </xf>
    <xf numFmtId="0" fontId="63" fillId="25" borderId="41" xfId="3" applyFont="1" applyFill="1" applyBorder="1" applyAlignment="1">
      <alignment vertical="center" wrapText="1"/>
    </xf>
    <xf numFmtId="0" fontId="63" fillId="25" borderId="72" xfId="3" applyFont="1" applyFill="1" applyBorder="1" applyAlignment="1">
      <alignment vertical="center" wrapText="1"/>
    </xf>
    <xf numFmtId="0" fontId="91" fillId="0" borderId="38" xfId="3" applyFont="1" applyBorder="1" applyAlignment="1">
      <alignment horizontal="center" vertical="center" wrapText="1"/>
    </xf>
    <xf numFmtId="0" fontId="9" fillId="0" borderId="37" xfId="3" applyBorder="1" applyAlignment="1">
      <alignment vertical="center"/>
    </xf>
    <xf numFmtId="0" fontId="63" fillId="25" borderId="164" xfId="3" applyFont="1" applyFill="1" applyBorder="1" applyAlignment="1">
      <alignment horizontal="center" vertical="center" wrapText="1"/>
    </xf>
    <xf numFmtId="0" fontId="63" fillId="25" borderId="119" xfId="3" applyFont="1" applyFill="1" applyBorder="1" applyAlignment="1">
      <alignment vertical="center" wrapText="1"/>
    </xf>
    <xf numFmtId="0" fontId="63" fillId="25" borderId="40" xfId="3" applyFont="1" applyFill="1" applyBorder="1" applyAlignment="1">
      <alignment vertical="center" wrapText="1"/>
    </xf>
    <xf numFmtId="0" fontId="91" fillId="0" borderId="119" xfId="3" applyFont="1" applyBorder="1" applyAlignment="1">
      <alignment vertical="center" wrapText="1"/>
    </xf>
    <xf numFmtId="0" fontId="91" fillId="0" borderId="40" xfId="3" applyFont="1" applyBorder="1" applyAlignment="1">
      <alignment vertical="center" wrapText="1"/>
    </xf>
    <xf numFmtId="0" fontId="104" fillId="0" borderId="119" xfId="3" applyFont="1" applyBorder="1" applyAlignment="1">
      <alignment vertical="center" wrapText="1"/>
    </xf>
    <xf numFmtId="0" fontId="104" fillId="0" borderId="40" xfId="3" applyFont="1" applyBorder="1" applyAlignment="1">
      <alignment vertical="center" wrapText="1"/>
    </xf>
    <xf numFmtId="0" fontId="91" fillId="0" borderId="39" xfId="3" applyFont="1" applyBorder="1" applyAlignment="1">
      <alignment horizontal="center" vertical="center" wrapText="1"/>
    </xf>
    <xf numFmtId="0" fontId="9" fillId="25" borderId="164" xfId="3" applyFill="1" applyBorder="1" applyAlignment="1">
      <alignment vertical="center" wrapText="1"/>
    </xf>
    <xf numFmtId="0" fontId="63" fillId="25" borderId="74" xfId="3" applyFont="1" applyFill="1" applyBorder="1" applyAlignment="1">
      <alignment vertical="center" wrapText="1"/>
    </xf>
    <xf numFmtId="0" fontId="63" fillId="25" borderId="37" xfId="3" applyFont="1" applyFill="1" applyBorder="1" applyAlignment="1">
      <alignment vertical="center" wrapText="1"/>
    </xf>
    <xf numFmtId="0" fontId="91" fillId="0" borderId="74" xfId="3" applyFont="1" applyBorder="1" applyAlignment="1">
      <alignment vertical="center" wrapText="1"/>
    </xf>
    <xf numFmtId="0" fontId="91" fillId="0" borderId="37" xfId="3" applyFont="1" applyBorder="1" applyAlignment="1">
      <alignment vertical="center" wrapText="1"/>
    </xf>
    <xf numFmtId="0" fontId="104" fillId="0" borderId="74" xfId="3" applyFont="1" applyBorder="1" applyAlignment="1">
      <alignment vertical="center" wrapText="1"/>
    </xf>
    <xf numFmtId="0" fontId="104" fillId="0" borderId="37" xfId="3" applyFont="1" applyBorder="1" applyAlignment="1">
      <alignment vertical="center" wrapText="1"/>
    </xf>
    <xf numFmtId="0" fontId="91" fillId="0" borderId="165" xfId="3" applyFont="1" applyBorder="1" applyAlignment="1">
      <alignment horizontal="center" vertical="center" wrapText="1"/>
    </xf>
    <xf numFmtId="0" fontId="91" fillId="0" borderId="42" xfId="3" applyFont="1" applyBorder="1" applyAlignment="1">
      <alignment vertical="center" wrapText="1"/>
    </xf>
    <xf numFmtId="0" fontId="88" fillId="0" borderId="41" xfId="3" applyFont="1" applyBorder="1" applyAlignment="1">
      <alignment horizontal="justify" vertical="center"/>
    </xf>
    <xf numFmtId="0" fontId="91" fillId="0" borderId="68" xfId="3" applyFont="1" applyBorder="1" applyAlignment="1">
      <alignment vertical="center" wrapText="1"/>
    </xf>
    <xf numFmtId="0" fontId="9" fillId="25" borderId="165" xfId="3" applyFill="1" applyBorder="1" applyAlignment="1">
      <alignment vertical="center" wrapText="1"/>
    </xf>
    <xf numFmtId="0" fontId="91" fillId="0" borderId="38" xfId="3" applyFont="1" applyBorder="1" applyAlignment="1">
      <alignment vertical="center" wrapText="1"/>
    </xf>
    <xf numFmtId="0" fontId="91" fillId="0" borderId="39" xfId="3" applyFont="1" applyBorder="1" applyAlignment="1">
      <alignment vertical="center" wrapText="1"/>
    </xf>
    <xf numFmtId="0" fontId="91" fillId="0" borderId="165" xfId="3" applyFont="1" applyBorder="1" applyAlignment="1">
      <alignment vertical="center" wrapText="1"/>
    </xf>
    <xf numFmtId="0" fontId="62" fillId="22" borderId="1" xfId="3" applyFont="1" applyFill="1" applyBorder="1" applyAlignment="1">
      <alignment horizontal="center" vertical="center"/>
    </xf>
    <xf numFmtId="0" fontId="62" fillId="22" borderId="1" xfId="3" applyFont="1" applyFill="1" applyBorder="1" applyAlignment="1">
      <alignment vertical="center"/>
    </xf>
    <xf numFmtId="0" fontId="107" fillId="18" borderId="1" xfId="2" applyFont="1" applyBorder="1" applyAlignment="1">
      <alignment horizontal="center" vertical="center"/>
    </xf>
    <xf numFmtId="0" fontId="107" fillId="18" borderId="1" xfId="2" applyFont="1" applyBorder="1" applyAlignment="1">
      <alignment vertical="center"/>
    </xf>
    <xf numFmtId="0" fontId="84" fillId="8" borderId="3" xfId="3" applyFont="1" applyFill="1" applyBorder="1" applyAlignment="1">
      <alignment vertical="center"/>
    </xf>
    <xf numFmtId="0" fontId="108" fillId="8" borderId="0" xfId="3" applyFont="1" applyFill="1"/>
    <xf numFmtId="0" fontId="109" fillId="18" borderId="1" xfId="2" applyFont="1" applyBorder="1" applyAlignment="1">
      <alignment horizontal="center" vertical="center"/>
    </xf>
    <xf numFmtId="0" fontId="109" fillId="18" borderId="1" xfId="2" applyFont="1" applyBorder="1" applyAlignment="1">
      <alignment vertical="center"/>
    </xf>
    <xf numFmtId="176" fontId="5" fillId="2" borderId="4" xfId="0" applyNumberFormat="1" applyFont="1" applyFill="1" applyBorder="1" applyAlignment="1">
      <alignment horizontal="left" vertical="center"/>
    </xf>
    <xf numFmtId="0" fontId="81" fillId="0" borderId="0" xfId="0" applyFont="1" applyAlignment="1">
      <alignment vertical="center" wrapText="1"/>
    </xf>
    <xf numFmtId="0" fontId="45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4" fillId="2" borderId="44" xfId="0" applyFont="1" applyFill="1" applyBorder="1" applyAlignment="1">
      <alignment horizontal="left" vertical="center"/>
    </xf>
    <xf numFmtId="0" fontId="4" fillId="2" borderId="166" xfId="0" applyFont="1" applyFill="1" applyBorder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0" fontId="5" fillId="2" borderId="7" xfId="0" applyFont="1" applyFill="1" applyBorder="1" applyAlignment="1">
      <alignment horizontal="left" vertical="center"/>
    </xf>
    <xf numFmtId="0" fontId="5" fillId="2" borderId="51" xfId="0" applyFont="1" applyFill="1" applyBorder="1" applyAlignment="1">
      <alignment horizontal="left" vertical="center"/>
    </xf>
    <xf numFmtId="0" fontId="17" fillId="6" borderId="1" xfId="0" applyFont="1" applyFill="1" applyBorder="1" applyAlignment="1">
      <alignment vertical="center"/>
    </xf>
    <xf numFmtId="0" fontId="111" fillId="30" borderId="3" xfId="0" applyFont="1" applyFill="1" applyBorder="1" applyAlignment="1">
      <alignment horizontal="center" vertical="center" wrapText="1"/>
    </xf>
    <xf numFmtId="0" fontId="111" fillId="30" borderId="7" xfId="0" applyFont="1" applyFill="1" applyBorder="1" applyAlignment="1">
      <alignment horizontal="center" vertical="center" wrapText="1"/>
    </xf>
    <xf numFmtId="178" fontId="7" fillId="0" borderId="5" xfId="0" applyNumberFormat="1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111" fillId="14" borderId="48" xfId="0" applyFont="1" applyFill="1" applyBorder="1" applyAlignment="1">
      <alignment vertical="center"/>
    </xf>
    <xf numFmtId="0" fontId="111" fillId="14" borderId="1" xfId="0" applyFont="1" applyFill="1" applyBorder="1" applyAlignment="1">
      <alignment vertical="center"/>
    </xf>
    <xf numFmtId="0" fontId="5" fillId="2" borderId="4" xfId="0" applyFont="1" applyFill="1" applyBorder="1" applyAlignment="1">
      <alignment horizontal="left" vertical="center"/>
    </xf>
    <xf numFmtId="0" fontId="111" fillId="14" borderId="3" xfId="0" applyFont="1" applyFill="1" applyBorder="1" applyAlignment="1">
      <alignment vertical="center"/>
    </xf>
    <xf numFmtId="0" fontId="111" fillId="14" borderId="50" xfId="0" applyFont="1" applyFill="1" applyBorder="1" applyAlignment="1">
      <alignment vertical="center"/>
    </xf>
    <xf numFmtId="0" fontId="7" fillId="0" borderId="4" xfId="0" applyFont="1" applyBorder="1"/>
    <xf numFmtId="0" fontId="111" fillId="30" borderId="48" xfId="0" applyFont="1" applyFill="1" applyBorder="1" applyAlignment="1">
      <alignment horizontal="left" vertical="center"/>
    </xf>
    <xf numFmtId="0" fontId="111" fillId="30" borderId="1" xfId="0" applyFont="1" applyFill="1" applyBorder="1" applyAlignment="1">
      <alignment horizontal="left" vertical="center"/>
    </xf>
    <xf numFmtId="0" fontId="111" fillId="30" borderId="1" xfId="0" applyFont="1" applyFill="1" applyBorder="1" applyAlignment="1">
      <alignment horizontal="left" vertical="center" wrapText="1"/>
    </xf>
    <xf numFmtId="0" fontId="111" fillId="30" borderId="3" xfId="0" applyFont="1" applyFill="1" applyBorder="1" applyAlignment="1">
      <alignment horizontal="left" vertical="center"/>
    </xf>
    <xf numFmtId="0" fontId="111" fillId="30" borderId="50" xfId="0" applyFont="1" applyFill="1" applyBorder="1" applyAlignment="1">
      <alignment horizontal="left" vertical="center"/>
    </xf>
    <xf numFmtId="0" fontId="111" fillId="30" borderId="48" xfId="0" applyFont="1" applyFill="1" applyBorder="1" applyAlignment="1">
      <alignment vertical="center"/>
    </xf>
    <xf numFmtId="0" fontId="111" fillId="30" borderId="1" xfId="0" applyFont="1" applyFill="1" applyBorder="1" applyAlignment="1">
      <alignment vertical="center"/>
    </xf>
    <xf numFmtId="0" fontId="111" fillId="30" borderId="1" xfId="0" applyFont="1" applyFill="1" applyBorder="1" applyAlignment="1">
      <alignment vertical="center" wrapText="1"/>
    </xf>
    <xf numFmtId="176" fontId="5" fillId="2" borderId="7" xfId="0" applyNumberFormat="1" applyFont="1" applyFill="1" applyBorder="1" applyAlignment="1">
      <alignment horizontal="left" vertical="center"/>
    </xf>
    <xf numFmtId="0" fontId="111" fillId="30" borderId="3" xfId="0" applyFont="1" applyFill="1" applyBorder="1" applyAlignment="1">
      <alignment vertical="center"/>
    </xf>
    <xf numFmtId="0" fontId="111" fillId="30" borderId="50" xfId="0" applyFont="1" applyFill="1" applyBorder="1" applyAlignment="1">
      <alignment vertical="center"/>
    </xf>
    <xf numFmtId="178" fontId="7" fillId="0" borderId="166" xfId="0" applyNumberFormat="1" applyFont="1" applyBorder="1" applyAlignment="1">
      <alignment horizontal="center" vertical="center"/>
    </xf>
    <xf numFmtId="0" fontId="7" fillId="0" borderId="166" xfId="0" applyFont="1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7" fillId="0" borderId="50" xfId="0" applyFont="1" applyBorder="1" applyAlignment="1">
      <alignment horizontal="center" vertical="center"/>
    </xf>
    <xf numFmtId="0" fontId="7" fillId="0" borderId="50" xfId="0" applyFont="1" applyBorder="1" applyAlignment="1">
      <alignment horizontal="center"/>
    </xf>
    <xf numFmtId="178" fontId="7" fillId="0" borderId="1" xfId="0" applyNumberFormat="1" applyFont="1" applyBorder="1" applyAlignment="1">
      <alignment horizontal="center" vertical="center"/>
    </xf>
    <xf numFmtId="178" fontId="7" fillId="0" borderId="50" xfId="0" applyNumberFormat="1" applyFont="1" applyBorder="1" applyAlignment="1">
      <alignment horizontal="center" vertical="center"/>
    </xf>
    <xf numFmtId="0" fontId="4" fillId="30" borderId="3" xfId="0" applyFont="1" applyFill="1" applyBorder="1" applyAlignment="1">
      <alignment horizontal="center" vertical="center"/>
    </xf>
    <xf numFmtId="0" fontId="4" fillId="30" borderId="7" xfId="0" applyFont="1" applyFill="1" applyBorder="1" applyAlignment="1">
      <alignment horizontal="center" vertical="center"/>
    </xf>
    <xf numFmtId="0" fontId="17" fillId="0" borderId="183" xfId="0" applyFont="1" applyBorder="1" applyAlignment="1">
      <alignment horizontal="justify" vertical="center" wrapText="1"/>
    </xf>
    <xf numFmtId="0" fontId="122" fillId="0" borderId="65" xfId="0" applyFont="1" applyBorder="1" applyAlignment="1">
      <alignment horizontal="right" vertical="center" wrapText="1"/>
    </xf>
    <xf numFmtId="0" fontId="17" fillId="0" borderId="173" xfId="0" applyFont="1" applyBorder="1" applyAlignment="1">
      <alignment vertical="center" wrapText="1"/>
    </xf>
    <xf numFmtId="0" fontId="17" fillId="0" borderId="172" xfId="0" applyFont="1" applyBorder="1" applyAlignment="1">
      <alignment vertical="center" wrapText="1"/>
    </xf>
    <xf numFmtId="0" fontId="138" fillId="29" borderId="45" xfId="0" applyFont="1" applyFill="1" applyBorder="1" applyAlignment="1">
      <alignment horizontal="center"/>
    </xf>
    <xf numFmtId="0" fontId="17" fillId="0" borderId="171" xfId="0" applyFont="1" applyBorder="1" applyAlignment="1">
      <alignment horizontal="justify" vertical="center" wrapText="1"/>
    </xf>
    <xf numFmtId="0" fontId="17" fillId="0" borderId="174" xfId="0" applyFont="1" applyBorder="1" applyAlignment="1">
      <alignment horizontal="justify" vertical="center" wrapText="1"/>
    </xf>
    <xf numFmtId="0" fontId="17" fillId="0" borderId="172" xfId="0" applyFont="1" applyBorder="1" applyAlignment="1">
      <alignment horizontal="justify" vertical="center" wrapText="1"/>
    </xf>
    <xf numFmtId="0" fontId="17" fillId="0" borderId="178" xfId="0" applyFont="1" applyBorder="1" applyAlignment="1">
      <alignment horizontal="justify" vertical="center" wrapText="1"/>
    </xf>
    <xf numFmtId="0" fontId="17" fillId="0" borderId="179" xfId="0" applyFont="1" applyBorder="1" applyAlignment="1">
      <alignment horizontal="justify" vertical="center" wrapText="1"/>
    </xf>
    <xf numFmtId="0" fontId="17" fillId="0" borderId="181" xfId="0" applyFont="1" applyBorder="1" applyAlignment="1">
      <alignment horizontal="justify" vertical="center" wrapText="1"/>
    </xf>
    <xf numFmtId="0" fontId="17" fillId="0" borderId="176" xfId="0" applyFont="1" applyBorder="1" applyAlignment="1">
      <alignment horizontal="justify" vertical="center" wrapText="1"/>
    </xf>
    <xf numFmtId="0" fontId="17" fillId="0" borderId="182" xfId="0" applyFont="1" applyBorder="1" applyAlignment="1">
      <alignment horizontal="justify" vertical="center" wrapText="1"/>
    </xf>
    <xf numFmtId="0" fontId="17" fillId="0" borderId="185" xfId="0" applyFont="1" applyBorder="1" applyAlignment="1">
      <alignment horizontal="center" vertical="center" wrapText="1"/>
    </xf>
    <xf numFmtId="0" fontId="46" fillId="0" borderId="181" xfId="0" applyFont="1" applyBorder="1" applyAlignment="1">
      <alignment horizontal="justify" vertical="center" wrapText="1"/>
    </xf>
    <xf numFmtId="0" fontId="46" fillId="0" borderId="172" xfId="0" applyFont="1" applyBorder="1" applyAlignment="1">
      <alignment horizontal="justify" vertical="center" wrapText="1"/>
    </xf>
    <xf numFmtId="0" fontId="143" fillId="0" borderId="179" xfId="0" applyFont="1" applyBorder="1" applyAlignment="1">
      <alignment horizontal="center" vertical="center" wrapText="1"/>
    </xf>
    <xf numFmtId="0" fontId="145" fillId="0" borderId="0" xfId="0" applyFont="1" applyAlignment="1">
      <alignment horizontal="right" vertical="center" wrapText="1"/>
    </xf>
    <xf numFmtId="0" fontId="138" fillId="29" borderId="155" xfId="0" applyFont="1" applyFill="1" applyBorder="1" applyAlignment="1">
      <alignment horizontal="center" vertical="center"/>
    </xf>
    <xf numFmtId="0" fontId="121" fillId="0" borderId="76" xfId="0" applyFont="1" applyBorder="1" applyAlignment="1">
      <alignment horizontal="center" vertical="center" wrapText="1"/>
    </xf>
    <xf numFmtId="0" fontId="121" fillId="0" borderId="64" xfId="0" applyFont="1" applyBorder="1" applyAlignment="1">
      <alignment horizontal="center" vertical="center" wrapText="1"/>
    </xf>
    <xf numFmtId="0" fontId="148" fillId="0" borderId="5" xfId="0" applyFont="1" applyBorder="1" applyAlignment="1">
      <alignment horizontal="center" vertical="center"/>
    </xf>
    <xf numFmtId="0" fontId="148" fillId="0" borderId="166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 wrapText="1"/>
    </xf>
    <xf numFmtId="0" fontId="5" fillId="2" borderId="48" xfId="0" applyFont="1" applyFill="1" applyBorder="1" applyAlignment="1">
      <alignment horizontal="left" vertical="center"/>
    </xf>
    <xf numFmtId="0" fontId="15" fillId="13" borderId="45" xfId="0" applyFont="1" applyFill="1" applyBorder="1" applyAlignment="1">
      <alignment horizontal="center" vertical="center"/>
    </xf>
    <xf numFmtId="49" fontId="17" fillId="0" borderId="0" xfId="0" applyNumberFormat="1" applyFont="1"/>
    <xf numFmtId="49" fontId="0" fillId="0" borderId="0" xfId="0" applyNumberFormat="1"/>
    <xf numFmtId="0" fontId="41" fillId="0" borderId="6" xfId="0" applyFont="1" applyBorder="1" applyAlignment="1">
      <alignment horizontal="center" vertical="center"/>
    </xf>
    <xf numFmtId="49" fontId="143" fillId="0" borderId="179" xfId="0" applyNumberFormat="1" applyFont="1" applyBorder="1" applyAlignment="1">
      <alignment horizontal="center" vertical="center" wrapText="1"/>
    </xf>
    <xf numFmtId="0" fontId="46" fillId="0" borderId="194" xfId="0" applyFont="1" applyBorder="1" applyAlignment="1">
      <alignment vertical="center" wrapText="1"/>
    </xf>
    <xf numFmtId="0" fontId="48" fillId="5" borderId="4" xfId="0" applyFont="1" applyFill="1" applyBorder="1" applyAlignment="1">
      <alignment horizontal="center" vertical="center"/>
    </xf>
    <xf numFmtId="0" fontId="5" fillId="2" borderId="50" xfId="0" applyFont="1" applyFill="1" applyBorder="1" applyAlignment="1">
      <alignment horizontal="left" vertical="center"/>
    </xf>
    <xf numFmtId="0" fontId="5" fillId="2" borderId="3" xfId="0" applyFont="1" applyFill="1" applyBorder="1" applyAlignment="1">
      <alignment horizontal="left" vertical="center"/>
    </xf>
    <xf numFmtId="0" fontId="173" fillId="17" borderId="38" xfId="0" applyFont="1" applyFill="1" applyBorder="1" applyAlignment="1">
      <alignment horizontal="center" vertical="center" wrapText="1"/>
    </xf>
    <xf numFmtId="0" fontId="174" fillId="25" borderId="39" xfId="0" applyFont="1" applyFill="1" applyBorder="1" applyAlignment="1">
      <alignment horizontal="center" vertical="center" wrapText="1"/>
    </xf>
    <xf numFmtId="0" fontId="174" fillId="25" borderId="164" xfId="0" applyFont="1" applyFill="1" applyBorder="1" applyAlignment="1">
      <alignment horizontal="center" vertical="center" wrapText="1"/>
    </xf>
    <xf numFmtId="0" fontId="0" fillId="25" borderId="164" xfId="0" applyFill="1" applyBorder="1" applyAlignment="1">
      <alignment vertical="center" wrapText="1"/>
    </xf>
    <xf numFmtId="0" fontId="0" fillId="25" borderId="165" xfId="0" applyFill="1" applyBorder="1" applyAlignment="1">
      <alignment vertical="center" wrapText="1"/>
    </xf>
    <xf numFmtId="0" fontId="17" fillId="0" borderId="0" xfId="5" applyAlignment="1">
      <alignment vertical="center"/>
    </xf>
    <xf numFmtId="0" fontId="17" fillId="0" borderId="0" xfId="5"/>
    <xf numFmtId="0" fontId="5" fillId="2" borderId="51" xfId="5" applyFont="1" applyFill="1" applyBorder="1" applyAlignment="1">
      <alignment horizontal="left" vertical="center"/>
    </xf>
    <xf numFmtId="0" fontId="5" fillId="2" borderId="4" xfId="5" applyFont="1" applyFill="1" applyBorder="1" applyAlignment="1">
      <alignment horizontal="left" vertical="center"/>
    </xf>
    <xf numFmtId="0" fontId="114" fillId="0" borderId="0" xfId="5" applyFont="1" applyAlignment="1">
      <alignment horizontal="center" vertical="center"/>
    </xf>
    <xf numFmtId="0" fontId="179" fillId="0" borderId="44" xfId="5" applyFont="1" applyBorder="1" applyAlignment="1">
      <alignment horizontal="center" vertical="center"/>
    </xf>
    <xf numFmtId="0" fontId="7" fillId="0" borderId="151" xfId="5" applyFont="1" applyBorder="1" applyAlignment="1">
      <alignment horizontal="center" vertical="center"/>
    </xf>
    <xf numFmtId="0" fontId="128" fillId="0" borderId="3" xfId="5" applyFont="1" applyBorder="1" applyAlignment="1">
      <alignment vertical="center"/>
    </xf>
    <xf numFmtId="0" fontId="17" fillId="8" borderId="22" xfId="5" applyFill="1" applyBorder="1" applyAlignment="1">
      <alignment horizontal="center" vertical="center"/>
    </xf>
    <xf numFmtId="0" fontId="128" fillId="0" borderId="1" xfId="5" applyFont="1" applyBorder="1" applyAlignment="1">
      <alignment vertical="center"/>
    </xf>
    <xf numFmtId="0" fontId="7" fillId="22" borderId="151" xfId="5" applyFont="1" applyFill="1" applyBorder="1" applyAlignment="1">
      <alignment horizontal="center" vertical="center"/>
    </xf>
    <xf numFmtId="0" fontId="17" fillId="0" borderId="5" xfId="5" applyBorder="1" applyAlignment="1">
      <alignment vertical="center"/>
    </xf>
    <xf numFmtId="0" fontId="17" fillId="0" borderId="22" xfId="5" applyBorder="1" applyAlignment="1">
      <alignment vertical="center"/>
    </xf>
    <xf numFmtId="0" fontId="17" fillId="0" borderId="4" xfId="5" applyBorder="1" applyAlignment="1">
      <alignment vertical="center"/>
    </xf>
    <xf numFmtId="0" fontId="17" fillId="0" borderId="1" xfId="5" applyBorder="1" applyAlignment="1">
      <alignment vertical="center"/>
    </xf>
    <xf numFmtId="0" fontId="125" fillId="29" borderId="22" xfId="5" applyFont="1" applyFill="1" applyBorder="1" applyAlignment="1">
      <alignment vertical="center"/>
    </xf>
    <xf numFmtId="0" fontId="17" fillId="0" borderId="0" xfId="5" applyAlignment="1">
      <alignment horizontal="left" vertical="center"/>
    </xf>
    <xf numFmtId="0" fontId="17" fillId="0" borderId="49" xfId="5" applyBorder="1" applyAlignment="1">
      <alignment vertical="center"/>
    </xf>
    <xf numFmtId="0" fontId="17" fillId="0" borderId="3" xfId="5" applyBorder="1" applyAlignment="1">
      <alignment vertical="center"/>
    </xf>
    <xf numFmtId="0" fontId="125" fillId="29" borderId="143" xfId="5" applyFont="1" applyFill="1" applyBorder="1" applyAlignment="1">
      <alignment vertical="center"/>
    </xf>
    <xf numFmtId="0" fontId="125" fillId="33" borderId="139" xfId="5" applyFont="1" applyFill="1" applyBorder="1" applyAlignment="1">
      <alignment horizontal="center" vertical="center"/>
    </xf>
    <xf numFmtId="0" fontId="125" fillId="33" borderId="155" xfId="5" applyFont="1" applyFill="1" applyBorder="1" applyAlignment="1">
      <alignment horizontal="center" vertical="center"/>
    </xf>
    <xf numFmtId="0" fontId="183" fillId="8" borderId="0" xfId="5" applyFont="1" applyFill="1" applyAlignment="1">
      <alignment vertical="center"/>
    </xf>
    <xf numFmtId="0" fontId="17" fillId="8" borderId="0" xfId="5" applyFill="1" applyAlignment="1">
      <alignment vertical="center"/>
    </xf>
    <xf numFmtId="0" fontId="126" fillId="0" borderId="0" xfId="5" applyFont="1" applyAlignment="1">
      <alignment vertical="center"/>
    </xf>
    <xf numFmtId="0" fontId="126" fillId="0" borderId="142" xfId="5" applyFont="1" applyBorder="1" applyAlignment="1">
      <alignment vertical="center"/>
    </xf>
    <xf numFmtId="0" fontId="17" fillId="8" borderId="45" xfId="5" applyFill="1" applyBorder="1" applyAlignment="1">
      <alignment vertical="center"/>
    </xf>
    <xf numFmtId="0" fontId="17" fillId="0" borderId="4" xfId="5" applyBorder="1" applyAlignment="1">
      <alignment horizontal="center" vertical="center"/>
    </xf>
    <xf numFmtId="0" fontId="17" fillId="0" borderId="22" xfId="5" applyBorder="1" applyAlignment="1">
      <alignment horizontal="center" vertical="center"/>
    </xf>
    <xf numFmtId="0" fontId="125" fillId="33" borderId="142" xfId="5" applyFont="1" applyFill="1" applyBorder="1" applyAlignment="1">
      <alignment horizontal="center" vertical="center"/>
    </xf>
    <xf numFmtId="0" fontId="125" fillId="33" borderId="203" xfId="5" applyFont="1" applyFill="1" applyBorder="1" applyAlignment="1">
      <alignment horizontal="center" vertical="center"/>
    </xf>
    <xf numFmtId="0" fontId="35" fillId="0" borderId="19" xfId="5" applyFont="1" applyBorder="1" applyAlignment="1">
      <alignment horizontal="left" vertical="center"/>
    </xf>
    <xf numFmtId="0" fontId="17" fillId="0" borderId="19" xfId="5" applyBorder="1" applyAlignment="1">
      <alignment horizontal="left" vertical="center"/>
    </xf>
    <xf numFmtId="0" fontId="17" fillId="0" borderId="141" xfId="5" applyBorder="1" applyAlignment="1">
      <alignment horizontal="left" vertical="center"/>
    </xf>
    <xf numFmtId="0" fontId="17" fillId="0" borderId="5" xfId="5" applyBorder="1" applyAlignment="1">
      <alignment horizontal="left" vertical="center"/>
    </xf>
    <xf numFmtId="0" fontId="111" fillId="14" borderId="4" xfId="5" applyFont="1" applyFill="1" applyBorder="1" applyAlignment="1">
      <alignment horizontal="left" vertical="center"/>
    </xf>
    <xf numFmtId="0" fontId="15" fillId="13" borderId="167" xfId="5" applyFont="1" applyFill="1" applyBorder="1" applyAlignment="1">
      <alignment horizontal="center" vertical="center"/>
    </xf>
    <xf numFmtId="0" fontId="15" fillId="13" borderId="154" xfId="5" applyFont="1" applyFill="1" applyBorder="1" applyAlignment="1">
      <alignment horizontal="center" vertical="center"/>
    </xf>
    <xf numFmtId="0" fontId="15" fillId="13" borderId="47" xfId="5" applyFont="1" applyFill="1" applyBorder="1" applyAlignment="1">
      <alignment horizontal="center" vertical="center"/>
    </xf>
    <xf numFmtId="0" fontId="111" fillId="14" borderId="49" xfId="5" applyFont="1" applyFill="1" applyBorder="1" applyAlignment="1">
      <alignment horizontal="left" vertical="center"/>
    </xf>
    <xf numFmtId="0" fontId="111" fillId="14" borderId="51" xfId="5" applyFont="1" applyFill="1" applyBorder="1" applyAlignment="1">
      <alignment horizontal="left" vertical="center"/>
    </xf>
    <xf numFmtId="0" fontId="5" fillId="2" borderId="166" xfId="5" applyFont="1" applyFill="1" applyBorder="1" applyAlignment="1">
      <alignment horizontal="center" vertical="center"/>
    </xf>
    <xf numFmtId="0" fontId="5" fillId="2" borderId="44" xfId="5" applyFont="1" applyFill="1" applyBorder="1" applyAlignment="1">
      <alignment horizontal="center" vertical="center"/>
    </xf>
    <xf numFmtId="0" fontId="111" fillId="14" borderId="44" xfId="5" applyFont="1" applyFill="1" applyBorder="1" applyAlignment="1">
      <alignment horizontal="center" vertical="center"/>
    </xf>
    <xf numFmtId="0" fontId="17" fillId="0" borderId="0" xfId="5" applyAlignment="1">
      <alignment horizontal="center" vertical="center"/>
    </xf>
    <xf numFmtId="0" fontId="78" fillId="0" borderId="38" xfId="0" applyFont="1" applyBorder="1" applyAlignment="1">
      <alignment horizontal="center" vertical="center" wrapText="1"/>
    </xf>
    <xf numFmtId="0" fontId="189" fillId="14" borderId="3" xfId="0" applyFont="1" applyFill="1" applyBorder="1" applyAlignment="1">
      <alignment vertical="center"/>
    </xf>
    <xf numFmtId="0" fontId="187" fillId="14" borderId="3" xfId="0" applyFont="1" applyFill="1" applyBorder="1" applyAlignment="1">
      <alignment vertical="center"/>
    </xf>
    <xf numFmtId="0" fontId="190" fillId="2" borderId="3" xfId="0" applyFont="1" applyFill="1" applyBorder="1" applyAlignment="1">
      <alignment horizontal="left" vertical="center"/>
    </xf>
    <xf numFmtId="0" fontId="48" fillId="5" borderId="1" xfId="5" applyFont="1" applyFill="1" applyBorder="1" applyAlignment="1">
      <alignment horizontal="center" vertical="center"/>
    </xf>
    <xf numFmtId="0" fontId="17" fillId="0" borderId="46" xfId="5" applyBorder="1" applyAlignment="1">
      <alignment vertical="center"/>
    </xf>
    <xf numFmtId="178" fontId="122" fillId="2" borderId="51" xfId="5" applyNumberFormat="1" applyFont="1" applyFill="1" applyBorder="1" applyAlignment="1">
      <alignment horizontal="left" vertical="center"/>
    </xf>
    <xf numFmtId="0" fontId="121" fillId="14" borderId="50" xfId="5" applyFont="1" applyFill="1" applyBorder="1" applyAlignment="1">
      <alignment vertical="center"/>
    </xf>
    <xf numFmtId="176" fontId="122" fillId="2" borderId="20" xfId="5" applyNumberFormat="1" applyFont="1" applyFill="1" applyBorder="1" applyAlignment="1">
      <alignment horizontal="left" vertical="center"/>
    </xf>
    <xf numFmtId="0" fontId="161" fillId="14" borderId="6" xfId="5" applyFont="1" applyFill="1" applyBorder="1" applyAlignment="1">
      <alignment vertical="center"/>
    </xf>
    <xf numFmtId="0" fontId="121" fillId="14" borderId="6" xfId="5" applyFont="1" applyFill="1" applyBorder="1" applyAlignment="1">
      <alignment vertical="center"/>
    </xf>
    <xf numFmtId="176" fontId="5" fillId="2" borderId="5" xfId="5" applyNumberFormat="1" applyFont="1" applyFill="1" applyBorder="1" applyAlignment="1">
      <alignment vertical="center" wrapText="1"/>
    </xf>
    <xf numFmtId="0" fontId="111" fillId="14" borderId="1" xfId="5" applyFont="1" applyFill="1" applyBorder="1" applyAlignment="1">
      <alignment vertical="center"/>
    </xf>
    <xf numFmtId="176" fontId="122" fillId="2" borderId="4" xfId="5" applyNumberFormat="1" applyFont="1" applyFill="1" applyBorder="1" applyAlignment="1">
      <alignment horizontal="left" vertical="center"/>
    </xf>
    <xf numFmtId="0" fontId="121" fillId="14" borderId="1" xfId="5" applyFont="1" applyFill="1" applyBorder="1" applyAlignment="1">
      <alignment vertical="center"/>
    </xf>
    <xf numFmtId="178" fontId="122" fillId="2" borderId="4" xfId="5" applyNumberFormat="1" applyFont="1" applyFill="1" applyBorder="1" applyAlignment="1">
      <alignment horizontal="left" vertical="center"/>
    </xf>
    <xf numFmtId="176" fontId="5" fillId="2" borderId="4" xfId="5" applyNumberFormat="1" applyFont="1" applyFill="1" applyBorder="1" applyAlignment="1">
      <alignment horizontal="left" vertical="center"/>
    </xf>
    <xf numFmtId="176" fontId="5" fillId="2" borderId="147" xfId="5" applyNumberFormat="1" applyFont="1" applyFill="1" applyBorder="1" applyAlignment="1">
      <alignment horizontal="center" vertical="center"/>
    </xf>
    <xf numFmtId="0" fontId="111" fillId="14" borderId="1" xfId="5" applyFont="1" applyFill="1" applyBorder="1" applyAlignment="1">
      <alignment horizontal="center" vertical="center"/>
    </xf>
    <xf numFmtId="178" fontId="5" fillId="2" borderId="4" xfId="5" applyNumberFormat="1" applyFont="1" applyFill="1" applyBorder="1" applyAlignment="1">
      <alignment horizontal="left" vertical="center"/>
    </xf>
    <xf numFmtId="0" fontId="111" fillId="14" borderId="22" xfId="5" applyFont="1" applyFill="1" applyBorder="1" applyAlignment="1">
      <alignment horizontal="center" vertical="center"/>
    </xf>
    <xf numFmtId="0" fontId="111" fillId="14" borderId="1" xfId="5" applyFont="1" applyFill="1" applyBorder="1" applyAlignment="1">
      <alignment horizontal="left" vertical="center"/>
    </xf>
    <xf numFmtId="176" fontId="5" fillId="2" borderId="4" xfId="5" applyNumberFormat="1" applyFont="1" applyFill="1" applyBorder="1" applyAlignment="1">
      <alignment vertical="center" wrapText="1"/>
    </xf>
    <xf numFmtId="0" fontId="7" fillId="0" borderId="4" xfId="5" applyFont="1" applyBorder="1" applyAlignment="1">
      <alignment horizontal="left" vertical="center"/>
    </xf>
    <xf numFmtId="176" fontId="5" fillId="2" borderId="1" xfId="5" applyNumberFormat="1" applyFont="1" applyFill="1" applyBorder="1" applyAlignment="1">
      <alignment horizontal="left" vertical="center"/>
    </xf>
    <xf numFmtId="0" fontId="7" fillId="0" borderId="19" xfId="5" applyFont="1" applyBorder="1" applyAlignment="1">
      <alignment horizontal="left" vertical="center"/>
    </xf>
    <xf numFmtId="0" fontId="186" fillId="14" borderId="1" xfId="5" applyFont="1" applyFill="1" applyBorder="1" applyAlignment="1">
      <alignment vertical="center"/>
    </xf>
    <xf numFmtId="176" fontId="190" fillId="2" borderId="1" xfId="5" applyNumberFormat="1" applyFont="1" applyFill="1" applyBorder="1" applyAlignment="1">
      <alignment horizontal="left" vertical="center"/>
    </xf>
    <xf numFmtId="0" fontId="5" fillId="2" borderId="44" xfId="5" applyFont="1" applyFill="1" applyBorder="1" applyAlignment="1">
      <alignment horizontal="left" vertical="center"/>
    </xf>
    <xf numFmtId="0" fontId="5" fillId="2" borderId="0" xfId="5" applyFont="1" applyFill="1" applyAlignment="1">
      <alignment vertical="center"/>
    </xf>
    <xf numFmtId="0" fontId="7" fillId="0" borderId="44" xfId="5" applyFont="1" applyBorder="1" applyAlignment="1">
      <alignment vertical="center"/>
    </xf>
    <xf numFmtId="0" fontId="7" fillId="0" borderId="0" xfId="5" applyFont="1" applyAlignment="1">
      <alignment vertical="center"/>
    </xf>
    <xf numFmtId="0" fontId="5" fillId="2" borderId="204" xfId="5" applyFont="1" applyFill="1" applyBorder="1" applyAlignment="1">
      <alignment horizontal="left" vertical="center"/>
    </xf>
    <xf numFmtId="0" fontId="7" fillId="0" borderId="204" xfId="5" applyFont="1" applyBorder="1" applyAlignment="1">
      <alignment vertical="center"/>
    </xf>
    <xf numFmtId="176" fontId="5" fillId="2" borderId="146" xfId="5" applyNumberFormat="1" applyFont="1" applyFill="1" applyBorder="1" applyAlignment="1">
      <alignment horizontal="left" vertical="center"/>
    </xf>
    <xf numFmtId="0" fontId="111" fillId="14" borderId="106" xfId="5" applyFont="1" applyFill="1" applyBorder="1" applyAlignment="1">
      <alignment vertical="center"/>
    </xf>
    <xf numFmtId="176" fontId="5" fillId="2" borderId="106" xfId="5" applyNumberFormat="1" applyFont="1" applyFill="1" applyBorder="1" applyAlignment="1">
      <alignment horizontal="left" vertical="center"/>
    </xf>
    <xf numFmtId="0" fontId="7" fillId="0" borderId="4" xfId="5" applyFont="1" applyBorder="1"/>
    <xf numFmtId="0" fontId="7" fillId="0" borderId="1" xfId="5" applyFont="1" applyBorder="1"/>
    <xf numFmtId="176" fontId="80" fillId="2" borderId="4" xfId="5" applyNumberFormat="1" applyFont="1" applyFill="1" applyBorder="1" applyAlignment="1">
      <alignment horizontal="left" vertical="center"/>
    </xf>
    <xf numFmtId="0" fontId="192" fillId="0" borderId="0" xfId="5" applyFont="1" applyAlignment="1">
      <alignment vertical="center"/>
    </xf>
    <xf numFmtId="0" fontId="89" fillId="14" borderId="1" xfId="5" applyFont="1" applyFill="1" applyBorder="1" applyAlignment="1">
      <alignment vertical="center"/>
    </xf>
    <xf numFmtId="0" fontId="35" fillId="0" borderId="0" xfId="5" applyFont="1" applyAlignment="1">
      <alignment vertical="center"/>
    </xf>
    <xf numFmtId="0" fontId="5" fillId="2" borderId="50" xfId="5" applyFont="1" applyFill="1" applyBorder="1" applyAlignment="1">
      <alignment vertical="center"/>
    </xf>
    <xf numFmtId="176" fontId="5" fillId="2" borderId="50" xfId="5" applyNumberFormat="1" applyFont="1" applyFill="1" applyBorder="1" applyAlignment="1">
      <alignment horizontal="left" vertical="center"/>
    </xf>
    <xf numFmtId="0" fontId="111" fillId="14" borderId="50" xfId="5" applyFont="1" applyFill="1" applyBorder="1" applyAlignment="1">
      <alignment vertical="center"/>
    </xf>
    <xf numFmtId="0" fontId="5" fillId="2" borderId="1" xfId="5" applyFont="1" applyFill="1" applyBorder="1" applyAlignment="1">
      <alignment vertical="center"/>
    </xf>
    <xf numFmtId="176" fontId="5" fillId="2" borderId="6" xfId="5" applyNumberFormat="1" applyFont="1" applyFill="1" applyBorder="1" applyAlignment="1">
      <alignment horizontal="left" vertical="center"/>
    </xf>
    <xf numFmtId="0" fontId="111" fillId="14" borderId="6" xfId="5" applyFont="1" applyFill="1" applyBorder="1" applyAlignment="1">
      <alignment vertical="center"/>
    </xf>
    <xf numFmtId="0" fontId="111" fillId="14" borderId="3" xfId="5" applyFont="1" applyFill="1" applyBorder="1" applyAlignment="1">
      <alignment vertical="center"/>
    </xf>
    <xf numFmtId="0" fontId="5" fillId="2" borderId="1" xfId="5" applyFont="1" applyFill="1" applyBorder="1" applyAlignment="1">
      <alignment horizontal="left" vertical="center"/>
    </xf>
    <xf numFmtId="0" fontId="7" fillId="0" borderId="5" xfId="5" applyFont="1" applyBorder="1" applyAlignment="1">
      <alignment horizontal="left" vertical="center"/>
    </xf>
    <xf numFmtId="0" fontId="7" fillId="0" borderId="1" xfId="5" applyFont="1" applyBorder="1" applyAlignment="1">
      <alignment vertical="center"/>
    </xf>
    <xf numFmtId="0" fontId="5" fillId="11" borderId="0" xfId="5" applyFont="1" applyFill="1" applyAlignment="1">
      <alignment horizontal="left" vertical="center"/>
    </xf>
    <xf numFmtId="0" fontId="5" fillId="11" borderId="44" xfId="5" applyFont="1" applyFill="1" applyBorder="1" applyAlignment="1">
      <alignment vertical="center"/>
    </xf>
    <xf numFmtId="0" fontId="7" fillId="8" borderId="44" xfId="5" applyFont="1" applyFill="1" applyBorder="1" applyAlignment="1">
      <alignment vertical="center"/>
    </xf>
    <xf numFmtId="0" fontId="7" fillId="8" borderId="0" xfId="5" applyFont="1" applyFill="1" applyAlignment="1">
      <alignment vertical="center"/>
    </xf>
    <xf numFmtId="0" fontId="17" fillId="8" borderId="46" xfId="5" applyFill="1" applyBorder="1" applyAlignment="1">
      <alignment vertical="center"/>
    </xf>
    <xf numFmtId="0" fontId="5" fillId="11" borderId="204" xfId="5" applyFont="1" applyFill="1" applyBorder="1" applyAlignment="1">
      <alignment vertical="center"/>
    </xf>
    <xf numFmtId="0" fontId="7" fillId="8" borderId="204" xfId="5" applyFont="1" applyFill="1" applyBorder="1" applyAlignment="1">
      <alignment vertical="center"/>
    </xf>
    <xf numFmtId="176" fontId="5" fillId="2" borderId="7" xfId="5" applyNumberFormat="1" applyFont="1" applyFill="1" applyBorder="1" applyAlignment="1">
      <alignment horizontal="left" vertical="center"/>
    </xf>
    <xf numFmtId="0" fontId="193" fillId="14" borderId="3" xfId="5" applyFont="1" applyFill="1" applyBorder="1" applyAlignment="1">
      <alignment vertical="center"/>
    </xf>
    <xf numFmtId="0" fontId="193" fillId="14" borderId="1" xfId="5" applyFont="1" applyFill="1" applyBorder="1" applyAlignment="1">
      <alignment vertical="center"/>
    </xf>
    <xf numFmtId="176" fontId="5" fillId="2" borderId="49" xfId="5" applyNumberFormat="1" applyFont="1" applyFill="1" applyBorder="1" applyAlignment="1">
      <alignment horizontal="left" vertical="center"/>
    </xf>
    <xf numFmtId="0" fontId="111" fillId="14" borderId="48" xfId="5" applyFont="1" applyFill="1" applyBorder="1" applyAlignment="1">
      <alignment vertical="center"/>
    </xf>
    <xf numFmtId="0" fontId="5" fillId="2" borderId="48" xfId="5" applyFont="1" applyFill="1" applyBorder="1" applyAlignment="1">
      <alignment horizontal="left" vertical="center"/>
    </xf>
    <xf numFmtId="0" fontId="15" fillId="13" borderId="47" xfId="5" applyFont="1" applyFill="1" applyBorder="1" applyAlignment="1">
      <alignment horizontal="left" vertical="center"/>
    </xf>
    <xf numFmtId="0" fontId="15" fillId="13" borderId="45" xfId="5" applyFont="1" applyFill="1" applyBorder="1" applyAlignment="1">
      <alignment horizontal="center" vertical="center"/>
    </xf>
    <xf numFmtId="0" fontId="48" fillId="5" borderId="3" xfId="5" applyFont="1" applyFill="1" applyBorder="1" applyAlignment="1">
      <alignment horizontal="center" vertical="center"/>
    </xf>
    <xf numFmtId="0" fontId="17" fillId="6" borderId="1" xfId="5" applyFill="1" applyBorder="1" applyAlignment="1">
      <alignment vertical="center"/>
    </xf>
    <xf numFmtId="0" fontId="17" fillId="6" borderId="1" xfId="5" applyFill="1" applyBorder="1" applyAlignment="1">
      <alignment horizontal="left" vertical="center"/>
    </xf>
    <xf numFmtId="0" fontId="46" fillId="5" borderId="2" xfId="5" applyFont="1" applyFill="1" applyBorder="1" applyAlignment="1">
      <alignment horizontal="left" vertical="center" wrapText="1"/>
    </xf>
    <xf numFmtId="0" fontId="111" fillId="30" borderId="1" xfId="0" applyFont="1" applyFill="1" applyBorder="1" applyAlignment="1">
      <alignment horizontal="center" vertical="center"/>
    </xf>
    <xf numFmtId="0" fontId="111" fillId="30" borderId="3" xfId="0" applyFont="1" applyFill="1" applyBorder="1" applyAlignment="1">
      <alignment horizontal="center" vertical="center"/>
    </xf>
    <xf numFmtId="0" fontId="111" fillId="30" borderId="50" xfId="0" applyFont="1" applyFill="1" applyBorder="1" applyAlignment="1">
      <alignment horizontal="center" vertical="center"/>
    </xf>
    <xf numFmtId="0" fontId="111" fillId="30" borderId="106" xfId="0" applyFont="1" applyFill="1" applyBorder="1" applyAlignment="1">
      <alignment horizontal="center" vertical="center"/>
    </xf>
    <xf numFmtId="0" fontId="193" fillId="30" borderId="3" xfId="0" applyFont="1" applyFill="1" applyBorder="1" applyAlignment="1">
      <alignment horizontal="center" vertical="center"/>
    </xf>
    <xf numFmtId="0" fontId="189" fillId="30" borderId="7" xfId="0" applyFont="1" applyFill="1" applyBorder="1" applyAlignment="1">
      <alignment horizontal="center" vertical="center"/>
    </xf>
    <xf numFmtId="0" fontId="196" fillId="0" borderId="171" xfId="0" applyFont="1" applyBorder="1" applyAlignment="1">
      <alignment horizontal="center" vertical="center" wrapText="1"/>
    </xf>
    <xf numFmtId="0" fontId="196" fillId="0" borderId="172" xfId="0" applyFont="1" applyBorder="1" applyAlignment="1">
      <alignment horizontal="center" vertical="center" wrapText="1"/>
    </xf>
    <xf numFmtId="0" fontId="0" fillId="0" borderId="205" xfId="0" applyBorder="1" applyAlignment="1">
      <alignment vertical="center" wrapText="1"/>
    </xf>
    <xf numFmtId="0" fontId="0" fillId="0" borderId="173" xfId="0" applyBorder="1" applyAlignment="1">
      <alignment vertical="center" wrapText="1"/>
    </xf>
    <xf numFmtId="0" fontId="196" fillId="0" borderId="181" xfId="0" applyFont="1" applyBorder="1" applyAlignment="1">
      <alignment horizontal="justify" vertical="center" wrapText="1"/>
    </xf>
    <xf numFmtId="0" fontId="196" fillId="0" borderId="172" xfId="0" applyFont="1" applyBorder="1" applyAlignment="1">
      <alignment horizontal="justify" vertical="center" wrapText="1"/>
    </xf>
    <xf numFmtId="0" fontId="0" fillId="0" borderId="172" xfId="0" applyBorder="1" applyAlignment="1">
      <alignment vertical="center" wrapText="1"/>
    </xf>
    <xf numFmtId="0" fontId="199" fillId="0" borderId="192" xfId="0" applyFont="1" applyBorder="1" applyAlignment="1">
      <alignment horizontal="center" vertical="center" wrapText="1"/>
    </xf>
    <xf numFmtId="0" fontId="201" fillId="0" borderId="192" xfId="0" applyFont="1" applyBorder="1" applyAlignment="1">
      <alignment horizontal="center" vertical="center" wrapText="1"/>
    </xf>
    <xf numFmtId="0" fontId="201" fillId="0" borderId="179" xfId="0" applyFont="1" applyBorder="1" applyAlignment="1">
      <alignment horizontal="center" vertical="center" wrapText="1"/>
    </xf>
    <xf numFmtId="0" fontId="196" fillId="0" borderId="173" xfId="0" applyFont="1" applyBorder="1" applyAlignment="1">
      <alignment horizontal="center" vertical="center" wrapText="1"/>
    </xf>
    <xf numFmtId="0" fontId="193" fillId="30" borderId="1" xfId="0" applyFont="1" applyFill="1" applyBorder="1" applyAlignment="1">
      <alignment horizontal="center" vertical="center"/>
    </xf>
    <xf numFmtId="0" fontId="89" fillId="30" borderId="1" xfId="0" applyFont="1" applyFill="1" applyBorder="1" applyAlignment="1">
      <alignment horizontal="center" vertical="center"/>
    </xf>
    <xf numFmtId="0" fontId="71" fillId="0" borderId="186" xfId="0" applyFont="1" applyBorder="1" applyAlignment="1">
      <alignment horizontal="right" vertical="center" wrapText="1"/>
    </xf>
    <xf numFmtId="0" fontId="196" fillId="0" borderId="214" xfId="0" applyFont="1" applyBorder="1" applyAlignment="1">
      <alignment horizontal="center" vertical="center" wrapText="1"/>
    </xf>
    <xf numFmtId="0" fontId="71" fillId="0" borderId="179" xfId="0" applyFont="1" applyBorder="1" applyAlignment="1">
      <alignment horizontal="center" vertical="center" wrapText="1"/>
    </xf>
    <xf numFmtId="0" fontId="71" fillId="0" borderId="208" xfId="0" applyFont="1" applyBorder="1" applyAlignment="1">
      <alignment horizontal="center" vertical="center" wrapText="1"/>
    </xf>
    <xf numFmtId="0" fontId="7" fillId="0" borderId="5" xfId="0" applyFont="1" applyBorder="1"/>
    <xf numFmtId="0" fontId="7" fillId="0" borderId="44" xfId="0" applyFont="1" applyBorder="1"/>
    <xf numFmtId="0" fontId="7" fillId="0" borderId="168" xfId="0" applyFont="1" applyBorder="1"/>
    <xf numFmtId="0" fontId="186" fillId="30" borderId="7" xfId="0" applyFont="1" applyFill="1" applyBorder="1" applyAlignment="1">
      <alignment horizontal="center" vertical="center"/>
    </xf>
    <xf numFmtId="0" fontId="193" fillId="30" borderId="7" xfId="0" applyFont="1" applyFill="1" applyBorder="1" applyAlignment="1">
      <alignment horizontal="center" vertical="center"/>
    </xf>
    <xf numFmtId="0" fontId="118" fillId="0" borderId="0" xfId="0" applyFont="1" applyAlignment="1">
      <alignment horizontal="center"/>
    </xf>
    <xf numFmtId="0" fontId="111" fillId="0" borderId="0" xfId="0" applyFont="1" applyAlignment="1">
      <alignment horizontal="center" vertical="center"/>
    </xf>
    <xf numFmtId="0" fontId="138" fillId="29" borderId="47" xfId="0" applyFont="1" applyFill="1" applyBorder="1" applyAlignment="1">
      <alignment horizontal="center" vertical="center"/>
    </xf>
    <xf numFmtId="0" fontId="115" fillId="30" borderId="3" xfId="0" applyFont="1" applyFill="1" applyBorder="1" applyAlignment="1">
      <alignment horizontal="center" vertical="center"/>
    </xf>
    <xf numFmtId="0" fontId="118" fillId="29" borderId="105" xfId="0" applyFont="1" applyFill="1" applyBorder="1" applyAlignment="1">
      <alignment vertical="center"/>
    </xf>
    <xf numFmtId="0" fontId="118" fillId="29" borderId="18" xfId="0" applyFont="1" applyFill="1" applyBorder="1" applyAlignment="1">
      <alignment vertical="center"/>
    </xf>
    <xf numFmtId="0" fontId="118" fillId="29" borderId="106" xfId="0" applyFont="1" applyFill="1" applyBorder="1" applyAlignment="1">
      <alignment vertical="center"/>
    </xf>
    <xf numFmtId="0" fontId="17" fillId="0" borderId="0" xfId="5" applyAlignment="1">
      <alignment horizontal="center"/>
    </xf>
    <xf numFmtId="0" fontId="17" fillId="0" borderId="44" xfId="5" applyBorder="1" applyAlignment="1">
      <alignment vertical="center"/>
    </xf>
    <xf numFmtId="0" fontId="113" fillId="31" borderId="5" xfId="5" applyFont="1" applyFill="1" applyBorder="1" applyAlignment="1">
      <alignment vertical="center"/>
    </xf>
    <xf numFmtId="0" fontId="179" fillId="0" borderId="151" xfId="5" applyFont="1" applyBorder="1" applyAlignment="1">
      <alignment horizontal="center" vertical="center"/>
    </xf>
    <xf numFmtId="0" fontId="209" fillId="0" borderId="151" xfId="5" applyFont="1" applyBorder="1" applyAlignment="1">
      <alignment horizontal="center" vertical="center"/>
    </xf>
    <xf numFmtId="0" fontId="192" fillId="8" borderId="151" xfId="5" applyFont="1" applyFill="1" applyBorder="1" applyAlignment="1">
      <alignment horizontal="center" vertical="center"/>
    </xf>
    <xf numFmtId="0" fontId="5" fillId="2" borderId="0" xfId="5" applyFont="1" applyFill="1" applyAlignment="1">
      <alignment horizontal="left" vertical="center"/>
    </xf>
    <xf numFmtId="0" fontId="39" fillId="8" borderId="1" xfId="5" applyFont="1" applyFill="1" applyBorder="1" applyAlignment="1">
      <alignment horizontal="center" vertical="center" wrapText="1"/>
    </xf>
    <xf numFmtId="0" fontId="113" fillId="31" borderId="44" xfId="5" applyFont="1" applyFill="1" applyBorder="1" applyAlignment="1">
      <alignment vertical="center"/>
    </xf>
    <xf numFmtId="0" fontId="128" fillId="29" borderId="1" xfId="5" applyFont="1" applyFill="1" applyBorder="1" applyAlignment="1">
      <alignment vertical="center"/>
    </xf>
    <xf numFmtId="0" fontId="180" fillId="32" borderId="151" xfId="4" applyFont="1" applyBorder="1" applyAlignment="1">
      <alignment horizontal="center" vertical="center"/>
    </xf>
    <xf numFmtId="0" fontId="215" fillId="0" borderId="44" xfId="5" applyFont="1" applyBorder="1" applyAlignment="1">
      <alignment horizontal="left" vertical="center" wrapText="1"/>
    </xf>
    <xf numFmtId="0" fontId="114" fillId="0" borderId="0" xfId="5" applyFont="1" applyAlignment="1">
      <alignment vertical="center"/>
    </xf>
    <xf numFmtId="0" fontId="183" fillId="0" borderId="44" xfId="5" applyFont="1" applyBorder="1" applyAlignment="1">
      <alignment horizontal="left" vertical="center" wrapText="1"/>
    </xf>
    <xf numFmtId="0" fontId="17" fillId="0" borderId="204" xfId="5" applyBorder="1" applyAlignment="1">
      <alignment vertical="center"/>
    </xf>
    <xf numFmtId="0" fontId="125" fillId="33" borderId="226" xfId="5" applyFont="1" applyFill="1" applyBorder="1" applyAlignment="1">
      <alignment horizontal="center" vertical="center"/>
    </xf>
    <xf numFmtId="0" fontId="128" fillId="0" borderId="1" xfId="5" applyFont="1" applyBorder="1" applyAlignment="1">
      <alignment vertical="center" wrapText="1"/>
    </xf>
    <xf numFmtId="0" fontId="5" fillId="2" borderId="50" xfId="5" applyFont="1" applyFill="1" applyBorder="1" applyAlignment="1">
      <alignment horizontal="center" vertical="center"/>
    </xf>
    <xf numFmtId="0" fontId="111" fillId="14" borderId="50" xfId="5" applyFont="1" applyFill="1" applyBorder="1" applyAlignment="1">
      <alignment horizontal="left" vertical="center"/>
    </xf>
    <xf numFmtId="0" fontId="5" fillId="2" borderId="3" xfId="5" applyFont="1" applyFill="1" applyBorder="1" applyAlignment="1">
      <alignment horizontal="center" vertical="center"/>
    </xf>
    <xf numFmtId="0" fontId="111" fillId="14" borderId="48" xfId="5" applyFont="1" applyFill="1" applyBorder="1" applyAlignment="1">
      <alignment horizontal="left" vertical="center"/>
    </xf>
    <xf numFmtId="0" fontId="111" fillId="14" borderId="48" xfId="5" applyFont="1" applyFill="1" applyBorder="1" applyAlignment="1">
      <alignment horizontal="center" vertical="center"/>
    </xf>
    <xf numFmtId="0" fontId="216" fillId="0" borderId="44" xfId="5" applyFont="1" applyBorder="1" applyAlignment="1">
      <alignment vertical="center"/>
    </xf>
    <xf numFmtId="0" fontId="216" fillId="0" borderId="0" xfId="5" applyFont="1" applyAlignment="1">
      <alignment vertical="center"/>
    </xf>
    <xf numFmtId="0" fontId="17" fillId="8" borderId="0" xfId="5" applyFill="1" applyAlignment="1">
      <alignment horizontal="center" vertical="center"/>
    </xf>
    <xf numFmtId="0" fontId="17" fillId="8" borderId="142" xfId="5" applyFill="1" applyBorder="1" applyAlignment="1">
      <alignment horizontal="center" vertical="center"/>
    </xf>
    <xf numFmtId="0" fontId="17" fillId="0" borderId="38" xfId="0" applyFont="1" applyBorder="1" applyAlignment="1">
      <alignment horizontal="center" vertical="center" wrapText="1"/>
    </xf>
    <xf numFmtId="0" fontId="48" fillId="0" borderId="38" xfId="0" applyFont="1" applyBorder="1" applyAlignment="1">
      <alignment horizontal="center" vertical="center" wrapText="1"/>
    </xf>
    <xf numFmtId="0" fontId="17" fillId="0" borderId="41" xfId="0" applyFont="1" applyBorder="1" applyAlignment="1">
      <alignment horizontal="center" vertical="center" wrapText="1"/>
    </xf>
    <xf numFmtId="0" fontId="5" fillId="2" borderId="50" xfId="5" applyFont="1" applyFill="1" applyBorder="1" applyAlignment="1">
      <alignment horizontal="left" vertical="center"/>
    </xf>
    <xf numFmtId="0" fontId="7" fillId="0" borderId="4" xfId="0" applyFont="1" applyBorder="1" applyAlignment="1">
      <alignment horizontal="center" vertical="center"/>
    </xf>
    <xf numFmtId="0" fontId="7" fillId="0" borderId="51" xfId="0" applyFont="1" applyBorder="1" applyAlignment="1">
      <alignment horizontal="center" vertical="center"/>
    </xf>
    <xf numFmtId="0" fontId="225" fillId="0" borderId="0" xfId="0" applyFont="1" applyAlignment="1">
      <alignment horizontal="right" vertical="center"/>
    </xf>
    <xf numFmtId="0" fontId="79" fillId="0" borderId="41" xfId="0" applyFont="1" applyBorder="1" applyAlignment="1">
      <alignment horizontal="center" vertical="center" wrapText="1"/>
    </xf>
    <xf numFmtId="0" fontId="17" fillId="0" borderId="39" xfId="0" applyFont="1" applyBorder="1" applyAlignment="1">
      <alignment horizontal="center" vertical="center" wrapText="1"/>
    </xf>
    <xf numFmtId="0" fontId="17" fillId="0" borderId="165" xfId="0" applyFont="1" applyBorder="1" applyAlignment="1">
      <alignment horizontal="center" vertical="center" wrapText="1"/>
    </xf>
    <xf numFmtId="0" fontId="79" fillId="0" borderId="38" xfId="0" applyFont="1" applyBorder="1" applyAlignment="1">
      <alignment horizontal="center" vertical="center" wrapText="1"/>
    </xf>
    <xf numFmtId="0" fontId="111" fillId="30" borderId="49" xfId="0" applyFont="1" applyFill="1" applyBorder="1" applyAlignment="1">
      <alignment horizontal="center" vertical="center" wrapText="1"/>
    </xf>
    <xf numFmtId="0" fontId="46" fillId="25" borderId="38" xfId="0" applyFont="1" applyFill="1" applyBorder="1" applyAlignment="1">
      <alignment horizontal="center" vertical="center" wrapText="1"/>
    </xf>
    <xf numFmtId="0" fontId="17" fillId="0" borderId="165" xfId="0" applyFont="1" applyBorder="1" applyAlignment="1">
      <alignment vertical="center" wrapText="1"/>
    </xf>
    <xf numFmtId="0" fontId="46" fillId="0" borderId="38" xfId="0" applyFont="1" applyBorder="1" applyAlignment="1">
      <alignment horizontal="center" vertical="center" wrapText="1"/>
    </xf>
    <xf numFmtId="0" fontId="17" fillId="0" borderId="41" xfId="0" applyFont="1" applyBorder="1" applyAlignment="1">
      <alignment vertical="center" wrapText="1"/>
    </xf>
    <xf numFmtId="0" fontId="228" fillId="0" borderId="0" xfId="0" applyFont="1" applyAlignment="1">
      <alignment vertical="center" wrapText="1"/>
    </xf>
    <xf numFmtId="0" fontId="46" fillId="25" borderId="41" xfId="0" applyFont="1" applyFill="1" applyBorder="1" applyAlignment="1">
      <alignment horizontal="center" vertical="center" wrapText="1"/>
    </xf>
    <xf numFmtId="0" fontId="46" fillId="0" borderId="119" xfId="0" applyFont="1" applyBorder="1" applyAlignment="1">
      <alignment horizontal="center" vertical="center" wrapText="1"/>
    </xf>
    <xf numFmtId="0" fontId="46" fillId="0" borderId="74" xfId="0" applyFont="1" applyBorder="1" applyAlignment="1">
      <alignment horizontal="center" vertical="center" wrapText="1"/>
    </xf>
    <xf numFmtId="0" fontId="46" fillId="0" borderId="137" xfId="0" applyFont="1" applyBorder="1" applyAlignment="1">
      <alignment horizontal="center" vertical="center" wrapText="1"/>
    </xf>
    <xf numFmtId="0" fontId="17" fillId="0" borderId="74" xfId="0" applyFont="1" applyBorder="1" applyAlignment="1">
      <alignment vertical="center" wrapText="1"/>
    </xf>
    <xf numFmtId="0" fontId="46" fillId="0" borderId="41" xfId="0" applyFont="1" applyBorder="1" applyAlignment="1">
      <alignment horizontal="center" vertical="center" wrapText="1"/>
    </xf>
    <xf numFmtId="0" fontId="46" fillId="25" borderId="72" xfId="0" applyFont="1" applyFill="1" applyBorder="1" applyAlignment="1">
      <alignment horizontal="center" vertical="center" wrapText="1"/>
    </xf>
    <xf numFmtId="0" fontId="46" fillId="0" borderId="40" xfId="0" applyFont="1" applyBorder="1" applyAlignment="1">
      <alignment horizontal="center" vertical="center" wrapText="1"/>
    </xf>
    <xf numFmtId="0" fontId="46" fillId="0" borderId="37" xfId="0" applyFont="1" applyBorder="1" applyAlignment="1">
      <alignment horizontal="center" vertical="center" wrapText="1"/>
    </xf>
    <xf numFmtId="0" fontId="46" fillId="0" borderId="160" xfId="0" applyFont="1" applyBorder="1" applyAlignment="1">
      <alignment horizontal="center" vertical="center" wrapText="1"/>
    </xf>
    <xf numFmtId="0" fontId="17" fillId="0" borderId="37" xfId="0" applyFont="1" applyBorder="1" applyAlignment="1">
      <alignment vertical="center" wrapText="1"/>
    </xf>
    <xf numFmtId="0" fontId="46" fillId="0" borderId="72" xfId="0" applyFont="1" applyBorder="1" applyAlignment="1">
      <alignment horizontal="center" vertical="center" wrapText="1"/>
    </xf>
    <xf numFmtId="0" fontId="219" fillId="29" borderId="45" xfId="0" applyFont="1" applyFill="1" applyBorder="1"/>
    <xf numFmtId="0" fontId="17" fillId="0" borderId="50" xfId="0" applyFont="1" applyBorder="1"/>
    <xf numFmtId="0" fontId="17" fillId="0" borderId="4" xfId="0" applyFont="1" applyBorder="1"/>
    <xf numFmtId="0" fontId="17" fillId="0" borderId="4" xfId="0" applyFont="1" applyBorder="1" applyAlignment="1">
      <alignment horizontal="center"/>
    </xf>
    <xf numFmtId="0" fontId="17" fillId="0" borderId="1" xfId="0" applyFont="1" applyBorder="1" applyAlignment="1">
      <alignment horizontal="justify" vertical="center" wrapText="1"/>
    </xf>
    <xf numFmtId="0" fontId="17" fillId="0" borderId="164" xfId="0" applyFont="1" applyBorder="1" applyAlignment="1">
      <alignment horizontal="center" vertical="center" wrapText="1"/>
    </xf>
    <xf numFmtId="0" fontId="227" fillId="0" borderId="165" xfId="0" applyFont="1" applyBorder="1" applyAlignment="1">
      <alignment horizontal="center" vertical="center" wrapText="1"/>
    </xf>
    <xf numFmtId="0" fontId="25" fillId="34" borderId="4" xfId="0" applyFont="1" applyFill="1" applyBorder="1" applyAlignment="1">
      <alignment vertical="center"/>
    </xf>
    <xf numFmtId="179" fontId="4" fillId="2" borderId="4" xfId="0" applyNumberFormat="1" applyFont="1" applyFill="1" applyBorder="1" applyAlignment="1">
      <alignment vertical="center"/>
    </xf>
    <xf numFmtId="0" fontId="4" fillId="4" borderId="4" xfId="0" applyFont="1" applyFill="1" applyBorder="1" applyAlignment="1">
      <alignment vertical="center"/>
    </xf>
    <xf numFmtId="0" fontId="17" fillId="0" borderId="46" xfId="0" applyFont="1" applyBorder="1"/>
    <xf numFmtId="0" fontId="17" fillId="0" borderId="28" xfId="0" applyFont="1" applyBorder="1"/>
    <xf numFmtId="0" fontId="111" fillId="14" borderId="106" xfId="0" applyFont="1" applyFill="1" applyBorder="1" applyAlignment="1">
      <alignment vertical="center"/>
    </xf>
    <xf numFmtId="0" fontId="5" fillId="2" borderId="106" xfId="0" applyFont="1" applyFill="1" applyBorder="1" applyAlignment="1">
      <alignment horizontal="left" vertical="center"/>
    </xf>
    <xf numFmtId="0" fontId="48" fillId="25" borderId="38" xfId="0" applyFont="1" applyFill="1" applyBorder="1" applyAlignment="1">
      <alignment horizontal="center" vertical="center" wrapText="1"/>
    </xf>
    <xf numFmtId="0" fontId="48" fillId="25" borderId="39" xfId="0" applyFont="1" applyFill="1" applyBorder="1" applyAlignment="1">
      <alignment horizontal="center" vertical="center" wrapText="1"/>
    </xf>
    <xf numFmtId="0" fontId="48" fillId="25" borderId="165" xfId="0" applyFont="1" applyFill="1" applyBorder="1" applyAlignment="1">
      <alignment horizontal="center" vertical="center" wrapText="1"/>
    </xf>
    <xf numFmtId="0" fontId="171" fillId="0" borderId="38" xfId="0" applyFont="1" applyBorder="1" applyAlignment="1">
      <alignment horizontal="center" vertical="center" wrapText="1"/>
    </xf>
    <xf numFmtId="0" fontId="241" fillId="0" borderId="38" xfId="0" applyFont="1" applyBorder="1" applyAlignment="1">
      <alignment horizontal="center" vertical="center" wrapText="1"/>
    </xf>
    <xf numFmtId="0" fontId="48" fillId="0" borderId="42" xfId="0" applyFont="1" applyBorder="1" applyAlignment="1">
      <alignment horizontal="center" vertical="center" wrapText="1"/>
    </xf>
    <xf numFmtId="0" fontId="48" fillId="0" borderId="42" xfId="0" applyFont="1" applyBorder="1" applyAlignment="1">
      <alignment horizontal="justify" vertical="center" wrapText="1"/>
    </xf>
    <xf numFmtId="0" fontId="171" fillId="0" borderId="42" xfId="0" applyFont="1" applyBorder="1" applyAlignment="1">
      <alignment horizontal="right" vertical="center" wrapText="1"/>
    </xf>
    <xf numFmtId="0" fontId="244" fillId="0" borderId="44" xfId="5" applyFont="1" applyBorder="1" applyAlignment="1">
      <alignment horizontal="center" vertical="center" wrapText="1"/>
    </xf>
    <xf numFmtId="0" fontId="42" fillId="36" borderId="37" xfId="0" applyFont="1" applyFill="1" applyBorder="1" applyAlignment="1">
      <alignment horizontal="center" vertical="center"/>
    </xf>
    <xf numFmtId="0" fontId="42" fillId="36" borderId="38" xfId="0" applyFont="1" applyFill="1" applyBorder="1" applyAlignment="1">
      <alignment horizontal="center" vertical="center"/>
    </xf>
    <xf numFmtId="0" fontId="42" fillId="36" borderId="39" xfId="0" applyFont="1" applyFill="1" applyBorder="1" applyAlignment="1">
      <alignment horizontal="center" vertical="center"/>
    </xf>
    <xf numFmtId="0" fontId="43" fillId="37" borderId="41" xfId="0" applyFont="1" applyFill="1" applyBorder="1" applyAlignment="1">
      <alignment horizontal="center" vertical="center"/>
    </xf>
    <xf numFmtId="0" fontId="43" fillId="37" borderId="38" xfId="0" applyFont="1" applyFill="1" applyBorder="1" applyAlignment="1">
      <alignment horizontal="center" vertical="center"/>
    </xf>
    <xf numFmtId="0" fontId="43" fillId="37" borderId="40" xfId="0" applyFont="1" applyFill="1" applyBorder="1" applyAlignment="1">
      <alignment horizontal="center" vertical="center"/>
    </xf>
    <xf numFmtId="0" fontId="44" fillId="37" borderId="42" xfId="0" applyFont="1" applyFill="1" applyBorder="1" applyAlignment="1">
      <alignment horizontal="center" vertical="center"/>
    </xf>
    <xf numFmtId="0" fontId="17" fillId="6" borderId="1" xfId="0" applyFont="1" applyFill="1" applyBorder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48" fillId="5" borderId="1" xfId="0" applyFont="1" applyFill="1" applyBorder="1" applyAlignment="1">
      <alignment horizontal="left" vertical="center"/>
    </xf>
    <xf numFmtId="0" fontId="24" fillId="35" borderId="1" xfId="0" applyFont="1" applyFill="1" applyBorder="1" applyAlignment="1">
      <alignment horizontal="left" vertical="center"/>
    </xf>
    <xf numFmtId="0" fontId="17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/>
    </xf>
    <xf numFmtId="0" fontId="192" fillId="0" borderId="1" xfId="0" applyFont="1" applyBorder="1" applyAlignment="1">
      <alignment horizontal="center"/>
    </xf>
    <xf numFmtId="0" fontId="192" fillId="0" borderId="4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249" fillId="31" borderId="3" xfId="0" applyFont="1" applyFill="1" applyBorder="1" applyAlignment="1">
      <alignment horizontal="center"/>
    </xf>
    <xf numFmtId="0" fontId="248" fillId="31" borderId="3" xfId="0" applyFont="1" applyFill="1" applyBorder="1" applyAlignment="1">
      <alignment horizontal="center"/>
    </xf>
    <xf numFmtId="0" fontId="248" fillId="31" borderId="7" xfId="0" applyFont="1" applyFill="1" applyBorder="1" applyAlignment="1">
      <alignment horizontal="center"/>
    </xf>
    <xf numFmtId="0" fontId="248" fillId="31" borderId="49" xfId="0" applyFont="1" applyFill="1" applyBorder="1" applyAlignment="1">
      <alignment horizontal="center"/>
    </xf>
    <xf numFmtId="0" fontId="192" fillId="0" borderId="6" xfId="0" applyFont="1" applyBorder="1" applyAlignment="1">
      <alignment vertical="center"/>
    </xf>
    <xf numFmtId="0" fontId="192" fillId="0" borderId="18" xfId="0" applyFont="1" applyBorder="1" applyAlignment="1">
      <alignment vertical="center"/>
    </xf>
    <xf numFmtId="0" fontId="192" fillId="0" borderId="3" xfId="0" applyFont="1" applyBorder="1" applyAlignment="1">
      <alignment vertical="center"/>
    </xf>
    <xf numFmtId="0" fontId="251" fillId="13" borderId="45" xfId="0" applyFont="1" applyFill="1" applyBorder="1" applyAlignment="1">
      <alignment horizontal="center" vertical="center"/>
    </xf>
    <xf numFmtId="0" fontId="227" fillId="0" borderId="38" xfId="0" applyFont="1" applyBorder="1" applyAlignment="1">
      <alignment horizontal="center" vertical="center" wrapText="1"/>
    </xf>
    <xf numFmtId="0" fontId="89" fillId="14" borderId="3" xfId="5" applyFont="1" applyFill="1" applyBorder="1" applyAlignment="1">
      <alignment vertical="center"/>
    </xf>
    <xf numFmtId="176" fontId="5" fillId="2" borderId="3" xfId="5" applyNumberFormat="1" applyFont="1" applyFill="1" applyBorder="1" applyAlignment="1">
      <alignment horizontal="left" vertical="center"/>
    </xf>
    <xf numFmtId="0" fontId="192" fillId="35" borderId="1" xfId="0" applyFont="1" applyFill="1" applyBorder="1" applyAlignment="1">
      <alignment horizontal="center" vertical="center"/>
    </xf>
    <xf numFmtId="0" fontId="138" fillId="29" borderId="45" xfId="0" applyFont="1" applyFill="1" applyBorder="1" applyAlignment="1">
      <alignment horizontal="center" vertical="center"/>
    </xf>
    <xf numFmtId="0" fontId="17" fillId="29" borderId="0" xfId="0" applyFont="1" applyFill="1"/>
    <xf numFmtId="0" fontId="17" fillId="0" borderId="8" xfId="0" applyFont="1" applyBorder="1"/>
    <xf numFmtId="0" fontId="17" fillId="29" borderId="146" xfId="0" applyFont="1" applyFill="1" applyBorder="1"/>
    <xf numFmtId="0" fontId="5" fillId="2" borderId="146" xfId="0" applyFont="1" applyFill="1" applyBorder="1" applyAlignment="1">
      <alignment horizontal="left" vertical="center"/>
    </xf>
    <xf numFmtId="0" fontId="111" fillId="30" borderId="106" xfId="0" applyFont="1" applyFill="1" applyBorder="1" applyAlignment="1">
      <alignment horizontal="left" vertical="center"/>
    </xf>
    <xf numFmtId="0" fontId="115" fillId="30" borderId="7" xfId="0" applyFont="1" applyFill="1" applyBorder="1" applyAlignment="1">
      <alignment horizontal="center" vertical="center"/>
    </xf>
    <xf numFmtId="0" fontId="225" fillId="0" borderId="0" xfId="0" applyFont="1" applyAlignment="1">
      <alignment horizontal="center" vertical="center"/>
    </xf>
    <xf numFmtId="0" fontId="225" fillId="0" borderId="234" xfId="0" applyFont="1" applyBorder="1" applyAlignment="1">
      <alignment horizontal="center" vertical="center" wrapText="1"/>
    </xf>
    <xf numFmtId="0" fontId="17" fillId="0" borderId="0" xfId="0" applyFont="1" applyAlignment="1">
      <alignment horizontal="justify" vertical="center"/>
    </xf>
    <xf numFmtId="0" fontId="17" fillId="0" borderId="171" xfId="0" applyFont="1" applyBorder="1" applyAlignment="1">
      <alignment horizontal="center" vertical="center" wrapText="1"/>
    </xf>
    <xf numFmtId="0" fontId="17" fillId="0" borderId="176" xfId="0" applyFont="1" applyBorder="1" applyAlignment="1">
      <alignment horizontal="center" vertical="center" wrapText="1"/>
    </xf>
    <xf numFmtId="0" fontId="17" fillId="0" borderId="172" xfId="0" applyFont="1" applyBorder="1" applyAlignment="1">
      <alignment horizontal="center" vertical="center" wrapText="1"/>
    </xf>
    <xf numFmtId="0" fontId="17" fillId="0" borderId="205" xfId="0" applyFont="1" applyBorder="1" applyAlignment="1">
      <alignment vertical="center" wrapText="1"/>
    </xf>
    <xf numFmtId="0" fontId="17" fillId="0" borderId="205" xfId="0" applyFont="1" applyBorder="1" applyAlignment="1">
      <alignment horizontal="justify" vertical="center" wrapText="1"/>
    </xf>
    <xf numFmtId="0" fontId="17" fillId="0" borderId="181" xfId="0" applyFont="1" applyBorder="1" applyAlignment="1">
      <alignment horizontal="center" vertical="center" wrapText="1"/>
    </xf>
    <xf numFmtId="0" fontId="79" fillId="0" borderId="186" xfId="0" applyFont="1" applyBorder="1" applyAlignment="1">
      <alignment horizontal="center" vertical="center" wrapText="1"/>
    </xf>
    <xf numFmtId="0" fontId="261" fillId="0" borderId="0" xfId="0" applyFont="1" applyAlignment="1">
      <alignment horizontal="left" vertical="center"/>
    </xf>
    <xf numFmtId="0" fontId="262" fillId="0" borderId="38" xfId="0" applyFont="1" applyBorder="1" applyAlignment="1">
      <alignment horizontal="center" vertical="center" wrapText="1"/>
    </xf>
    <xf numFmtId="0" fontId="78" fillId="0" borderId="238" xfId="0" applyFont="1" applyBorder="1" applyAlignment="1">
      <alignment horizontal="center" vertical="center" wrapText="1"/>
    </xf>
    <xf numFmtId="0" fontId="255" fillId="0" borderId="38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left" vertical="center"/>
    </xf>
    <xf numFmtId="0" fontId="111" fillId="0" borderId="18" xfId="0" applyFont="1" applyBorder="1" applyAlignment="1">
      <alignment horizontal="left" vertical="center"/>
    </xf>
    <xf numFmtId="0" fontId="17" fillId="29" borderId="20" xfId="0" applyFont="1" applyFill="1" applyBorder="1"/>
    <xf numFmtId="0" fontId="115" fillId="30" borderId="3" xfId="0" applyFont="1" applyFill="1" applyBorder="1" applyAlignment="1">
      <alignment horizontal="left" vertical="center"/>
    </xf>
    <xf numFmtId="0" fontId="125" fillId="31" borderId="3" xfId="0" applyFont="1" applyFill="1" applyBorder="1" applyAlignment="1">
      <alignment horizontal="center"/>
    </xf>
    <xf numFmtId="0" fontId="125" fillId="31" borderId="49" xfId="0" applyFont="1" applyFill="1" applyBorder="1" applyAlignment="1">
      <alignment horizontal="center"/>
    </xf>
    <xf numFmtId="0" fontId="125" fillId="31" borderId="7" xfId="0" applyFont="1" applyFill="1" applyBorder="1" applyAlignment="1">
      <alignment horizontal="center"/>
    </xf>
    <xf numFmtId="0" fontId="17" fillId="0" borderId="6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17" fillId="0" borderId="3" xfId="0" applyFont="1" applyBorder="1" applyAlignment="1">
      <alignment vertical="center"/>
    </xf>
    <xf numFmtId="0" fontId="107" fillId="18" borderId="1" xfId="2" applyFont="1" applyBorder="1" applyAlignment="1">
      <alignment horizontal="left" vertical="center"/>
    </xf>
    <xf numFmtId="0" fontId="107" fillId="18" borderId="1" xfId="2" applyFont="1" applyBorder="1" applyAlignment="1">
      <alignment horizontal="left" vertical="center" wrapText="1"/>
    </xf>
    <xf numFmtId="0" fontId="84" fillId="8" borderId="1" xfId="3" applyFont="1" applyFill="1" applyBorder="1" applyAlignment="1">
      <alignment horizontal="left" vertical="center"/>
    </xf>
    <xf numFmtId="0" fontId="98" fillId="8" borderId="1" xfId="3" applyFont="1" applyFill="1" applyBorder="1" applyAlignment="1">
      <alignment horizontal="center" vertical="center"/>
    </xf>
    <xf numFmtId="0" fontId="84" fillId="8" borderId="1" xfId="3" applyFont="1" applyFill="1" applyBorder="1" applyAlignment="1">
      <alignment horizontal="left" vertical="center" wrapText="1"/>
    </xf>
    <xf numFmtId="0" fontId="84" fillId="0" borderId="1" xfId="3" applyFont="1" applyBorder="1" applyAlignment="1">
      <alignment horizontal="left" vertical="center" wrapText="1"/>
    </xf>
    <xf numFmtId="0" fontId="89" fillId="28" borderId="22" xfId="3" applyFont="1" applyFill="1" applyBorder="1" applyAlignment="1">
      <alignment horizontal="center" vertical="center" wrapText="1" shrinkToFit="1"/>
    </xf>
    <xf numFmtId="0" fontId="89" fillId="28" borderId="151" xfId="3" applyFont="1" applyFill="1" applyBorder="1" applyAlignment="1">
      <alignment horizontal="center" vertical="center" wrapText="1" shrinkToFit="1"/>
    </xf>
    <xf numFmtId="0" fontId="98" fillId="8" borderId="20" xfId="3" applyFont="1" applyFill="1" applyBorder="1" applyAlignment="1">
      <alignment horizontal="center" vertical="center"/>
    </xf>
    <xf numFmtId="0" fontId="98" fillId="8" borderId="147" xfId="3" applyFont="1" applyFill="1" applyBorder="1" applyAlignment="1">
      <alignment horizontal="center" vertical="center"/>
    </xf>
    <xf numFmtId="0" fontId="98" fillId="8" borderId="7" xfId="3" applyFont="1" applyFill="1" applyBorder="1" applyAlignment="1">
      <alignment horizontal="center" vertical="center"/>
    </xf>
    <xf numFmtId="0" fontId="98" fillId="8" borderId="151" xfId="3" applyFont="1" applyFill="1" applyBorder="1" applyAlignment="1">
      <alignment horizontal="center" vertical="center"/>
    </xf>
    <xf numFmtId="0" fontId="84" fillId="8" borderId="7" xfId="3" applyFont="1" applyFill="1" applyBorder="1" applyAlignment="1">
      <alignment horizontal="left" vertical="center"/>
    </xf>
    <xf numFmtId="0" fontId="84" fillId="8" borderId="44" xfId="3" applyFont="1" applyFill="1" applyBorder="1" applyAlignment="1">
      <alignment horizontal="left" vertical="center"/>
    </xf>
    <xf numFmtId="0" fontId="84" fillId="8" borderId="151" xfId="3" applyFont="1" applyFill="1" applyBorder="1" applyAlignment="1">
      <alignment horizontal="left" vertical="center"/>
    </xf>
    <xf numFmtId="0" fontId="84" fillId="8" borderId="3" xfId="3" applyFont="1" applyFill="1" applyBorder="1" applyAlignment="1">
      <alignment horizontal="left" vertical="center" wrapText="1"/>
    </xf>
    <xf numFmtId="0" fontId="84" fillId="0" borderId="3" xfId="3" applyFont="1" applyBorder="1" applyAlignment="1">
      <alignment horizontal="left" vertical="center" wrapText="1"/>
    </xf>
    <xf numFmtId="0" fontId="84" fillId="8" borderId="4" xfId="3" applyFont="1" applyFill="1" applyBorder="1" applyAlignment="1">
      <alignment horizontal="left" vertical="center"/>
    </xf>
    <xf numFmtId="0" fontId="84" fillId="8" borderId="5" xfId="3" applyFont="1" applyFill="1" applyBorder="1" applyAlignment="1">
      <alignment horizontal="left" vertical="center"/>
    </xf>
    <xf numFmtId="0" fontId="84" fillId="8" borderId="22" xfId="3" applyFont="1" applyFill="1" applyBorder="1" applyAlignment="1">
      <alignment horizontal="left" vertical="center"/>
    </xf>
    <xf numFmtId="0" fontId="100" fillId="8" borderId="20" xfId="3" applyFont="1" applyFill="1" applyBorder="1" applyAlignment="1">
      <alignment horizontal="center" vertical="center"/>
    </xf>
    <xf numFmtId="0" fontId="100" fillId="8" borderId="147" xfId="3" applyFont="1" applyFill="1" applyBorder="1" applyAlignment="1">
      <alignment horizontal="center" vertical="center"/>
    </xf>
    <xf numFmtId="0" fontId="100" fillId="8" borderId="7" xfId="3" applyFont="1" applyFill="1" applyBorder="1" applyAlignment="1">
      <alignment horizontal="center" vertical="center"/>
    </xf>
    <xf numFmtId="0" fontId="100" fillId="8" borderId="151" xfId="3" applyFont="1" applyFill="1" applyBorder="1" applyAlignment="1">
      <alignment horizontal="center" vertical="center"/>
    </xf>
    <xf numFmtId="0" fontId="62" fillId="22" borderId="1" xfId="3" applyFont="1" applyFill="1" applyBorder="1" applyAlignment="1">
      <alignment horizontal="left" vertical="center"/>
    </xf>
    <xf numFmtId="0" fontId="106" fillId="22" borderId="1" xfId="3" applyFont="1" applyFill="1" applyBorder="1" applyAlignment="1">
      <alignment horizontal="center" vertical="center"/>
    </xf>
    <xf numFmtId="0" fontId="62" fillId="22" borderId="1" xfId="3" applyFont="1" applyFill="1" applyBorder="1" applyAlignment="1">
      <alignment horizontal="left" vertical="center" wrapText="1"/>
    </xf>
    <xf numFmtId="0" fontId="107" fillId="18" borderId="20" xfId="2" applyFont="1" applyBorder="1" applyAlignment="1">
      <alignment horizontal="center" vertical="center"/>
    </xf>
    <xf numFmtId="0" fontId="107" fillId="18" borderId="147" xfId="2" applyFont="1" applyBorder="1" applyAlignment="1">
      <alignment horizontal="center" vertical="center"/>
    </xf>
    <xf numFmtId="0" fontId="107" fillId="18" borderId="46" xfId="2" applyFont="1" applyBorder="1" applyAlignment="1">
      <alignment horizontal="center" vertical="center"/>
    </xf>
    <xf numFmtId="0" fontId="107" fillId="18" borderId="156" xfId="2" applyFont="1" applyBorder="1" applyAlignment="1">
      <alignment horizontal="center" vertical="center"/>
    </xf>
    <xf numFmtId="0" fontId="107" fillId="18" borderId="7" xfId="2" applyFont="1" applyBorder="1" applyAlignment="1">
      <alignment horizontal="center" vertical="center"/>
    </xf>
    <xf numFmtId="0" fontId="107" fillId="18" borderId="151" xfId="2" applyFont="1" applyBorder="1" applyAlignment="1">
      <alignment horizontal="center" vertical="center"/>
    </xf>
    <xf numFmtId="0" fontId="100" fillId="8" borderId="1" xfId="3" applyFont="1" applyFill="1" applyBorder="1" applyAlignment="1">
      <alignment horizontal="left" vertical="center" wrapText="1"/>
    </xf>
    <xf numFmtId="0" fontId="100" fillId="0" borderId="1" xfId="3" applyFont="1" applyBorder="1" applyAlignment="1">
      <alignment horizontal="left" vertical="center" wrapText="1"/>
    </xf>
    <xf numFmtId="0" fontId="84" fillId="8" borderId="1" xfId="3" applyFont="1" applyFill="1" applyBorder="1" applyAlignment="1">
      <alignment horizontal="center" vertical="center" wrapText="1"/>
    </xf>
    <xf numFmtId="0" fontId="84" fillId="8" borderId="1" xfId="3" applyFont="1" applyFill="1" applyBorder="1" applyAlignment="1">
      <alignment horizontal="center" vertical="center"/>
    </xf>
    <xf numFmtId="0" fontId="93" fillId="24" borderId="161" xfId="3" applyFont="1" applyFill="1" applyBorder="1" applyAlignment="1">
      <alignment horizontal="center" vertical="center"/>
    </xf>
    <xf numFmtId="0" fontId="93" fillId="24" borderId="162" xfId="3" applyFont="1" applyFill="1" applyBorder="1" applyAlignment="1">
      <alignment horizontal="center" vertical="center"/>
    </xf>
    <xf numFmtId="0" fontId="93" fillId="24" borderId="163" xfId="3" applyFont="1" applyFill="1" applyBorder="1" applyAlignment="1">
      <alignment horizontal="center" vertical="center"/>
    </xf>
    <xf numFmtId="0" fontId="89" fillId="28" borderId="22" xfId="3" applyFont="1" applyFill="1" applyBorder="1" applyAlignment="1">
      <alignment horizontal="center" vertical="center" shrinkToFit="1"/>
    </xf>
    <xf numFmtId="0" fontId="84" fillId="8" borderId="6" xfId="3" applyFont="1" applyFill="1" applyBorder="1" applyAlignment="1">
      <alignment horizontal="center" vertical="center"/>
    </xf>
    <xf numFmtId="0" fontId="84" fillId="8" borderId="18" xfId="3" applyFont="1" applyFill="1" applyBorder="1" applyAlignment="1">
      <alignment horizontal="center" vertical="center"/>
    </xf>
    <xf numFmtId="0" fontId="84" fillId="8" borderId="3" xfId="3" applyFont="1" applyFill="1" applyBorder="1" applyAlignment="1">
      <alignment horizontal="center" vertical="center"/>
    </xf>
    <xf numFmtId="0" fontId="62" fillId="24" borderId="1" xfId="3" applyFont="1" applyFill="1" applyBorder="1" applyAlignment="1">
      <alignment horizontal="left" vertical="center" shrinkToFit="1"/>
    </xf>
    <xf numFmtId="0" fontId="98" fillId="8" borderId="46" xfId="3" applyFont="1" applyFill="1" applyBorder="1" applyAlignment="1">
      <alignment horizontal="center" vertical="center"/>
    </xf>
    <xf numFmtId="0" fontId="98" fillId="8" borderId="156" xfId="3" applyFont="1" applyFill="1" applyBorder="1" applyAlignment="1">
      <alignment horizontal="center" vertical="center"/>
    </xf>
    <xf numFmtId="0" fontId="109" fillId="18" borderId="1" xfId="2" applyFont="1" applyBorder="1" applyAlignment="1">
      <alignment horizontal="left" vertical="center"/>
    </xf>
    <xf numFmtId="0" fontId="110" fillId="18" borderId="20" xfId="2" applyFont="1" applyBorder="1" applyAlignment="1">
      <alignment horizontal="center" vertical="center"/>
    </xf>
    <xf numFmtId="0" fontId="109" fillId="18" borderId="147" xfId="2" applyFont="1" applyBorder="1" applyAlignment="1">
      <alignment horizontal="center" vertical="center"/>
    </xf>
    <xf numFmtId="0" fontId="109" fillId="18" borderId="7" xfId="2" applyFont="1" applyBorder="1" applyAlignment="1">
      <alignment horizontal="center" vertical="center"/>
    </xf>
    <xf numFmtId="0" fontId="109" fillId="18" borderId="151" xfId="2" applyFont="1" applyBorder="1" applyAlignment="1">
      <alignment horizontal="center" vertical="center"/>
    </xf>
    <xf numFmtId="0" fontId="109" fillId="18" borderId="1" xfId="2" applyFont="1" applyBorder="1" applyAlignment="1">
      <alignment horizontal="left" vertical="center" wrapText="1"/>
    </xf>
    <xf numFmtId="0" fontId="88" fillId="0" borderId="41" xfId="3" applyFont="1" applyBorder="1" applyAlignment="1">
      <alignment horizontal="center" vertical="center"/>
    </xf>
    <xf numFmtId="0" fontId="88" fillId="0" borderId="72" xfId="3" applyFont="1" applyBorder="1" applyAlignment="1">
      <alignment horizontal="center" vertical="center"/>
    </xf>
    <xf numFmtId="0" fontId="88" fillId="0" borderId="74" xfId="3" applyFont="1" applyBorder="1" applyAlignment="1">
      <alignment horizontal="justify" vertical="center"/>
    </xf>
    <xf numFmtId="0" fontId="88" fillId="0" borderId="68" xfId="3" applyFont="1" applyBorder="1" applyAlignment="1">
      <alignment horizontal="justify" vertical="center"/>
    </xf>
    <xf numFmtId="0" fontId="84" fillId="8" borderId="20" xfId="3" applyFont="1" applyFill="1" applyBorder="1" applyAlignment="1">
      <alignment horizontal="center" vertical="center"/>
    </xf>
    <xf numFmtId="0" fontId="84" fillId="8" borderId="147" xfId="3" applyFont="1" applyFill="1" applyBorder="1" applyAlignment="1">
      <alignment horizontal="center" vertical="center"/>
    </xf>
    <xf numFmtId="0" fontId="84" fillId="8" borderId="46" xfId="3" applyFont="1" applyFill="1" applyBorder="1" applyAlignment="1">
      <alignment horizontal="center" vertical="center"/>
    </xf>
    <xf numFmtId="0" fontId="84" fillId="8" borderId="156" xfId="3" applyFont="1" applyFill="1" applyBorder="1" applyAlignment="1">
      <alignment horizontal="center" vertical="center"/>
    </xf>
    <xf numFmtId="0" fontId="84" fillId="8" borderId="7" xfId="3" applyFont="1" applyFill="1" applyBorder="1" applyAlignment="1">
      <alignment horizontal="center" vertical="center"/>
    </xf>
    <xf numFmtId="0" fontId="84" fillId="8" borderId="151" xfId="3" applyFont="1" applyFill="1" applyBorder="1" applyAlignment="1">
      <alignment horizontal="center" vertical="center"/>
    </xf>
    <xf numFmtId="0" fontId="102" fillId="0" borderId="119" xfId="3" applyFont="1" applyBorder="1" applyAlignment="1">
      <alignment horizontal="justify" vertical="center"/>
    </xf>
    <xf numFmtId="0" fontId="102" fillId="0" borderId="42" xfId="3" applyFont="1" applyBorder="1" applyAlignment="1">
      <alignment horizontal="justify" vertical="center"/>
    </xf>
    <xf numFmtId="0" fontId="102" fillId="0" borderId="74" xfId="3" applyFont="1" applyBorder="1" applyAlignment="1">
      <alignment horizontal="justify" vertical="center"/>
    </xf>
    <xf numFmtId="0" fontId="102" fillId="0" borderId="68" xfId="3" applyFont="1" applyBorder="1" applyAlignment="1">
      <alignment horizontal="justify" vertical="center"/>
    </xf>
    <xf numFmtId="0" fontId="103" fillId="0" borderId="41" xfId="3" applyFont="1" applyBorder="1" applyAlignment="1">
      <alignment horizontal="justify" vertical="center"/>
    </xf>
    <xf numFmtId="0" fontId="103" fillId="0" borderId="72" xfId="3" applyFont="1" applyBorder="1" applyAlignment="1">
      <alignment horizontal="justify" vertical="center"/>
    </xf>
    <xf numFmtId="0" fontId="103" fillId="0" borderId="73" xfId="3" applyFont="1" applyBorder="1" applyAlignment="1">
      <alignment horizontal="justify" vertical="center"/>
    </xf>
    <xf numFmtId="0" fontId="105" fillId="0" borderId="73" xfId="3" applyFont="1" applyBorder="1" applyAlignment="1">
      <alignment horizontal="left" vertical="center"/>
    </xf>
    <xf numFmtId="0" fontId="88" fillId="0" borderId="73" xfId="3" applyFont="1" applyBorder="1" applyAlignment="1">
      <alignment horizontal="center" vertical="center"/>
    </xf>
    <xf numFmtId="0" fontId="88" fillId="0" borderId="137" xfId="3" applyFont="1" applyBorder="1" applyAlignment="1">
      <alignment horizontal="justify" vertical="center"/>
    </xf>
    <xf numFmtId="0" fontId="88" fillId="0" borderId="0" xfId="3" applyFont="1" applyAlignment="1">
      <alignment horizontal="justify" vertical="center"/>
    </xf>
    <xf numFmtId="0" fontId="91" fillId="0" borderId="119" xfId="3" applyFont="1" applyBorder="1" applyAlignment="1">
      <alignment horizontal="center" vertical="center" wrapText="1"/>
    </xf>
    <xf numFmtId="0" fontId="91" fillId="0" borderId="42" xfId="3" applyFont="1" applyBorder="1" applyAlignment="1">
      <alignment horizontal="center" vertical="center" wrapText="1"/>
    </xf>
    <xf numFmtId="0" fontId="91" fillId="0" borderId="120" xfId="3" applyFont="1" applyBorder="1" applyAlignment="1">
      <alignment horizontal="center" vertical="center" wrapText="1"/>
    </xf>
    <xf numFmtId="0" fontId="91" fillId="0" borderId="74" xfId="3" applyFont="1" applyBorder="1" applyAlignment="1">
      <alignment horizontal="center" vertical="center" wrapText="1"/>
    </xf>
    <xf numFmtId="0" fontId="91" fillId="0" borderId="68" xfId="3" applyFont="1" applyBorder="1" applyAlignment="1">
      <alignment horizontal="center" vertical="center" wrapText="1"/>
    </xf>
    <xf numFmtId="0" fontId="91" fillId="0" borderId="121" xfId="3" applyFont="1" applyBorder="1" applyAlignment="1">
      <alignment horizontal="center" vertical="center" wrapText="1"/>
    </xf>
    <xf numFmtId="0" fontId="97" fillId="27" borderId="105" xfId="3" applyFont="1" applyFill="1" applyBorder="1" applyAlignment="1">
      <alignment horizontal="center" vertical="center" textRotation="255"/>
    </xf>
    <xf numFmtId="0" fontId="97" fillId="27" borderId="18" xfId="3" applyFont="1" applyFill="1" applyBorder="1" applyAlignment="1">
      <alignment horizontal="center" vertical="center" textRotation="255"/>
    </xf>
    <xf numFmtId="0" fontId="97" fillId="27" borderId="3" xfId="3" applyFont="1" applyFill="1" applyBorder="1" applyAlignment="1">
      <alignment horizontal="center" vertical="center" textRotation="255"/>
    </xf>
    <xf numFmtId="0" fontId="89" fillId="28" borderId="156" xfId="3" applyFont="1" applyFill="1" applyBorder="1" applyAlignment="1">
      <alignment horizontal="center" vertical="center" wrapText="1" shrinkToFit="1"/>
    </xf>
    <xf numFmtId="0" fontId="84" fillId="8" borderId="145" xfId="3" applyFont="1" applyFill="1" applyBorder="1" applyAlignment="1">
      <alignment horizontal="left" vertical="center"/>
    </xf>
    <xf numFmtId="0" fontId="84" fillId="8" borderId="140" xfId="3" applyFont="1" applyFill="1" applyBorder="1" applyAlignment="1">
      <alignment horizontal="left" vertical="center"/>
    </xf>
    <xf numFmtId="0" fontId="84" fillId="8" borderId="157" xfId="3" applyFont="1" applyFill="1" applyBorder="1" applyAlignment="1">
      <alignment horizontal="left" vertical="center"/>
    </xf>
    <xf numFmtId="0" fontId="98" fillId="8" borderId="145" xfId="3" applyFont="1" applyFill="1" applyBorder="1" applyAlignment="1">
      <alignment horizontal="center" vertical="center"/>
    </xf>
    <xf numFmtId="0" fontId="98" fillId="8" borderId="157" xfId="3" applyFont="1" applyFill="1" applyBorder="1" applyAlignment="1">
      <alignment horizontal="center" vertical="center"/>
    </xf>
    <xf numFmtId="0" fontId="84" fillId="8" borderId="18" xfId="3" applyFont="1" applyFill="1" applyBorder="1" applyAlignment="1">
      <alignment horizontal="left" vertical="center" wrapText="1"/>
    </xf>
    <xf numFmtId="0" fontId="84" fillId="0" borderId="18" xfId="3" applyFont="1" applyBorder="1" applyAlignment="1">
      <alignment horizontal="left" vertical="center" wrapText="1"/>
    </xf>
    <xf numFmtId="0" fontId="99" fillId="0" borderId="74" xfId="3" applyFont="1" applyBorder="1" applyAlignment="1">
      <alignment horizontal="center" vertical="center"/>
    </xf>
    <xf numFmtId="0" fontId="99" fillId="0" borderId="37" xfId="3" applyFont="1" applyBorder="1" applyAlignment="1">
      <alignment horizontal="center" vertical="center"/>
    </xf>
    <xf numFmtId="0" fontId="88" fillId="0" borderId="40" xfId="3" applyFont="1" applyBorder="1" applyAlignment="1">
      <alignment horizontal="center" vertical="center"/>
    </xf>
    <xf numFmtId="0" fontId="88" fillId="0" borderId="160" xfId="3" applyFont="1" applyBorder="1" applyAlignment="1">
      <alignment horizontal="center" vertical="center"/>
    </xf>
    <xf numFmtId="0" fontId="88" fillId="0" borderId="37" xfId="3" applyFont="1" applyBorder="1" applyAlignment="1">
      <alignment horizontal="center" vertical="center"/>
    </xf>
    <xf numFmtId="0" fontId="88" fillId="0" borderId="119" xfId="3" applyFont="1" applyBorder="1" applyAlignment="1">
      <alignment horizontal="justify" vertical="center"/>
    </xf>
    <xf numFmtId="0" fontId="88" fillId="0" borderId="42" xfId="3" applyFont="1" applyBorder="1" applyAlignment="1">
      <alignment horizontal="justify" vertical="center"/>
    </xf>
    <xf numFmtId="0" fontId="62" fillId="24" borderId="1" xfId="3" applyFont="1" applyFill="1" applyBorder="1" applyAlignment="1">
      <alignment horizontal="left" vertical="center"/>
    </xf>
    <xf numFmtId="0" fontId="86" fillId="23" borderId="45" xfId="3" applyFont="1" applyFill="1" applyBorder="1" applyAlignment="1">
      <alignment horizontal="center" vertical="center"/>
    </xf>
    <xf numFmtId="0" fontId="86" fillId="23" borderId="155" xfId="3" applyFont="1" applyFill="1" applyBorder="1" applyAlignment="1">
      <alignment horizontal="center" vertical="center"/>
    </xf>
    <xf numFmtId="0" fontId="88" fillId="0" borderId="119" xfId="3" applyFont="1" applyBorder="1" applyAlignment="1">
      <alignment horizontal="center" vertical="center"/>
    </xf>
    <xf numFmtId="0" fontId="88" fillId="0" borderId="74" xfId="3" applyFont="1" applyBorder="1" applyAlignment="1">
      <alignment horizontal="center" vertical="center"/>
    </xf>
    <xf numFmtId="0" fontId="82" fillId="22" borderId="20" xfId="3" applyFont="1" applyFill="1" applyBorder="1" applyAlignment="1">
      <alignment horizontal="center" vertical="center"/>
    </xf>
    <xf numFmtId="0" fontId="82" fillId="22" borderId="19" xfId="3" applyFont="1" applyFill="1" applyBorder="1" applyAlignment="1">
      <alignment horizontal="center" vertical="center"/>
    </xf>
    <xf numFmtId="0" fontId="82" fillId="22" borderId="147" xfId="3" applyFont="1" applyFill="1" applyBorder="1" applyAlignment="1">
      <alignment horizontal="center" vertical="center"/>
    </xf>
    <xf numFmtId="0" fontId="82" fillId="22" borderId="46" xfId="3" applyFont="1" applyFill="1" applyBorder="1" applyAlignment="1">
      <alignment horizontal="center" vertical="center"/>
    </xf>
    <xf numFmtId="0" fontId="82" fillId="22" borderId="44" xfId="3" applyFont="1" applyFill="1" applyBorder="1" applyAlignment="1">
      <alignment horizontal="center" vertical="center"/>
    </xf>
    <xf numFmtId="0" fontId="82" fillId="22" borderId="151" xfId="3" applyFont="1" applyFill="1" applyBorder="1" applyAlignment="1">
      <alignment horizontal="center" vertical="center"/>
    </xf>
    <xf numFmtId="0" fontId="93" fillId="24" borderId="148" xfId="3" applyFont="1" applyFill="1" applyBorder="1" applyAlignment="1">
      <alignment horizontal="center" vertical="center"/>
    </xf>
    <xf numFmtId="0" fontId="93" fillId="24" borderId="152" xfId="3" applyFont="1" applyFill="1" applyBorder="1" applyAlignment="1">
      <alignment horizontal="center" vertical="center"/>
    </xf>
    <xf numFmtId="0" fontId="93" fillId="24" borderId="158" xfId="3" applyFont="1" applyFill="1" applyBorder="1" applyAlignment="1">
      <alignment horizontal="center" vertical="center"/>
    </xf>
    <xf numFmtId="0" fontId="94" fillId="0" borderId="41" xfId="3" applyFont="1" applyBorder="1" applyAlignment="1">
      <alignment horizontal="center" vertical="center"/>
    </xf>
    <xf numFmtId="0" fontId="94" fillId="0" borderId="72" xfId="3" applyFont="1" applyBorder="1" applyAlignment="1">
      <alignment horizontal="center" vertical="center"/>
    </xf>
    <xf numFmtId="0" fontId="89" fillId="24" borderId="18" xfId="3" applyFont="1" applyFill="1" applyBorder="1" applyAlignment="1">
      <alignment horizontal="center" vertical="center"/>
    </xf>
    <xf numFmtId="0" fontId="89" fillId="24" borderId="3" xfId="3" applyFont="1" applyFill="1" applyBorder="1" applyAlignment="1">
      <alignment horizontal="center" vertical="center"/>
    </xf>
    <xf numFmtId="0" fontId="35" fillId="0" borderId="41" xfId="3" applyFont="1" applyBorder="1" applyAlignment="1">
      <alignment horizontal="justify" vertical="center" wrapText="1"/>
    </xf>
    <xf numFmtId="0" fontId="35" fillId="0" borderId="73" xfId="3" applyFont="1" applyBorder="1" applyAlignment="1">
      <alignment horizontal="justify" vertical="center" wrapText="1"/>
    </xf>
    <xf numFmtId="0" fontId="35" fillId="0" borderId="116" xfId="3" applyFont="1" applyBorder="1" applyAlignment="1">
      <alignment horizontal="justify" vertical="center" wrapText="1"/>
    </xf>
    <xf numFmtId="0" fontId="89" fillId="24" borderId="1" xfId="3" applyFont="1" applyFill="1" applyBorder="1" applyAlignment="1">
      <alignment horizontal="center" vertical="center"/>
    </xf>
    <xf numFmtId="0" fontId="35" fillId="0" borderId="119" xfId="3" applyFont="1" applyBorder="1" applyAlignment="1">
      <alignment horizontal="justify" vertical="center" wrapText="1"/>
    </xf>
    <xf numFmtId="0" fontId="35" fillId="0" borderId="42" xfId="3" applyFont="1" applyBorder="1" applyAlignment="1">
      <alignment horizontal="justify" vertical="center" wrapText="1"/>
    </xf>
    <xf numFmtId="0" fontId="35" fillId="0" borderId="120" xfId="3" applyFont="1" applyBorder="1" applyAlignment="1">
      <alignment horizontal="justify" vertical="center" wrapText="1"/>
    </xf>
    <xf numFmtId="0" fontId="91" fillId="0" borderId="41" xfId="3" applyFont="1" applyBorder="1" applyAlignment="1">
      <alignment horizontal="center" vertical="center" wrapText="1"/>
    </xf>
    <xf numFmtId="0" fontId="91" fillId="0" borderId="73" xfId="3" applyFont="1" applyBorder="1" applyAlignment="1">
      <alignment horizontal="center" vertical="center" wrapText="1"/>
    </xf>
    <xf numFmtId="0" fontId="91" fillId="0" borderId="116" xfId="3" applyFont="1" applyBorder="1" applyAlignment="1">
      <alignment horizontal="center" vertical="center" wrapText="1"/>
    </xf>
    <xf numFmtId="0" fontId="35" fillId="0" borderId="74" xfId="3" applyFont="1" applyBorder="1" applyAlignment="1">
      <alignment horizontal="justify" vertical="center" wrapText="1"/>
    </xf>
    <xf numFmtId="0" fontId="35" fillId="0" borderId="68" xfId="3" applyFont="1" applyBorder="1" applyAlignment="1">
      <alignment horizontal="justify" vertical="center" wrapText="1"/>
    </xf>
    <xf numFmtId="0" fontId="35" fillId="0" borderId="121" xfId="3" applyFont="1" applyBorder="1" applyAlignment="1">
      <alignment horizontal="justify" vertical="center" wrapText="1"/>
    </xf>
    <xf numFmtId="0" fontId="152" fillId="12" borderId="19" xfId="5" applyFont="1" applyFill="1" applyBorder="1" applyAlignment="1">
      <alignment horizontal="center" vertical="center"/>
    </xf>
    <xf numFmtId="0" fontId="152" fillId="12" borderId="139" xfId="5" applyFont="1" applyFill="1" applyBorder="1" applyAlignment="1">
      <alignment horizontal="center" vertical="center"/>
    </xf>
    <xf numFmtId="0" fontId="118" fillId="29" borderId="140" xfId="5" applyFont="1" applyFill="1" applyBorder="1" applyAlignment="1">
      <alignment horizontal="center" vertical="center"/>
    </xf>
    <xf numFmtId="0" fontId="118" fillId="29" borderId="157" xfId="5" applyFont="1" applyFill="1" applyBorder="1" applyAlignment="1">
      <alignment horizontal="center" vertical="center"/>
    </xf>
    <xf numFmtId="0" fontId="118" fillId="29" borderId="168" xfId="5" applyFont="1" applyFill="1" applyBorder="1" applyAlignment="1">
      <alignment horizontal="center" vertical="center"/>
    </xf>
    <xf numFmtId="0" fontId="118" fillId="29" borderId="170" xfId="5" applyFont="1" applyFill="1" applyBorder="1" applyAlignment="1">
      <alignment horizontal="center" vertical="center"/>
    </xf>
    <xf numFmtId="0" fontId="213" fillId="3" borderId="5" xfId="5" applyFont="1" applyFill="1" applyBorder="1" applyAlignment="1">
      <alignment horizontal="center" vertical="center"/>
    </xf>
    <xf numFmtId="0" fontId="15" fillId="13" borderId="167" xfId="5" applyFont="1" applyFill="1" applyBorder="1" applyAlignment="1">
      <alignment horizontal="center" vertical="center"/>
    </xf>
    <xf numFmtId="0" fontId="5" fillId="2" borderId="141" xfId="5" applyFont="1" applyFill="1" applyBorder="1" applyAlignment="1">
      <alignment horizontal="center" vertical="center"/>
    </xf>
    <xf numFmtId="0" fontId="5" fillId="2" borderId="166" xfId="5" applyFont="1" applyFill="1" applyBorder="1" applyAlignment="1">
      <alignment horizontal="center" vertical="center"/>
    </xf>
    <xf numFmtId="0" fontId="134" fillId="29" borderId="167" xfId="5" applyFont="1" applyFill="1" applyBorder="1" applyAlignment="1">
      <alignment horizontal="center" vertical="center"/>
    </xf>
    <xf numFmtId="0" fontId="216" fillId="0" borderId="0" xfId="5" applyFont="1" applyAlignment="1">
      <alignment horizontal="center" vertical="center"/>
    </xf>
    <xf numFmtId="0" fontId="134" fillId="12" borderId="0" xfId="5" applyFont="1" applyFill="1" applyAlignment="1">
      <alignment horizontal="center" vertical="center"/>
    </xf>
    <xf numFmtId="0" fontId="134" fillId="12" borderId="139" xfId="5" applyFont="1" applyFill="1" applyBorder="1" applyAlignment="1">
      <alignment horizontal="center" vertical="center"/>
    </xf>
    <xf numFmtId="0" fontId="132" fillId="23" borderId="139" xfId="5" applyFont="1" applyFill="1" applyBorder="1" applyAlignment="1">
      <alignment horizontal="center" vertical="center"/>
    </xf>
    <xf numFmtId="0" fontId="132" fillId="23" borderId="167" xfId="5" applyFont="1" applyFill="1" applyBorder="1" applyAlignment="1">
      <alignment horizontal="center" vertical="center"/>
    </xf>
    <xf numFmtId="0" fontId="152" fillId="12" borderId="167" xfId="5" applyFont="1" applyFill="1" applyBorder="1" applyAlignment="1">
      <alignment horizontal="center" vertical="center"/>
    </xf>
    <xf numFmtId="0" fontId="118" fillId="29" borderId="0" xfId="5" applyFont="1" applyFill="1" applyAlignment="1">
      <alignment horizontal="center" vertical="center"/>
    </xf>
    <xf numFmtId="0" fontId="118" fillId="29" borderId="156" xfId="5" applyFont="1" applyFill="1" applyBorder="1" applyAlignment="1">
      <alignment horizontal="center" vertical="center"/>
    </xf>
    <xf numFmtId="0" fontId="15" fillId="13" borderId="47" xfId="5" applyFont="1" applyFill="1" applyBorder="1" applyAlignment="1">
      <alignment horizontal="center" vertical="center"/>
    </xf>
    <xf numFmtId="0" fontId="5" fillId="2" borderId="19" xfId="5" applyFont="1" applyFill="1" applyBorder="1" applyAlignment="1">
      <alignment horizontal="center" vertical="center"/>
    </xf>
    <xf numFmtId="0" fontId="213" fillId="3" borderId="0" xfId="5" applyFont="1" applyFill="1" applyAlignment="1">
      <alignment horizontal="center" vertical="center"/>
    </xf>
    <xf numFmtId="0" fontId="221" fillId="12" borderId="19" xfId="5" applyFont="1" applyFill="1" applyBorder="1" applyAlignment="1">
      <alignment horizontal="center" vertical="center"/>
    </xf>
    <xf numFmtId="0" fontId="221" fillId="12" borderId="139" xfId="5" applyFont="1" applyFill="1" applyBorder="1" applyAlignment="1">
      <alignment horizontal="center" vertical="center"/>
    </xf>
    <xf numFmtId="0" fontId="17" fillId="8" borderId="18" xfId="5" applyFill="1" applyBorder="1" applyAlignment="1">
      <alignment horizontal="center" vertical="center"/>
    </xf>
    <xf numFmtId="0" fontId="17" fillId="8" borderId="3" xfId="5" applyFill="1" applyBorder="1" applyAlignment="1">
      <alignment horizontal="center" vertical="center"/>
    </xf>
    <xf numFmtId="0" fontId="17" fillId="8" borderId="6" xfId="5" applyFill="1" applyBorder="1" applyAlignment="1">
      <alignment horizontal="center" vertical="center" wrapText="1"/>
    </xf>
    <xf numFmtId="0" fontId="177" fillId="23" borderId="19" xfId="5" applyFont="1" applyFill="1" applyBorder="1" applyAlignment="1">
      <alignment horizontal="center" vertical="center"/>
    </xf>
    <xf numFmtId="0" fontId="17" fillId="8" borderId="6" xfId="5" applyFill="1" applyBorder="1" applyAlignment="1">
      <alignment horizontal="center" vertical="center"/>
    </xf>
    <xf numFmtId="0" fontId="56" fillId="8" borderId="6" xfId="5" applyFont="1" applyFill="1" applyBorder="1" applyAlignment="1">
      <alignment horizontal="center" vertical="center" wrapText="1"/>
    </xf>
    <xf numFmtId="0" fontId="56" fillId="8" borderId="18" xfId="5" applyFont="1" applyFill="1" applyBorder="1" applyAlignment="1">
      <alignment horizontal="center" vertical="center" wrapText="1"/>
    </xf>
    <xf numFmtId="0" fontId="5" fillId="2" borderId="5" xfId="5" applyFont="1" applyFill="1" applyBorder="1" applyAlignment="1">
      <alignment horizontal="center" vertical="center"/>
    </xf>
    <xf numFmtId="0" fontId="210" fillId="0" borderId="0" xfId="5" applyFont="1" applyAlignment="1">
      <alignment horizontal="center" vertical="center"/>
    </xf>
    <xf numFmtId="0" fontId="152" fillId="12" borderId="0" xfId="5" applyFont="1" applyFill="1" applyAlignment="1">
      <alignment horizontal="center" vertical="center"/>
    </xf>
    <xf numFmtId="0" fontId="194" fillId="29" borderId="6" xfId="5" applyFont="1" applyFill="1" applyBorder="1" applyAlignment="1">
      <alignment horizontal="center" vertical="center" wrapText="1"/>
    </xf>
    <xf numFmtId="0" fontId="194" fillId="29" borderId="18" xfId="5" applyFont="1" applyFill="1" applyBorder="1" applyAlignment="1">
      <alignment horizontal="center" vertical="center" wrapText="1"/>
    </xf>
    <xf numFmtId="0" fontId="194" fillId="29" borderId="106" xfId="5" applyFont="1" applyFill="1" applyBorder="1" applyAlignment="1">
      <alignment horizontal="center" vertical="center" wrapText="1"/>
    </xf>
    <xf numFmtId="0" fontId="137" fillId="29" borderId="6" xfId="5" applyFont="1" applyFill="1" applyBorder="1" applyAlignment="1">
      <alignment horizontal="center" vertical="center" wrapText="1"/>
    </xf>
    <xf numFmtId="0" fontId="118" fillId="29" borderId="18" xfId="5" applyFont="1" applyFill="1" applyBorder="1" applyAlignment="1">
      <alignment horizontal="center" vertical="center" wrapText="1"/>
    </xf>
    <xf numFmtId="0" fontId="118" fillId="29" borderId="106" xfId="5" applyFont="1" applyFill="1" applyBorder="1" applyAlignment="1">
      <alignment horizontal="center" vertical="center" wrapText="1"/>
    </xf>
    <xf numFmtId="0" fontId="25" fillId="3" borderId="20" xfId="5" applyFont="1" applyFill="1" applyBorder="1" applyAlignment="1">
      <alignment horizontal="center" vertical="center"/>
    </xf>
    <xf numFmtId="0" fontId="25" fillId="3" borderId="19" xfId="5" applyFont="1" applyFill="1" applyBorder="1" applyAlignment="1">
      <alignment horizontal="center" vertical="center"/>
    </xf>
    <xf numFmtId="0" fontId="118" fillId="29" borderId="6" xfId="5" applyFont="1" applyFill="1" applyBorder="1" applyAlignment="1">
      <alignment horizontal="center" vertical="center" wrapText="1"/>
    </xf>
    <xf numFmtId="0" fontId="191" fillId="29" borderId="105" xfId="5" applyFont="1" applyFill="1" applyBorder="1" applyAlignment="1">
      <alignment horizontal="center" vertical="center"/>
    </xf>
    <xf numFmtId="0" fontId="118" fillId="29" borderId="18" xfId="5" applyFont="1" applyFill="1" applyBorder="1" applyAlignment="1">
      <alignment horizontal="center" vertical="center"/>
    </xf>
    <xf numFmtId="0" fontId="118" fillId="29" borderId="106" xfId="5" applyFont="1" applyFill="1" applyBorder="1" applyAlignment="1">
      <alignment horizontal="center" vertical="center"/>
    </xf>
    <xf numFmtId="0" fontId="89" fillId="14" borderId="6" xfId="5" applyFont="1" applyFill="1" applyBorder="1" applyAlignment="1">
      <alignment horizontal="left" vertical="center" wrapText="1"/>
    </xf>
    <xf numFmtId="0" fontId="111" fillId="14" borderId="3" xfId="5" applyFont="1" applyFill="1" applyBorder="1" applyAlignment="1">
      <alignment horizontal="left" vertical="center"/>
    </xf>
    <xf numFmtId="0" fontId="5" fillId="2" borderId="20" xfId="5" applyFont="1" applyFill="1" applyBorder="1" applyAlignment="1">
      <alignment horizontal="center" vertical="center"/>
    </xf>
    <xf numFmtId="0" fontId="5" fillId="2" borderId="7" xfId="5" applyFont="1" applyFill="1" applyBorder="1" applyAlignment="1">
      <alignment horizontal="center" vertical="center"/>
    </xf>
    <xf numFmtId="0" fontId="5" fillId="2" borderId="44" xfId="5" applyFont="1" applyFill="1" applyBorder="1" applyAlignment="1">
      <alignment horizontal="center" vertical="center"/>
    </xf>
    <xf numFmtId="0" fontId="252" fillId="0" borderId="51" xfId="5" applyFont="1" applyBorder="1" applyAlignment="1">
      <alignment horizontal="left" vertical="center" wrapText="1"/>
    </xf>
    <xf numFmtId="0" fontId="252" fillId="0" borderId="166" xfId="5" applyFont="1" applyBorder="1" applyAlignment="1">
      <alignment horizontal="left" vertical="center" wrapText="1"/>
    </xf>
    <xf numFmtId="0" fontId="118" fillId="29" borderId="229" xfId="5" applyFont="1" applyFill="1" applyBorder="1" applyAlignment="1">
      <alignment horizontal="center" vertical="center" wrapText="1"/>
    </xf>
    <xf numFmtId="0" fontId="25" fillId="3" borderId="4" xfId="5" applyFont="1" applyFill="1" applyBorder="1" applyAlignment="1">
      <alignment horizontal="center" vertical="center"/>
    </xf>
    <xf numFmtId="0" fontId="25" fillId="3" borderId="5" xfId="5" applyFont="1" applyFill="1" applyBorder="1" applyAlignment="1">
      <alignment horizontal="center" vertical="center"/>
    </xf>
    <xf numFmtId="0" fontId="79" fillId="0" borderId="41" xfId="0" applyFont="1" applyBorder="1" applyAlignment="1">
      <alignment horizontal="center" vertical="center" wrapText="1"/>
    </xf>
    <xf numFmtId="0" fontId="79" fillId="0" borderId="72" xfId="0" applyFont="1" applyBorder="1" applyAlignment="1">
      <alignment horizontal="center" vertical="center" wrapText="1"/>
    </xf>
    <xf numFmtId="0" fontId="17" fillId="0" borderId="73" xfId="0" applyFont="1" applyBorder="1" applyAlignment="1">
      <alignment horizontal="center" vertical="center" wrapText="1"/>
    </xf>
    <xf numFmtId="0" fontId="17" fillId="0" borderId="72" xfId="0" applyFont="1" applyBorder="1" applyAlignment="1">
      <alignment horizontal="center" vertical="center" wrapText="1"/>
    </xf>
    <xf numFmtId="0" fontId="118" fillId="29" borderId="105" xfId="5" applyFont="1" applyFill="1" applyBorder="1" applyAlignment="1">
      <alignment horizontal="center" vertical="center" wrapText="1"/>
    </xf>
    <xf numFmtId="0" fontId="134" fillId="29" borderId="20" xfId="0" applyFont="1" applyFill="1" applyBorder="1" applyAlignment="1">
      <alignment horizontal="center" vertical="center"/>
    </xf>
    <xf numFmtId="0" fontId="134" fillId="29" borderId="19" xfId="0" applyFont="1" applyFill="1" applyBorder="1" applyAlignment="1">
      <alignment horizontal="center" vertical="center"/>
    </xf>
    <xf numFmtId="0" fontId="134" fillId="29" borderId="142" xfId="0" applyFont="1" applyFill="1" applyBorder="1" applyAlignment="1">
      <alignment horizontal="center" vertical="center"/>
    </xf>
    <xf numFmtId="0" fontId="134" fillId="29" borderId="139" xfId="0" applyFont="1" applyFill="1" applyBorder="1" applyAlignment="1">
      <alignment horizontal="center" vertical="center"/>
    </xf>
    <xf numFmtId="0" fontId="46" fillId="0" borderId="39" xfId="0" applyFont="1" applyBorder="1" applyAlignment="1">
      <alignment horizontal="center" vertical="center" wrapText="1"/>
    </xf>
    <xf numFmtId="0" fontId="46" fillId="0" borderId="164" xfId="0" applyFont="1" applyBorder="1" applyAlignment="1">
      <alignment horizontal="center" vertical="center" wrapText="1"/>
    </xf>
    <xf numFmtId="0" fontId="46" fillId="0" borderId="165" xfId="0" applyFont="1" applyBorder="1" applyAlignment="1">
      <alignment horizontal="center" vertical="center" wrapText="1"/>
    </xf>
    <xf numFmtId="0" fontId="46" fillId="0" borderId="119" xfId="0" applyFont="1" applyBorder="1" applyAlignment="1">
      <alignment horizontal="center" vertical="center" wrapText="1"/>
    </xf>
    <xf numFmtId="0" fontId="46" fillId="0" borderId="74" xfId="0" applyFont="1" applyBorder="1" applyAlignment="1">
      <alignment horizontal="center" vertical="center" wrapText="1"/>
    </xf>
    <xf numFmtId="0" fontId="46" fillId="0" borderId="1" xfId="0" applyFont="1" applyBorder="1" applyAlignment="1">
      <alignment horizontal="center" vertical="center" wrapText="1"/>
    </xf>
    <xf numFmtId="0" fontId="79" fillId="0" borderId="73" xfId="0" applyFont="1" applyBorder="1" applyAlignment="1">
      <alignment horizontal="center" vertical="center" wrapText="1"/>
    </xf>
    <xf numFmtId="0" fontId="198" fillId="0" borderId="41" xfId="0" applyFont="1" applyBorder="1" applyAlignment="1">
      <alignment horizontal="center" vertical="center" wrapText="1"/>
    </xf>
    <xf numFmtId="0" fontId="198" fillId="0" borderId="68" xfId="0" applyFont="1" applyBorder="1" applyAlignment="1">
      <alignment horizontal="center" vertical="center" wrapText="1"/>
    </xf>
    <xf numFmtId="0" fontId="198" fillId="0" borderId="73" xfId="0" applyFont="1" applyBorder="1" applyAlignment="1">
      <alignment horizontal="center" vertical="center" wrapText="1"/>
    </xf>
    <xf numFmtId="0" fontId="198" fillId="0" borderId="72" xfId="0" applyFont="1" applyBorder="1" applyAlignment="1">
      <alignment horizontal="center" vertical="center" wrapText="1"/>
    </xf>
    <xf numFmtId="0" fontId="17" fillId="0" borderId="119" xfId="0" applyFont="1" applyBorder="1" applyAlignment="1">
      <alignment horizontal="center" vertical="center" wrapText="1"/>
    </xf>
    <xf numFmtId="0" fontId="17" fillId="0" borderId="40" xfId="0" applyFont="1" applyBorder="1" applyAlignment="1">
      <alignment horizontal="center" vertical="center" wrapText="1"/>
    </xf>
    <xf numFmtId="0" fontId="17" fillId="0" borderId="74" xfId="0" applyFont="1" applyBorder="1" applyAlignment="1">
      <alignment horizontal="center" vertical="center" wrapText="1"/>
    </xf>
    <xf numFmtId="0" fontId="17" fillId="0" borderId="37" xfId="0" applyFont="1" applyBorder="1" applyAlignment="1">
      <alignment horizontal="center" vertical="center" wrapText="1"/>
    </xf>
    <xf numFmtId="0" fontId="17" fillId="0" borderId="39" xfId="0" applyFont="1" applyBorder="1" applyAlignment="1">
      <alignment horizontal="center" vertical="center" wrapText="1"/>
    </xf>
    <xf numFmtId="0" fontId="17" fillId="0" borderId="165" xfId="0" applyFont="1" applyBorder="1" applyAlignment="1">
      <alignment horizontal="center" vertical="center" wrapText="1"/>
    </xf>
    <xf numFmtId="0" fontId="230" fillId="19" borderId="74" xfId="0" applyFont="1" applyFill="1" applyBorder="1" applyAlignment="1">
      <alignment horizontal="center" vertical="center" wrapText="1"/>
    </xf>
    <xf numFmtId="0" fontId="230" fillId="19" borderId="0" xfId="0" applyFont="1" applyFill="1" applyAlignment="1">
      <alignment horizontal="center" vertical="center" wrapText="1"/>
    </xf>
    <xf numFmtId="0" fontId="230" fillId="19" borderId="68" xfId="0" applyFont="1" applyFill="1" applyBorder="1" applyAlignment="1">
      <alignment horizontal="center" vertical="center" wrapText="1"/>
    </xf>
    <xf numFmtId="0" fontId="113" fillId="0" borderId="1" xfId="5" applyFont="1" applyBorder="1" applyAlignment="1">
      <alignment horizontal="center" vertical="center"/>
    </xf>
    <xf numFmtId="0" fontId="79" fillId="0" borderId="4" xfId="0" applyFont="1" applyBorder="1" applyAlignment="1">
      <alignment horizontal="center" vertical="center" wrapText="1"/>
    </xf>
    <xf numFmtId="0" fontId="79" fillId="0" borderId="22" xfId="0" applyFont="1" applyBorder="1" applyAlignment="1">
      <alignment horizontal="center" vertical="center" wrapText="1"/>
    </xf>
    <xf numFmtId="0" fontId="232" fillId="0" borderId="4" xfId="0" applyFont="1" applyBorder="1" applyAlignment="1">
      <alignment horizontal="center" vertical="center" wrapText="1"/>
    </xf>
    <xf numFmtId="0" fontId="232" fillId="0" borderId="22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233" fillId="0" borderId="0" xfId="0" applyFont="1" applyAlignment="1">
      <alignment horizontal="center" vertical="center"/>
    </xf>
    <xf numFmtId="0" fontId="46" fillId="25" borderId="1" xfId="0" applyFont="1" applyFill="1" applyBorder="1" applyAlignment="1">
      <alignment horizontal="center" vertical="center" wrapText="1"/>
    </xf>
    <xf numFmtId="0" fontId="46" fillId="0" borderId="40" xfId="0" applyFont="1" applyBorder="1" applyAlignment="1">
      <alignment horizontal="center" vertical="center" wrapText="1"/>
    </xf>
    <xf numFmtId="0" fontId="46" fillId="0" borderId="37" xfId="0" applyFont="1" applyBorder="1" applyAlignment="1">
      <alignment horizontal="center" vertical="center" wrapText="1"/>
    </xf>
    <xf numFmtId="0" fontId="228" fillId="0" borderId="0" xfId="0" applyFont="1" applyAlignment="1">
      <alignment horizontal="center" vertical="center" wrapText="1"/>
    </xf>
    <xf numFmtId="0" fontId="168" fillId="0" borderId="73" xfId="0" applyFont="1" applyBorder="1" applyAlignment="1">
      <alignment horizontal="center" vertical="center" wrapText="1"/>
    </xf>
    <xf numFmtId="0" fontId="242" fillId="0" borderId="119" xfId="0" applyFont="1" applyBorder="1" applyAlignment="1">
      <alignment horizontal="left" vertical="center" wrapText="1"/>
    </xf>
    <xf numFmtId="0" fontId="171" fillId="0" borderId="42" xfId="0" applyFont="1" applyBorder="1" applyAlignment="1">
      <alignment horizontal="left" vertical="center" wrapText="1"/>
    </xf>
    <xf numFmtId="0" fontId="171" fillId="0" borderId="40" xfId="0" applyFont="1" applyBorder="1" applyAlignment="1">
      <alignment horizontal="left" vertical="center" wrapText="1"/>
    </xf>
    <xf numFmtId="0" fontId="171" fillId="0" borderId="74" xfId="0" applyFont="1" applyBorder="1" applyAlignment="1">
      <alignment horizontal="left" vertical="center" wrapText="1"/>
    </xf>
    <xf numFmtId="0" fontId="171" fillId="0" borderId="68" xfId="0" applyFont="1" applyBorder="1" applyAlignment="1">
      <alignment horizontal="left" vertical="center" wrapText="1"/>
    </xf>
    <xf numFmtId="0" fontId="171" fillId="0" borderId="37" xfId="0" applyFont="1" applyBorder="1" applyAlignment="1">
      <alignment horizontal="left" vertical="center" wrapText="1"/>
    </xf>
    <xf numFmtId="0" fontId="171" fillId="0" borderId="119" xfId="0" applyFont="1" applyBorder="1" applyAlignment="1">
      <alignment horizontal="left" vertical="center" wrapText="1"/>
    </xf>
    <xf numFmtId="0" fontId="40" fillId="3" borderId="20" xfId="0" applyFont="1" applyFill="1" applyBorder="1" applyAlignment="1">
      <alignment horizontal="center" vertical="center"/>
    </xf>
    <xf numFmtId="0" fontId="25" fillId="3" borderId="19" xfId="0" applyFont="1" applyFill="1" applyBorder="1" applyAlignment="1">
      <alignment horizontal="center" vertical="center"/>
    </xf>
    <xf numFmtId="0" fontId="147" fillId="0" borderId="228" xfId="0" applyFont="1" applyBorder="1" applyAlignment="1">
      <alignment horizontal="center" vertical="center"/>
    </xf>
    <xf numFmtId="0" fontId="121" fillId="0" borderId="195" xfId="0" applyFont="1" applyBorder="1" applyAlignment="1">
      <alignment horizontal="center" vertical="center"/>
    </xf>
    <xf numFmtId="0" fontId="17" fillId="29" borderId="105" xfId="0" applyFont="1" applyFill="1" applyBorder="1" applyAlignment="1">
      <alignment horizontal="center"/>
    </xf>
    <xf numFmtId="0" fontId="17" fillId="29" borderId="18" xfId="0" applyFont="1" applyFill="1" applyBorder="1" applyAlignment="1">
      <alignment horizontal="center"/>
    </xf>
    <xf numFmtId="0" fontId="17" fillId="29" borderId="106" xfId="0" applyFont="1" applyFill="1" applyBorder="1" applyAlignment="1">
      <alignment horizontal="center"/>
    </xf>
    <xf numFmtId="0" fontId="118" fillId="29" borderId="6" xfId="0" applyFont="1" applyFill="1" applyBorder="1" applyAlignment="1">
      <alignment horizontal="center" vertical="center"/>
    </xf>
    <xf numFmtId="0" fontId="118" fillId="29" borderId="18" xfId="0" applyFont="1" applyFill="1" applyBorder="1" applyAlignment="1">
      <alignment horizontal="center" vertical="center"/>
    </xf>
    <xf numFmtId="0" fontId="118" fillId="29" borderId="106" xfId="0" applyFont="1" applyFill="1" applyBorder="1" applyAlignment="1">
      <alignment horizontal="center" vertical="center"/>
    </xf>
    <xf numFmtId="0" fontId="230" fillId="19" borderId="37" xfId="0" applyFont="1" applyFill="1" applyBorder="1" applyAlignment="1">
      <alignment horizontal="center" vertical="center" wrapText="1"/>
    </xf>
    <xf numFmtId="0" fontId="230" fillId="19" borderId="41" xfId="0" applyFont="1" applyFill="1" applyBorder="1" applyAlignment="1">
      <alignment horizontal="center" vertical="center" wrapText="1"/>
    </xf>
    <xf numFmtId="0" fontId="230" fillId="19" borderId="73" xfId="0" applyFont="1" applyFill="1" applyBorder="1" applyAlignment="1">
      <alignment horizontal="center" vertical="center" wrapText="1"/>
    </xf>
    <xf numFmtId="0" fontId="230" fillId="19" borderId="72" xfId="0" applyFont="1" applyFill="1" applyBorder="1" applyAlignment="1">
      <alignment horizontal="center" vertical="center" wrapText="1"/>
    </xf>
    <xf numFmtId="0" fontId="171" fillId="0" borderId="41" xfId="0" applyFont="1" applyBorder="1" applyAlignment="1">
      <alignment horizontal="center" vertical="center" wrapText="1"/>
    </xf>
    <xf numFmtId="0" fontId="171" fillId="0" borderId="73" xfId="0" applyFont="1" applyBorder="1" applyAlignment="1">
      <alignment horizontal="center" vertical="center" wrapText="1"/>
    </xf>
    <xf numFmtId="0" fontId="171" fillId="0" borderId="72" xfId="0" applyFont="1" applyBorder="1" applyAlignment="1">
      <alignment horizontal="center" vertical="center" wrapText="1"/>
    </xf>
    <xf numFmtId="0" fontId="168" fillId="0" borderId="202" xfId="0" applyFont="1" applyBorder="1" applyAlignment="1">
      <alignment horizontal="center" vertical="center" wrapText="1"/>
    </xf>
    <xf numFmtId="0" fontId="171" fillId="0" borderId="41" xfId="0" applyFont="1" applyBorder="1" applyAlignment="1">
      <alignment horizontal="left" vertical="center" wrapText="1"/>
    </xf>
    <xf numFmtId="0" fontId="171" fillId="0" borderId="73" xfId="0" applyFont="1" applyBorder="1" applyAlignment="1">
      <alignment horizontal="left" vertical="center" wrapText="1"/>
    </xf>
    <xf numFmtId="0" fontId="171" fillId="0" borderId="72" xfId="0" applyFont="1" applyBorder="1" applyAlignment="1">
      <alignment horizontal="left" vertical="center" wrapText="1"/>
    </xf>
    <xf numFmtId="0" fontId="147" fillId="0" borderId="1" xfId="0" applyFont="1" applyBorder="1" applyAlignment="1">
      <alignment horizontal="center" vertical="center"/>
    </xf>
    <xf numFmtId="0" fontId="121" fillId="0" borderId="1" xfId="0" applyFont="1" applyBorder="1" applyAlignment="1">
      <alignment horizontal="center" vertical="center"/>
    </xf>
    <xf numFmtId="0" fontId="121" fillId="16" borderId="95" xfId="0" applyFont="1" applyFill="1" applyBorder="1" applyAlignment="1">
      <alignment horizontal="center" vertical="center" wrapText="1"/>
    </xf>
    <xf numFmtId="0" fontId="121" fillId="16" borderId="96" xfId="0" applyFont="1" applyFill="1" applyBorder="1" applyAlignment="1">
      <alignment horizontal="center" vertical="center" wrapText="1"/>
    </xf>
    <xf numFmtId="0" fontId="122" fillId="17" borderId="97" xfId="0" applyFont="1" applyFill="1" applyBorder="1" applyAlignment="1">
      <alignment horizontal="center" vertical="center" wrapText="1"/>
    </xf>
    <xf numFmtId="0" fontId="122" fillId="17" borderId="98" xfId="0" applyFont="1" applyFill="1" applyBorder="1" applyAlignment="1">
      <alignment horizontal="center" vertical="center" wrapText="1"/>
    </xf>
    <xf numFmtId="0" fontId="122" fillId="17" borderId="95" xfId="0" applyFont="1" applyFill="1" applyBorder="1" applyAlignment="1">
      <alignment horizontal="center" vertical="center" wrapText="1"/>
    </xf>
    <xf numFmtId="0" fontId="122" fillId="17" borderId="99" xfId="0" applyFont="1" applyFill="1" applyBorder="1" applyAlignment="1">
      <alignment horizontal="center" vertical="center" wrapText="1"/>
    </xf>
    <xf numFmtId="0" fontId="122" fillId="17" borderId="100" xfId="0" applyFont="1" applyFill="1" applyBorder="1" applyAlignment="1">
      <alignment horizontal="center" vertical="center" wrapText="1"/>
    </xf>
    <xf numFmtId="0" fontId="122" fillId="17" borderId="96" xfId="0" applyFont="1" applyFill="1" applyBorder="1" applyAlignment="1">
      <alignment horizontal="center" vertical="center" wrapText="1"/>
    </xf>
    <xf numFmtId="0" fontId="122" fillId="17" borderId="97" xfId="0" applyFont="1" applyFill="1" applyBorder="1" applyAlignment="1">
      <alignment horizontal="justify" vertical="center" wrapText="1"/>
    </xf>
    <xf numFmtId="0" fontId="122" fillId="17" borderId="98" xfId="0" applyFont="1" applyFill="1" applyBorder="1" applyAlignment="1">
      <alignment horizontal="justify" vertical="center" wrapText="1"/>
    </xf>
    <xf numFmtId="0" fontId="122" fillId="17" borderId="95" xfId="0" applyFont="1" applyFill="1" applyBorder="1" applyAlignment="1">
      <alignment horizontal="justify" vertical="center" wrapText="1"/>
    </xf>
    <xf numFmtId="0" fontId="122" fillId="17" borderId="99" xfId="0" applyFont="1" applyFill="1" applyBorder="1" applyAlignment="1">
      <alignment horizontal="justify" vertical="center" wrapText="1"/>
    </xf>
    <xf numFmtId="0" fontId="122" fillId="17" borderId="100" xfId="0" applyFont="1" applyFill="1" applyBorder="1" applyAlignment="1">
      <alignment horizontal="justify" vertical="center" wrapText="1"/>
    </xf>
    <xf numFmtId="0" fontId="122" fillId="17" borderId="96" xfId="0" applyFont="1" applyFill="1" applyBorder="1" applyAlignment="1">
      <alignment horizontal="justify" vertical="center" wrapText="1"/>
    </xf>
    <xf numFmtId="0" fontId="122" fillId="17" borderId="92" xfId="0" applyFont="1" applyFill="1" applyBorder="1" applyAlignment="1">
      <alignment horizontal="center" vertical="center" wrapText="1"/>
    </xf>
    <xf numFmtId="0" fontId="122" fillId="17" borderId="93" xfId="0" applyFont="1" applyFill="1" applyBorder="1" applyAlignment="1">
      <alignment horizontal="center" vertical="center" wrapText="1"/>
    </xf>
    <xf numFmtId="0" fontId="122" fillId="17" borderId="101" xfId="0" applyFont="1" applyFill="1" applyBorder="1" applyAlignment="1">
      <alignment horizontal="center" vertical="center" wrapText="1"/>
    </xf>
    <xf numFmtId="0" fontId="122" fillId="17" borderId="102" xfId="0" applyFont="1" applyFill="1" applyBorder="1" applyAlignment="1">
      <alignment horizontal="center" vertical="center" wrapText="1"/>
    </xf>
    <xf numFmtId="0" fontId="122" fillId="0" borderId="82" xfId="0" applyFont="1" applyBorder="1" applyAlignment="1">
      <alignment horizontal="center" vertical="center" wrapText="1"/>
    </xf>
    <xf numFmtId="0" fontId="122" fillId="0" borderId="83" xfId="0" applyFont="1" applyBorder="1" applyAlignment="1">
      <alignment horizontal="center" vertical="center" wrapText="1"/>
    </xf>
    <xf numFmtId="0" fontId="122" fillId="0" borderId="100" xfId="0" applyFont="1" applyBorder="1" applyAlignment="1">
      <alignment horizontal="center" vertical="center" wrapText="1"/>
    </xf>
    <xf numFmtId="0" fontId="122" fillId="0" borderId="103" xfId="0" applyFont="1" applyBorder="1" applyAlignment="1">
      <alignment horizontal="center" vertical="center" wrapText="1"/>
    </xf>
    <xf numFmtId="0" fontId="122" fillId="0" borderId="85" xfId="0" applyFont="1" applyBorder="1" applyAlignment="1">
      <alignment horizontal="justify" vertical="center" wrapText="1"/>
    </xf>
    <xf numFmtId="0" fontId="122" fillId="0" borderId="82" xfId="0" applyFont="1" applyBorder="1" applyAlignment="1">
      <alignment horizontal="justify" vertical="center" wrapText="1"/>
    </xf>
    <xf numFmtId="0" fontId="122" fillId="0" borderId="104" xfId="0" applyFont="1" applyBorder="1" applyAlignment="1">
      <alignment horizontal="justify" vertical="center" wrapText="1"/>
    </xf>
    <xf numFmtId="0" fontId="122" fillId="0" borderId="100" xfId="0" applyFont="1" applyBorder="1" applyAlignment="1">
      <alignment horizontal="justify" vertical="center" wrapText="1"/>
    </xf>
    <xf numFmtId="0" fontId="121" fillId="0" borderId="86" xfId="0" applyFont="1" applyBorder="1" applyAlignment="1">
      <alignment horizontal="justify" vertical="center" wrapText="1"/>
    </xf>
    <xf numFmtId="0" fontId="121" fillId="16" borderId="88" xfId="0" applyFont="1" applyFill="1" applyBorder="1" applyAlignment="1">
      <alignment horizontal="center" vertical="center" wrapText="1"/>
    </xf>
    <xf numFmtId="0" fontId="121" fillId="16" borderId="89" xfId="0" applyFont="1" applyFill="1" applyBorder="1" applyAlignment="1">
      <alignment horizontal="center" vertical="center" wrapText="1"/>
    </xf>
    <xf numFmtId="0" fontId="122" fillId="17" borderId="90" xfId="0" applyFont="1" applyFill="1" applyBorder="1" applyAlignment="1">
      <alignment horizontal="center" vertical="center" wrapText="1"/>
    </xf>
    <xf numFmtId="0" fontId="122" fillId="17" borderId="91" xfId="0" applyFont="1" applyFill="1" applyBorder="1" applyAlignment="1">
      <alignment horizontal="center" vertical="center" wrapText="1"/>
    </xf>
    <xf numFmtId="0" fontId="122" fillId="17" borderId="87" xfId="0" applyFont="1" applyFill="1" applyBorder="1" applyAlignment="1">
      <alignment horizontal="center" vertical="center" wrapText="1"/>
    </xf>
    <xf numFmtId="0" fontId="122" fillId="17" borderId="94" xfId="0" applyFont="1" applyFill="1" applyBorder="1" applyAlignment="1">
      <alignment horizontal="center" vertical="center" wrapText="1"/>
    </xf>
    <xf numFmtId="0" fontId="122" fillId="17" borderId="92" xfId="0" applyFont="1" applyFill="1" applyBorder="1" applyAlignment="1">
      <alignment horizontal="justify" vertical="center" wrapText="1"/>
    </xf>
    <xf numFmtId="0" fontId="122" fillId="17" borderId="93" xfId="0" applyFont="1" applyFill="1" applyBorder="1" applyAlignment="1">
      <alignment horizontal="justify" vertical="center" wrapText="1"/>
    </xf>
    <xf numFmtId="0" fontId="122" fillId="17" borderId="94" xfId="0" applyFont="1" applyFill="1" applyBorder="1" applyAlignment="1">
      <alignment horizontal="justify" vertical="center" wrapText="1"/>
    </xf>
    <xf numFmtId="0" fontId="122" fillId="0" borderId="42" xfId="0" applyFont="1" applyBorder="1" applyAlignment="1">
      <alignment horizontal="justify" vertical="center" wrapText="1"/>
    </xf>
    <xf numFmtId="0" fontId="121" fillId="0" borderId="0" xfId="0" applyFont="1" applyAlignment="1">
      <alignment horizontal="justify" vertical="center" wrapText="1"/>
    </xf>
    <xf numFmtId="0" fontId="122" fillId="0" borderId="0" xfId="0" applyFont="1" applyAlignment="1">
      <alignment horizontal="right" vertical="center" wrapText="1"/>
    </xf>
    <xf numFmtId="0" fontId="122" fillId="0" borderId="0" xfId="0" applyFont="1" applyAlignment="1">
      <alignment vertical="center" wrapText="1"/>
    </xf>
    <xf numFmtId="0" fontId="121" fillId="0" borderId="0" xfId="0" applyFont="1" applyAlignment="1">
      <alignment horizontal="center" vertical="center" wrapText="1"/>
    </xf>
    <xf numFmtId="0" fontId="122" fillId="0" borderId="0" xfId="0" applyFont="1" applyAlignment="1">
      <alignment horizontal="center" vertical="center" wrapText="1"/>
    </xf>
    <xf numFmtId="0" fontId="121" fillId="0" borderId="79" xfId="0" applyFont="1" applyBorder="1" applyAlignment="1">
      <alignment horizontal="right" vertical="center" wrapText="1"/>
    </xf>
    <xf numFmtId="0" fontId="122" fillId="0" borderId="79" xfId="0" applyFont="1" applyBorder="1" applyAlignment="1">
      <alignment horizontal="justify" vertical="center" wrapText="1"/>
    </xf>
    <xf numFmtId="0" fontId="122" fillId="0" borderId="80" xfId="0" applyFont="1" applyBorder="1" applyAlignment="1">
      <alignment horizontal="center" vertical="center" wrapText="1"/>
    </xf>
    <xf numFmtId="0" fontId="122" fillId="0" borderId="66" xfId="0" applyFont="1" applyBorder="1" applyAlignment="1">
      <alignment horizontal="center" vertical="center" wrapText="1"/>
    </xf>
    <xf numFmtId="0" fontId="122" fillId="0" borderId="58" xfId="0" applyFont="1" applyBorder="1" applyAlignment="1">
      <alignment horizontal="center" vertical="center" wrapText="1"/>
    </xf>
    <xf numFmtId="178" fontId="122" fillId="0" borderId="65" xfId="0" applyNumberFormat="1" applyFont="1" applyBorder="1" applyAlignment="1">
      <alignment horizontal="center" vertical="center" wrapText="1"/>
    </xf>
    <xf numFmtId="0" fontId="122" fillId="0" borderId="65" xfId="0" applyFont="1" applyBorder="1" applyAlignment="1">
      <alignment horizontal="center" vertical="center" wrapText="1"/>
    </xf>
    <xf numFmtId="0" fontId="122" fillId="0" borderId="71" xfId="0" applyFont="1" applyBorder="1" applyAlignment="1">
      <alignment horizontal="right" vertical="center" wrapText="1"/>
    </xf>
    <xf numFmtId="0" fontId="122" fillId="0" borderId="73" xfId="0" applyFont="1" applyBorder="1" applyAlignment="1">
      <alignment horizontal="right" vertical="center" wrapText="1"/>
    </xf>
    <xf numFmtId="0" fontId="121" fillId="15" borderId="73" xfId="0" applyFont="1" applyFill="1" applyBorder="1" applyAlignment="1">
      <alignment horizontal="center" vertical="center" wrapText="1"/>
    </xf>
    <xf numFmtId="0" fontId="121" fillId="15" borderId="77" xfId="0" applyFont="1" applyFill="1" applyBorder="1" applyAlignment="1">
      <alignment horizontal="center" vertical="center" wrapText="1"/>
    </xf>
    <xf numFmtId="0" fontId="122" fillId="15" borderId="78" xfId="0" applyFont="1" applyFill="1" applyBorder="1" applyAlignment="1">
      <alignment horizontal="right" vertical="center" wrapText="1"/>
    </xf>
    <xf numFmtId="0" fontId="122" fillId="15" borderId="73" xfId="0" applyFont="1" applyFill="1" applyBorder="1" applyAlignment="1">
      <alignment horizontal="right" vertical="center" wrapText="1"/>
    </xf>
    <xf numFmtId="0" fontId="151" fillId="15" borderId="73" xfId="0" applyFont="1" applyFill="1" applyBorder="1" applyAlignment="1">
      <alignment horizontal="center" vertical="center" wrapText="1"/>
    </xf>
    <xf numFmtId="0" fontId="122" fillId="15" borderId="73" xfId="0" applyFont="1" applyFill="1" applyBorder="1" applyAlignment="1">
      <alignment horizontal="center" vertical="center" wrapText="1"/>
    </xf>
    <xf numFmtId="0" fontId="121" fillId="0" borderId="64" xfId="0" applyFont="1" applyBorder="1" applyAlignment="1">
      <alignment horizontal="center" vertical="center" wrapText="1"/>
    </xf>
    <xf numFmtId="0" fontId="121" fillId="0" borderId="61" xfId="0" applyFont="1" applyBorder="1" applyAlignment="1">
      <alignment horizontal="center" vertical="center" wrapText="1"/>
    </xf>
    <xf numFmtId="0" fontId="121" fillId="0" borderId="62" xfId="0" applyFont="1" applyBorder="1" applyAlignment="1">
      <alignment horizontal="center" vertical="center" wrapText="1"/>
    </xf>
    <xf numFmtId="0" fontId="134" fillId="29" borderId="105" xfId="0" applyFont="1" applyFill="1" applyBorder="1" applyAlignment="1">
      <alignment horizontal="center" vertical="center"/>
    </xf>
    <xf numFmtId="0" fontId="134" fillId="29" borderId="18" xfId="0" applyFont="1" applyFill="1" applyBorder="1" applyAlignment="1">
      <alignment horizontal="center" vertical="center"/>
    </xf>
    <xf numFmtId="0" fontId="134" fillId="29" borderId="106" xfId="0" applyFont="1" applyFill="1" applyBorder="1" applyAlignment="1">
      <alignment horizontal="center" vertical="center"/>
    </xf>
    <xf numFmtId="0" fontId="121" fillId="0" borderId="144" xfId="0" applyFont="1" applyBorder="1" applyAlignment="1">
      <alignment horizontal="center" vertical="center" wrapText="1"/>
    </xf>
    <xf numFmtId="0" fontId="122" fillId="15" borderId="52" xfId="0" applyFont="1" applyFill="1" applyBorder="1" applyAlignment="1">
      <alignment horizontal="center" vertical="center" wrapText="1"/>
    </xf>
    <xf numFmtId="0" fontId="122" fillId="15" borderId="81" xfId="0" applyFont="1" applyFill="1" applyBorder="1" applyAlignment="1">
      <alignment horizontal="center" vertical="center" wrapText="1"/>
    </xf>
    <xf numFmtId="0" fontId="122" fillId="15" borderId="53" xfId="0" applyFont="1" applyFill="1" applyBorder="1" applyAlignment="1">
      <alignment horizontal="justify" vertical="center" wrapText="1"/>
    </xf>
    <xf numFmtId="0" fontId="122" fillId="15" borderId="52" xfId="0" applyFont="1" applyFill="1" applyBorder="1" applyAlignment="1">
      <alignment horizontal="justify" vertical="center" wrapText="1"/>
    </xf>
    <xf numFmtId="0" fontId="121" fillId="15" borderId="52" xfId="0" applyFont="1" applyFill="1" applyBorder="1" applyAlignment="1">
      <alignment vertical="center" wrapText="1"/>
    </xf>
    <xf numFmtId="0" fontId="122" fillId="0" borderId="54" xfId="0" applyFont="1" applyBorder="1" applyAlignment="1">
      <alignment horizontal="justify" vertical="center" wrapText="1"/>
    </xf>
    <xf numFmtId="0" fontId="121" fillId="0" borderId="56" xfId="0" applyFont="1" applyBorder="1" applyAlignment="1">
      <alignment horizontal="justify" vertical="center" wrapText="1"/>
    </xf>
    <xf numFmtId="0" fontId="121" fillId="0" borderId="55" xfId="0" applyFont="1" applyBorder="1" applyAlignment="1">
      <alignment horizontal="justify" vertical="center" wrapText="1"/>
    </xf>
    <xf numFmtId="0" fontId="122" fillId="0" borderId="57" xfId="0" applyFont="1" applyBorder="1" applyAlignment="1">
      <alignment horizontal="center" vertical="center" wrapText="1"/>
    </xf>
    <xf numFmtId="0" fontId="122" fillId="0" borderId="56" xfId="0" applyFont="1" applyBorder="1" applyAlignment="1">
      <alignment horizontal="center" vertical="center" wrapText="1"/>
    </xf>
    <xf numFmtId="0" fontId="122" fillId="0" borderId="55" xfId="0" applyFont="1" applyBorder="1" applyAlignment="1">
      <alignment horizontal="center" vertical="center" wrapText="1"/>
    </xf>
    <xf numFmtId="0" fontId="121" fillId="0" borderId="57" xfId="0" applyFont="1" applyBorder="1" applyAlignment="1">
      <alignment horizontal="justify" vertical="center" wrapText="1"/>
    </xf>
    <xf numFmtId="0" fontId="121" fillId="0" borderId="59" xfId="0" applyFont="1" applyBorder="1" applyAlignment="1">
      <alignment horizontal="justify" vertical="center" wrapText="1"/>
    </xf>
    <xf numFmtId="0" fontId="121" fillId="0" borderId="60" xfId="0" applyFont="1" applyBorder="1" applyAlignment="1">
      <alignment horizontal="justify" vertical="center" wrapText="1"/>
    </xf>
    <xf numFmtId="0" fontId="122" fillId="0" borderId="63" xfId="0" applyFont="1" applyBorder="1" applyAlignment="1">
      <alignment horizontal="center" vertical="center" wrapText="1"/>
    </xf>
    <xf numFmtId="0" fontId="122" fillId="0" borderId="59" xfId="0" applyFont="1" applyBorder="1" applyAlignment="1">
      <alignment horizontal="center" vertical="center" wrapText="1"/>
    </xf>
    <xf numFmtId="0" fontId="122" fillId="0" borderId="60" xfId="0" applyFont="1" applyBorder="1" applyAlignment="1">
      <alignment horizontal="center" vertical="center" wrapText="1"/>
    </xf>
    <xf numFmtId="0" fontId="122" fillId="0" borderId="64" xfId="0" applyFont="1" applyBorder="1" applyAlignment="1">
      <alignment horizontal="center" vertical="center" wrapText="1"/>
    </xf>
    <xf numFmtId="0" fontId="122" fillId="0" borderId="61" xfId="0" applyFont="1" applyBorder="1" applyAlignment="1">
      <alignment horizontal="center" vertical="center" wrapText="1"/>
    </xf>
    <xf numFmtId="0" fontId="122" fillId="0" borderId="62" xfId="0" applyFont="1" applyBorder="1" applyAlignment="1">
      <alignment horizontal="center" vertical="center" wrapText="1"/>
    </xf>
    <xf numFmtId="0" fontId="121" fillId="0" borderId="63" xfId="0" applyFont="1" applyBorder="1" applyAlignment="1">
      <alignment horizontal="justify" vertical="center" wrapText="1"/>
    </xf>
    <xf numFmtId="0" fontId="121" fillId="0" borderId="61" xfId="0" applyFont="1" applyBorder="1" applyAlignment="1">
      <alignment horizontal="justify" vertical="center" wrapText="1"/>
    </xf>
    <xf numFmtId="0" fontId="121" fillId="0" borderId="62" xfId="0" applyFont="1" applyBorder="1" applyAlignment="1">
      <alignment horizontal="justify" vertical="center" wrapText="1"/>
    </xf>
    <xf numFmtId="0" fontId="121" fillId="0" borderId="64" xfId="0" applyFont="1" applyBorder="1" applyAlignment="1">
      <alignment horizontal="justify" vertical="center" wrapText="1"/>
    </xf>
    <xf numFmtId="0" fontId="121" fillId="0" borderId="66" xfId="0" applyFont="1" applyBorder="1" applyAlignment="1">
      <alignment horizontal="justify" vertical="center" wrapText="1"/>
    </xf>
    <xf numFmtId="0" fontId="121" fillId="0" borderId="58" xfId="0" applyFont="1" applyBorder="1" applyAlignment="1">
      <alignment horizontal="justify" vertical="center" wrapText="1"/>
    </xf>
    <xf numFmtId="0" fontId="121" fillId="0" borderId="68" xfId="0" applyFont="1" applyBorder="1" applyAlignment="1">
      <alignment horizontal="justify" vertical="center" wrapText="1"/>
    </xf>
    <xf numFmtId="0" fontId="121" fillId="0" borderId="69" xfId="0" applyFont="1" applyBorder="1" applyAlignment="1">
      <alignment horizontal="justify" vertical="center" wrapText="1"/>
    </xf>
    <xf numFmtId="0" fontId="121" fillId="0" borderId="65" xfId="0" applyFont="1" applyBorder="1" applyAlignment="1">
      <alignment horizontal="justify" vertical="center" wrapText="1"/>
    </xf>
    <xf numFmtId="0" fontId="25" fillId="3" borderId="7" xfId="0" applyFont="1" applyFill="1" applyBorder="1" applyAlignment="1">
      <alignment horizontal="center" vertical="center"/>
    </xf>
    <xf numFmtId="0" fontId="25" fillId="3" borderId="44" xfId="0" applyFont="1" applyFill="1" applyBorder="1" applyAlignment="1">
      <alignment horizontal="center" vertical="center"/>
    </xf>
    <xf numFmtId="0" fontId="138" fillId="29" borderId="142" xfId="0" applyFont="1" applyFill="1" applyBorder="1" applyAlignment="1">
      <alignment horizontal="center" vertical="center"/>
    </xf>
    <xf numFmtId="0" fontId="138" fillId="29" borderId="139" xfId="0" applyFont="1" applyFill="1" applyBorder="1" applyAlignment="1">
      <alignment horizontal="center" vertical="center"/>
    </xf>
    <xf numFmtId="0" fontId="121" fillId="0" borderId="70" xfId="0" applyFont="1" applyBorder="1" applyAlignment="1">
      <alignment horizontal="justify" vertical="center" wrapText="1"/>
    </xf>
    <xf numFmtId="0" fontId="121" fillId="0" borderId="67" xfId="0" applyFont="1" applyBorder="1" applyAlignment="1">
      <alignment horizontal="justify" vertical="center" wrapText="1"/>
    </xf>
    <xf numFmtId="0" fontId="122" fillId="0" borderId="70" xfId="0" applyFont="1" applyBorder="1" applyAlignment="1">
      <alignment horizontal="center" vertical="center" wrapText="1"/>
    </xf>
    <xf numFmtId="0" fontId="122" fillId="0" borderId="71" xfId="0" applyFont="1" applyBorder="1" applyAlignment="1">
      <alignment horizontal="center" vertical="center" wrapText="1"/>
    </xf>
    <xf numFmtId="0" fontId="122" fillId="0" borderId="67" xfId="0" applyFont="1" applyBorder="1" applyAlignment="1">
      <alignment horizontal="center" vertical="center" wrapText="1"/>
    </xf>
    <xf numFmtId="0" fontId="121" fillId="0" borderId="71" xfId="0" applyFont="1" applyBorder="1" applyAlignment="1">
      <alignment horizontal="justify" vertical="center" wrapText="1"/>
    </xf>
    <xf numFmtId="0" fontId="122" fillId="0" borderId="70" xfId="0" applyFont="1" applyBorder="1" applyAlignment="1">
      <alignment horizontal="justify" vertical="center" wrapText="1"/>
    </xf>
    <xf numFmtId="0" fontId="122" fillId="0" borderId="71" xfId="0" applyFont="1" applyBorder="1" applyAlignment="1">
      <alignment horizontal="justify" vertical="center" wrapText="1"/>
    </xf>
    <xf numFmtId="0" fontId="123" fillId="0" borderId="42" xfId="0" applyFont="1" applyBorder="1" applyAlignment="1">
      <alignment horizontal="center" vertical="center" wrapText="1"/>
    </xf>
    <xf numFmtId="0" fontId="121" fillId="0" borderId="73" xfId="0" applyFont="1" applyBorder="1" applyAlignment="1">
      <alignment horizontal="justify" vertical="center" wrapText="1"/>
    </xf>
    <xf numFmtId="0" fontId="121" fillId="0" borderId="72" xfId="0" applyFont="1" applyBorder="1" applyAlignment="1">
      <alignment horizontal="justify" vertical="center" wrapText="1"/>
    </xf>
    <xf numFmtId="0" fontId="124" fillId="0" borderId="74" xfId="0" applyFont="1" applyBorder="1" applyAlignment="1">
      <alignment horizontal="center" vertical="center" wrapText="1"/>
    </xf>
    <xf numFmtId="0" fontId="124" fillId="0" borderId="68" xfId="0" applyFont="1" applyBorder="1" applyAlignment="1">
      <alignment horizontal="center" vertical="center" wrapText="1"/>
    </xf>
    <xf numFmtId="0" fontId="121" fillId="0" borderId="42" xfId="0" applyFont="1" applyBorder="1" applyAlignment="1">
      <alignment horizontal="center" vertical="center" wrapText="1"/>
    </xf>
    <xf numFmtId="0" fontId="121" fillId="0" borderId="75" xfId="0" applyFont="1" applyBorder="1" applyAlignment="1">
      <alignment horizontal="center" vertical="center" wrapText="1"/>
    </xf>
    <xf numFmtId="0" fontId="121" fillId="0" borderId="76" xfId="0" applyFont="1" applyBorder="1" applyAlignment="1">
      <alignment horizontal="center" vertical="center" wrapText="1"/>
    </xf>
    <xf numFmtId="0" fontId="138" fillId="29" borderId="47" xfId="0" applyFont="1" applyFill="1" applyBorder="1" applyAlignment="1">
      <alignment horizontal="center" vertical="center"/>
    </xf>
    <xf numFmtId="0" fontId="138" fillId="29" borderId="167" xfId="0" applyFont="1" applyFill="1" applyBorder="1" applyAlignment="1">
      <alignment horizontal="center" vertical="center"/>
    </xf>
    <xf numFmtId="0" fontId="173" fillId="25" borderId="41" xfId="0" applyFont="1" applyFill="1" applyBorder="1" applyAlignment="1">
      <alignment horizontal="center" vertical="center" wrapText="1"/>
    </xf>
    <xf numFmtId="0" fontId="173" fillId="25" borderId="72" xfId="0" applyFont="1" applyFill="1" applyBorder="1" applyAlignment="1">
      <alignment horizontal="center" vertical="center" wrapText="1"/>
    </xf>
    <xf numFmtId="0" fontId="227" fillId="0" borderId="41" xfId="0" applyFont="1" applyBorder="1" applyAlignment="1">
      <alignment horizontal="center" vertical="center" wrapText="1"/>
    </xf>
    <xf numFmtId="0" fontId="227" fillId="0" borderId="72" xfId="0" applyFont="1" applyBorder="1" applyAlignment="1">
      <alignment horizontal="center" vertical="center" wrapText="1"/>
    </xf>
    <xf numFmtId="0" fontId="227" fillId="0" borderId="73" xfId="0" applyFont="1" applyBorder="1" applyAlignment="1">
      <alignment horizontal="center" vertical="center" wrapText="1"/>
    </xf>
    <xf numFmtId="0" fontId="17" fillId="0" borderId="41" xfId="0" applyFont="1" applyBorder="1" applyAlignment="1">
      <alignment horizontal="center" vertical="center" wrapText="1"/>
    </xf>
    <xf numFmtId="0" fontId="7" fillId="0" borderId="73" xfId="0" applyFont="1" applyBorder="1" applyAlignment="1">
      <alignment horizontal="center" vertical="center" wrapText="1"/>
    </xf>
    <xf numFmtId="0" fontId="173" fillId="17" borderId="41" xfId="0" applyFont="1" applyFill="1" applyBorder="1" applyAlignment="1">
      <alignment horizontal="center" vertical="center" wrapText="1"/>
    </xf>
    <xf numFmtId="0" fontId="173" fillId="17" borderId="72" xfId="0" applyFont="1" applyFill="1" applyBorder="1" applyAlignment="1">
      <alignment horizontal="center" vertical="center" wrapText="1"/>
    </xf>
    <xf numFmtId="0" fontId="173" fillId="17" borderId="73" xfId="0" applyFont="1" applyFill="1" applyBorder="1" applyAlignment="1">
      <alignment horizontal="center" vertical="center" wrapText="1"/>
    </xf>
    <xf numFmtId="0" fontId="158" fillId="25" borderId="41" xfId="0" applyFont="1" applyFill="1" applyBorder="1" applyAlignment="1">
      <alignment horizontal="center" vertical="center" wrapText="1"/>
    </xf>
    <xf numFmtId="0" fontId="158" fillId="25" borderId="73" xfId="0" applyFont="1" applyFill="1" applyBorder="1" applyAlignment="1">
      <alignment horizontal="center" vertical="center" wrapText="1"/>
    </xf>
    <xf numFmtId="0" fontId="158" fillId="25" borderId="72" xfId="0" applyFont="1" applyFill="1" applyBorder="1" applyAlignment="1">
      <alignment horizontal="center" vertical="center" wrapText="1"/>
    </xf>
    <xf numFmtId="0" fontId="170" fillId="0" borderId="41" xfId="0" applyFont="1" applyBorder="1" applyAlignment="1">
      <alignment horizontal="center" vertical="center" wrapText="1"/>
    </xf>
    <xf numFmtId="0" fontId="170" fillId="0" borderId="73" xfId="0" applyFont="1" applyBorder="1" applyAlignment="1">
      <alignment horizontal="center" vertical="center" wrapText="1"/>
    </xf>
    <xf numFmtId="0" fontId="170" fillId="0" borderId="72" xfId="0" applyFont="1" applyBorder="1" applyAlignment="1">
      <alignment horizontal="center" vertical="center" wrapText="1"/>
    </xf>
    <xf numFmtId="0" fontId="48" fillId="0" borderId="41" xfId="0" applyFont="1" applyBorder="1" applyAlignment="1">
      <alignment horizontal="center" vertical="center" wrapText="1"/>
    </xf>
    <xf numFmtId="0" fontId="48" fillId="0" borderId="73" xfId="0" applyFont="1" applyBorder="1" applyAlignment="1">
      <alignment horizontal="center" vertical="center" wrapText="1"/>
    </xf>
    <xf numFmtId="0" fontId="48" fillId="0" borderId="72" xfId="0" applyFont="1" applyBorder="1" applyAlignment="1">
      <alignment horizontal="center" vertical="center" wrapText="1"/>
    </xf>
    <xf numFmtId="0" fontId="169" fillId="0" borderId="41" xfId="0" applyFont="1" applyBorder="1" applyAlignment="1">
      <alignment horizontal="justify" vertical="center" wrapText="1"/>
    </xf>
    <xf numFmtId="0" fontId="169" fillId="0" borderId="73" xfId="0" applyFont="1" applyBorder="1" applyAlignment="1">
      <alignment horizontal="justify" vertical="center" wrapText="1"/>
    </xf>
    <xf numFmtId="0" fontId="169" fillId="0" borderId="73" xfId="0" applyFont="1" applyBorder="1" applyAlignment="1">
      <alignment horizontal="center" vertical="center" wrapText="1"/>
    </xf>
    <xf numFmtId="0" fontId="169" fillId="0" borderId="72" xfId="0" applyFont="1" applyBorder="1" applyAlignment="1">
      <alignment horizontal="justify" vertical="center" wrapText="1"/>
    </xf>
    <xf numFmtId="0" fontId="172" fillId="0" borderId="41" xfId="0" applyFont="1" applyBorder="1" applyAlignment="1">
      <alignment horizontal="center" vertical="center" wrapText="1"/>
    </xf>
    <xf numFmtId="0" fontId="172" fillId="0" borderId="73" xfId="0" applyFont="1" applyBorder="1" applyAlignment="1">
      <alignment horizontal="center" vertical="center" wrapText="1"/>
    </xf>
    <xf numFmtId="0" fontId="172" fillId="0" borderId="72" xfId="0" applyFont="1" applyBorder="1" applyAlignment="1">
      <alignment horizontal="center" vertical="center" wrapText="1"/>
    </xf>
    <xf numFmtId="0" fontId="158" fillId="25" borderId="119" xfId="0" applyFont="1" applyFill="1" applyBorder="1" applyAlignment="1">
      <alignment horizontal="center" vertical="center" wrapText="1"/>
    </xf>
    <xf numFmtId="0" fontId="158" fillId="25" borderId="40" xfId="0" applyFont="1" applyFill="1" applyBorder="1" applyAlignment="1">
      <alignment horizontal="center" vertical="center" wrapText="1"/>
    </xf>
    <xf numFmtId="0" fontId="158" fillId="25" borderId="74" xfId="0" applyFont="1" applyFill="1" applyBorder="1" applyAlignment="1">
      <alignment horizontal="center" vertical="center" wrapText="1"/>
    </xf>
    <xf numFmtId="0" fontId="158" fillId="25" borderId="37" xfId="0" applyFont="1" applyFill="1" applyBorder="1" applyAlignment="1">
      <alignment horizontal="center" vertical="center" wrapText="1"/>
    </xf>
    <xf numFmtId="0" fontId="167" fillId="25" borderId="41" xfId="0" applyFont="1" applyFill="1" applyBorder="1" applyAlignment="1">
      <alignment horizontal="center" vertical="center" wrapText="1"/>
    </xf>
    <xf numFmtId="0" fontId="167" fillId="25" borderId="73" xfId="0" applyFont="1" applyFill="1" applyBorder="1" applyAlignment="1">
      <alignment horizontal="center" vertical="center" wrapText="1"/>
    </xf>
    <xf numFmtId="0" fontId="167" fillId="25" borderId="72" xfId="0" applyFont="1" applyFill="1" applyBorder="1" applyAlignment="1">
      <alignment horizontal="center" vertical="center" wrapText="1"/>
    </xf>
    <xf numFmtId="0" fontId="25" fillId="3" borderId="20" xfId="0" applyFont="1" applyFill="1" applyBorder="1" applyAlignment="1">
      <alignment horizontal="center" vertical="center"/>
    </xf>
    <xf numFmtId="0" fontId="250" fillId="29" borderId="142" xfId="0" applyFont="1" applyFill="1" applyBorder="1" applyAlignment="1">
      <alignment horizontal="center"/>
    </xf>
    <xf numFmtId="0" fontId="250" fillId="29" borderId="139" xfId="0" applyFont="1" applyFill="1" applyBorder="1" applyAlignment="1">
      <alignment horizontal="center"/>
    </xf>
    <xf numFmtId="0" fontId="69" fillId="21" borderId="127" xfId="0" applyFont="1" applyFill="1" applyBorder="1" applyAlignment="1">
      <alignment horizontal="center" vertical="center" wrapText="1"/>
    </xf>
    <xf numFmtId="0" fontId="69" fillId="21" borderId="128" xfId="0" applyFont="1" applyFill="1" applyBorder="1" applyAlignment="1">
      <alignment horizontal="center" vertical="center" wrapText="1"/>
    </xf>
    <xf numFmtId="0" fontId="69" fillId="21" borderId="136" xfId="0" applyFont="1" applyFill="1" applyBorder="1" applyAlignment="1">
      <alignment horizontal="center" vertical="center" wrapText="1"/>
    </xf>
    <xf numFmtId="0" fontId="69" fillId="0" borderId="41" xfId="0" applyFont="1" applyBorder="1" applyAlignment="1">
      <alignment horizontal="center" vertical="center" wrapText="1"/>
    </xf>
    <xf numFmtId="0" fontId="69" fillId="0" borderId="73" xfId="0" applyFont="1" applyBorder="1" applyAlignment="1">
      <alignment horizontal="center" vertical="center" wrapText="1"/>
    </xf>
    <xf numFmtId="0" fontId="69" fillId="0" borderId="72" xfId="0" applyFont="1" applyBorder="1" applyAlignment="1">
      <alignment horizontal="center" vertical="center" wrapText="1"/>
    </xf>
    <xf numFmtId="0" fontId="72" fillId="0" borderId="41" xfId="0" applyFont="1" applyBorder="1" applyAlignment="1">
      <alignment horizontal="center" vertical="center" wrapText="1"/>
    </xf>
    <xf numFmtId="0" fontId="72" fillId="0" borderId="73" xfId="0" applyFont="1" applyBorder="1" applyAlignment="1">
      <alignment horizontal="center" vertical="center" wrapText="1"/>
    </xf>
    <xf numFmtId="0" fontId="72" fillId="0" borderId="116" xfId="0" applyFont="1" applyBorder="1" applyAlignment="1">
      <alignment horizontal="center" vertical="center" wrapText="1"/>
    </xf>
    <xf numFmtId="0" fontId="78" fillId="0" borderId="41" xfId="0" applyFont="1" applyBorder="1" applyAlignment="1">
      <alignment horizontal="center" vertical="center" wrapText="1"/>
    </xf>
    <xf numFmtId="0" fontId="78" fillId="0" borderId="73" xfId="0" applyFont="1" applyBorder="1" applyAlignment="1">
      <alignment horizontal="center" vertical="center" wrapText="1"/>
    </xf>
    <xf numFmtId="0" fontId="78" fillId="0" borderId="116" xfId="0" applyFont="1" applyBorder="1" applyAlignment="1">
      <alignment horizontal="center" vertical="center" wrapText="1"/>
    </xf>
    <xf numFmtId="0" fontId="36" fillId="0" borderId="41" xfId="0" applyFont="1" applyBorder="1" applyAlignment="1">
      <alignment horizontal="justify" vertical="center" wrapText="1"/>
    </xf>
    <xf numFmtId="0" fontId="36" fillId="0" borderId="73" xfId="0" applyFont="1" applyBorder="1" applyAlignment="1">
      <alignment horizontal="justify" vertical="center" wrapText="1"/>
    </xf>
    <xf numFmtId="0" fontId="36" fillId="0" borderId="116" xfId="0" applyFont="1" applyBorder="1" applyAlignment="1">
      <alignment horizontal="justify" vertical="center" wrapText="1"/>
    </xf>
    <xf numFmtId="0" fontId="36" fillId="0" borderId="119" xfId="0" applyFont="1" applyBorder="1" applyAlignment="1">
      <alignment horizontal="justify" vertical="center" wrapText="1"/>
    </xf>
    <xf numFmtId="0" fontId="36" fillId="0" borderId="42" xfId="0" applyFont="1" applyBorder="1" applyAlignment="1">
      <alignment horizontal="justify" vertical="center" wrapText="1"/>
    </xf>
    <xf numFmtId="0" fontId="36" fillId="0" borderId="120" xfId="0" applyFont="1" applyBorder="1" applyAlignment="1">
      <alignment horizontal="justify" vertical="center" wrapText="1"/>
    </xf>
    <xf numFmtId="0" fontId="36" fillId="0" borderId="74" xfId="0" applyFont="1" applyBorder="1" applyAlignment="1">
      <alignment horizontal="justify" vertical="center" wrapText="1"/>
    </xf>
    <xf numFmtId="0" fontId="36" fillId="0" borderId="68" xfId="0" applyFont="1" applyBorder="1" applyAlignment="1">
      <alignment horizontal="justify" vertical="center" wrapText="1"/>
    </xf>
    <xf numFmtId="0" fontId="36" fillId="0" borderId="121" xfId="0" applyFont="1" applyBorder="1" applyAlignment="1">
      <alignment horizontal="justify" vertical="center" wrapText="1"/>
    </xf>
    <xf numFmtId="0" fontId="78" fillId="0" borderId="119" xfId="0" applyFont="1" applyBorder="1" applyAlignment="1">
      <alignment horizontal="left" vertical="center" wrapText="1"/>
    </xf>
    <xf numFmtId="0" fontId="78" fillId="0" borderId="42" xfId="0" applyFont="1" applyBorder="1" applyAlignment="1">
      <alignment horizontal="left" vertical="center" wrapText="1"/>
    </xf>
    <xf numFmtId="0" fontId="78" fillId="0" borderId="120" xfId="0" applyFont="1" applyBorder="1" applyAlignment="1">
      <alignment horizontal="left" vertical="center" wrapText="1"/>
    </xf>
    <xf numFmtId="0" fontId="78" fillId="0" borderId="74" xfId="0" applyFont="1" applyBorder="1" applyAlignment="1">
      <alignment horizontal="left" vertical="center" wrapText="1"/>
    </xf>
    <xf numFmtId="0" fontId="78" fillId="0" borderId="68" xfId="0" applyFont="1" applyBorder="1" applyAlignment="1">
      <alignment horizontal="left" vertical="center" wrapText="1"/>
    </xf>
    <xf numFmtId="0" fontId="78" fillId="0" borderId="121" xfId="0" applyFont="1" applyBorder="1" applyAlignment="1">
      <alignment horizontal="left" vertical="center" wrapText="1"/>
    </xf>
    <xf numFmtId="0" fontId="17" fillId="0" borderId="127" xfId="0" applyFont="1" applyBorder="1" applyAlignment="1">
      <alignment horizontal="justify" vertical="center" wrapText="1"/>
    </xf>
    <xf numFmtId="0" fontId="17" fillId="0" borderId="128" xfId="0" applyFont="1" applyBorder="1" applyAlignment="1">
      <alignment horizontal="justify" vertical="center" wrapText="1"/>
    </xf>
    <xf numFmtId="0" fontId="17" fillId="0" borderId="129" xfId="0" applyFont="1" applyBorder="1" applyAlignment="1">
      <alignment horizontal="justify" vertical="center" wrapText="1"/>
    </xf>
    <xf numFmtId="0" fontId="68" fillId="0" borderId="132" xfId="0" applyFont="1" applyBorder="1" applyAlignment="1">
      <alignment horizontal="left" vertical="center" wrapText="1"/>
    </xf>
    <xf numFmtId="0" fontId="76" fillId="0" borderId="109" xfId="0" applyFont="1" applyBorder="1" applyAlignment="1">
      <alignment horizontal="center" vertical="center" wrapText="1"/>
    </xf>
    <xf numFmtId="0" fontId="76" fillId="0" borderId="110" xfId="0" applyFont="1" applyBorder="1" applyAlignment="1">
      <alignment horizontal="center" vertical="center" wrapText="1"/>
    </xf>
    <xf numFmtId="0" fontId="76" fillId="0" borderId="113" xfId="0" applyFont="1" applyBorder="1" applyAlignment="1">
      <alignment horizontal="center" vertical="center" wrapText="1"/>
    </xf>
    <xf numFmtId="0" fontId="76" fillId="0" borderId="41" xfId="0" applyFont="1" applyBorder="1" applyAlignment="1">
      <alignment horizontal="center" vertical="center" wrapText="1"/>
    </xf>
    <xf numFmtId="0" fontId="76" fillId="0" borderId="73" xfId="0" applyFont="1" applyBorder="1" applyAlignment="1">
      <alignment horizontal="center" vertical="center" wrapText="1"/>
    </xf>
    <xf numFmtId="0" fontId="76" fillId="0" borderId="116" xfId="0" applyFont="1" applyBorder="1" applyAlignment="1">
      <alignment horizontal="center" vertical="center" wrapText="1"/>
    </xf>
    <xf numFmtId="0" fontId="70" fillId="0" borderId="41" xfId="0" applyFont="1" applyBorder="1" applyAlignment="1">
      <alignment horizontal="center" vertical="center" wrapText="1"/>
    </xf>
    <xf numFmtId="0" fontId="70" fillId="0" borderId="73" xfId="0" applyFont="1" applyBorder="1" applyAlignment="1">
      <alignment horizontal="center" vertical="center" wrapText="1"/>
    </xf>
    <xf numFmtId="0" fontId="70" fillId="0" borderId="116" xfId="0" applyFont="1" applyBorder="1" applyAlignment="1">
      <alignment horizontal="center" vertical="center" wrapText="1"/>
    </xf>
    <xf numFmtId="0" fontId="68" fillId="0" borderId="122" xfId="0" applyFont="1" applyBorder="1" applyAlignment="1">
      <alignment horizontal="left" vertical="center" wrapText="1"/>
    </xf>
    <xf numFmtId="0" fontId="72" fillId="0" borderId="109" xfId="0" applyFont="1" applyBorder="1" applyAlignment="1">
      <alignment horizontal="justify" vertical="center" wrapText="1"/>
    </xf>
    <xf numFmtId="0" fontId="72" fillId="0" borderId="110" xfId="0" applyFont="1" applyBorder="1" applyAlignment="1">
      <alignment horizontal="justify" vertical="center" wrapText="1"/>
    </xf>
    <xf numFmtId="0" fontId="72" fillId="0" borderId="113" xfId="0" applyFont="1" applyBorder="1" applyAlignment="1">
      <alignment horizontal="justify" vertical="center" wrapText="1"/>
    </xf>
    <xf numFmtId="0" fontId="69" fillId="20" borderId="117" xfId="0" applyFont="1" applyFill="1" applyBorder="1" applyAlignment="1">
      <alignment horizontal="center" vertical="center" wrapText="1"/>
    </xf>
    <xf numFmtId="0" fontId="69" fillId="20" borderId="124" xfId="0" applyFont="1" applyFill="1" applyBorder="1" applyAlignment="1">
      <alignment horizontal="center" vertical="center" wrapText="1"/>
    </xf>
    <xf numFmtId="0" fontId="69" fillId="20" borderId="118" xfId="0" applyFont="1" applyFill="1" applyBorder="1" applyAlignment="1">
      <alignment horizontal="center" vertical="center" wrapText="1"/>
    </xf>
    <xf numFmtId="0" fontId="72" fillId="0" borderId="72" xfId="0" applyFont="1" applyBorder="1" applyAlignment="1">
      <alignment horizontal="center" vertical="center" wrapText="1"/>
    </xf>
    <xf numFmtId="0" fontId="72" fillId="0" borderId="41" xfId="0" applyFont="1" applyBorder="1" applyAlignment="1">
      <alignment horizontal="justify" vertical="center" wrapText="1"/>
    </xf>
    <xf numFmtId="0" fontId="72" fillId="0" borderId="73" xfId="0" applyFont="1" applyBorder="1" applyAlignment="1">
      <alignment horizontal="justify" vertical="center" wrapText="1"/>
    </xf>
    <xf numFmtId="0" fontId="72" fillId="0" borderId="116" xfId="0" applyFont="1" applyBorder="1" applyAlignment="1">
      <alignment horizontal="justify" vertical="center" wrapText="1"/>
    </xf>
    <xf numFmtId="0" fontId="72" fillId="0" borderId="119" xfId="0" applyFont="1" applyBorder="1" applyAlignment="1">
      <alignment horizontal="center" vertical="center" wrapText="1"/>
    </xf>
    <xf numFmtId="0" fontId="72" fillId="0" borderId="42" xfId="0" applyFont="1" applyBorder="1" applyAlignment="1">
      <alignment horizontal="center" vertical="center" wrapText="1"/>
    </xf>
    <xf numFmtId="0" fontId="72" fillId="0" borderId="40" xfId="0" applyFont="1" applyBorder="1" applyAlignment="1">
      <alignment horizontal="center" vertical="center" wrapText="1"/>
    </xf>
    <xf numFmtId="0" fontId="72" fillId="0" borderId="74" xfId="0" applyFont="1" applyBorder="1" applyAlignment="1">
      <alignment horizontal="center" vertical="center" wrapText="1"/>
    </xf>
    <xf numFmtId="0" fontId="72" fillId="0" borderId="68" xfId="0" applyFont="1" applyBorder="1" applyAlignment="1">
      <alignment horizontal="center" vertical="center" wrapText="1"/>
    </xf>
    <xf numFmtId="0" fontId="72" fillId="0" borderId="37" xfId="0" applyFont="1" applyBorder="1" applyAlignment="1">
      <alignment horizontal="center" vertical="center" wrapText="1"/>
    </xf>
    <xf numFmtId="0" fontId="72" fillId="0" borderId="119" xfId="0" applyFont="1" applyBorder="1" applyAlignment="1">
      <alignment horizontal="justify" vertical="center" wrapText="1"/>
    </xf>
    <xf numFmtId="0" fontId="72" fillId="0" borderId="42" xfId="0" applyFont="1" applyBorder="1" applyAlignment="1">
      <alignment horizontal="justify" vertical="center" wrapText="1"/>
    </xf>
    <xf numFmtId="0" fontId="72" fillId="0" borderId="120" xfId="0" applyFont="1" applyBorder="1" applyAlignment="1">
      <alignment horizontal="justify" vertical="center" wrapText="1"/>
    </xf>
    <xf numFmtId="0" fontId="72" fillId="0" borderId="74" xfId="0" applyFont="1" applyBorder="1" applyAlignment="1">
      <alignment horizontal="justify" vertical="center" wrapText="1"/>
    </xf>
    <xf numFmtId="0" fontId="72" fillId="0" borderId="68" xfId="0" applyFont="1" applyBorder="1" applyAlignment="1">
      <alignment horizontal="justify" vertical="center" wrapText="1"/>
    </xf>
    <xf numFmtId="0" fontId="72" fillId="0" borderId="121" xfId="0" applyFont="1" applyBorder="1" applyAlignment="1">
      <alignment horizontal="justify" vertical="center" wrapText="1"/>
    </xf>
    <xf numFmtId="0" fontId="73" fillId="0" borderId="134" xfId="0" applyFont="1" applyBorder="1" applyAlignment="1">
      <alignment horizontal="justify" vertical="center" wrapText="1"/>
    </xf>
    <xf numFmtId="0" fontId="73" fillId="0" borderId="122" xfId="0" applyFont="1" applyBorder="1" applyAlignment="1">
      <alignment horizontal="justify" vertical="center" wrapText="1"/>
    </xf>
    <xf numFmtId="0" fontId="69" fillId="20" borderId="123" xfId="0" applyFont="1" applyFill="1" applyBorder="1" applyAlignment="1">
      <alignment horizontal="center" vertical="center" wrapText="1"/>
    </xf>
    <xf numFmtId="0" fontId="69" fillId="20" borderId="135" xfId="0" applyFont="1" applyFill="1" applyBorder="1" applyAlignment="1">
      <alignment horizontal="center" vertical="center" wrapText="1"/>
    </xf>
    <xf numFmtId="0" fontId="69" fillId="20" borderId="109" xfId="0" applyFont="1" applyFill="1" applyBorder="1" applyAlignment="1">
      <alignment horizontal="center" vertical="center" wrapText="1"/>
    </xf>
    <xf numFmtId="0" fontId="69" fillId="20" borderId="111" xfId="0" applyFont="1" applyFill="1" applyBorder="1" applyAlignment="1">
      <alignment horizontal="center" vertical="center" wrapText="1"/>
    </xf>
    <xf numFmtId="0" fontId="70" fillId="0" borderId="109" xfId="0" applyFont="1" applyBorder="1" applyAlignment="1">
      <alignment horizontal="center" vertical="center" wrapText="1"/>
    </xf>
    <xf numFmtId="0" fontId="70" fillId="0" borderId="110" xfId="0" applyFont="1" applyBorder="1" applyAlignment="1">
      <alignment horizontal="center" vertical="center" wrapText="1"/>
    </xf>
    <xf numFmtId="0" fontId="70" fillId="0" borderId="111" xfId="0" applyFont="1" applyBorder="1" applyAlignment="1">
      <alignment horizontal="center" vertical="center" wrapText="1"/>
    </xf>
    <xf numFmtId="0" fontId="69" fillId="20" borderId="127" xfId="0" applyFont="1" applyFill="1" applyBorder="1" applyAlignment="1">
      <alignment horizontal="center" vertical="center" wrapText="1"/>
    </xf>
    <xf numFmtId="0" fontId="69" fillId="20" borderId="136" xfId="0" applyFont="1" applyFill="1" applyBorder="1" applyAlignment="1">
      <alignment horizontal="center" vertical="center" wrapText="1"/>
    </xf>
    <xf numFmtId="0" fontId="74" fillId="0" borderId="127" xfId="0" applyFont="1" applyBorder="1" applyAlignment="1">
      <alignment horizontal="center" vertical="center" wrapText="1"/>
    </xf>
    <xf numFmtId="0" fontId="74" fillId="0" borderId="128" xfId="0" applyFont="1" applyBorder="1" applyAlignment="1">
      <alignment horizontal="center" vertical="center" wrapText="1"/>
    </xf>
    <xf numFmtId="0" fontId="74" fillId="0" borderId="136" xfId="0" applyFont="1" applyBorder="1" applyAlignment="1">
      <alignment horizontal="center" vertical="center" wrapText="1"/>
    </xf>
    <xf numFmtId="0" fontId="71" fillId="0" borderId="127" xfId="0" applyFont="1" applyBorder="1" applyAlignment="1">
      <alignment horizontal="center" vertical="center" wrapText="1"/>
    </xf>
    <xf numFmtId="0" fontId="71" fillId="0" borderId="128" xfId="0" applyFont="1" applyBorder="1" applyAlignment="1">
      <alignment horizontal="center" vertical="center" wrapText="1"/>
    </xf>
    <xf numFmtId="0" fontId="71" fillId="0" borderId="129" xfId="0" applyFont="1" applyBorder="1" applyAlignment="1">
      <alignment horizontal="center" vertical="center" wrapText="1"/>
    </xf>
    <xf numFmtId="0" fontId="3" fillId="9" borderId="4" xfId="0" applyFont="1" applyFill="1" applyBorder="1" applyAlignment="1">
      <alignment vertical="center"/>
    </xf>
    <xf numFmtId="0" fontId="3" fillId="9" borderId="5" xfId="0" applyFont="1" applyFill="1" applyBorder="1" applyAlignment="1">
      <alignment vertical="center"/>
    </xf>
    <xf numFmtId="0" fontId="26" fillId="10" borderId="4" xfId="0" applyFont="1" applyFill="1" applyBorder="1" applyAlignment="1">
      <alignment horizontal="center" vertical="center"/>
    </xf>
    <xf numFmtId="0" fontId="25" fillId="10" borderId="5" xfId="0" applyFont="1" applyFill="1" applyBorder="1" applyAlignment="1">
      <alignment horizontal="center" vertical="center"/>
    </xf>
    <xf numFmtId="0" fontId="67" fillId="19" borderId="41" xfId="0" applyFont="1" applyFill="1" applyBorder="1" applyAlignment="1">
      <alignment horizontal="center" vertical="center" wrapText="1"/>
    </xf>
    <xf numFmtId="0" fontId="67" fillId="19" borderId="73" xfId="0" applyFont="1" applyFill="1" applyBorder="1" applyAlignment="1">
      <alignment horizontal="center" vertical="center" wrapText="1"/>
    </xf>
    <xf numFmtId="0" fontId="67" fillId="19" borderId="72" xfId="0" applyFont="1" applyFill="1" applyBorder="1" applyAlignment="1">
      <alignment horizontal="center" vertical="center" wrapText="1"/>
    </xf>
    <xf numFmtId="0" fontId="68" fillId="0" borderId="130" xfId="0" applyFont="1" applyBorder="1" applyAlignment="1">
      <alignment horizontal="left" vertical="center" wrapText="1"/>
    </xf>
    <xf numFmtId="0" fontId="68" fillId="0" borderId="128" xfId="0" applyFont="1" applyBorder="1" applyAlignment="1">
      <alignment horizontal="left" vertical="center" wrapText="1"/>
    </xf>
    <xf numFmtId="0" fontId="69" fillId="20" borderId="110" xfId="0" applyFont="1" applyFill="1" applyBorder="1" applyAlignment="1">
      <alignment horizontal="center" vertical="center" wrapText="1"/>
    </xf>
    <xf numFmtId="0" fontId="71" fillId="0" borderId="109" xfId="0" applyFont="1" applyBorder="1" applyAlignment="1">
      <alignment horizontal="center" vertical="center" wrapText="1"/>
    </xf>
    <xf numFmtId="0" fontId="71" fillId="0" borderId="110" xfId="0" applyFont="1" applyBorder="1" applyAlignment="1">
      <alignment horizontal="center" vertical="center" wrapText="1"/>
    </xf>
    <xf numFmtId="0" fontId="71" fillId="0" borderId="113" xfId="0" applyFont="1" applyBorder="1" applyAlignment="1">
      <alignment horizontal="center" vertical="center" wrapText="1"/>
    </xf>
    <xf numFmtId="0" fontId="70" fillId="0" borderId="72" xfId="0" applyFont="1" applyBorder="1" applyAlignment="1">
      <alignment horizontal="center" vertical="center" wrapText="1"/>
    </xf>
    <xf numFmtId="0" fontId="69" fillId="20" borderId="41" xfId="0" applyFont="1" applyFill="1" applyBorder="1" applyAlignment="1">
      <alignment horizontal="center" vertical="center" wrapText="1"/>
    </xf>
    <xf numFmtId="0" fontId="69" fillId="20" borderId="73" xfId="0" applyFont="1" applyFill="1" applyBorder="1" applyAlignment="1">
      <alignment horizontal="center" vertical="center" wrapText="1"/>
    </xf>
    <xf numFmtId="0" fontId="69" fillId="20" borderId="72" xfId="0" applyFont="1" applyFill="1" applyBorder="1" applyAlignment="1">
      <alignment horizontal="center" vertical="center" wrapText="1"/>
    </xf>
    <xf numFmtId="0" fontId="71" fillId="0" borderId="41" xfId="0" applyFont="1" applyBorder="1" applyAlignment="1">
      <alignment horizontal="center" vertical="center" wrapText="1"/>
    </xf>
    <xf numFmtId="0" fontId="71" fillId="0" borderId="73" xfId="0" applyFont="1" applyBorder="1" applyAlignment="1">
      <alignment horizontal="center" vertical="center" wrapText="1"/>
    </xf>
    <xf numFmtId="0" fontId="71" fillId="0" borderId="116" xfId="0" applyFont="1" applyBorder="1" applyAlignment="1">
      <alignment horizontal="center" vertical="center" wrapText="1"/>
    </xf>
    <xf numFmtId="0" fontId="71" fillId="0" borderId="42" xfId="0" applyFont="1" applyBorder="1" applyAlignment="1">
      <alignment horizontal="center" vertical="center" wrapText="1"/>
    </xf>
    <xf numFmtId="0" fontId="71" fillId="0" borderId="120" xfId="0" applyFont="1" applyBorder="1" applyAlignment="1">
      <alignment horizontal="center" vertical="center" wrapText="1"/>
    </xf>
    <xf numFmtId="0" fontId="71" fillId="0" borderId="68" xfId="0" applyFont="1" applyBorder="1" applyAlignment="1">
      <alignment horizontal="center" vertical="center" wrapText="1"/>
    </xf>
    <xf numFmtId="0" fontId="71" fillId="0" borderId="121" xfId="0" applyFont="1" applyBorder="1" applyAlignment="1">
      <alignment horizontal="center" vertical="center" wrapText="1"/>
    </xf>
    <xf numFmtId="0" fontId="70" fillId="0" borderId="119" xfId="0" applyFont="1" applyBorder="1" applyAlignment="1">
      <alignment horizontal="center" vertical="center" wrapText="1"/>
    </xf>
    <xf numFmtId="0" fontId="70" fillId="0" borderId="42" xfId="0" applyFont="1" applyBorder="1" applyAlignment="1">
      <alignment horizontal="center" vertical="center" wrapText="1"/>
    </xf>
    <xf numFmtId="0" fontId="70" fillId="0" borderId="120" xfId="0" applyFont="1" applyBorder="1" applyAlignment="1">
      <alignment horizontal="center" vertical="center" wrapText="1"/>
    </xf>
    <xf numFmtId="0" fontId="70" fillId="0" borderId="131" xfId="0" applyFont="1" applyBorder="1" applyAlignment="1">
      <alignment horizontal="center" vertical="center" wrapText="1"/>
    </xf>
    <xf numFmtId="0" fontId="70" fillId="0" borderId="132" xfId="0" applyFont="1" applyBorder="1" applyAlignment="1">
      <alignment horizontal="center" vertical="center" wrapText="1"/>
    </xf>
    <xf numFmtId="0" fontId="70" fillId="0" borderId="133" xfId="0" applyFont="1" applyBorder="1" applyAlignment="1">
      <alignment horizontal="center" vertical="center" wrapText="1"/>
    </xf>
    <xf numFmtId="0" fontId="30" fillId="3" borderId="4" xfId="0" applyFont="1" applyFill="1" applyBorder="1" applyAlignment="1">
      <alignment horizontal="center" vertical="center"/>
    </xf>
    <xf numFmtId="0" fontId="30" fillId="3" borderId="5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25" fillId="3" borderId="22" xfId="0" applyFont="1" applyFill="1" applyBorder="1" applyAlignment="1">
      <alignment horizontal="center" vertical="center"/>
    </xf>
    <xf numFmtId="0" fontId="25" fillId="3" borderId="5" xfId="0" applyFont="1" applyFill="1" applyBorder="1" applyAlignment="1">
      <alignment horizontal="center" vertical="center"/>
    </xf>
    <xf numFmtId="0" fontId="17" fillId="0" borderId="164" xfId="0" applyFont="1" applyBorder="1" applyAlignment="1">
      <alignment horizontal="center" vertical="center" wrapText="1"/>
    </xf>
    <xf numFmtId="179" fontId="17" fillId="0" borderId="74" xfId="0" applyNumberFormat="1" applyFont="1" applyBorder="1" applyAlignment="1">
      <alignment horizontal="right" vertical="center" wrapText="1"/>
    </xf>
    <xf numFmtId="179" fontId="17" fillId="0" borderId="37" xfId="0" applyNumberFormat="1" applyFont="1" applyBorder="1" applyAlignment="1">
      <alignment horizontal="right" vertical="center" wrapText="1"/>
    </xf>
    <xf numFmtId="0" fontId="113" fillId="0" borderId="1" xfId="0" applyFont="1" applyBorder="1" applyAlignment="1">
      <alignment horizontal="center" vertical="center"/>
    </xf>
    <xf numFmtId="0" fontId="238" fillId="0" borderId="42" xfId="0" applyFont="1" applyBorder="1" applyAlignment="1">
      <alignment horizontal="left" vertical="center"/>
    </xf>
    <xf numFmtId="0" fontId="17" fillId="0" borderId="0" xfId="0" applyFont="1" applyAlignment="1">
      <alignment horizontal="right" vertical="center"/>
    </xf>
    <xf numFmtId="0" fontId="17" fillId="0" borderId="37" xfId="0" applyFont="1" applyBorder="1" applyAlignment="1">
      <alignment horizontal="right" vertical="center" wrapText="1"/>
    </xf>
    <xf numFmtId="0" fontId="230" fillId="21" borderId="227" xfId="0" applyFont="1" applyFill="1" applyBorder="1" applyAlignment="1">
      <alignment horizontal="center" vertical="center" wrapText="1"/>
    </xf>
    <xf numFmtId="0" fontId="230" fillId="21" borderId="44" xfId="0" applyFont="1" applyFill="1" applyBorder="1" applyAlignment="1">
      <alignment horizontal="center" vertical="center" wrapText="1"/>
    </xf>
    <xf numFmtId="0" fontId="79" fillId="0" borderId="5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17" fillId="0" borderId="22" xfId="0" applyFont="1" applyBorder="1" applyAlignment="1">
      <alignment horizontal="center" vertical="center" wrapText="1"/>
    </xf>
    <xf numFmtId="0" fontId="174" fillId="0" borderId="79" xfId="0" applyFont="1" applyBorder="1" applyAlignment="1">
      <alignment horizontal="center" vertical="center" wrapText="1"/>
    </xf>
    <xf numFmtId="0" fontId="48" fillId="0" borderId="79" xfId="0" applyFont="1" applyBorder="1" applyAlignment="1">
      <alignment horizontal="justify" vertical="center" wrapText="1"/>
    </xf>
    <xf numFmtId="0" fontId="225" fillId="0" borderId="237" xfId="0" applyFont="1" applyBorder="1" applyAlignment="1">
      <alignment horizontal="center" vertical="center"/>
    </xf>
    <xf numFmtId="0" fontId="174" fillId="0" borderId="0" xfId="0" applyFont="1" applyAlignment="1">
      <alignment horizontal="justify" vertical="center" wrapText="1"/>
    </xf>
    <xf numFmtId="31" fontId="17" fillId="0" borderId="0" xfId="0" applyNumberFormat="1" applyFont="1" applyAlignment="1">
      <alignment horizontal="right" vertical="center" wrapText="1"/>
    </xf>
    <xf numFmtId="0" fontId="17" fillId="0" borderId="0" xfId="0" applyFont="1" applyAlignment="1">
      <alignment vertical="center" wrapText="1"/>
    </xf>
    <xf numFmtId="0" fontId="17" fillId="0" borderId="0" xfId="0" applyFont="1" applyAlignment="1">
      <alignment horizontal="center" vertical="center" wrapText="1"/>
    </xf>
    <xf numFmtId="0" fontId="259" fillId="0" borderId="0" xfId="0" applyFont="1" applyAlignment="1">
      <alignment horizontal="right" vertical="center" wrapText="1"/>
    </xf>
    <xf numFmtId="0" fontId="256" fillId="0" borderId="86" xfId="0" applyFont="1" applyBorder="1" applyAlignment="1">
      <alignment horizontal="center" vertical="center" wrapText="1"/>
    </xf>
    <xf numFmtId="0" fontId="17" fillId="0" borderId="235" xfId="0" applyFont="1" applyBorder="1" applyAlignment="1">
      <alignment horizontal="center" vertical="center" wrapText="1"/>
    </xf>
    <xf numFmtId="0" fontId="17" fillId="0" borderId="197" xfId="0" applyFont="1" applyBorder="1" applyAlignment="1">
      <alignment horizontal="center" vertical="center" wrapText="1"/>
    </xf>
    <xf numFmtId="0" fontId="17" fillId="0" borderId="236" xfId="0" applyFont="1" applyBorder="1" applyAlignment="1">
      <alignment horizontal="justify" vertical="center" wrapText="1"/>
    </xf>
    <xf numFmtId="0" fontId="17" fillId="0" borderId="184" xfId="0" applyFont="1" applyBorder="1" applyAlignment="1">
      <alignment horizontal="justify" vertical="center" wrapText="1"/>
    </xf>
    <xf numFmtId="0" fontId="17" fillId="0" borderId="196" xfId="0" applyFont="1" applyBorder="1" applyAlignment="1">
      <alignment horizontal="justify" vertical="center" wrapText="1"/>
    </xf>
    <xf numFmtId="0" fontId="17" fillId="0" borderId="100" xfId="0" applyFont="1" applyBorder="1" applyAlignment="1">
      <alignment horizontal="justify" vertical="center" wrapText="1"/>
    </xf>
    <xf numFmtId="0" fontId="17" fillId="0" borderId="186" xfId="0" applyFont="1" applyBorder="1" applyAlignment="1">
      <alignment horizontal="justify" vertical="center" wrapText="1"/>
    </xf>
    <xf numFmtId="0" fontId="17" fillId="0" borderId="180" xfId="0" applyFont="1" applyBorder="1" applyAlignment="1">
      <alignment horizontal="justify" vertical="center" wrapText="1"/>
    </xf>
    <xf numFmtId="0" fontId="17" fillId="0" borderId="186" xfId="0" applyFont="1" applyBorder="1" applyAlignment="1">
      <alignment horizontal="center" vertical="center" wrapText="1"/>
    </xf>
    <xf numFmtId="0" fontId="17" fillId="0" borderId="86" xfId="0" applyFont="1" applyBorder="1" applyAlignment="1">
      <alignment horizontal="center" vertical="center" wrapText="1"/>
    </xf>
    <xf numFmtId="0" fontId="79" fillId="0" borderId="186" xfId="0" applyFont="1" applyBorder="1" applyAlignment="1">
      <alignment horizontal="center" vertical="center" wrapText="1"/>
    </xf>
    <xf numFmtId="0" fontId="79" fillId="0" borderId="86" xfId="0" applyFont="1" applyBorder="1" applyAlignment="1">
      <alignment horizontal="center" vertical="center" wrapText="1"/>
    </xf>
    <xf numFmtId="0" fontId="36" fillId="0" borderId="186" xfId="0" applyFont="1" applyBorder="1" applyAlignment="1">
      <alignment horizontal="center" vertical="center" wrapText="1"/>
    </xf>
    <xf numFmtId="0" fontId="79" fillId="0" borderId="180" xfId="0" applyFont="1" applyBorder="1" applyAlignment="1">
      <alignment horizontal="center" vertical="center" wrapText="1"/>
    </xf>
    <xf numFmtId="0" fontId="17" fillId="0" borderId="180" xfId="0" applyFont="1" applyBorder="1" applyAlignment="1">
      <alignment horizontal="center" vertical="center" wrapText="1"/>
    </xf>
    <xf numFmtId="0" fontId="17" fillId="0" borderId="177" xfId="0" applyFont="1" applyBorder="1" applyAlignment="1">
      <alignment horizontal="center" vertical="center" wrapText="1"/>
    </xf>
    <xf numFmtId="0" fontId="17" fillId="0" borderId="224" xfId="0" applyFont="1" applyBorder="1" applyAlignment="1">
      <alignment horizontal="center" vertical="center" wrapText="1"/>
    </xf>
    <xf numFmtId="0" fontId="17" fillId="0" borderId="225" xfId="0" applyFont="1" applyBorder="1" applyAlignment="1">
      <alignment horizontal="center" vertical="center" wrapText="1"/>
    </xf>
    <xf numFmtId="0" fontId="17" fillId="0" borderId="233" xfId="0" applyFont="1" applyBorder="1" applyAlignment="1">
      <alignment horizontal="center" vertical="center" wrapText="1"/>
    </xf>
    <xf numFmtId="0" fontId="17" fillId="0" borderId="234" xfId="0" applyFont="1" applyBorder="1" applyAlignment="1">
      <alignment horizontal="center" vertical="center" wrapText="1"/>
    </xf>
    <xf numFmtId="0" fontId="225" fillId="0" borderId="234" xfId="0" applyFont="1" applyBorder="1" applyAlignment="1">
      <alignment horizontal="center" vertical="center" wrapText="1"/>
    </xf>
    <xf numFmtId="0" fontId="225" fillId="0" borderId="233" xfId="0" applyFont="1" applyBorder="1" applyAlignment="1">
      <alignment horizontal="center" vertical="center" wrapText="1"/>
    </xf>
    <xf numFmtId="0" fontId="171" fillId="0" borderId="177" xfId="0" applyFont="1" applyBorder="1" applyAlignment="1">
      <alignment horizontal="center" vertical="center" wrapText="1"/>
    </xf>
    <xf numFmtId="0" fontId="17" fillId="0" borderId="177" xfId="0" applyFont="1" applyBorder="1" applyAlignment="1">
      <alignment horizontal="justify" vertical="center" wrapText="1"/>
    </xf>
    <xf numFmtId="0" fontId="17" fillId="0" borderId="175" xfId="0" applyFont="1" applyBorder="1" applyAlignment="1">
      <alignment horizontal="justify" vertical="center" wrapText="1"/>
    </xf>
    <xf numFmtId="0" fontId="46" fillId="0" borderId="177" xfId="0" applyFont="1" applyBorder="1" applyAlignment="1">
      <alignment horizontal="justify" vertical="center" wrapText="1"/>
    </xf>
    <xf numFmtId="0" fontId="46" fillId="0" borderId="175" xfId="0" applyFont="1" applyBorder="1" applyAlignment="1">
      <alignment horizontal="justify" vertical="center" wrapText="1"/>
    </xf>
    <xf numFmtId="0" fontId="225" fillId="0" borderId="177" xfId="0" applyFont="1" applyBorder="1" applyAlignment="1">
      <alignment horizontal="center" vertical="center" wrapText="1"/>
    </xf>
    <xf numFmtId="0" fontId="225" fillId="0" borderId="73" xfId="0" applyFont="1" applyBorder="1" applyAlignment="1">
      <alignment horizontal="center" vertical="center" wrapText="1"/>
    </xf>
    <xf numFmtId="0" fontId="254" fillId="19" borderId="230" xfId="0" applyFont="1" applyFill="1" applyBorder="1" applyAlignment="1">
      <alignment horizontal="center" vertical="center" wrapText="1"/>
    </xf>
    <xf numFmtId="0" fontId="254" fillId="19" borderId="86" xfId="0" applyFont="1" applyFill="1" applyBorder="1" applyAlignment="1">
      <alignment horizontal="center" vertical="center" wrapText="1"/>
    </xf>
    <xf numFmtId="0" fontId="254" fillId="19" borderId="231" xfId="0" applyFont="1" applyFill="1" applyBorder="1" applyAlignment="1">
      <alignment horizontal="center" vertical="center" wrapText="1"/>
    </xf>
    <xf numFmtId="0" fontId="17" fillId="0" borderId="232" xfId="0" applyFont="1" applyBorder="1" applyAlignment="1">
      <alignment horizontal="justify" vertical="center" wrapText="1"/>
    </xf>
    <xf numFmtId="0" fontId="134" fillId="29" borderId="18" xfId="0" applyFont="1" applyFill="1" applyBorder="1" applyAlignment="1">
      <alignment horizontal="center" vertical="center" wrapText="1"/>
    </xf>
    <xf numFmtId="0" fontId="134" fillId="29" borderId="106" xfId="0" applyFont="1" applyFill="1" applyBorder="1" applyAlignment="1">
      <alignment horizontal="center" vertical="center" wrapText="1"/>
    </xf>
    <xf numFmtId="0" fontId="134" fillId="29" borderId="142" xfId="0" applyFont="1" applyFill="1" applyBorder="1" applyAlignment="1">
      <alignment horizontal="center"/>
    </xf>
    <xf numFmtId="0" fontId="134" fillId="29" borderId="139" xfId="0" applyFont="1" applyFill="1" applyBorder="1" applyAlignment="1">
      <alignment horizontal="center"/>
    </xf>
    <xf numFmtId="0" fontId="51" fillId="3" borderId="4" xfId="0" applyFont="1" applyFill="1" applyBorder="1" applyAlignment="1">
      <alignment horizontal="center" vertical="center"/>
    </xf>
    <xf numFmtId="0" fontId="46" fillId="0" borderId="184" xfId="0" applyFont="1" applyBorder="1" applyAlignment="1">
      <alignment horizontal="justify" vertical="center" wrapText="1"/>
    </xf>
    <xf numFmtId="0" fontId="125" fillId="0" borderId="0" xfId="0" applyFont="1" applyAlignment="1">
      <alignment horizontal="justify" vertical="center" wrapText="1"/>
    </xf>
    <xf numFmtId="0" fontId="46" fillId="0" borderId="0" xfId="0" applyFont="1" applyAlignment="1">
      <alignment horizontal="right" vertical="center" wrapText="1"/>
    </xf>
    <xf numFmtId="0" fontId="46" fillId="0" borderId="0" xfId="0" applyFont="1" applyAlignment="1">
      <alignment vertical="center" wrapText="1"/>
    </xf>
    <xf numFmtId="0" fontId="46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17" fillId="0" borderId="79" xfId="0" applyFont="1" applyBorder="1" applyAlignment="1">
      <alignment horizontal="right" vertical="center" wrapText="1"/>
    </xf>
    <xf numFmtId="0" fontId="46" fillId="0" borderId="79" xfId="0" applyFont="1" applyBorder="1" applyAlignment="1">
      <alignment horizontal="justify" vertical="center" wrapText="1"/>
    </xf>
    <xf numFmtId="0" fontId="143" fillId="0" borderId="192" xfId="0" applyFont="1" applyBorder="1" applyAlignment="1">
      <alignment horizontal="center" vertical="center" wrapText="1"/>
    </xf>
    <xf numFmtId="0" fontId="143" fillId="0" borderId="193" xfId="0" applyFont="1" applyBorder="1" applyAlignment="1">
      <alignment horizontal="center" vertical="center" wrapText="1"/>
    </xf>
    <xf numFmtId="0" fontId="143" fillId="0" borderId="66" xfId="0" applyFont="1" applyBorder="1" applyAlignment="1">
      <alignment horizontal="center" vertical="center" wrapText="1"/>
    </xf>
    <xf numFmtId="49" fontId="143" fillId="0" borderId="192" xfId="0" applyNumberFormat="1" applyFont="1" applyBorder="1" applyAlignment="1">
      <alignment horizontal="center" vertical="center" wrapText="1"/>
    </xf>
    <xf numFmtId="0" fontId="143" fillId="0" borderId="199" xfId="0" applyFont="1" applyBorder="1" applyAlignment="1">
      <alignment horizontal="center" vertical="center" wrapText="1"/>
    </xf>
    <xf numFmtId="0" fontId="143" fillId="0" borderId="201" xfId="0" applyFont="1" applyBorder="1" applyAlignment="1">
      <alignment horizontal="center" vertical="center" wrapText="1"/>
    </xf>
    <xf numFmtId="0" fontId="143" fillId="0" borderId="200" xfId="0" applyFont="1" applyBorder="1" applyAlignment="1">
      <alignment horizontal="center" vertical="center" wrapText="1"/>
    </xf>
    <xf numFmtId="0" fontId="45" fillId="0" borderId="186" xfId="0" applyFont="1" applyBorder="1" applyAlignment="1">
      <alignment horizontal="center" vertical="center" wrapText="1"/>
    </xf>
    <xf numFmtId="0" fontId="45" fillId="0" borderId="86" xfId="0" applyFont="1" applyBorder="1" applyAlignment="1">
      <alignment horizontal="center" vertical="center" wrapText="1"/>
    </xf>
    <xf numFmtId="0" fontId="17" fillId="0" borderId="86" xfId="0" applyFont="1" applyBorder="1" applyAlignment="1">
      <alignment horizontal="justify" vertical="center" wrapText="1"/>
    </xf>
    <xf numFmtId="0" fontId="46" fillId="0" borderId="187" xfId="0" applyFont="1" applyBorder="1" applyAlignment="1">
      <alignment horizontal="center" vertical="center" wrapText="1"/>
    </xf>
    <xf numFmtId="0" fontId="46" fillId="0" borderId="188" xfId="0" applyFont="1" applyBorder="1" applyAlignment="1">
      <alignment horizontal="center" vertical="center" wrapText="1"/>
    </xf>
    <xf numFmtId="0" fontId="46" fillId="0" borderId="189" xfId="0" applyFont="1" applyBorder="1" applyAlignment="1">
      <alignment horizontal="center" vertical="center" wrapText="1"/>
    </xf>
    <xf numFmtId="0" fontId="46" fillId="0" borderId="181" xfId="0" applyFont="1" applyBorder="1" applyAlignment="1">
      <alignment horizontal="center" vertical="center" wrapText="1"/>
    </xf>
    <xf numFmtId="0" fontId="46" fillId="0" borderId="190" xfId="0" applyFont="1" applyBorder="1" applyAlignment="1">
      <alignment horizontal="center" vertical="center" wrapText="1"/>
    </xf>
    <xf numFmtId="0" fontId="46" fillId="0" borderId="191" xfId="0" applyFont="1" applyBorder="1" applyAlignment="1">
      <alignment horizontal="center" vertical="center" wrapText="1"/>
    </xf>
    <xf numFmtId="0" fontId="46" fillId="0" borderId="184" xfId="0" applyFont="1" applyBorder="1" applyAlignment="1">
      <alignment horizontal="center" vertical="center" wrapText="1"/>
    </xf>
    <xf numFmtId="0" fontId="46" fillId="0" borderId="61" xfId="0" applyFont="1" applyBorder="1" applyAlignment="1">
      <alignment horizontal="center" vertical="center" wrapText="1"/>
    </xf>
    <xf numFmtId="0" fontId="141" fillId="0" borderId="190" xfId="0" applyFont="1" applyBorder="1" applyAlignment="1">
      <alignment horizontal="center" vertical="center" wrapText="1"/>
    </xf>
    <xf numFmtId="0" fontId="141" fillId="0" borderId="61" xfId="0" applyFont="1" applyBorder="1" applyAlignment="1">
      <alignment horizontal="center" vertical="center" wrapText="1"/>
    </xf>
    <xf numFmtId="0" fontId="141" fillId="0" borderId="191" xfId="0" applyFont="1" applyBorder="1" applyAlignment="1">
      <alignment horizontal="center" vertical="center" wrapText="1"/>
    </xf>
    <xf numFmtId="0" fontId="164" fillId="0" borderId="192" xfId="0" applyFont="1" applyBorder="1" applyAlignment="1">
      <alignment horizontal="center" vertical="center" wrapText="1"/>
    </xf>
    <xf numFmtId="0" fontId="118" fillId="29" borderId="47" xfId="0" applyFont="1" applyFill="1" applyBorder="1" applyAlignment="1">
      <alignment horizontal="center"/>
    </xf>
    <xf numFmtId="0" fontId="118" fillId="29" borderId="167" xfId="0" applyFont="1" applyFill="1" applyBorder="1" applyAlignment="1">
      <alignment horizontal="center"/>
    </xf>
    <xf numFmtId="0" fontId="90" fillId="0" borderId="195" xfId="0" applyFont="1" applyBorder="1" applyAlignment="1">
      <alignment horizontal="center" vertical="center"/>
    </xf>
    <xf numFmtId="0" fontId="113" fillId="0" borderId="195" xfId="0" applyFont="1" applyBorder="1" applyAlignment="1">
      <alignment horizontal="center" vertical="center"/>
    </xf>
    <xf numFmtId="0" fontId="45" fillId="0" borderId="41" xfId="0" applyFont="1" applyBorder="1" applyAlignment="1">
      <alignment horizontal="center" vertical="center" wrapText="1"/>
    </xf>
    <xf numFmtId="0" fontId="45" fillId="0" borderId="73" xfId="0" applyFont="1" applyBorder="1" applyAlignment="1">
      <alignment horizontal="center" vertical="center" wrapText="1"/>
    </xf>
    <xf numFmtId="0" fontId="45" fillId="0" borderId="175" xfId="0" applyFont="1" applyBorder="1" applyAlignment="1">
      <alignment horizontal="center" vertical="center" wrapText="1"/>
    </xf>
    <xf numFmtId="0" fontId="45" fillId="0" borderId="177" xfId="0" applyFont="1" applyBorder="1" applyAlignment="1">
      <alignment horizontal="center" vertical="center" wrapText="1"/>
    </xf>
    <xf numFmtId="0" fontId="45" fillId="0" borderId="41" xfId="0" applyFont="1" applyBorder="1" applyAlignment="1">
      <alignment horizontal="justify" vertical="center" wrapText="1"/>
    </xf>
    <xf numFmtId="0" fontId="45" fillId="0" borderId="73" xfId="0" applyFont="1" applyBorder="1" applyAlignment="1">
      <alignment horizontal="justify" vertical="center" wrapText="1"/>
    </xf>
    <xf numFmtId="0" fontId="45" fillId="0" borderId="72" xfId="0" applyFont="1" applyBorder="1" applyAlignment="1">
      <alignment horizontal="center" vertical="center" wrapText="1"/>
    </xf>
    <xf numFmtId="0" fontId="17" fillId="0" borderId="41" xfId="0" applyFont="1" applyBorder="1" applyAlignment="1">
      <alignment horizontal="justify" vertical="center" wrapText="1"/>
    </xf>
    <xf numFmtId="0" fontId="17" fillId="0" borderId="72" xfId="0" applyFont="1" applyBorder="1" applyAlignment="1">
      <alignment horizontal="justify" vertical="center" wrapText="1"/>
    </xf>
    <xf numFmtId="0" fontId="162" fillId="0" borderId="119" xfId="0" applyFont="1" applyBorder="1" applyAlignment="1">
      <alignment horizontal="center" vertical="center" wrapText="1"/>
    </xf>
    <xf numFmtId="0" fontId="45" fillId="0" borderId="42" xfId="0" applyFont="1" applyBorder="1" applyAlignment="1">
      <alignment horizontal="center" vertical="center" wrapText="1"/>
    </xf>
    <xf numFmtId="0" fontId="45" fillId="0" borderId="40" xfId="0" applyFont="1" applyBorder="1" applyAlignment="1">
      <alignment horizontal="center" vertical="center" wrapText="1"/>
    </xf>
    <xf numFmtId="0" fontId="45" fillId="0" borderId="196" xfId="0" applyFont="1" applyBorder="1" applyAlignment="1">
      <alignment horizontal="center" vertical="center" wrapText="1"/>
    </xf>
    <xf numFmtId="0" fontId="45" fillId="0" borderId="100" xfId="0" applyFont="1" applyBorder="1" applyAlignment="1">
      <alignment horizontal="center" vertical="center" wrapText="1"/>
    </xf>
    <xf numFmtId="0" fontId="45" fillId="0" borderId="197" xfId="0" applyFont="1" applyBorder="1" applyAlignment="1">
      <alignment horizontal="center" vertical="center" wrapText="1"/>
    </xf>
    <xf numFmtId="0" fontId="17" fillId="0" borderId="119" xfId="0" applyFont="1" applyBorder="1" applyAlignment="1">
      <alignment horizontal="justify" vertical="center" wrapText="1"/>
    </xf>
    <xf numFmtId="0" fontId="17" fillId="0" borderId="40" xfId="0" applyFont="1" applyBorder="1" applyAlignment="1">
      <alignment horizontal="justify" vertical="center" wrapText="1"/>
    </xf>
    <xf numFmtId="0" fontId="17" fillId="0" borderId="197" xfId="0" applyFont="1" applyBorder="1" applyAlignment="1">
      <alignment horizontal="justify" vertical="center" wrapText="1"/>
    </xf>
    <xf numFmtId="0" fontId="45" fillId="0" borderId="119" xfId="0" applyFont="1" applyBorder="1" applyAlignment="1">
      <alignment horizontal="center" vertical="center" wrapText="1"/>
    </xf>
    <xf numFmtId="0" fontId="17" fillId="0" borderId="181" xfId="0" applyFont="1" applyBorder="1" applyAlignment="1">
      <alignment horizontal="justify" vertical="center" wrapText="1"/>
    </xf>
    <xf numFmtId="0" fontId="17" fillId="0" borderId="172" xfId="0" applyFont="1" applyBorder="1" applyAlignment="1">
      <alignment horizontal="justify" vertical="center" wrapText="1"/>
    </xf>
    <xf numFmtId="0" fontId="17" fillId="0" borderId="173" xfId="0" applyFont="1" applyBorder="1" applyAlignment="1">
      <alignment horizontal="justify" vertical="center" wrapText="1"/>
    </xf>
    <xf numFmtId="0" fontId="45" fillId="0" borderId="180" xfId="0" applyFont="1" applyBorder="1" applyAlignment="1">
      <alignment horizontal="center" vertical="center" wrapText="1"/>
    </xf>
    <xf numFmtId="0" fontId="45" fillId="0" borderId="198" xfId="0" applyFont="1" applyBorder="1" applyAlignment="1">
      <alignment horizontal="center" vertical="center" wrapText="1"/>
    </xf>
    <xf numFmtId="0" fontId="115" fillId="30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115" fillId="30" borderId="3" xfId="0" applyFont="1" applyFill="1" applyBorder="1" applyAlignment="1">
      <alignment horizontal="center" vertical="center"/>
    </xf>
    <xf numFmtId="0" fontId="115" fillId="30" borderId="50" xfId="0" applyFont="1" applyFill="1" applyBorder="1" applyAlignment="1">
      <alignment horizontal="center" vertical="center"/>
    </xf>
    <xf numFmtId="0" fontId="4" fillId="2" borderId="50" xfId="0" applyFont="1" applyFill="1" applyBorder="1" applyAlignment="1">
      <alignment horizontal="center" vertical="center"/>
    </xf>
    <xf numFmtId="0" fontId="4" fillId="2" borderId="51" xfId="0" applyFont="1" applyFill="1" applyBorder="1" applyAlignment="1">
      <alignment horizontal="center" vertical="center"/>
    </xf>
    <xf numFmtId="0" fontId="138" fillId="29" borderId="45" xfId="0" applyFont="1" applyFill="1" applyBorder="1" applyAlignment="1">
      <alignment horizontal="center"/>
    </xf>
    <xf numFmtId="0" fontId="138" fillId="29" borderId="47" xfId="0" applyFont="1" applyFill="1" applyBorder="1" applyAlignment="1">
      <alignment horizontal="center"/>
    </xf>
    <xf numFmtId="0" fontId="118" fillId="29" borderId="105" xfId="0" applyFont="1" applyFill="1" applyBorder="1" applyAlignment="1">
      <alignment horizontal="center" vertical="center"/>
    </xf>
    <xf numFmtId="0" fontId="37" fillId="2" borderId="3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157" fillId="30" borderId="1" xfId="0" applyFont="1" applyFill="1" applyBorder="1" applyAlignment="1">
      <alignment horizontal="center" vertical="center"/>
    </xf>
    <xf numFmtId="176" fontId="4" fillId="2" borderId="50" xfId="0" applyNumberFormat="1" applyFont="1" applyFill="1" applyBorder="1" applyAlignment="1">
      <alignment horizontal="center" vertical="center"/>
    </xf>
    <xf numFmtId="0" fontId="116" fillId="30" borderId="1" xfId="0" applyFont="1" applyFill="1" applyBorder="1" applyAlignment="1">
      <alignment horizontal="center" vertical="center"/>
    </xf>
    <xf numFmtId="0" fontId="46" fillId="0" borderId="80" xfId="0" applyFont="1" applyBorder="1" applyAlignment="1">
      <alignment horizontal="center" vertical="center" wrapText="1"/>
    </xf>
    <xf numFmtId="0" fontId="205" fillId="0" borderId="82" xfId="0" applyFont="1" applyBorder="1" applyAlignment="1">
      <alignment horizontal="center" vertical="center" wrapText="1"/>
    </xf>
    <xf numFmtId="0" fontId="205" fillId="0" borderId="83" xfId="0" applyFont="1" applyBorder="1" applyAlignment="1">
      <alignment horizontal="center" vertical="center" wrapText="1"/>
    </xf>
    <xf numFmtId="0" fontId="205" fillId="0" borderId="0" xfId="0" applyFont="1" applyAlignment="1">
      <alignment horizontal="center" vertical="center" wrapText="1"/>
    </xf>
    <xf numFmtId="0" fontId="205" fillId="0" borderId="217" xfId="0" applyFont="1" applyBorder="1" applyAlignment="1">
      <alignment horizontal="center" vertical="center" wrapText="1"/>
    </xf>
    <xf numFmtId="0" fontId="205" fillId="0" borderId="84" xfId="0" applyFont="1" applyBorder="1" applyAlignment="1">
      <alignment horizontal="center" vertical="center" wrapText="1"/>
    </xf>
    <xf numFmtId="0" fontId="205" fillId="0" borderId="218" xfId="0" applyFont="1" applyBorder="1" applyAlignment="1">
      <alignment horizontal="center" vertical="center" wrapText="1"/>
    </xf>
    <xf numFmtId="0" fontId="205" fillId="0" borderId="85" xfId="0" applyFont="1" applyBorder="1" applyAlignment="1">
      <alignment horizontal="justify" vertical="center" wrapText="1"/>
    </xf>
    <xf numFmtId="0" fontId="205" fillId="0" borderId="82" xfId="0" applyFont="1" applyBorder="1" applyAlignment="1">
      <alignment horizontal="justify" vertical="center" wrapText="1"/>
    </xf>
    <xf numFmtId="0" fontId="205" fillId="0" borderId="219" xfId="0" applyFont="1" applyBorder="1" applyAlignment="1">
      <alignment horizontal="justify" vertical="center" wrapText="1"/>
    </xf>
    <xf numFmtId="0" fontId="205" fillId="0" borderId="0" xfId="0" applyFont="1" applyAlignment="1">
      <alignment horizontal="justify" vertical="center" wrapText="1"/>
    </xf>
    <xf numFmtId="0" fontId="205" fillId="0" borderId="220" xfId="0" applyFont="1" applyBorder="1" applyAlignment="1">
      <alignment horizontal="justify" vertical="center" wrapText="1"/>
    </xf>
    <xf numFmtId="0" fontId="205" fillId="0" borderId="84" xfId="0" applyFont="1" applyBorder="1" applyAlignment="1">
      <alignment horizontal="justify" vertical="center" wrapText="1"/>
    </xf>
    <xf numFmtId="176" fontId="196" fillId="0" borderId="0" xfId="0" applyNumberFormat="1" applyFont="1" applyAlignment="1">
      <alignment horizontal="right" vertical="center" wrapText="1"/>
    </xf>
    <xf numFmtId="0" fontId="196" fillId="0" borderId="0" xfId="0" applyFont="1" applyAlignment="1">
      <alignment horizontal="right" vertical="center" wrapText="1"/>
    </xf>
    <xf numFmtId="0" fontId="196" fillId="0" borderId="0" xfId="0" applyFont="1" applyAlignment="1">
      <alignment horizontal="center" vertical="center" wrapText="1"/>
    </xf>
    <xf numFmtId="0" fontId="71" fillId="0" borderId="0" xfId="0" applyFont="1" applyAlignment="1">
      <alignment horizontal="justify" vertical="center" wrapText="1"/>
    </xf>
    <xf numFmtId="0" fontId="203" fillId="0" borderId="0" xfId="0" applyFont="1" applyAlignment="1">
      <alignment horizontal="center" vertical="center" wrapText="1"/>
    </xf>
    <xf numFmtId="0" fontId="204" fillId="0" borderId="79" xfId="0" applyFont="1" applyBorder="1" applyAlignment="1">
      <alignment horizontal="right" vertical="center" wrapText="1"/>
    </xf>
    <xf numFmtId="0" fontId="196" fillId="0" borderId="79" xfId="0" applyFont="1" applyBorder="1" applyAlignment="1">
      <alignment horizontal="justify" vertical="center" wrapText="1"/>
    </xf>
    <xf numFmtId="49" fontId="201" fillId="0" borderId="192" xfId="0" applyNumberFormat="1" applyFont="1" applyBorder="1" applyAlignment="1">
      <alignment horizontal="center" vertical="center" wrapText="1"/>
    </xf>
    <xf numFmtId="0" fontId="201" fillId="0" borderId="66" xfId="0" applyFont="1" applyBorder="1" applyAlignment="1">
      <alignment horizontal="center" vertical="center" wrapText="1"/>
    </xf>
    <xf numFmtId="0" fontId="201" fillId="0" borderId="193" xfId="0" applyFont="1" applyBorder="1" applyAlignment="1">
      <alignment horizontal="center" vertical="center" wrapText="1"/>
    </xf>
    <xf numFmtId="0" fontId="201" fillId="0" borderId="192" xfId="0" applyFont="1" applyBorder="1" applyAlignment="1">
      <alignment horizontal="center" vertical="center" wrapText="1"/>
    </xf>
    <xf numFmtId="0" fontId="199" fillId="0" borderId="189" xfId="0" applyFont="1" applyBorder="1" applyAlignment="1">
      <alignment horizontal="center" vertical="center" wrapText="1"/>
    </xf>
    <xf numFmtId="0" fontId="199" fillId="0" borderId="184" xfId="0" applyFont="1" applyBorder="1" applyAlignment="1">
      <alignment horizontal="center" vertical="center" wrapText="1"/>
    </xf>
    <xf numFmtId="0" fontId="199" fillId="0" borderId="181" xfId="0" applyFont="1" applyBorder="1" applyAlignment="1">
      <alignment horizontal="center" vertical="center" wrapText="1"/>
    </xf>
    <xf numFmtId="0" fontId="199" fillId="0" borderId="190" xfId="0" applyFont="1" applyBorder="1" applyAlignment="1">
      <alignment horizontal="center" vertical="center" wrapText="1"/>
    </xf>
    <xf numFmtId="0" fontId="199" fillId="0" borderId="61" xfId="0" applyFont="1" applyBorder="1" applyAlignment="1">
      <alignment horizontal="center" vertical="center" wrapText="1"/>
    </xf>
    <xf numFmtId="0" fontId="199" fillId="0" borderId="191" xfId="0" applyFont="1" applyBorder="1" applyAlignment="1">
      <alignment horizontal="center" vertical="center" wrapText="1"/>
    </xf>
    <xf numFmtId="0" fontId="199" fillId="0" borderId="215" xfId="0" applyFont="1" applyBorder="1" applyAlignment="1">
      <alignment horizontal="center" vertical="center" wrapText="1"/>
    </xf>
    <xf numFmtId="0" fontId="199" fillId="0" borderId="216" xfId="0" applyFont="1" applyBorder="1" applyAlignment="1">
      <alignment horizontal="center" vertical="center" wrapText="1"/>
    </xf>
    <xf numFmtId="0" fontId="199" fillId="0" borderId="192" xfId="0" applyFont="1" applyBorder="1" applyAlignment="1">
      <alignment horizontal="center" vertical="center" wrapText="1"/>
    </xf>
    <xf numFmtId="0" fontId="199" fillId="0" borderId="66" xfId="0" applyFont="1" applyBorder="1" applyAlignment="1">
      <alignment horizontal="center" vertical="center" wrapText="1"/>
    </xf>
    <xf numFmtId="0" fontId="199" fillId="0" borderId="193" xfId="0" applyFont="1" applyBorder="1" applyAlignment="1">
      <alignment horizontal="center" vertical="center" wrapText="1"/>
    </xf>
    <xf numFmtId="0" fontId="196" fillId="0" borderId="198" xfId="0" applyFont="1" applyBorder="1" applyAlignment="1">
      <alignment horizontal="center" vertical="center" wrapText="1"/>
    </xf>
    <xf numFmtId="0" fontId="196" fillId="0" borderId="213" xfId="0" applyFont="1" applyBorder="1" applyAlignment="1">
      <alignment horizontal="center" vertical="center" wrapText="1"/>
    </xf>
    <xf numFmtId="0" fontId="71" fillId="0" borderId="198" xfId="0" applyFont="1" applyBorder="1" applyAlignment="1">
      <alignment horizontal="center" vertical="center" wrapText="1"/>
    </xf>
    <xf numFmtId="0" fontId="71" fillId="0" borderId="86" xfId="0" applyFont="1" applyBorder="1" applyAlignment="1">
      <alignment horizontal="center" vertical="center" wrapText="1"/>
    </xf>
    <xf numFmtId="0" fontId="71" fillId="0" borderId="213" xfId="0" applyFont="1" applyBorder="1" applyAlignment="1">
      <alignment horizontal="center" vertical="center" wrapText="1"/>
    </xf>
    <xf numFmtId="0" fontId="196" fillId="0" borderId="86" xfId="0" applyFont="1" applyBorder="1" applyAlignment="1">
      <alignment horizontal="center" vertical="center" wrapText="1"/>
    </xf>
    <xf numFmtId="0" fontId="196" fillId="0" borderId="86" xfId="0" applyFont="1" applyBorder="1" applyAlignment="1">
      <alignment horizontal="justify" vertical="center" wrapText="1"/>
    </xf>
    <xf numFmtId="0" fontId="199" fillId="0" borderId="187" xfId="0" applyFont="1" applyBorder="1" applyAlignment="1">
      <alignment horizontal="center" vertical="center" wrapText="1"/>
    </xf>
    <xf numFmtId="0" fontId="199" fillId="0" borderId="188" xfId="0" applyFont="1" applyBorder="1" applyAlignment="1">
      <alignment horizontal="center" vertical="center" wrapText="1"/>
    </xf>
    <xf numFmtId="0" fontId="198" fillId="0" borderId="86" xfId="0" applyFont="1" applyBorder="1" applyAlignment="1">
      <alignment horizontal="center" vertical="center" wrapText="1"/>
    </xf>
    <xf numFmtId="0" fontId="196" fillId="0" borderId="186" xfId="0" applyFont="1" applyBorder="1" applyAlignment="1">
      <alignment horizontal="center" vertical="center" wrapText="1"/>
    </xf>
    <xf numFmtId="0" fontId="196" fillId="0" borderId="180" xfId="0" applyFont="1" applyBorder="1" applyAlignment="1">
      <alignment horizontal="center" vertical="center" wrapText="1"/>
    </xf>
    <xf numFmtId="0" fontId="71" fillId="0" borderId="186" xfId="0" applyFont="1" applyBorder="1" applyAlignment="1">
      <alignment horizontal="center" vertical="center" wrapText="1"/>
    </xf>
    <xf numFmtId="0" fontId="196" fillId="0" borderId="100" xfId="0" applyFont="1" applyBorder="1" applyAlignment="1">
      <alignment horizontal="justify" vertical="center" wrapText="1"/>
    </xf>
    <xf numFmtId="0" fontId="196" fillId="0" borderId="181" xfId="0" applyFont="1" applyBorder="1" applyAlignment="1">
      <alignment horizontal="center" vertical="center" wrapText="1"/>
    </xf>
    <xf numFmtId="0" fontId="196" fillId="0" borderId="172" xfId="0" applyFont="1" applyBorder="1" applyAlignment="1">
      <alignment horizontal="center" vertical="center" wrapText="1"/>
    </xf>
    <xf numFmtId="0" fontId="196" fillId="0" borderId="173" xfId="0" applyFont="1" applyBorder="1" applyAlignment="1">
      <alignment horizontal="center" vertical="center" wrapText="1"/>
    </xf>
    <xf numFmtId="0" fontId="71" fillId="0" borderId="180" xfId="0" applyFont="1" applyBorder="1" applyAlignment="1">
      <alignment horizontal="center" vertical="center" wrapText="1"/>
    </xf>
    <xf numFmtId="0" fontId="196" fillId="0" borderId="212" xfId="0" applyFont="1" applyBorder="1" applyAlignment="1">
      <alignment horizontal="justify" vertical="center" wrapText="1"/>
    </xf>
    <xf numFmtId="0" fontId="196" fillId="0" borderId="42" xfId="0" applyFont="1" applyBorder="1" applyAlignment="1">
      <alignment horizontal="justify" vertical="center" wrapText="1"/>
    </xf>
    <xf numFmtId="0" fontId="196" fillId="0" borderId="171" xfId="0" applyFont="1" applyBorder="1" applyAlignment="1">
      <alignment horizontal="justify" vertical="center" wrapText="1"/>
    </xf>
    <xf numFmtId="0" fontId="196" fillId="0" borderId="221" xfId="0" applyFont="1" applyBorder="1" applyAlignment="1">
      <alignment horizontal="justify" vertical="center" wrapText="1"/>
    </xf>
    <xf numFmtId="0" fontId="196" fillId="0" borderId="173" xfId="0" applyFont="1" applyBorder="1" applyAlignment="1">
      <alignment horizontal="justify" vertical="center" wrapText="1"/>
    </xf>
    <xf numFmtId="0" fontId="197" fillId="0" borderId="212" xfId="0" applyFont="1" applyBorder="1" applyAlignment="1">
      <alignment horizontal="center" vertical="center" wrapText="1"/>
    </xf>
    <xf numFmtId="0" fontId="197" fillId="0" borderId="42" xfId="0" applyFont="1" applyBorder="1" applyAlignment="1">
      <alignment horizontal="center" vertical="center" wrapText="1"/>
    </xf>
    <xf numFmtId="0" fontId="197" fillId="0" borderId="171" xfId="0" applyFont="1" applyBorder="1" applyAlignment="1">
      <alignment horizontal="center" vertical="center" wrapText="1"/>
    </xf>
    <xf numFmtId="0" fontId="197" fillId="0" borderId="221" xfId="0" applyFont="1" applyBorder="1" applyAlignment="1">
      <alignment horizontal="center" vertical="center" wrapText="1"/>
    </xf>
    <xf numFmtId="0" fontId="197" fillId="0" borderId="100" xfId="0" applyFont="1" applyBorder="1" applyAlignment="1">
      <alignment horizontal="center" vertical="center" wrapText="1"/>
    </xf>
    <xf numFmtId="0" fontId="197" fillId="0" borderId="173" xfId="0" applyFont="1" applyBorder="1" applyAlignment="1">
      <alignment horizontal="center" vertical="center" wrapText="1"/>
    </xf>
    <xf numFmtId="0" fontId="196" fillId="0" borderId="184" xfId="0" applyFont="1" applyBorder="1" applyAlignment="1">
      <alignment horizontal="justify" vertical="center" wrapText="1"/>
    </xf>
    <xf numFmtId="0" fontId="196" fillId="0" borderId="177" xfId="0" applyFont="1" applyBorder="1" applyAlignment="1">
      <alignment horizontal="justify" vertical="center" wrapText="1"/>
    </xf>
    <xf numFmtId="0" fontId="196" fillId="0" borderId="73" xfId="0" applyFont="1" applyBorder="1" applyAlignment="1">
      <alignment horizontal="justify" vertical="center" wrapText="1"/>
    </xf>
    <xf numFmtId="0" fontId="196" fillId="0" borderId="175" xfId="0" applyFont="1" applyBorder="1" applyAlignment="1">
      <alignment horizontal="justify" vertical="center" wrapText="1"/>
    </xf>
    <xf numFmtId="0" fontId="197" fillId="0" borderId="177" xfId="0" applyFont="1" applyBorder="1" applyAlignment="1">
      <alignment horizontal="center" vertical="center" wrapText="1"/>
    </xf>
    <xf numFmtId="0" fontId="197" fillId="0" borderId="73" xfId="0" applyFont="1" applyBorder="1" applyAlignment="1">
      <alignment horizontal="center" vertical="center" wrapText="1"/>
    </xf>
    <xf numFmtId="0" fontId="197" fillId="0" borderId="175" xfId="0" applyFont="1" applyBorder="1" applyAlignment="1">
      <alignment horizontal="center" vertical="center" wrapText="1"/>
    </xf>
    <xf numFmtId="0" fontId="196" fillId="0" borderId="206" xfId="0" applyFont="1" applyBorder="1" applyAlignment="1">
      <alignment horizontal="justify" vertical="center" wrapText="1"/>
    </xf>
    <xf numFmtId="0" fontId="196" fillId="0" borderId="56" xfId="0" applyFont="1" applyBorder="1" applyAlignment="1">
      <alignment horizontal="justify" vertical="center" wrapText="1"/>
    </xf>
    <xf numFmtId="0" fontId="196" fillId="0" borderId="207" xfId="0" applyFont="1" applyBorder="1" applyAlignment="1">
      <alignment horizontal="justify" vertical="center" wrapText="1"/>
    </xf>
    <xf numFmtId="0" fontId="197" fillId="0" borderId="206" xfId="0" applyFont="1" applyBorder="1" applyAlignment="1">
      <alignment horizontal="center" vertical="center" wrapText="1"/>
    </xf>
    <xf numFmtId="0" fontId="197" fillId="0" borderId="56" xfId="0" applyFont="1" applyBorder="1" applyAlignment="1">
      <alignment horizontal="center" vertical="center" wrapText="1"/>
    </xf>
    <xf numFmtId="0" fontId="197" fillId="0" borderId="207" xfId="0" applyFont="1" applyBorder="1" applyAlignment="1">
      <alignment horizontal="center" vertical="center" wrapText="1"/>
    </xf>
    <xf numFmtId="0" fontId="196" fillId="0" borderId="209" xfId="0" applyFont="1" applyBorder="1" applyAlignment="1">
      <alignment horizontal="justify" vertical="center" wrapText="1"/>
    </xf>
    <xf numFmtId="0" fontId="196" fillId="0" borderId="71" xfId="0" applyFont="1" applyBorder="1" applyAlignment="1">
      <alignment horizontal="justify" vertical="center" wrapText="1"/>
    </xf>
    <xf numFmtId="0" fontId="196" fillId="0" borderId="210" xfId="0" applyFont="1" applyBorder="1" applyAlignment="1">
      <alignment horizontal="justify" vertical="center" wrapText="1"/>
    </xf>
    <xf numFmtId="0" fontId="197" fillId="0" borderId="209" xfId="0" applyFont="1" applyBorder="1" applyAlignment="1">
      <alignment horizontal="center" vertical="center" wrapText="1"/>
    </xf>
    <xf numFmtId="0" fontId="197" fillId="0" borderId="71" xfId="0" applyFont="1" applyBorder="1" applyAlignment="1">
      <alignment horizontal="center" vertical="center" wrapText="1"/>
    </xf>
    <xf numFmtId="0" fontId="191" fillId="29" borderId="6" xfId="0" applyFont="1" applyFill="1" applyBorder="1" applyAlignment="1">
      <alignment horizontal="center" vertical="center"/>
    </xf>
    <xf numFmtId="0" fontId="191" fillId="29" borderId="18" xfId="0" applyFont="1" applyFill="1" applyBorder="1" applyAlignment="1">
      <alignment horizontal="center" vertical="center"/>
    </xf>
    <xf numFmtId="0" fontId="191" fillId="29" borderId="106" xfId="0" applyFont="1" applyFill="1" applyBorder="1" applyAlignment="1">
      <alignment horizontal="center" vertical="center"/>
    </xf>
    <xf numFmtId="0" fontId="194" fillId="29" borderId="1" xfId="0" applyFont="1" applyFill="1" applyBorder="1" applyAlignment="1">
      <alignment horizontal="center" vertical="center"/>
    </xf>
    <xf numFmtId="0" fontId="194" fillId="29" borderId="50" xfId="0" applyFont="1" applyFill="1" applyBorder="1" applyAlignment="1">
      <alignment horizontal="center" vertical="center"/>
    </xf>
    <xf numFmtId="0" fontId="111" fillId="30" borderId="4" xfId="0" applyFont="1" applyFill="1" applyBorder="1" applyAlignment="1">
      <alignment horizontal="center" vertical="center"/>
    </xf>
    <xf numFmtId="0" fontId="111" fillId="30" borderId="22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111" fillId="30" borderId="50" xfId="0" applyFont="1" applyFill="1" applyBorder="1" applyAlignment="1">
      <alignment horizontal="center" vertical="center"/>
    </xf>
    <xf numFmtId="0" fontId="111" fillId="30" borderId="3" xfId="0" applyFont="1" applyFill="1" applyBorder="1" applyAlignment="1">
      <alignment horizontal="center" vertical="center"/>
    </xf>
    <xf numFmtId="0" fontId="202" fillId="0" borderId="0" xfId="0" applyFont="1" applyAlignment="1">
      <alignment horizontal="justify" vertical="center" wrapText="1"/>
    </xf>
    <xf numFmtId="0" fontId="193" fillId="30" borderId="1" xfId="0" applyFont="1" applyFill="1" applyBorder="1" applyAlignment="1">
      <alignment horizontal="center" vertical="center"/>
    </xf>
    <xf numFmtId="0" fontId="111" fillId="30" borderId="1" xfId="0" applyFont="1" applyFill="1" applyBorder="1" applyAlignment="1">
      <alignment horizontal="center" vertical="center"/>
    </xf>
    <xf numFmtId="0" fontId="89" fillId="30" borderId="1" xfId="0" applyFont="1" applyFill="1" applyBorder="1" applyAlignment="1">
      <alignment horizontal="center" vertical="center"/>
    </xf>
    <xf numFmtId="0" fontId="38" fillId="2" borderId="4" xfId="0" applyFont="1" applyFill="1" applyBorder="1" applyAlignment="1">
      <alignment horizontal="center" vertical="center"/>
    </xf>
    <xf numFmtId="0" fontId="51" fillId="3" borderId="20" xfId="0" applyFont="1" applyFill="1" applyBorder="1" applyAlignment="1">
      <alignment horizontal="center" vertical="center"/>
    </xf>
    <xf numFmtId="0" fontId="51" fillId="3" borderId="19" xfId="0" applyFont="1" applyFill="1" applyBorder="1" applyAlignment="1">
      <alignment horizontal="center" vertical="center"/>
    </xf>
    <xf numFmtId="0" fontId="37" fillId="2" borderId="7" xfId="0" applyFont="1" applyFill="1" applyBorder="1" applyAlignment="1">
      <alignment horizontal="center" vertical="center"/>
    </xf>
    <xf numFmtId="0" fontId="37" fillId="2" borderId="44" xfId="0" applyFont="1" applyFill="1" applyBorder="1" applyAlignment="1">
      <alignment horizontal="center" vertical="center"/>
    </xf>
    <xf numFmtId="0" fontId="138" fillId="29" borderId="154" xfId="0" applyFont="1" applyFill="1" applyBorder="1" applyAlignment="1">
      <alignment horizontal="center"/>
    </xf>
    <xf numFmtId="0" fontId="219" fillId="29" borderId="47" xfId="0" applyFont="1" applyFill="1" applyBorder="1" applyAlignment="1">
      <alignment horizontal="center"/>
    </xf>
    <xf numFmtId="0" fontId="219" fillId="29" borderId="154" xfId="0" applyFont="1" applyFill="1" applyBorder="1" applyAlignment="1">
      <alignment horizontal="center"/>
    </xf>
    <xf numFmtId="0" fontId="118" fillId="29" borderId="142" xfId="0" applyFont="1" applyFill="1" applyBorder="1" applyAlignment="1">
      <alignment horizontal="center"/>
    </xf>
    <xf numFmtId="0" fontId="118" fillId="29" borderId="139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5" xfId="0" applyFont="1" applyBorder="1" applyAlignment="1">
      <alignment horizontal="center"/>
    </xf>
    <xf numFmtId="0" fontId="17" fillId="0" borderId="51" xfId="0" applyFont="1" applyBorder="1" applyAlignment="1">
      <alignment horizontal="center"/>
    </xf>
    <xf numFmtId="0" fontId="17" fillId="0" borderId="166" xfId="0" applyFont="1" applyBorder="1" applyAlignment="1">
      <alignment horizontal="center"/>
    </xf>
    <xf numFmtId="0" fontId="46" fillId="0" borderId="194" xfId="0" applyFont="1" applyBorder="1" applyAlignment="1">
      <alignment horizontal="center" vertical="center" wrapText="1"/>
    </xf>
    <xf numFmtId="0" fontId="90" fillId="0" borderId="195" xfId="0" applyFont="1" applyBorder="1" applyAlignment="1">
      <alignment horizontal="center"/>
    </xf>
    <xf numFmtId="0" fontId="17" fillId="0" borderId="195" xfId="0" applyFont="1" applyBorder="1" applyAlignment="1">
      <alignment horizontal="center"/>
    </xf>
    <xf numFmtId="0" fontId="194" fillId="29" borderId="6" xfId="0" applyFont="1" applyFill="1" applyBorder="1" applyAlignment="1">
      <alignment horizontal="center" vertical="center"/>
    </xf>
    <xf numFmtId="0" fontId="194" fillId="29" borderId="18" xfId="0" applyFont="1" applyFill="1" applyBorder="1" applyAlignment="1">
      <alignment horizontal="center" vertical="center"/>
    </xf>
    <xf numFmtId="0" fontId="194" fillId="29" borderId="106" xfId="0" applyFont="1" applyFill="1" applyBorder="1" applyAlignment="1">
      <alignment horizontal="center" vertical="center"/>
    </xf>
    <xf numFmtId="0" fontId="71" fillId="0" borderId="199" xfId="0" applyFont="1" applyBorder="1" applyAlignment="1">
      <alignment horizontal="center" vertical="center" wrapText="1"/>
    </xf>
    <xf numFmtId="0" fontId="71" fillId="0" borderId="201" xfId="0" applyFont="1" applyBorder="1" applyAlignment="1">
      <alignment horizontal="center" vertical="center" wrapText="1"/>
    </xf>
    <xf numFmtId="0" fontId="71" fillId="0" borderId="200" xfId="0" applyFont="1" applyBorder="1" applyAlignment="1">
      <alignment horizontal="center" vertical="center" wrapText="1"/>
    </xf>
    <xf numFmtId="0" fontId="46" fillId="0" borderId="199" xfId="0" applyFont="1" applyBorder="1" applyAlignment="1">
      <alignment horizontal="center" vertical="center" wrapText="1"/>
    </xf>
    <xf numFmtId="0" fontId="46" fillId="0" borderId="201" xfId="0" applyFont="1" applyBorder="1" applyAlignment="1">
      <alignment horizontal="center" vertical="center" wrapText="1"/>
    </xf>
    <xf numFmtId="0" fontId="71" fillId="0" borderId="192" xfId="0" applyFont="1" applyBorder="1" applyAlignment="1">
      <alignment horizontal="center" vertical="center" wrapText="1"/>
    </xf>
    <xf numFmtId="0" fontId="71" fillId="0" borderId="66" xfId="0" applyFont="1" applyBorder="1" applyAlignment="1">
      <alignment horizontal="center" vertical="center" wrapText="1"/>
    </xf>
    <xf numFmtId="0" fontId="71" fillId="0" borderId="193" xfId="0" applyFont="1" applyBorder="1" applyAlignment="1">
      <alignment horizontal="center" vertical="center" wrapText="1"/>
    </xf>
    <xf numFmtId="0" fontId="46" fillId="0" borderId="192" xfId="0" applyFont="1" applyBorder="1" applyAlignment="1">
      <alignment horizontal="center" vertical="center" wrapText="1"/>
    </xf>
    <xf numFmtId="0" fontId="46" fillId="0" borderId="66" xfId="0" applyFont="1" applyBorder="1" applyAlignment="1">
      <alignment horizontal="center" vertical="center" wrapText="1"/>
    </xf>
    <xf numFmtId="0" fontId="196" fillId="0" borderId="189" xfId="0" applyFont="1" applyBorder="1" applyAlignment="1">
      <alignment horizontal="center" vertical="center" wrapText="1"/>
    </xf>
    <xf numFmtId="0" fontId="196" fillId="0" borderId="184" xfId="0" applyFont="1" applyBorder="1" applyAlignment="1">
      <alignment horizontal="center" vertical="center" wrapText="1"/>
    </xf>
    <xf numFmtId="0" fontId="196" fillId="0" borderId="222" xfId="0" applyFont="1" applyBorder="1" applyAlignment="1">
      <alignment horizontal="center" vertical="center" wrapText="1"/>
    </xf>
    <xf numFmtId="0" fontId="0" fillId="0" borderId="221" xfId="0" applyBorder="1" applyAlignment="1">
      <alignment vertical="center" wrapText="1"/>
    </xf>
    <xf numFmtId="0" fontId="0" fillId="0" borderId="100" xfId="0" applyBorder="1" applyAlignment="1">
      <alignment vertical="center" wrapText="1"/>
    </xf>
    <xf numFmtId="0" fontId="0" fillId="0" borderId="173" xfId="0" applyBorder="1" applyAlignment="1">
      <alignment vertical="center" wrapText="1"/>
    </xf>
    <xf numFmtId="0" fontId="196" fillId="0" borderId="215" xfId="0" applyFont="1" applyBorder="1" applyAlignment="1">
      <alignment horizontal="center" vertical="center" wrapText="1"/>
    </xf>
    <xf numFmtId="0" fontId="196" fillId="0" borderId="216" xfId="0" applyFont="1" applyBorder="1" applyAlignment="1">
      <alignment horizontal="center" vertical="center" wrapText="1"/>
    </xf>
    <xf numFmtId="0" fontId="196" fillId="0" borderId="223" xfId="0" applyFont="1" applyBorder="1" applyAlignment="1">
      <alignment horizontal="center" vertical="center" wrapText="1"/>
    </xf>
    <xf numFmtId="0" fontId="71" fillId="0" borderId="189" xfId="0" applyFont="1" applyBorder="1" applyAlignment="1">
      <alignment horizontal="center" vertical="center" wrapText="1"/>
    </xf>
    <xf numFmtId="0" fontId="71" fillId="0" borderId="222" xfId="0" applyFont="1" applyBorder="1" applyAlignment="1">
      <alignment horizontal="center" vertical="center" wrapText="1"/>
    </xf>
    <xf numFmtId="0" fontId="71" fillId="0" borderId="221" xfId="0" applyFont="1" applyBorder="1" applyAlignment="1">
      <alignment horizontal="center" vertical="center" wrapText="1"/>
    </xf>
    <xf numFmtId="0" fontId="71" fillId="0" borderId="206" xfId="0" applyFont="1" applyBorder="1" applyAlignment="1">
      <alignment horizontal="center" vertical="center" wrapText="1"/>
    </xf>
    <xf numFmtId="0" fontId="71" fillId="0" borderId="56" xfId="0" applyFont="1" applyBorder="1" applyAlignment="1">
      <alignment horizontal="center" vertical="center" wrapText="1"/>
    </xf>
    <xf numFmtId="0" fontId="71" fillId="0" borderId="209" xfId="0" applyFont="1" applyBorder="1" applyAlignment="1">
      <alignment horizontal="center" vertical="center" wrapText="1"/>
    </xf>
    <xf numFmtId="0" fontId="71" fillId="0" borderId="71" xfId="0" applyFont="1" applyBorder="1" applyAlignment="1">
      <alignment horizontal="center" vertical="center" wrapText="1"/>
    </xf>
    <xf numFmtId="0" fontId="196" fillId="0" borderId="224" xfId="0" applyFont="1" applyBorder="1" applyAlignment="1">
      <alignment horizontal="justify" vertical="center" wrapText="1"/>
    </xf>
    <xf numFmtId="0" fontId="196" fillId="0" borderId="225" xfId="0" applyFont="1" applyBorder="1" applyAlignment="1">
      <alignment horizontal="justify" vertical="center" wrapText="1"/>
    </xf>
    <xf numFmtId="0" fontId="196" fillId="0" borderId="211" xfId="0" applyFont="1" applyBorder="1" applyAlignment="1">
      <alignment horizontal="justify" vertical="center" wrapText="1"/>
    </xf>
    <xf numFmtId="0" fontId="206" fillId="0" borderId="224" xfId="0" applyFont="1" applyBorder="1" applyAlignment="1">
      <alignment horizontal="center" vertical="center" wrapText="1"/>
    </xf>
    <xf numFmtId="0" fontId="206" fillId="0" borderId="225" xfId="0" applyFont="1" applyBorder="1" applyAlignment="1">
      <alignment horizontal="center" vertical="center" wrapText="1"/>
    </xf>
    <xf numFmtId="0" fontId="206" fillId="0" borderId="211" xfId="0" applyFont="1" applyBorder="1" applyAlignment="1">
      <alignment horizontal="center" vertical="center" wrapText="1"/>
    </xf>
    <xf numFmtId="0" fontId="196" fillId="0" borderId="224" xfId="0" applyFont="1" applyBorder="1" applyAlignment="1">
      <alignment horizontal="center" vertical="center" wrapText="1"/>
    </xf>
    <xf numFmtId="0" fontId="196" fillId="0" borderId="225" xfId="0" applyFont="1" applyBorder="1" applyAlignment="1">
      <alignment horizontal="center" vertical="center" wrapText="1"/>
    </xf>
    <xf numFmtId="0" fontId="196" fillId="0" borderId="211" xfId="0" applyFont="1" applyBorder="1" applyAlignment="1">
      <alignment horizontal="center" vertical="center" wrapText="1"/>
    </xf>
    <xf numFmtId="0" fontId="71" fillId="0" borderId="207" xfId="0" applyFont="1" applyBorder="1" applyAlignment="1">
      <alignment horizontal="center" vertical="center" wrapText="1"/>
    </xf>
    <xf numFmtId="0" fontId="196" fillId="0" borderId="206" xfId="0" applyFont="1" applyBorder="1" applyAlignment="1">
      <alignment horizontal="center" vertical="center" wrapText="1"/>
    </xf>
    <xf numFmtId="0" fontId="196" fillId="0" borderId="56" xfId="0" applyFont="1" applyBorder="1" applyAlignment="1">
      <alignment horizontal="center" vertical="center" wrapText="1"/>
    </xf>
    <xf numFmtId="0" fontId="196" fillId="0" borderId="207" xfId="0" applyFont="1" applyBorder="1" applyAlignment="1">
      <alignment horizontal="center" vertical="center" wrapText="1"/>
    </xf>
    <xf numFmtId="0" fontId="71" fillId="0" borderId="210" xfId="0" applyFont="1" applyBorder="1" applyAlignment="1">
      <alignment horizontal="center" vertical="center" wrapText="1"/>
    </xf>
    <xf numFmtId="0" fontId="196" fillId="0" borderId="209" xfId="0" applyFont="1" applyBorder="1" applyAlignment="1">
      <alignment horizontal="center" vertical="center" wrapText="1"/>
    </xf>
    <xf numFmtId="0" fontId="196" fillId="0" borderId="71" xfId="0" applyFont="1" applyBorder="1" applyAlignment="1">
      <alignment horizontal="center" vertical="center" wrapText="1"/>
    </xf>
    <xf numFmtId="0" fontId="196" fillId="0" borderId="210" xfId="0" applyFont="1" applyBorder="1" applyAlignment="1">
      <alignment horizontal="center" vertical="center" wrapText="1"/>
    </xf>
    <xf numFmtId="0" fontId="207" fillId="0" borderId="79" xfId="0" applyFont="1" applyBorder="1" applyAlignment="1">
      <alignment horizontal="center" vertical="center" wrapText="1"/>
    </xf>
    <xf numFmtId="0" fontId="193" fillId="30" borderId="51" xfId="0" applyFont="1" applyFill="1" applyBorder="1" applyAlignment="1">
      <alignment horizontal="center" vertical="center"/>
    </xf>
    <xf numFmtId="0" fontId="111" fillId="30" borderId="169" xfId="0" applyFont="1" applyFill="1" applyBorder="1" applyAlignment="1">
      <alignment horizontal="center" vertical="center"/>
    </xf>
    <xf numFmtId="0" fontId="4" fillId="2" borderId="166" xfId="0" applyFont="1" applyFill="1" applyBorder="1" applyAlignment="1">
      <alignment horizontal="center" vertical="center"/>
    </xf>
    <xf numFmtId="0" fontId="193" fillId="30" borderId="3" xfId="0" applyFont="1" applyFill="1" applyBorder="1" applyAlignment="1">
      <alignment horizontal="center" vertical="center"/>
    </xf>
    <xf numFmtId="0" fontId="208" fillId="30" borderId="4" xfId="0" applyFont="1" applyFill="1" applyBorder="1" applyAlignment="1">
      <alignment horizontal="center" vertical="center"/>
    </xf>
    <xf numFmtId="0" fontId="193" fillId="30" borderId="50" xfId="0" applyFont="1" applyFill="1" applyBorder="1" applyAlignment="1">
      <alignment horizontal="center" vertical="center"/>
    </xf>
    <xf numFmtId="0" fontId="193" fillId="30" borderId="6" xfId="0" applyFont="1" applyFill="1" applyBorder="1" applyAlignment="1">
      <alignment horizontal="center" vertical="center"/>
    </xf>
    <xf numFmtId="0" fontId="111" fillId="30" borderId="6" xfId="0" applyFont="1" applyFill="1" applyBorder="1" applyAlignment="1">
      <alignment horizontal="center" vertical="center"/>
    </xf>
    <xf numFmtId="0" fontId="46" fillId="0" borderId="86" xfId="0" applyFont="1" applyBorder="1" applyAlignment="1">
      <alignment vertical="center" wrapText="1"/>
    </xf>
    <xf numFmtId="0" fontId="138" fillId="29" borderId="167" xfId="0" applyFont="1" applyFill="1" applyBorder="1" applyAlignment="1">
      <alignment horizontal="center"/>
    </xf>
    <xf numFmtId="0" fontId="193" fillId="30" borderId="4" xfId="0" applyFont="1" applyFill="1" applyBorder="1" applyAlignment="1">
      <alignment horizontal="center" vertical="center"/>
    </xf>
    <xf numFmtId="0" fontId="193" fillId="30" borderId="22" xfId="0" applyFont="1" applyFill="1" applyBorder="1" applyAlignment="1">
      <alignment horizontal="center" vertical="center"/>
    </xf>
    <xf numFmtId="0" fontId="71" fillId="0" borderId="186" xfId="0" applyFont="1" applyBorder="1" applyAlignment="1">
      <alignment horizontal="right" vertical="center" wrapText="1"/>
    </xf>
    <xf numFmtId="0" fontId="71" fillId="0" borderId="86" xfId="0" applyFont="1" applyBorder="1" applyAlignment="1">
      <alignment horizontal="right" vertical="center" wrapText="1"/>
    </xf>
    <xf numFmtId="0" fontId="71" fillId="0" borderId="180" xfId="0" applyFont="1" applyBorder="1" applyAlignment="1">
      <alignment horizontal="right" vertical="center" wrapText="1"/>
    </xf>
    <xf numFmtId="0" fontId="71" fillId="0" borderId="184" xfId="0" applyFont="1" applyBorder="1" applyAlignment="1">
      <alignment horizontal="center" vertical="center" wrapText="1"/>
    </xf>
    <xf numFmtId="0" fontId="71" fillId="0" borderId="181" xfId="0" applyFont="1" applyBorder="1" applyAlignment="1">
      <alignment horizontal="center" vertical="center" wrapText="1"/>
    </xf>
    <xf numFmtId="0" fontId="71" fillId="0" borderId="0" xfId="0" applyFont="1" applyAlignment="1">
      <alignment horizontal="center" vertical="center" wrapText="1"/>
    </xf>
    <xf numFmtId="0" fontId="71" fillId="0" borderId="172" xfId="0" applyFont="1" applyBorder="1" applyAlignment="1">
      <alignment horizontal="center" vertical="center" wrapText="1"/>
    </xf>
    <xf numFmtId="0" fontId="71" fillId="0" borderId="100" xfId="0" applyFont="1" applyBorder="1" applyAlignment="1">
      <alignment horizontal="center" vertical="center" wrapText="1"/>
    </xf>
    <xf numFmtId="0" fontId="71" fillId="0" borderId="173" xfId="0" applyFont="1" applyBorder="1" applyAlignment="1">
      <alignment horizontal="center" vertical="center" wrapText="1"/>
    </xf>
    <xf numFmtId="0" fontId="77" fillId="25" borderId="41" xfId="0" applyFont="1" applyFill="1" applyBorder="1" applyAlignment="1">
      <alignment horizontal="center" vertical="center" wrapText="1"/>
    </xf>
    <xf numFmtId="0" fontId="77" fillId="25" borderId="72" xfId="0" applyFont="1" applyFill="1" applyBorder="1" applyAlignment="1">
      <alignment horizontal="center" vertical="center" wrapText="1"/>
    </xf>
    <xf numFmtId="0" fontId="76" fillId="0" borderId="72" xfId="0" applyFont="1" applyBorder="1" applyAlignment="1">
      <alignment horizontal="center" vertical="center" wrapText="1"/>
    </xf>
    <xf numFmtId="0" fontId="46" fillId="0" borderId="41" xfId="0" applyFont="1" applyBorder="1" applyAlignment="1">
      <alignment horizontal="center" vertical="center" wrapText="1"/>
    </xf>
    <xf numFmtId="0" fontId="46" fillId="0" borderId="73" xfId="0" applyFont="1" applyBorder="1" applyAlignment="1">
      <alignment horizontal="center" vertical="center" wrapText="1"/>
    </xf>
    <xf numFmtId="0" fontId="46" fillId="0" borderId="72" xfId="0" applyFont="1" applyBorder="1" applyAlignment="1">
      <alignment horizontal="center" vertical="center" wrapText="1"/>
    </xf>
    <xf numFmtId="0" fontId="174" fillId="25" borderId="38" xfId="0" applyFont="1" applyFill="1" applyBorder="1" applyAlignment="1">
      <alignment horizontal="center" vertical="center" wrapText="1"/>
    </xf>
    <xf numFmtId="0" fontId="171" fillId="0" borderId="236" xfId="0" applyFont="1" applyBorder="1" applyAlignment="1">
      <alignment horizontal="center" vertical="center" wrapText="1"/>
    </xf>
    <xf numFmtId="0" fontId="171" fillId="0" borderId="74" xfId="0" applyFont="1" applyBorder="1" applyAlignment="1">
      <alignment horizontal="center" vertical="center" wrapText="1"/>
    </xf>
    <xf numFmtId="0" fontId="125" fillId="25" borderId="41" xfId="0" applyFont="1" applyFill="1" applyBorder="1" applyAlignment="1">
      <alignment horizontal="center" vertical="center" wrapText="1"/>
    </xf>
    <xf numFmtId="0" fontId="125" fillId="25" borderId="73" xfId="0" applyFont="1" applyFill="1" applyBorder="1" applyAlignment="1">
      <alignment horizontal="center" vertical="center" wrapText="1"/>
    </xf>
    <xf numFmtId="0" fontId="125" fillId="25" borderId="72" xfId="0" applyFont="1" applyFill="1" applyBorder="1" applyAlignment="1">
      <alignment horizontal="center" vertical="center" wrapText="1"/>
    </xf>
    <xf numFmtId="0" fontId="17" fillId="0" borderId="73" xfId="0" applyFont="1" applyBorder="1" applyAlignment="1">
      <alignment horizontal="justify" vertical="center" wrapText="1"/>
    </xf>
    <xf numFmtId="0" fontId="174" fillId="17" borderId="38" xfId="0" applyFont="1" applyFill="1" applyBorder="1" applyAlignment="1">
      <alignment horizontal="center" vertical="center" wrapText="1"/>
    </xf>
    <xf numFmtId="0" fontId="174" fillId="17" borderId="41" xfId="0" applyFont="1" applyFill="1" applyBorder="1" applyAlignment="1">
      <alignment horizontal="center" vertical="center" wrapText="1"/>
    </xf>
    <xf numFmtId="0" fontId="174" fillId="17" borderId="72" xfId="0" applyFont="1" applyFill="1" applyBorder="1" applyAlignment="1">
      <alignment horizontal="center" vertical="center" wrapText="1"/>
    </xf>
    <xf numFmtId="0" fontId="17" fillId="25" borderId="164" xfId="0" applyFont="1" applyFill="1" applyBorder="1" applyAlignment="1">
      <alignment vertical="center" wrapText="1"/>
    </xf>
    <xf numFmtId="0" fontId="17" fillId="25" borderId="165" xfId="0" applyFont="1" applyFill="1" applyBorder="1" applyAlignment="1">
      <alignment vertical="center" wrapText="1"/>
    </xf>
    <xf numFmtId="0" fontId="134" fillId="29" borderId="6" xfId="0" applyFont="1" applyFill="1" applyBorder="1" applyAlignment="1">
      <alignment horizontal="center" vertical="center" wrapText="1"/>
    </xf>
    <xf numFmtId="0" fontId="113" fillId="0" borderId="19" xfId="0" applyFont="1" applyBorder="1" applyAlignment="1">
      <alignment horizontal="center" vertical="center"/>
    </xf>
    <xf numFmtId="0" fontId="171" fillId="0" borderId="184" xfId="0" applyFont="1" applyBorder="1" applyAlignment="1">
      <alignment horizontal="center" vertical="center" wrapText="1"/>
    </xf>
    <xf numFmtId="0" fontId="264" fillId="0" borderId="1" xfId="0" applyFont="1" applyBorder="1" applyAlignment="1">
      <alignment horizontal="center" vertical="center" wrapText="1"/>
    </xf>
    <xf numFmtId="0" fontId="113" fillId="0" borderId="0" xfId="0" applyFont="1" applyBorder="1" applyAlignment="1">
      <alignment horizontal="left" vertical="center"/>
    </xf>
    <xf numFmtId="0" fontId="174" fillId="25" borderId="234" xfId="0" applyFont="1" applyFill="1" applyBorder="1" applyAlignment="1">
      <alignment horizontal="center" vertical="center" wrapText="1"/>
    </xf>
    <xf numFmtId="0" fontId="174" fillId="25" borderId="233" xfId="0" applyFont="1" applyFill="1" applyBorder="1" applyAlignment="1">
      <alignment horizontal="center" vertical="center" wrapText="1"/>
    </xf>
    <xf numFmtId="0" fontId="246" fillId="0" borderId="234" xfId="0" applyFont="1" applyBorder="1" applyAlignment="1">
      <alignment horizontal="center" vertical="center" wrapText="1"/>
    </xf>
    <xf numFmtId="0" fontId="171" fillId="0" borderId="42" xfId="0" applyFont="1" applyBorder="1" applyAlignment="1">
      <alignment horizontal="center" vertical="center" wrapText="1"/>
    </xf>
    <xf numFmtId="0" fontId="171" fillId="0" borderId="68" xfId="0" applyFont="1" applyBorder="1" applyAlignment="1">
      <alignment horizontal="center" vertical="center" wrapText="1"/>
    </xf>
    <xf numFmtId="0" fontId="246" fillId="0" borderId="137" xfId="0" applyFont="1" applyBorder="1" applyAlignment="1">
      <alignment horizontal="center" vertical="center" wrapText="1"/>
    </xf>
    <xf numFmtId="0" fontId="246" fillId="0" borderId="0" xfId="0" applyFont="1" applyBorder="1" applyAlignment="1">
      <alignment horizontal="center" vertical="center" wrapText="1"/>
    </xf>
    <xf numFmtId="0" fontId="246" fillId="0" borderId="74" xfId="0" applyFont="1" applyBorder="1" applyAlignment="1">
      <alignment horizontal="center" vertical="center" wrapText="1"/>
    </xf>
    <xf numFmtId="0" fontId="246" fillId="0" borderId="68" xfId="0" applyFont="1" applyBorder="1" applyAlignment="1">
      <alignment horizontal="center" vertical="center" wrapText="1"/>
    </xf>
    <xf numFmtId="0" fontId="125" fillId="25" borderId="245" xfId="0" applyFont="1" applyFill="1" applyBorder="1" applyAlignment="1">
      <alignment horizontal="center" vertical="center" wrapText="1"/>
    </xf>
    <xf numFmtId="0" fontId="171" fillId="0" borderId="246" xfId="0" applyFont="1" applyBorder="1" applyAlignment="1">
      <alignment horizontal="center" vertical="center" wrapText="1"/>
    </xf>
    <xf numFmtId="0" fontId="171" fillId="0" borderId="204" xfId="0" applyFont="1" applyBorder="1" applyAlignment="1">
      <alignment horizontal="center" vertical="center" wrapText="1"/>
    </xf>
    <xf numFmtId="0" fontId="171" fillId="0" borderId="247" xfId="0" applyFont="1" applyBorder="1" applyAlignment="1">
      <alignment horizontal="center" vertical="center" wrapText="1"/>
    </xf>
    <xf numFmtId="0" fontId="125" fillId="25" borderId="248" xfId="0" applyFont="1" applyFill="1" applyBorder="1" applyAlignment="1">
      <alignment horizontal="center" vertical="center" wrapText="1"/>
    </xf>
    <xf numFmtId="0" fontId="125" fillId="25" borderId="204" xfId="0" applyFont="1" applyFill="1" applyBorder="1" applyAlignment="1">
      <alignment horizontal="center" vertical="center" wrapText="1"/>
    </xf>
    <xf numFmtId="0" fontId="132" fillId="0" borderId="229" xfId="0" applyFont="1" applyBorder="1" applyAlignment="1">
      <alignment horizontal="center" vertical="center" wrapText="1"/>
    </xf>
    <xf numFmtId="0" fontId="132" fillId="0" borderId="249" xfId="0" applyFont="1" applyBorder="1" applyAlignment="1">
      <alignment horizontal="center" vertical="center" wrapText="1"/>
    </xf>
    <xf numFmtId="0" fontId="125" fillId="25" borderId="250" xfId="0" applyFont="1" applyFill="1" applyBorder="1" applyAlignment="1">
      <alignment horizontal="center" vertical="center" wrapText="1"/>
    </xf>
    <xf numFmtId="0" fontId="264" fillId="0" borderId="153" xfId="0" applyFont="1" applyBorder="1" applyAlignment="1">
      <alignment horizontal="center" vertical="center" wrapText="1"/>
    </xf>
    <xf numFmtId="0" fontId="125" fillId="25" borderId="251" xfId="0" applyFont="1" applyFill="1" applyBorder="1" applyAlignment="1">
      <alignment horizontal="center" vertical="center" wrapText="1"/>
    </xf>
    <xf numFmtId="0" fontId="125" fillId="25" borderId="252" xfId="0" applyFont="1" applyFill="1" applyBorder="1" applyAlignment="1">
      <alignment horizontal="center" vertical="center" wrapText="1"/>
    </xf>
    <xf numFmtId="0" fontId="125" fillId="25" borderId="253" xfId="0" applyFont="1" applyFill="1" applyBorder="1" applyAlignment="1">
      <alignment horizontal="center" vertical="center" wrapText="1"/>
    </xf>
    <xf numFmtId="0" fontId="265" fillId="0" borderId="252" xfId="0" applyFont="1" applyBorder="1" applyAlignment="1">
      <alignment horizontal="center" vertical="center" wrapText="1"/>
    </xf>
    <xf numFmtId="0" fontId="171" fillId="0" borderId="253" xfId="0" applyFont="1" applyBorder="1" applyAlignment="1">
      <alignment horizontal="center" vertical="center" wrapText="1"/>
    </xf>
    <xf numFmtId="0" fontId="171" fillId="0" borderId="252" xfId="0" applyFont="1" applyBorder="1" applyAlignment="1">
      <alignment horizontal="center" vertical="center" wrapText="1"/>
    </xf>
    <xf numFmtId="0" fontId="171" fillId="0" borderId="166" xfId="0" applyFont="1" applyBorder="1" applyAlignment="1">
      <alignment horizontal="center" vertical="center" wrapText="1"/>
    </xf>
    <xf numFmtId="0" fontId="171" fillId="0" borderId="254" xfId="0" applyFont="1" applyBorder="1" applyAlignment="1">
      <alignment horizontal="center" vertical="center" wrapText="1"/>
    </xf>
    <xf numFmtId="0" fontId="171" fillId="0" borderId="255" xfId="0" applyFont="1" applyBorder="1" applyAlignment="1">
      <alignment horizontal="center" vertical="center" wrapText="1"/>
    </xf>
    <xf numFmtId="0" fontId="171" fillId="0" borderId="256" xfId="0" applyFont="1" applyBorder="1" applyAlignment="1">
      <alignment horizontal="center" vertical="center" wrapText="1"/>
    </xf>
    <xf numFmtId="0" fontId="246" fillId="0" borderId="255" xfId="0" applyFont="1" applyBorder="1" applyAlignment="1">
      <alignment horizontal="center" vertical="center" wrapText="1"/>
    </xf>
    <xf numFmtId="0" fontId="246" fillId="0" borderId="256" xfId="0" applyFont="1" applyBorder="1" applyAlignment="1">
      <alignment horizontal="center" vertical="center" wrapText="1"/>
    </xf>
    <xf numFmtId="0" fontId="246" fillId="0" borderId="257" xfId="0" applyFont="1" applyBorder="1" applyAlignment="1">
      <alignment horizontal="center" vertical="center" wrapText="1"/>
    </xf>
    <xf numFmtId="0" fontId="125" fillId="25" borderId="258" xfId="0" applyFont="1" applyFill="1" applyBorder="1" applyAlignment="1">
      <alignment horizontal="center" vertical="center" wrapText="1"/>
    </xf>
    <xf numFmtId="0" fontId="125" fillId="25" borderId="259" xfId="0" applyFont="1" applyFill="1" applyBorder="1" applyAlignment="1">
      <alignment horizontal="center" vertical="center" wrapText="1"/>
    </xf>
    <xf numFmtId="0" fontId="171" fillId="0" borderId="260" xfId="0" applyFont="1" applyBorder="1" applyAlignment="1">
      <alignment horizontal="center" vertical="center" wrapText="1"/>
    </xf>
    <xf numFmtId="0" fontId="125" fillId="25" borderId="261" xfId="0" applyFont="1" applyFill="1" applyBorder="1" applyAlignment="1">
      <alignment horizontal="center" vertical="center" wrapText="1"/>
    </xf>
    <xf numFmtId="0" fontId="246" fillId="0" borderId="262" xfId="0" applyFont="1" applyBorder="1" applyAlignment="1">
      <alignment horizontal="center" vertical="center" wrapText="1"/>
    </xf>
    <xf numFmtId="0" fontId="246" fillId="0" borderId="263" xfId="0" applyFont="1" applyBorder="1" applyAlignment="1">
      <alignment horizontal="center" vertical="center" wrapText="1"/>
    </xf>
    <xf numFmtId="0" fontId="171" fillId="0" borderId="264" xfId="0" applyFont="1" applyBorder="1" applyAlignment="1">
      <alignment horizontal="center" vertical="center" wrapText="1"/>
    </xf>
    <xf numFmtId="0" fontId="171" fillId="0" borderId="265" xfId="0" applyFont="1" applyBorder="1" applyAlignment="1">
      <alignment horizontal="center" vertical="center" wrapText="1"/>
    </xf>
    <xf numFmtId="0" fontId="171" fillId="0" borderId="266" xfId="0" applyFont="1" applyBorder="1" applyAlignment="1">
      <alignment horizontal="center" vertical="center" wrapText="1"/>
    </xf>
    <xf numFmtId="0" fontId="174" fillId="25" borderId="267" xfId="0" applyFont="1" applyFill="1" applyBorder="1" applyAlignment="1">
      <alignment horizontal="center" vertical="center" wrapText="1"/>
    </xf>
    <xf numFmtId="0" fontId="171" fillId="0" borderId="268" xfId="0" applyFont="1" applyBorder="1" applyAlignment="1">
      <alignment horizontal="center" vertical="center" wrapText="1"/>
    </xf>
    <xf numFmtId="0" fontId="246" fillId="0" borderId="269" xfId="0" applyFont="1" applyBorder="1" applyAlignment="1">
      <alignment horizontal="center" vertical="center" wrapText="1"/>
    </xf>
    <xf numFmtId="0" fontId="174" fillId="25" borderId="37" xfId="0" applyFont="1" applyFill="1" applyBorder="1" applyAlignment="1">
      <alignment horizontal="center" vertical="center" wrapText="1"/>
    </xf>
    <xf numFmtId="0" fontId="171" fillId="0" borderId="270" xfId="0" applyFont="1" applyBorder="1" applyAlignment="1">
      <alignment horizontal="center" vertical="center" wrapText="1"/>
    </xf>
    <xf numFmtId="0" fontId="171" fillId="0" borderId="271" xfId="0" applyFont="1" applyBorder="1" applyAlignment="1">
      <alignment horizontal="center" vertical="center" wrapText="1"/>
    </xf>
    <xf numFmtId="0" fontId="125" fillId="25" borderId="273" xfId="0" applyFont="1" applyFill="1" applyBorder="1" applyAlignment="1">
      <alignment horizontal="center" vertical="center" wrapText="1"/>
    </xf>
    <xf numFmtId="0" fontId="125" fillId="25" borderId="272" xfId="0" applyFont="1" applyFill="1" applyBorder="1" applyAlignment="1">
      <alignment horizontal="center" vertical="center" wrapText="1"/>
    </xf>
    <xf numFmtId="0" fontId="174" fillId="25" borderId="160" xfId="0" applyFont="1" applyFill="1" applyBorder="1" applyAlignment="1">
      <alignment horizontal="center" vertical="center" wrapText="1"/>
    </xf>
    <xf numFmtId="0" fontId="174" fillId="25" borderId="274" xfId="0" applyFont="1" applyFill="1" applyBorder="1" applyAlignment="1">
      <alignment horizontal="center" vertical="center" wrapText="1"/>
    </xf>
    <xf numFmtId="0" fontId="113" fillId="0" borderId="256" xfId="0" applyFont="1" applyBorder="1" applyAlignment="1">
      <alignment horizontal="left" vertical="center"/>
    </xf>
    <xf numFmtId="0" fontId="266" fillId="0" borderId="19" xfId="0" applyFont="1" applyBorder="1" applyAlignment="1">
      <alignment horizontal="center" vertical="center"/>
    </xf>
    <xf numFmtId="0" fontId="77" fillId="25" borderId="241" xfId="0" applyFont="1" applyFill="1" applyBorder="1" applyAlignment="1">
      <alignment horizontal="center" vertical="center" wrapText="1"/>
    </xf>
    <xf numFmtId="0" fontId="17" fillId="0" borderId="242" xfId="0" applyFont="1" applyBorder="1" applyAlignment="1">
      <alignment horizontal="center" vertical="center" wrapText="1"/>
    </xf>
    <xf numFmtId="0" fontId="77" fillId="25" borderId="38" xfId="0" applyFont="1" applyFill="1" applyBorder="1" applyAlignment="1">
      <alignment horizontal="center" vertical="center" wrapText="1"/>
    </xf>
    <xf numFmtId="0" fontId="76" fillId="0" borderId="238" xfId="0" applyFont="1" applyBorder="1" applyAlignment="1">
      <alignment horizontal="center" vertical="center" wrapText="1"/>
    </xf>
    <xf numFmtId="0" fontId="76" fillId="0" borderId="38" xfId="0" applyFont="1" applyBorder="1" applyAlignment="1">
      <alignment horizontal="center" vertical="center" wrapText="1"/>
    </xf>
    <xf numFmtId="0" fontId="77" fillId="25" borderId="243" xfId="0" applyFont="1" applyFill="1" applyBorder="1" applyAlignment="1">
      <alignment horizontal="center" vertical="center" wrapText="1"/>
    </xf>
    <xf numFmtId="0" fontId="77" fillId="25" borderId="240" xfId="0" applyFont="1" applyFill="1" applyBorder="1" applyAlignment="1">
      <alignment horizontal="center" vertical="center" wrapText="1"/>
    </xf>
    <xf numFmtId="0" fontId="77" fillId="25" borderId="239" xfId="0" applyFont="1" applyFill="1" applyBorder="1" applyAlignment="1">
      <alignment horizontal="center" vertical="center" wrapText="1"/>
    </xf>
    <xf numFmtId="0" fontId="76" fillId="0" borderId="244" xfId="0" applyFont="1" applyBorder="1" applyAlignment="1">
      <alignment horizontal="center" vertical="center" wrapText="1"/>
    </xf>
    <xf numFmtId="0" fontId="76" fillId="0" borderId="233" xfId="0" applyFont="1" applyBorder="1" applyAlignment="1">
      <alignment horizontal="center" vertical="center" wrapText="1"/>
    </xf>
    <xf numFmtId="0" fontId="76" fillId="0" borderId="234" xfId="0" applyFont="1" applyBorder="1" applyAlignment="1">
      <alignment horizontal="center" vertical="center" wrapText="1"/>
    </xf>
    <xf numFmtId="0" fontId="268" fillId="0" borderId="232" xfId="0" applyFont="1" applyBorder="1" applyAlignment="1">
      <alignment horizontal="center" vertical="center" wrapText="1"/>
    </xf>
    <xf numFmtId="0" fontId="77" fillId="25" borderId="234" xfId="0" applyFont="1" applyFill="1" applyBorder="1" applyAlignment="1">
      <alignment horizontal="center" vertical="center" wrapText="1"/>
    </xf>
    <xf numFmtId="0" fontId="77" fillId="25" borderId="233" xfId="0" applyFont="1" applyFill="1" applyBorder="1" applyAlignment="1">
      <alignment horizontal="center" vertical="center" wrapText="1"/>
    </xf>
    <xf numFmtId="0" fontId="76" fillId="0" borderId="239" xfId="0" applyFont="1" applyBorder="1" applyAlignment="1">
      <alignment horizontal="center" vertical="center" wrapText="1"/>
    </xf>
    <xf numFmtId="0" fontId="76" fillId="0" borderId="240" xfId="0" applyFont="1" applyBorder="1" applyAlignment="1">
      <alignment horizontal="center" vertical="center" wrapText="1"/>
    </xf>
    <xf numFmtId="0" fontId="158" fillId="0" borderId="100" xfId="0" applyFont="1" applyBorder="1" applyAlignment="1">
      <alignment horizontal="left" vertical="center"/>
    </xf>
    <xf numFmtId="0" fontId="269" fillId="29" borderId="18" xfId="5" applyFont="1" applyFill="1" applyBorder="1" applyAlignment="1">
      <alignment horizontal="center" vertical="center"/>
    </xf>
    <xf numFmtId="0" fontId="138" fillId="29" borderId="156" xfId="5" applyFont="1" applyFill="1" applyBorder="1" applyAlignment="1">
      <alignment horizontal="center" vertical="center"/>
    </xf>
    <xf numFmtId="0" fontId="219" fillId="29" borderId="0" xfId="5" applyFont="1" applyFill="1" applyBorder="1" applyAlignment="1">
      <alignment horizontal="center" vertical="center"/>
    </xf>
    <xf numFmtId="0" fontId="138" fillId="29" borderId="18" xfId="5" applyFont="1" applyFill="1" applyBorder="1" applyAlignment="1">
      <alignment horizontal="center" vertical="center"/>
    </xf>
    <xf numFmtId="0" fontId="17" fillId="8" borderId="18" xfId="5" applyFill="1" applyBorder="1" applyAlignment="1">
      <alignment vertical="center"/>
    </xf>
    <xf numFmtId="0" fontId="17" fillId="8" borderId="3" xfId="5" applyFill="1" applyBorder="1" applyAlignment="1">
      <alignment vertical="center"/>
    </xf>
    <xf numFmtId="0" fontId="220" fillId="29" borderId="156" xfId="5" applyFont="1" applyFill="1" applyBorder="1" applyAlignment="1">
      <alignment horizontal="center" vertical="center"/>
    </xf>
    <xf numFmtId="0" fontId="17" fillId="8" borderId="151" xfId="5" applyFill="1" applyBorder="1" applyAlignment="1">
      <alignment horizontal="center" vertical="center"/>
    </xf>
    <xf numFmtId="0" fontId="128" fillId="0" borderId="1" xfId="5" applyFont="1" applyFill="1" applyBorder="1" applyAlignment="1">
      <alignment horizontal="center" vertical="center"/>
    </xf>
    <xf numFmtId="0" fontId="128" fillId="0" borderId="1" xfId="5" applyFont="1" applyFill="1" applyBorder="1" applyAlignment="1">
      <alignment horizontal="left" vertical="center"/>
    </xf>
  </cellXfs>
  <cellStyles count="6">
    <cellStyle name="나쁨" xfId="2" builtinId="27"/>
    <cellStyle name="좋음" xfId="4" builtinId="26"/>
    <cellStyle name="표준" xfId="0" builtinId="0"/>
    <cellStyle name="표준 2" xfId="3" xr:uid="{751D343F-DA69-4A4F-AFB8-E24B97E8BF2A}"/>
    <cellStyle name="표준 3" xfId="5" xr:uid="{8AC8FC0C-E48F-4CD0-AEE7-C5C3B7885351}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fmlaLink="$N$7" lockText="1" noThreeD="1"/>
</file>

<file path=xl/ctrlProps/ctrlProp2.xml><?xml version="1.0" encoding="utf-8"?>
<formControlPr xmlns="http://schemas.microsoft.com/office/spreadsheetml/2009/9/main" objectType="CheckBox" fmlaLink="$N$9" lockText="1" noThreeD="1"/>
</file>

<file path=xl/ctrlProps/ctrlProp3.xml><?xml version="1.0" encoding="utf-8"?>
<formControlPr xmlns="http://schemas.microsoft.com/office/spreadsheetml/2009/9/main" objectType="CheckBox" fmlaLink="$N$10" lockText="1" noThreeD="1"/>
</file>

<file path=xl/ctrlProps/ctrlProp4.xml><?xml version="1.0" encoding="utf-8"?>
<formControlPr xmlns="http://schemas.microsoft.com/office/spreadsheetml/2009/9/main" objectType="CheckBox" fmlaLink="$N$14" lockText="1" noThreeD="1"/>
</file>

<file path=xl/ctrlProps/ctrlProp5.xml><?xml version="1.0" encoding="utf-8"?>
<formControlPr xmlns="http://schemas.microsoft.com/office/spreadsheetml/2009/9/main" objectType="CheckBox" fmlaLink="$N$15" lockText="1" noThreeD="1"/>
</file>

<file path=xl/ctrlProps/ctrlProp6.xml><?xml version="1.0" encoding="utf-8"?>
<formControlPr xmlns="http://schemas.microsoft.com/office/spreadsheetml/2009/9/main" objectType="CheckBox" fmlaLink="$N$16" lockText="1" noThreeD="1"/>
</file>

<file path=xl/ctrlProps/ctrlProp7.xml><?xml version="1.0" encoding="utf-8"?>
<formControlPr xmlns="http://schemas.microsoft.com/office/spreadsheetml/2009/9/main" objectType="CheckBox" fmlaLink="$N$17" lockText="1" noThreeD="1"/>
</file>

<file path=xl/ctrlProps/ctrlProp8.xml><?xml version="1.0" encoding="utf-8"?>
<formControlPr xmlns="http://schemas.microsoft.com/office/spreadsheetml/2009/9/main" objectType="CheckBox" fmlaLink="$N$18" lockText="1" noThreeD="1"/>
</file>

<file path=xl/ctrlProps/ctrlProp9.xml><?xml version="1.0" encoding="utf-8"?>
<formControlPr xmlns="http://schemas.microsoft.com/office/spreadsheetml/2009/9/main" objectType="CheckBox" fmlaLink="$N$19" lockText="1" noThreeD="1"/>
</file>

<file path=xl/ctrlProps/ctrlProp10.xml><?xml version="1.0" encoding="utf-8"?>
<formControlPr xmlns="http://schemas.microsoft.com/office/spreadsheetml/2009/9/main" objectType="CheckBox" fmlaLink="$N$20" lockText="1" noThreeD="1"/>
</file>

<file path=xl/ctrlProps/ctrlProp11.xml><?xml version="1.0" encoding="utf-8"?>
<formControlPr xmlns="http://schemas.microsoft.com/office/spreadsheetml/2009/9/main" objectType="CheckBox" fmlaLink="$N$21" lockText="1" noThreeD="1"/>
</file>

<file path=xl/ctrlProps/ctrlProp12.xml><?xml version="1.0" encoding="utf-8"?>
<formControlPr xmlns="http://schemas.microsoft.com/office/spreadsheetml/2009/9/main" objectType="CheckBox" fmlaLink="$N$22" lockText="1" noThreeD="1"/>
</file>

<file path=xl/ctrlProps/ctrlProp13.xml><?xml version="1.0" encoding="utf-8"?>
<formControlPr xmlns="http://schemas.microsoft.com/office/spreadsheetml/2009/9/main" objectType="CheckBox" fmlaLink="$N$25" lockText="1" noThreeD="1"/>
</file>

<file path=xl/ctrlProps/ctrlProp14.xml><?xml version="1.0" encoding="utf-8"?>
<formControlPr xmlns="http://schemas.microsoft.com/office/spreadsheetml/2009/9/main" objectType="CheckBox" fmlaLink="$N$8" lockText="1" noThreeD="1"/>
</file>

<file path=xl/ctrlProps/ctrlProp15.xml><?xml version="1.0" encoding="utf-8"?>
<formControlPr xmlns="http://schemas.microsoft.com/office/spreadsheetml/2009/9/main" objectType="CheckBox" fmlaLink="$N$26" lockText="1" noThreeD="1"/>
</file>

<file path=xl/ctrlProps/ctrlProp16.xml><?xml version="1.0" encoding="utf-8"?>
<formControlPr xmlns="http://schemas.microsoft.com/office/spreadsheetml/2009/9/main" objectType="CheckBox" fmlaLink="$N$27" lockText="1" noThreeD="1"/>
</file>

<file path=xl/ctrlProps/ctrlProp17.xml><?xml version="1.0" encoding="utf-8"?>
<formControlPr xmlns="http://schemas.microsoft.com/office/spreadsheetml/2009/9/main" objectType="CheckBox" fmlaLink="$N$28" lockText="1" noThreeD="1"/>
</file>

<file path=xl/ctrlProps/ctrlProp18.xml><?xml version="1.0" encoding="utf-8"?>
<formControlPr xmlns="http://schemas.microsoft.com/office/spreadsheetml/2009/9/main" objectType="CheckBox" fmlaLink="$N$29" lockText="1" noThreeD="1"/>
</file>

<file path=xl/ctrlProps/ctrlProp19.xml><?xml version="1.0" encoding="utf-8"?>
<formControlPr xmlns="http://schemas.microsoft.com/office/spreadsheetml/2009/9/main" objectType="CheckBox" fmlaLink="$N$30" lockText="1" noThreeD="1"/>
</file>

<file path=xl/ctrlProps/ctrlProp20.xml><?xml version="1.0" encoding="utf-8"?>
<formControlPr xmlns="http://schemas.microsoft.com/office/spreadsheetml/2009/9/main" objectType="CheckBox" fmlaLink="$N$31" lockText="1" noThreeD="1"/>
</file>

<file path=xl/ctrlProps/ctrlProp21.xml><?xml version="1.0" encoding="utf-8"?>
<formControlPr xmlns="http://schemas.microsoft.com/office/spreadsheetml/2009/9/main" objectType="CheckBox" fmlaLink="#REF!" lockText="1" noThreeD="1"/>
</file>

<file path=xl/ctrlProps/ctrlProp22.xml><?xml version="1.0" encoding="utf-8"?>
<formControlPr xmlns="http://schemas.microsoft.com/office/spreadsheetml/2009/9/main" objectType="CheckBox" fmlaLink="$N$34" lockText="1" noThreeD="1"/>
</file>

<file path=xl/ctrlProps/ctrlProp23.xml><?xml version="1.0" encoding="utf-8"?>
<formControlPr xmlns="http://schemas.microsoft.com/office/spreadsheetml/2009/9/main" objectType="CheckBox" fmlaLink="$N$35" lockText="1" noThreeD="1"/>
</file>

<file path=xl/ctrlProps/ctrlProp24.xml><?xml version="1.0" encoding="utf-8"?>
<formControlPr xmlns="http://schemas.microsoft.com/office/spreadsheetml/2009/9/main" objectType="CheckBox" fmlaLink="$N$36" lockText="1" noThreeD="1"/>
</file>

<file path=xl/ctrlProps/ctrlProp25.xml><?xml version="1.0" encoding="utf-8"?>
<formControlPr xmlns="http://schemas.microsoft.com/office/spreadsheetml/2009/9/main" objectType="CheckBox" fmlaLink="$N$38" lockText="1" noThreeD="1"/>
</file>

<file path=xl/ctrlProps/ctrlProp26.xml><?xml version="1.0" encoding="utf-8"?>
<formControlPr xmlns="http://schemas.microsoft.com/office/spreadsheetml/2009/9/main" objectType="CheckBox" fmlaLink="#REF!" lockText="1" noThreeD="1"/>
</file>

<file path=xl/ctrlProps/ctrlProp27.xml><?xml version="1.0" encoding="utf-8"?>
<formControlPr xmlns="http://schemas.microsoft.com/office/spreadsheetml/2009/9/main" objectType="CheckBox" fmlaLink="#REF!" lockText="1" noThreeD="1"/>
</file>

<file path=xl/ctrlProps/ctrlProp28.xml><?xml version="1.0" encoding="utf-8"?>
<formControlPr xmlns="http://schemas.microsoft.com/office/spreadsheetml/2009/9/main" objectType="CheckBox" fmlaLink="#REF!" lockText="1" noThreeD="1"/>
</file>

<file path=xl/ctrlProps/ctrlProp29.xml><?xml version="1.0" encoding="utf-8"?>
<formControlPr xmlns="http://schemas.microsoft.com/office/spreadsheetml/2009/9/main" objectType="CheckBox" fmlaLink="$N$39" lockText="1" noThreeD="1"/>
</file>

<file path=xl/ctrlProps/ctrlProp30.xml><?xml version="1.0" encoding="utf-8"?>
<formControlPr xmlns="http://schemas.microsoft.com/office/spreadsheetml/2009/9/main" objectType="CheckBox" fmlaLink="$N$41" lockText="1" noThreeD="1"/>
</file>

<file path=xl/ctrlProps/ctrlProp31.xml><?xml version="1.0" encoding="utf-8"?>
<formControlPr xmlns="http://schemas.microsoft.com/office/spreadsheetml/2009/9/main" objectType="CheckBox" fmlaLink="$N$42" lockText="1" noThreeD="1"/>
</file>

<file path=xl/ctrlProps/ctrlProp32.xml><?xml version="1.0" encoding="utf-8"?>
<formControlPr xmlns="http://schemas.microsoft.com/office/spreadsheetml/2009/9/main" objectType="CheckBox" fmlaLink="$N$43" lockText="1" noThreeD="1"/>
</file>

<file path=xl/ctrlProps/ctrlProp33.xml><?xml version="1.0" encoding="utf-8"?>
<formControlPr xmlns="http://schemas.microsoft.com/office/spreadsheetml/2009/9/main" objectType="CheckBox" fmlaLink="$N$44" lockText="1" noThreeD="1"/>
</file>

<file path=xl/ctrlProps/ctrlProp34.xml><?xml version="1.0" encoding="utf-8"?>
<formControlPr xmlns="http://schemas.microsoft.com/office/spreadsheetml/2009/9/main" objectType="CheckBox" fmlaLink="$N$45" lockText="1" noThreeD="1"/>
</file>

<file path=xl/ctrlProps/ctrlProp35.xml><?xml version="1.0" encoding="utf-8"?>
<formControlPr xmlns="http://schemas.microsoft.com/office/spreadsheetml/2009/9/main" objectType="CheckBox" fmlaLink="$N$47" lockText="1" noThreeD="1"/>
</file>

<file path=xl/ctrlProps/ctrlProp36.xml><?xml version="1.0" encoding="utf-8"?>
<formControlPr xmlns="http://schemas.microsoft.com/office/spreadsheetml/2009/9/main" objectType="CheckBox" fmlaLink="$N$48" lockText="1" noThreeD="1"/>
</file>

<file path=xl/ctrlProps/ctrlProp37.xml><?xml version="1.0" encoding="utf-8"?>
<formControlPr xmlns="http://schemas.microsoft.com/office/spreadsheetml/2009/9/main" objectType="CheckBox" fmlaLink="$N$49" lockText="1" noThreeD="1"/>
</file>

<file path=xl/ctrlProps/ctrlProp38.xml><?xml version="1.0" encoding="utf-8"?>
<formControlPr xmlns="http://schemas.microsoft.com/office/spreadsheetml/2009/9/main" objectType="CheckBox" fmlaLink="$N$37" lockText="1" noThreeD="1"/>
</file>

<file path=xl/ctrlProps/ctrlProp39.xml><?xml version="1.0" encoding="utf-8"?>
<formControlPr xmlns="http://schemas.microsoft.com/office/spreadsheetml/2009/9/main" objectType="CheckBox" fmlaLink="#REF!" lockText="1" noThreeD="1"/>
</file>

<file path=xl/ctrlProps/ctrlProp40.xml><?xml version="1.0" encoding="utf-8"?>
<formControlPr xmlns="http://schemas.microsoft.com/office/spreadsheetml/2009/9/main" objectType="CheckBox" fmlaLink="$N$40" lockText="1" noThreeD="1"/>
</file>

<file path=xl/ctrlProps/ctrlProp41.xml><?xml version="1.0" encoding="utf-8"?>
<formControlPr xmlns="http://schemas.microsoft.com/office/spreadsheetml/2009/9/main" objectType="CheckBox" fmlaLink="$N$23" lockText="1" noThreeD="1"/>
</file>

<file path=xl/ctrlProps/ctrlProp42.xml><?xml version="1.0" encoding="utf-8"?>
<formControlPr xmlns="http://schemas.microsoft.com/office/spreadsheetml/2009/9/main" objectType="CheckBox" fmlaLink="$N$24" lockText="1" noThreeD="1"/>
</file>

<file path=xl/ctrlProps/ctrlProp43.xml><?xml version="1.0" encoding="utf-8"?>
<formControlPr xmlns="http://schemas.microsoft.com/office/spreadsheetml/2009/9/main" objectType="CheckBox" fmlaLink="$N$32" lockText="1" noThreeD="1"/>
</file>

<file path=xl/ctrlProps/ctrlProp44.xml><?xml version="1.0" encoding="utf-8"?>
<formControlPr xmlns="http://schemas.microsoft.com/office/spreadsheetml/2009/9/main" objectType="CheckBox" fmlaLink="$N$33" lockText="1" noThreeD="1"/>
</file>

<file path=xl/ctrlProps/ctrlProp45.xml><?xml version="1.0" encoding="utf-8"?>
<formControlPr xmlns="http://schemas.microsoft.com/office/spreadsheetml/2009/9/main" objectType="Drop" dropStyle="combo" dx="39" fmlaLink="목차!$B$1" fmlaRange="$D$7:$D$38" noThreeD="1" sel="5" val="4"/>
</file>

<file path=xl/ctrlProps/ctrlProp46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47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48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49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50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51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52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53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54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55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56.xml><?xml version="1.0" encoding="utf-8"?>
<formControlPr xmlns="http://schemas.microsoft.com/office/spreadsheetml/2009/9/main" objectType="Drop" dropStyle="combo" dx="39" fmlaLink="#REF!" fmlaRange="#REF!" noThreeD="1" sel="0" val="0"/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13</xdr:col>
          <xdr:colOff>914400</xdr:colOff>
          <xdr:row>7</xdr:row>
          <xdr:rowOff>0</xdr:rowOff>
        </xdr:to>
        <xdr:sp macro="" textlink="">
          <xdr:nvSpPr>
            <xdr:cNvPr id="41985" name="Check Box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0</xdr:rowOff>
        </xdr:from>
        <xdr:to>
          <xdr:col>13</xdr:col>
          <xdr:colOff>914400</xdr:colOff>
          <xdr:row>9</xdr:row>
          <xdr:rowOff>4763</xdr:rowOff>
        </xdr:to>
        <xdr:sp macro="" textlink="">
          <xdr:nvSpPr>
            <xdr:cNvPr id="41986" name="Check Box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13</xdr:col>
          <xdr:colOff>914400</xdr:colOff>
          <xdr:row>9</xdr:row>
          <xdr:rowOff>228600</xdr:rowOff>
        </xdr:to>
        <xdr:sp macro="" textlink="">
          <xdr:nvSpPr>
            <xdr:cNvPr id="41987" name="Check Box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0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95250</xdr:rowOff>
        </xdr:from>
        <xdr:to>
          <xdr:col>13</xdr:col>
          <xdr:colOff>914400</xdr:colOff>
          <xdr:row>12</xdr:row>
          <xdr:rowOff>104775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0</xdr:rowOff>
        </xdr:from>
        <xdr:to>
          <xdr:col>13</xdr:col>
          <xdr:colOff>914400</xdr:colOff>
          <xdr:row>14</xdr:row>
          <xdr:rowOff>228600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0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0</xdr:rowOff>
        </xdr:from>
        <xdr:to>
          <xdr:col>13</xdr:col>
          <xdr:colOff>914400</xdr:colOff>
          <xdr:row>16</xdr:row>
          <xdr:rowOff>9525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0</xdr:rowOff>
        </xdr:from>
        <xdr:to>
          <xdr:col>13</xdr:col>
          <xdr:colOff>914400</xdr:colOff>
          <xdr:row>17</xdr:row>
          <xdr:rowOff>9525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17</xdr:row>
          <xdr:rowOff>0</xdr:rowOff>
        </xdr:from>
        <xdr:to>
          <xdr:col>13</xdr:col>
          <xdr:colOff>914400</xdr:colOff>
          <xdr:row>18</xdr:row>
          <xdr:rowOff>9525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0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257175</xdr:rowOff>
        </xdr:from>
        <xdr:to>
          <xdr:col>13</xdr:col>
          <xdr:colOff>914400</xdr:colOff>
          <xdr:row>20</xdr:row>
          <xdr:rowOff>9525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0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19</xdr:row>
          <xdr:rowOff>0</xdr:rowOff>
        </xdr:from>
        <xdr:to>
          <xdr:col>13</xdr:col>
          <xdr:colOff>914400</xdr:colOff>
          <xdr:row>20</xdr:row>
          <xdr:rowOff>9525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0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13</xdr:col>
          <xdr:colOff>914400</xdr:colOff>
          <xdr:row>21</xdr:row>
          <xdr:rowOff>4763</xdr:rowOff>
        </xdr:to>
        <xdr:sp macro="" textlink="">
          <xdr:nvSpPr>
            <xdr:cNvPr id="41995" name="Check Box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0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21</xdr:row>
          <xdr:rowOff>247650</xdr:rowOff>
        </xdr:from>
        <xdr:to>
          <xdr:col>13</xdr:col>
          <xdr:colOff>914400</xdr:colOff>
          <xdr:row>22</xdr:row>
          <xdr:rowOff>209550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0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24</xdr:row>
          <xdr:rowOff>0</xdr:rowOff>
        </xdr:from>
        <xdr:to>
          <xdr:col>13</xdr:col>
          <xdr:colOff>914400</xdr:colOff>
          <xdr:row>25</xdr:row>
          <xdr:rowOff>9525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0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0</xdr:rowOff>
        </xdr:from>
        <xdr:to>
          <xdr:col>13</xdr:col>
          <xdr:colOff>914400</xdr:colOff>
          <xdr:row>8</xdr:row>
          <xdr:rowOff>0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0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25</xdr:row>
          <xdr:rowOff>114300</xdr:rowOff>
        </xdr:from>
        <xdr:to>
          <xdr:col>13</xdr:col>
          <xdr:colOff>914400</xdr:colOff>
          <xdr:row>26</xdr:row>
          <xdr:rowOff>123825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0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26</xdr:row>
          <xdr:rowOff>0</xdr:rowOff>
        </xdr:from>
        <xdr:to>
          <xdr:col>13</xdr:col>
          <xdr:colOff>914400</xdr:colOff>
          <xdr:row>27</xdr:row>
          <xdr:rowOff>9525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0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27</xdr:row>
          <xdr:rowOff>0</xdr:rowOff>
        </xdr:from>
        <xdr:to>
          <xdr:col>13</xdr:col>
          <xdr:colOff>914400</xdr:colOff>
          <xdr:row>27</xdr:row>
          <xdr:rowOff>219075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0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28</xdr:row>
          <xdr:rowOff>0</xdr:rowOff>
        </xdr:from>
        <xdr:to>
          <xdr:col>13</xdr:col>
          <xdr:colOff>914400</xdr:colOff>
          <xdr:row>28</xdr:row>
          <xdr:rowOff>228600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0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29</xdr:row>
          <xdr:rowOff>0</xdr:rowOff>
        </xdr:from>
        <xdr:to>
          <xdr:col>13</xdr:col>
          <xdr:colOff>914400</xdr:colOff>
          <xdr:row>29</xdr:row>
          <xdr:rowOff>219075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0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30</xdr:row>
          <xdr:rowOff>0</xdr:rowOff>
        </xdr:from>
        <xdr:to>
          <xdr:col>13</xdr:col>
          <xdr:colOff>914400</xdr:colOff>
          <xdr:row>30</xdr:row>
          <xdr:rowOff>219075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0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13</xdr:col>
          <xdr:colOff>914400</xdr:colOff>
          <xdr:row>33</xdr:row>
          <xdr:rowOff>219075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0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13</xdr:col>
          <xdr:colOff>914400</xdr:colOff>
          <xdr:row>33</xdr:row>
          <xdr:rowOff>219075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0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34</xdr:row>
          <xdr:rowOff>152400</xdr:rowOff>
        </xdr:from>
        <xdr:to>
          <xdr:col>13</xdr:col>
          <xdr:colOff>914400</xdr:colOff>
          <xdr:row>35</xdr:row>
          <xdr:rowOff>123825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0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35</xdr:row>
          <xdr:rowOff>0</xdr:rowOff>
        </xdr:from>
        <xdr:to>
          <xdr:col>13</xdr:col>
          <xdr:colOff>914400</xdr:colOff>
          <xdr:row>35</xdr:row>
          <xdr:rowOff>228600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0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37</xdr:row>
          <xdr:rowOff>0</xdr:rowOff>
        </xdr:from>
        <xdr:to>
          <xdr:col>13</xdr:col>
          <xdr:colOff>914400</xdr:colOff>
          <xdr:row>37</xdr:row>
          <xdr:rowOff>219075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0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38</xdr:row>
          <xdr:rowOff>219075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0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38</xdr:row>
          <xdr:rowOff>219075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0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38</xdr:row>
          <xdr:rowOff>219075</xdr:rowOff>
        </xdr:to>
        <xdr:sp macro="" textlink="">
          <xdr:nvSpPr>
            <xdr:cNvPr id="42012" name="Check Box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0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38</xdr:row>
          <xdr:rowOff>219075</xdr:rowOff>
        </xdr:to>
        <xdr:sp macro="" textlink="">
          <xdr:nvSpPr>
            <xdr:cNvPr id="42013" name="Check Box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0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40</xdr:row>
          <xdr:rowOff>0</xdr:rowOff>
        </xdr:from>
        <xdr:to>
          <xdr:col>13</xdr:col>
          <xdr:colOff>914400</xdr:colOff>
          <xdr:row>40</xdr:row>
          <xdr:rowOff>219075</xdr:rowOff>
        </xdr:to>
        <xdr:sp macro="" textlink="">
          <xdr:nvSpPr>
            <xdr:cNvPr id="42014" name="Check Box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0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41</xdr:row>
          <xdr:rowOff>0</xdr:rowOff>
        </xdr:from>
        <xdr:to>
          <xdr:col>13</xdr:col>
          <xdr:colOff>914400</xdr:colOff>
          <xdr:row>41</xdr:row>
          <xdr:rowOff>219075</xdr:rowOff>
        </xdr:to>
        <xdr:sp macro="" textlink="">
          <xdr:nvSpPr>
            <xdr:cNvPr id="42015" name="Check Box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0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42</xdr:row>
          <xdr:rowOff>0</xdr:rowOff>
        </xdr:from>
        <xdr:to>
          <xdr:col>13</xdr:col>
          <xdr:colOff>914400</xdr:colOff>
          <xdr:row>42</xdr:row>
          <xdr:rowOff>219075</xdr:rowOff>
        </xdr:to>
        <xdr:sp macro="" textlink="">
          <xdr:nvSpPr>
            <xdr:cNvPr id="42016" name="Check Box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0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43</xdr:row>
          <xdr:rowOff>0</xdr:rowOff>
        </xdr:from>
        <xdr:to>
          <xdr:col>13</xdr:col>
          <xdr:colOff>914400</xdr:colOff>
          <xdr:row>43</xdr:row>
          <xdr:rowOff>219075</xdr:rowOff>
        </xdr:to>
        <xdr:sp macro="" textlink="">
          <xdr:nvSpPr>
            <xdr:cNvPr id="42017" name="Check Box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0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44</xdr:row>
          <xdr:rowOff>0</xdr:rowOff>
        </xdr:from>
        <xdr:to>
          <xdr:col>13</xdr:col>
          <xdr:colOff>914400</xdr:colOff>
          <xdr:row>44</xdr:row>
          <xdr:rowOff>219075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0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46</xdr:row>
          <xdr:rowOff>0</xdr:rowOff>
        </xdr:from>
        <xdr:to>
          <xdr:col>13</xdr:col>
          <xdr:colOff>914400</xdr:colOff>
          <xdr:row>46</xdr:row>
          <xdr:rowOff>219075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0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47</xdr:row>
          <xdr:rowOff>0</xdr:rowOff>
        </xdr:from>
        <xdr:to>
          <xdr:col>13</xdr:col>
          <xdr:colOff>914400</xdr:colOff>
          <xdr:row>47</xdr:row>
          <xdr:rowOff>219075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0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48</xdr:row>
          <xdr:rowOff>0</xdr:rowOff>
        </xdr:from>
        <xdr:to>
          <xdr:col>13</xdr:col>
          <xdr:colOff>914400</xdr:colOff>
          <xdr:row>48</xdr:row>
          <xdr:rowOff>219075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0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36</xdr:row>
          <xdr:rowOff>0</xdr:rowOff>
        </xdr:from>
        <xdr:to>
          <xdr:col>13</xdr:col>
          <xdr:colOff>914400</xdr:colOff>
          <xdr:row>36</xdr:row>
          <xdr:rowOff>247650</xdr:rowOff>
        </xdr:to>
        <xdr:sp macro="" textlink="">
          <xdr:nvSpPr>
            <xdr:cNvPr id="42022" name="Check Box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0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45</xdr:row>
          <xdr:rowOff>0</xdr:rowOff>
        </xdr:from>
        <xdr:to>
          <xdr:col>13</xdr:col>
          <xdr:colOff>914400</xdr:colOff>
          <xdr:row>45</xdr:row>
          <xdr:rowOff>219075</xdr:rowOff>
        </xdr:to>
        <xdr:sp macro="" textlink="">
          <xdr:nvSpPr>
            <xdr:cNvPr id="42023" name="Check Box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0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39</xdr:row>
          <xdr:rowOff>0</xdr:rowOff>
        </xdr:from>
        <xdr:to>
          <xdr:col>14</xdr:col>
          <xdr:colOff>0</xdr:colOff>
          <xdr:row>39</xdr:row>
          <xdr:rowOff>247650</xdr:rowOff>
        </xdr:to>
        <xdr:sp macro="" textlink="">
          <xdr:nvSpPr>
            <xdr:cNvPr id="42024" name="Check Box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0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22</xdr:row>
          <xdr:rowOff>0</xdr:rowOff>
        </xdr:from>
        <xdr:to>
          <xdr:col>14</xdr:col>
          <xdr:colOff>0</xdr:colOff>
          <xdr:row>23</xdr:row>
          <xdr:rowOff>9525</xdr:rowOff>
        </xdr:to>
        <xdr:sp macro="" textlink="">
          <xdr:nvSpPr>
            <xdr:cNvPr id="42025" name="Check Box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0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9525</xdr:rowOff>
        </xdr:to>
        <xdr:sp macro="" textlink="">
          <xdr:nvSpPr>
            <xdr:cNvPr id="42026" name="Check Box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0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31</xdr:row>
          <xdr:rowOff>0</xdr:rowOff>
        </xdr:from>
        <xdr:to>
          <xdr:col>14</xdr:col>
          <xdr:colOff>0</xdr:colOff>
          <xdr:row>31</xdr:row>
          <xdr:rowOff>219075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0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32</xdr:row>
          <xdr:rowOff>0</xdr:rowOff>
        </xdr:from>
        <xdr:to>
          <xdr:col>14</xdr:col>
          <xdr:colOff>0</xdr:colOff>
          <xdr:row>32</xdr:row>
          <xdr:rowOff>219075</xdr:rowOff>
        </xdr:to>
        <xdr:sp macro="" textlink="">
          <xdr:nvSpPr>
            <xdr:cNvPr id="42028" name="Check Box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0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2838450</xdr:colOff>
          <xdr:row>33</xdr:row>
          <xdr:rowOff>123825</xdr:rowOff>
        </xdr:from>
        <xdr:to>
          <xdr:col>3</xdr:col>
          <xdr:colOff>4905375</xdr:colOff>
          <xdr:row>37</xdr:row>
          <xdr:rowOff>161243</xdr:rowOff>
        </xdr:to>
        <xdr:sp macro="" textlink="">
          <xdr:nvSpPr>
            <xdr:cNvPr id="82945" name="Drop Down 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02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647700</xdr:colOff>
          <xdr:row>2</xdr:row>
          <xdr:rowOff>19050</xdr:rowOff>
        </xdr:from>
        <xdr:to>
          <xdr:col>18</xdr:col>
          <xdr:colOff>400050</xdr:colOff>
          <xdr:row>5</xdr:row>
          <xdr:rowOff>171450</xdr:rowOff>
        </xdr:to>
        <xdr:sp macro="" textlink="">
          <xdr:nvSpPr>
            <xdr:cNvPr id="9224" name="Drop Dow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1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17</xdr:row>
          <xdr:rowOff>133350</xdr:rowOff>
        </xdr:from>
        <xdr:to>
          <xdr:col>4</xdr:col>
          <xdr:colOff>1514475</xdr:colOff>
          <xdr:row>21</xdr:row>
          <xdr:rowOff>57150</xdr:rowOff>
        </xdr:to>
        <xdr:sp macro="" textlink="">
          <xdr:nvSpPr>
            <xdr:cNvPr id="21505" name="Drop Dow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285750</xdr:rowOff>
        </xdr:from>
        <xdr:to>
          <xdr:col>8</xdr:col>
          <xdr:colOff>457200</xdr:colOff>
          <xdr:row>5</xdr:row>
          <xdr:rowOff>114300</xdr:rowOff>
        </xdr:to>
        <xdr:sp macro="" textlink="">
          <xdr:nvSpPr>
            <xdr:cNvPr id="17409" name="Drop Dow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B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7</xdr:col>
          <xdr:colOff>419100</xdr:colOff>
          <xdr:row>5</xdr:row>
          <xdr:rowOff>114300</xdr:rowOff>
        </xdr:to>
        <xdr:sp macro="" textlink="">
          <xdr:nvSpPr>
            <xdr:cNvPr id="18433" name="Drop Dow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C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95250</xdr:rowOff>
        </xdr:to>
        <xdr:sp macro="" textlink="">
          <xdr:nvSpPr>
            <xdr:cNvPr id="35841" name="Drop Dow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5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95250</xdr:rowOff>
        </xdr:to>
        <xdr:sp macro="" textlink="">
          <xdr:nvSpPr>
            <xdr:cNvPr id="34817" name="Drop Dow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4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19050</xdr:rowOff>
        </xdr:to>
        <xdr:sp macro="" textlink="">
          <xdr:nvSpPr>
            <xdr:cNvPr id="33793" name="Drop Dow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495300</xdr:colOff>
      <xdr:row>24</xdr:row>
      <xdr:rowOff>123825</xdr:rowOff>
    </xdr:from>
    <xdr:to>
      <xdr:col>15</xdr:col>
      <xdr:colOff>561975</xdr:colOff>
      <xdr:row>28</xdr:row>
      <xdr:rowOff>114300</xdr:rowOff>
    </xdr:to>
    <xdr:pic>
      <xdr:nvPicPr>
        <xdr:cNvPr id="2" name="_x992509424">
          <a:extLst>
            <a:ext uri="{FF2B5EF4-FFF2-40B4-BE49-F238E27FC236}">
              <a16:creationId xmlns:a16="http://schemas.microsoft.com/office/drawing/2014/main" id="{C1E899BB-E980-3BF1-57F9-5D4118A0CC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11325" y="5934075"/>
          <a:ext cx="714375" cy="695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361950</xdr:colOff>
          <xdr:row>2</xdr:row>
          <xdr:rowOff>9525</xdr:rowOff>
        </xdr:from>
        <xdr:to>
          <xdr:col>24</xdr:col>
          <xdr:colOff>133350</xdr:colOff>
          <xdr:row>5</xdr:row>
          <xdr:rowOff>123825</xdr:rowOff>
        </xdr:to>
        <xdr:sp macro="" textlink="">
          <xdr:nvSpPr>
            <xdr:cNvPr id="20481" name="Drop Dow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11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95250</xdr:rowOff>
        </xdr:to>
        <xdr:sp macro="" textlink="">
          <xdr:nvSpPr>
            <xdr:cNvPr id="36865" name="Drop Dow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6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552450</xdr:colOff>
          <xdr:row>1</xdr:row>
          <xdr:rowOff>38100</xdr:rowOff>
        </xdr:from>
        <xdr:to>
          <xdr:col>35</xdr:col>
          <xdr:colOff>295275</xdr:colOff>
          <xdr:row>4</xdr:row>
          <xdr:rowOff>123825</xdr:rowOff>
        </xdr:to>
        <xdr:sp macro="" textlink="">
          <xdr:nvSpPr>
            <xdr:cNvPr id="37889" name="Drop Dow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8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1</xdr:row>
          <xdr:rowOff>66675</xdr:rowOff>
        </xdr:from>
        <xdr:to>
          <xdr:col>20</xdr:col>
          <xdr:colOff>161925</xdr:colOff>
          <xdr:row>2</xdr:row>
          <xdr:rowOff>533400</xdr:rowOff>
        </xdr:to>
        <xdr:sp macro="" textlink="">
          <xdr:nvSpPr>
            <xdr:cNvPr id="16385" name="Drop Dow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A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hyperlink" Target="mailto:example@nate.com" TargetMode="External"/><Relationship Id="rId4" Type="http://schemas.openxmlformats.org/officeDocument/2006/relationships/ctrlProp" Target="../ctrlProps/ctrlProp5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hyperlink" Target="mailto:asd@asd.net" TargetMode="External"/><Relationship Id="rId1" Type="http://schemas.openxmlformats.org/officeDocument/2006/relationships/hyperlink" Target="mailto:asd@asd.net" TargetMode="External"/><Relationship Id="rId5" Type="http://schemas.openxmlformats.org/officeDocument/2006/relationships/ctrlProp" Target="../ctrlProps/ctrlProp53.xml"/><Relationship Id="rId4" Type="http://schemas.openxmlformats.org/officeDocument/2006/relationships/vmlDrawing" Target="../drawings/vmlDrawing10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hyperlink" Target="http://www.example2.com/" TargetMode="External"/><Relationship Id="rId1" Type="http://schemas.openxmlformats.org/officeDocument/2006/relationships/hyperlink" Target="http://www.example.com/" TargetMode="External"/><Relationship Id="rId5" Type="http://schemas.openxmlformats.org/officeDocument/2006/relationships/ctrlProp" Target="../ctrlProps/ctrlProp56.xml"/><Relationship Id="rId4" Type="http://schemas.openxmlformats.org/officeDocument/2006/relationships/vmlDrawing" Target="../drawings/vmlDrawing1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3F975-E066-4A7C-88F9-3E928DB6CFB0}">
  <dimension ref="C2:CB52"/>
  <sheetViews>
    <sheetView zoomScale="55" zoomScaleNormal="55" workbookViewId="0"/>
    <sheetView workbookViewId="1"/>
  </sheetViews>
  <sheetFormatPr defaultColWidth="9.1328125" defaultRowHeight="20.25"/>
  <cols>
    <col min="1" max="2" width="9.1328125" style="157"/>
    <col min="3" max="3" width="25" style="157" customWidth="1"/>
    <col min="4" max="4" width="18.3984375" style="157" bestFit="1" customWidth="1"/>
    <col min="5" max="5" width="7.3984375" style="157" bestFit="1" customWidth="1"/>
    <col min="6" max="6" width="18.3984375" style="157" bestFit="1" customWidth="1"/>
    <col min="7" max="7" width="14.59765625" style="157" customWidth="1"/>
    <col min="8" max="8" width="9.1328125" style="157"/>
    <col min="9" max="9" width="12.59765625" style="157" customWidth="1"/>
    <col min="10" max="10" width="10.265625" style="157" customWidth="1"/>
    <col min="11" max="11" width="14.265625" style="157" bestFit="1" customWidth="1"/>
    <col min="12" max="13" width="17.265625" style="157" customWidth="1"/>
    <col min="14" max="14" width="14.59765625" style="157" customWidth="1"/>
    <col min="15" max="15" width="13.73046875" style="157" customWidth="1"/>
    <col min="16" max="16" width="9" style="157" customWidth="1"/>
    <col min="17" max="22" width="9.1328125" style="157"/>
    <col min="23" max="23" width="14.73046875" style="158" bestFit="1" customWidth="1"/>
    <col min="24" max="24" width="24.86328125" style="159" bestFit="1" customWidth="1"/>
    <col min="25" max="25" width="103.1328125" style="157" bestFit="1" customWidth="1"/>
    <col min="26" max="28" width="9.1328125" style="157"/>
    <col min="29" max="30" width="9.1328125" style="160"/>
    <col min="31" max="31" width="18.86328125" style="160" bestFit="1" customWidth="1"/>
    <col min="32" max="32" width="35.1328125" style="160" bestFit="1" customWidth="1"/>
    <col min="33" max="35" width="9.1328125" style="160"/>
    <col min="36" max="36" width="23.3984375" style="160" bestFit="1" customWidth="1"/>
    <col min="37" max="38" width="9.1328125" style="160"/>
    <col min="39" max="39" width="17.265625" style="160" bestFit="1" customWidth="1"/>
    <col min="40" max="40" width="35.1328125" style="160" bestFit="1" customWidth="1"/>
    <col min="41" max="41" width="9.1328125" style="160"/>
    <col min="42" max="42" width="7.73046875" style="160" bestFit="1" customWidth="1"/>
    <col min="43" max="54" width="9.1328125" style="160"/>
    <col min="55" max="55" width="15.86328125" style="160" bestFit="1" customWidth="1"/>
    <col min="56" max="56" width="9.1328125" style="160"/>
    <col min="57" max="57" width="11.1328125" style="160" bestFit="1" customWidth="1"/>
    <col min="58" max="58" width="18" style="160" bestFit="1" customWidth="1"/>
    <col min="59" max="59" width="82.1328125" style="160" customWidth="1"/>
    <col min="60" max="72" width="9.1328125" style="160"/>
    <col min="73" max="73" width="13.59765625" style="160" bestFit="1" customWidth="1"/>
    <col min="74" max="74" width="58.73046875" style="160" bestFit="1" customWidth="1"/>
    <col min="75" max="75" width="14.59765625" style="160" bestFit="1" customWidth="1"/>
    <col min="76" max="76" width="15.59765625" style="160" bestFit="1" customWidth="1"/>
    <col min="77" max="78" width="12.73046875" style="160" bestFit="1" customWidth="1"/>
    <col min="79" max="79" width="4" style="160" bestFit="1" customWidth="1"/>
    <col min="80" max="80" width="9.1328125" style="160"/>
    <col min="81" max="16384" width="9.1328125" style="157"/>
  </cols>
  <sheetData>
    <row r="2" spans="3:80">
      <c r="C2" s="173"/>
      <c r="D2" s="174"/>
      <c r="E2" s="175"/>
      <c r="AE2" s="176" t="s">
        <v>278</v>
      </c>
      <c r="AF2" s="733"/>
      <c r="AG2" s="725"/>
      <c r="AH2" s="733" t="s">
        <v>400</v>
      </c>
      <c r="AI2" s="725"/>
      <c r="AJ2" s="733"/>
      <c r="AL2" s="746"/>
      <c r="AM2" s="163" t="s">
        <v>183</v>
      </c>
      <c r="AN2" s="164" t="e">
        <f>#REF!</f>
        <v>#REF!</v>
      </c>
      <c r="AP2" s="165"/>
      <c r="AQ2" s="166"/>
      <c r="AR2" s="166"/>
      <c r="AS2" s="167"/>
      <c r="AT2" s="168"/>
      <c r="AU2" s="169"/>
      <c r="AV2" s="169"/>
      <c r="AW2" s="169"/>
      <c r="AX2" s="169"/>
      <c r="AY2" s="169"/>
      <c r="AZ2" s="169"/>
      <c r="BA2" s="169"/>
      <c r="BB2" s="169"/>
      <c r="BC2" s="170"/>
      <c r="BE2" s="746"/>
      <c r="BF2" s="171" t="s">
        <v>171</v>
      </c>
      <c r="BG2" s="172">
        <f>AT7</f>
        <v>0</v>
      </c>
      <c r="BI2" s="177"/>
      <c r="BJ2" s="755" t="s">
        <v>535</v>
      </c>
      <c r="BK2" s="756"/>
      <c r="BL2" s="756"/>
      <c r="BM2" s="756"/>
      <c r="BN2" s="756"/>
      <c r="BO2" s="756"/>
      <c r="BP2" s="756"/>
      <c r="BQ2" s="756"/>
      <c r="BR2" s="757"/>
      <c r="BT2" s="746"/>
      <c r="BU2" s="171" t="s">
        <v>401</v>
      </c>
      <c r="BV2" s="172" t="e">
        <f>"2024. " &amp; TEXT(MONTH(BY5), "00") &amp; ". " &amp; TEXT(DAY(BY5), "00") &amp; " ~ 2024. " &amp; TEXT(MONTH(BZ5), "00") &amp; ". " &amp; TEXT(DAY(BZ5), "00")</f>
        <v>#REF!</v>
      </c>
      <c r="BW2" s="178"/>
      <c r="BX2" s="179" t="e">
        <f>LEFT(#REF!, FIND("~",#REF!) - 2)</f>
        <v>#REF!</v>
      </c>
      <c r="BY2" s="172" t="e">
        <f>LEFT(BX2, 4)</f>
        <v>#REF!</v>
      </c>
      <c r="BZ2" s="180" t="e">
        <f>MID(BX2, 7, 2)</f>
        <v>#REF!</v>
      </c>
      <c r="CA2" s="180" t="e">
        <f>RIGHT(BX2, 2)</f>
        <v>#REF!</v>
      </c>
      <c r="CB2" s="260" t="s">
        <v>531</v>
      </c>
    </row>
    <row r="3" spans="3:80" ht="20.65" thickBot="1">
      <c r="P3" s="157" t="s">
        <v>402</v>
      </c>
      <c r="AE3" s="181" t="s">
        <v>403</v>
      </c>
      <c r="AF3" s="734"/>
      <c r="AG3" s="727"/>
      <c r="AH3" s="734" t="s">
        <v>404</v>
      </c>
      <c r="AI3" s="727"/>
      <c r="AJ3" s="734"/>
      <c r="AL3" s="746"/>
      <c r="AM3" s="163" t="s">
        <v>184</v>
      </c>
      <c r="AN3" s="164">
        <f>AF5</f>
        <v>0</v>
      </c>
      <c r="AP3" s="165"/>
      <c r="AQ3" s="166"/>
      <c r="AR3" s="166"/>
      <c r="AS3" s="167"/>
      <c r="AT3" s="168"/>
      <c r="AU3" s="169"/>
      <c r="AV3" s="169"/>
      <c r="AW3" s="169"/>
      <c r="AX3" s="169"/>
      <c r="AY3" s="169"/>
      <c r="AZ3" s="169"/>
      <c r="BA3" s="169"/>
      <c r="BB3" s="169"/>
      <c r="BC3" s="170"/>
      <c r="BE3" s="746"/>
      <c r="BF3" s="171" t="s">
        <v>405</v>
      </c>
      <c r="BG3" s="172">
        <f>AT15</f>
        <v>0</v>
      </c>
      <c r="BI3" s="177"/>
      <c r="BJ3" s="755"/>
      <c r="BK3" s="756"/>
      <c r="BL3" s="756"/>
      <c r="BM3" s="756"/>
      <c r="BN3" s="756"/>
      <c r="BO3" s="756"/>
      <c r="BP3" s="756"/>
      <c r="BQ3" s="756"/>
      <c r="BR3" s="757"/>
      <c r="BT3" s="746"/>
      <c r="BU3" s="171" t="s">
        <v>406</v>
      </c>
      <c r="BV3" s="172" t="e">
        <f>"2024. " &amp; TEXT(MONTH(BY6), "00") &amp; ". " &amp; TEXT(DAY(BY6), "00") &amp; " ~ 2024. " &amp; TEXT(MONTH(BZ6), "00") &amp; ". " &amp; TEXT(DAY(BZ6), "00")</f>
        <v>#REF!</v>
      </c>
      <c r="BW3" s="178"/>
      <c r="BX3" s="182" t="e">
        <f>RIGHT(#REF!, LEN(#REF!) - FIND("~",#REF!) - 1)</f>
        <v>#REF!</v>
      </c>
      <c r="BY3" s="172" t="e">
        <f>LEFT(BX3, 4)</f>
        <v>#REF!</v>
      </c>
      <c r="BZ3" s="180" t="e">
        <f>MID(BX3, 7, 2)</f>
        <v>#REF!</v>
      </c>
      <c r="CA3" s="180" t="e">
        <f>RIGHT(BX3, 2)</f>
        <v>#REF!</v>
      </c>
    </row>
    <row r="4" spans="3:80" ht="17.25">
      <c r="N4" s="735" t="s">
        <v>407</v>
      </c>
      <c r="O4" s="736"/>
      <c r="P4" s="736"/>
      <c r="Q4" s="736"/>
      <c r="R4" s="736"/>
      <c r="S4" s="736"/>
      <c r="T4" s="736"/>
      <c r="U4" s="737"/>
      <c r="W4" s="741" t="s">
        <v>395</v>
      </c>
      <c r="X4" s="183" t="s">
        <v>182</v>
      </c>
      <c r="Y4" s="184" t="e">
        <f>#REF!</f>
        <v>#REF!</v>
      </c>
      <c r="AE4" s="161" t="s">
        <v>408</v>
      </c>
      <c r="AF4" s="685"/>
      <c r="AG4" s="686"/>
      <c r="AH4" s="744"/>
      <c r="AI4" s="745"/>
      <c r="AJ4" s="185"/>
      <c r="AL4" s="746"/>
      <c r="AM4" s="163" t="s">
        <v>409</v>
      </c>
      <c r="AN4" s="164">
        <f>AF6</f>
        <v>0</v>
      </c>
      <c r="AP4" s="165"/>
      <c r="AQ4" s="166"/>
      <c r="AR4" s="166"/>
      <c r="AS4" s="167"/>
      <c r="AT4" s="168"/>
      <c r="AU4" s="169"/>
      <c r="AV4" s="169"/>
      <c r="AW4" s="169"/>
      <c r="AX4" s="169"/>
      <c r="AY4" s="169"/>
      <c r="AZ4" s="169"/>
      <c r="BA4" s="169"/>
      <c r="BB4" s="169"/>
      <c r="BC4" s="170"/>
      <c r="BE4" s="746"/>
      <c r="BF4" s="171" t="s">
        <v>410</v>
      </c>
      <c r="BG4" s="172">
        <f>AT6</f>
        <v>0</v>
      </c>
      <c r="BI4" s="186"/>
      <c r="BJ4" s="748"/>
      <c r="BK4" s="749"/>
      <c r="BL4" s="749"/>
      <c r="BM4" s="749"/>
      <c r="BN4" s="749"/>
      <c r="BO4" s="749"/>
      <c r="BP4" s="749"/>
      <c r="BQ4" s="749"/>
      <c r="BR4" s="750"/>
      <c r="BT4" s="746"/>
      <c r="BU4" s="171" t="s">
        <v>411</v>
      </c>
      <c r="BV4" s="172" t="str">
        <f>BJ2</f>
        <v>2024. 11. 18 ~ 2025. 01. 10</v>
      </c>
      <c r="BX4" s="187" t="s">
        <v>412</v>
      </c>
      <c r="BY4" s="188" t="s">
        <v>413</v>
      </c>
      <c r="BZ4" s="188" t="s">
        <v>414</v>
      </c>
    </row>
    <row r="5" spans="3:80" ht="17.25">
      <c r="C5" s="189"/>
      <c r="D5" s="190"/>
      <c r="E5" s="190"/>
      <c r="N5" s="738"/>
      <c r="O5" s="739"/>
      <c r="P5" s="739"/>
      <c r="Q5" s="739"/>
      <c r="R5" s="739"/>
      <c r="S5" s="739"/>
      <c r="T5" s="739"/>
      <c r="U5" s="740"/>
      <c r="W5" s="742"/>
      <c r="X5" s="191" t="s">
        <v>183</v>
      </c>
      <c r="Y5" s="192" t="e">
        <f>AN2</f>
        <v>#REF!</v>
      </c>
      <c r="AE5" s="161" t="s">
        <v>415</v>
      </c>
      <c r="AF5" s="685"/>
      <c r="AG5" s="703"/>
      <c r="AH5" s="703"/>
      <c r="AI5" s="703"/>
      <c r="AJ5" s="703"/>
      <c r="AL5" s="746"/>
      <c r="AM5" s="163" t="s">
        <v>416</v>
      </c>
      <c r="AN5" s="164">
        <f>AF2</f>
        <v>0</v>
      </c>
      <c r="AP5" s="193"/>
      <c r="AQ5" s="194"/>
      <c r="AR5" s="165"/>
      <c r="AS5" s="167"/>
      <c r="AT5" s="168"/>
      <c r="AU5" s="169"/>
      <c r="AV5" s="169"/>
      <c r="AW5" s="169"/>
      <c r="AX5" s="169"/>
      <c r="AY5" s="169"/>
      <c r="AZ5" s="169"/>
      <c r="BA5" s="169"/>
      <c r="BB5" s="169"/>
      <c r="BC5" s="170"/>
      <c r="BE5" s="746"/>
      <c r="BF5" s="171" t="s">
        <v>417</v>
      </c>
      <c r="BG5" s="172">
        <f>AT14</f>
        <v>0</v>
      </c>
      <c r="BI5" s="195"/>
      <c r="BJ5" s="196"/>
      <c r="BK5" s="196"/>
      <c r="BL5" s="196"/>
      <c r="BM5" s="196"/>
      <c r="BN5" s="196"/>
      <c r="BO5" s="196"/>
      <c r="BP5" s="196"/>
      <c r="BQ5" s="196"/>
      <c r="BR5" s="197"/>
      <c r="BT5" s="746"/>
      <c r="BU5" s="171" t="s">
        <v>418</v>
      </c>
      <c r="BV5" s="172">
        <f>BJ3</f>
        <v>0</v>
      </c>
      <c r="BX5" s="171" t="s">
        <v>401</v>
      </c>
      <c r="BY5" s="198" t="e">
        <f>DATE(BY2, BZ2, CA2)</f>
        <v>#REF!</v>
      </c>
      <c r="BZ5" s="198" t="e">
        <f>BY5+ 25</f>
        <v>#REF!</v>
      </c>
    </row>
    <row r="6" spans="3:80" ht="18" thickBot="1">
      <c r="C6" s="199" t="s">
        <v>419</v>
      </c>
      <c r="D6" s="200" t="s">
        <v>420</v>
      </c>
      <c r="E6" s="201" t="s">
        <v>421</v>
      </c>
      <c r="F6" s="731" t="s">
        <v>422</v>
      </c>
      <c r="G6" s="731"/>
      <c r="H6" s="731"/>
      <c r="I6" s="731"/>
      <c r="J6" s="731"/>
      <c r="K6" s="731"/>
      <c r="L6" s="731" t="s">
        <v>423</v>
      </c>
      <c r="M6" s="731"/>
      <c r="N6" s="202" t="s">
        <v>424</v>
      </c>
      <c r="O6" s="732" t="s">
        <v>425</v>
      </c>
      <c r="P6" s="732"/>
      <c r="Q6" s="732"/>
      <c r="R6" s="732"/>
      <c r="S6" s="732"/>
      <c r="T6" s="732"/>
      <c r="U6" s="732"/>
      <c r="W6" s="742"/>
      <c r="X6" s="191" t="s">
        <v>184</v>
      </c>
      <c r="Y6" s="192">
        <f>AN3</f>
        <v>0</v>
      </c>
      <c r="AE6" s="725" t="s">
        <v>426</v>
      </c>
      <c r="AF6" s="733"/>
      <c r="AG6" s="725"/>
      <c r="AH6" s="733" t="s">
        <v>427</v>
      </c>
      <c r="AI6" s="725"/>
      <c r="AJ6" s="728"/>
      <c r="AL6" s="747"/>
      <c r="AM6" s="163" t="s">
        <v>428</v>
      </c>
      <c r="AN6" s="164">
        <f>AJ6</f>
        <v>0</v>
      </c>
      <c r="AP6" s="203"/>
      <c r="AQ6" s="204"/>
      <c r="AR6" s="165"/>
      <c r="AS6" s="167"/>
      <c r="AT6" s="168"/>
      <c r="AU6" s="169"/>
      <c r="AV6" s="169"/>
      <c r="AW6" s="169"/>
      <c r="AX6" s="169"/>
      <c r="AY6" s="169"/>
      <c r="AZ6" s="169"/>
      <c r="BA6" s="169"/>
      <c r="BB6" s="169"/>
      <c r="BC6" s="170"/>
      <c r="BE6" s="747"/>
      <c r="BF6" s="171" t="s">
        <v>399</v>
      </c>
      <c r="BG6" s="172">
        <f>AT13</f>
        <v>0</v>
      </c>
      <c r="BI6" s="205"/>
      <c r="BJ6" s="206"/>
      <c r="BK6" s="207"/>
      <c r="BL6" s="207"/>
      <c r="BM6" s="207"/>
      <c r="BN6" s="207"/>
      <c r="BO6" s="207"/>
      <c r="BP6" s="207"/>
      <c r="BQ6" s="207"/>
      <c r="BR6" s="208"/>
      <c r="BT6" s="747"/>
      <c r="BU6" s="171" t="s">
        <v>429</v>
      </c>
      <c r="BV6" s="172">
        <f>BJ10</f>
        <v>0</v>
      </c>
      <c r="BX6" s="171" t="s">
        <v>406</v>
      </c>
      <c r="BY6" s="198" t="e">
        <f>BZ5+3</f>
        <v>#REF!</v>
      </c>
      <c r="BZ6" s="198" t="e">
        <f>BY6+25</f>
        <v>#REF!</v>
      </c>
    </row>
    <row r="7" spans="3:80" ht="18.75" thickTop="1">
      <c r="C7" s="712" t="s">
        <v>430</v>
      </c>
      <c r="D7" s="715" t="s">
        <v>431</v>
      </c>
      <c r="E7" s="209">
        <v>1</v>
      </c>
      <c r="F7" s="716" t="s">
        <v>432</v>
      </c>
      <c r="G7" s="717" t="s">
        <v>433</v>
      </c>
      <c r="H7" s="717" t="s">
        <v>433</v>
      </c>
      <c r="I7" s="717" t="s">
        <v>433</v>
      </c>
      <c r="J7" s="717" t="s">
        <v>433</v>
      </c>
      <c r="K7" s="718" t="s">
        <v>433</v>
      </c>
      <c r="L7" s="719" t="s">
        <v>434</v>
      </c>
      <c r="M7" s="720"/>
      <c r="N7" s="210" t="b">
        <v>0</v>
      </c>
      <c r="O7" s="721"/>
      <c r="P7" s="722"/>
      <c r="Q7" s="722"/>
      <c r="R7" s="722"/>
      <c r="S7" s="722"/>
      <c r="T7" s="722"/>
      <c r="U7" s="722"/>
      <c r="W7" s="742"/>
      <c r="X7" s="191" t="s">
        <v>409</v>
      </c>
      <c r="Y7" s="192">
        <f>AN4</f>
        <v>0</v>
      </c>
      <c r="AE7" s="727"/>
      <c r="AF7" s="734"/>
      <c r="AG7" s="727"/>
      <c r="AH7" s="723" t="s">
        <v>435</v>
      </c>
      <c r="AI7" s="724"/>
      <c r="AJ7" s="687"/>
      <c r="AL7" s="751" t="s">
        <v>436</v>
      </c>
      <c r="AM7" s="163" t="s">
        <v>437</v>
      </c>
      <c r="AN7" s="164">
        <f>AF21</f>
        <v>0</v>
      </c>
      <c r="AP7" s="165"/>
      <c r="AQ7" s="166"/>
      <c r="AR7" s="166"/>
      <c r="AS7" s="167"/>
      <c r="AT7" s="168"/>
      <c r="AU7" s="169"/>
      <c r="AV7" s="169"/>
      <c r="AW7" s="169"/>
      <c r="AX7" s="169"/>
      <c r="AY7" s="169"/>
      <c r="AZ7" s="169"/>
      <c r="BA7" s="169"/>
      <c r="BB7" s="169"/>
      <c r="BC7" s="170"/>
      <c r="BI7" s="205"/>
      <c r="BJ7" s="206"/>
      <c r="BK7" s="207"/>
      <c r="BL7" s="207"/>
      <c r="BM7" s="207"/>
      <c r="BN7" s="207"/>
      <c r="BO7" s="207"/>
      <c r="BP7" s="207"/>
      <c r="BQ7" s="207"/>
      <c r="BR7" s="208"/>
    </row>
    <row r="8" spans="3:80" ht="17.25">
      <c r="C8" s="713"/>
      <c r="D8" s="638"/>
      <c r="E8" s="209">
        <v>2</v>
      </c>
      <c r="F8" s="634" t="s">
        <v>438</v>
      </c>
      <c r="G8" s="634" t="s">
        <v>439</v>
      </c>
      <c r="H8" s="634" t="s">
        <v>439</v>
      </c>
      <c r="I8" s="634" t="s">
        <v>439</v>
      </c>
      <c r="J8" s="634" t="s">
        <v>439</v>
      </c>
      <c r="K8" s="634" t="s">
        <v>439</v>
      </c>
      <c r="L8" s="677"/>
      <c r="M8" s="678"/>
      <c r="N8" s="210" t="b">
        <v>0</v>
      </c>
      <c r="O8" s="636"/>
      <c r="P8" s="637"/>
      <c r="Q8" s="637"/>
      <c r="R8" s="637"/>
      <c r="S8" s="637"/>
      <c r="T8" s="637"/>
      <c r="U8" s="637"/>
      <c r="W8" s="742"/>
      <c r="X8" s="191" t="s">
        <v>416</v>
      </c>
      <c r="Y8" s="192">
        <f>AN5</f>
        <v>0</v>
      </c>
      <c r="AE8" s="725" t="s">
        <v>12</v>
      </c>
      <c r="AF8" s="728" t="s">
        <v>440</v>
      </c>
      <c r="AG8" s="729"/>
      <c r="AH8" s="729"/>
      <c r="AI8" s="729"/>
      <c r="AJ8" s="729"/>
      <c r="AL8" s="751"/>
      <c r="AM8" s="163" t="s">
        <v>441</v>
      </c>
      <c r="AN8" s="164">
        <f>AJ21</f>
        <v>0</v>
      </c>
      <c r="AP8" s="211"/>
      <c r="AQ8" s="211"/>
      <c r="AR8" s="211"/>
      <c r="AS8" s="211"/>
      <c r="AT8" s="211"/>
      <c r="AU8" s="211"/>
      <c r="AV8" s="211"/>
      <c r="AW8" s="211"/>
      <c r="AX8" s="211"/>
      <c r="AY8" s="211"/>
      <c r="AZ8" s="211"/>
      <c r="BA8" s="211"/>
      <c r="BB8" s="211"/>
      <c r="BC8" s="211"/>
      <c r="BI8" s="205"/>
      <c r="BJ8" s="752"/>
      <c r="BK8" s="753"/>
      <c r="BL8" s="753"/>
      <c r="BM8" s="753"/>
      <c r="BN8" s="753"/>
      <c r="BO8" s="753"/>
      <c r="BP8" s="753"/>
      <c r="BQ8" s="753"/>
      <c r="BR8" s="754"/>
    </row>
    <row r="9" spans="3:80" s="156" customFormat="1" ht="17.649999999999999" thickBot="1">
      <c r="C9" s="713"/>
      <c r="D9" s="638"/>
      <c r="E9" s="209">
        <v>3</v>
      </c>
      <c r="F9" s="634" t="s">
        <v>442</v>
      </c>
      <c r="G9" s="634" t="s">
        <v>443</v>
      </c>
      <c r="H9" s="634" t="s">
        <v>443</v>
      </c>
      <c r="I9" s="634" t="s">
        <v>443</v>
      </c>
      <c r="J9" s="634" t="s">
        <v>443</v>
      </c>
      <c r="K9" s="634" t="s">
        <v>443</v>
      </c>
      <c r="L9" s="677"/>
      <c r="M9" s="678"/>
      <c r="N9" s="210" t="b">
        <v>0</v>
      </c>
      <c r="O9" s="636"/>
      <c r="P9" s="636"/>
      <c r="Q9" s="636"/>
      <c r="R9" s="636"/>
      <c r="S9" s="636"/>
      <c r="T9" s="636"/>
      <c r="U9" s="636"/>
      <c r="W9" s="743"/>
      <c r="X9" s="212" t="s">
        <v>428</v>
      </c>
      <c r="Y9" s="213">
        <f>AN6</f>
        <v>0</v>
      </c>
      <c r="AC9" s="160"/>
      <c r="AD9" s="160"/>
      <c r="AE9" s="726"/>
      <c r="AF9" s="704" t="s">
        <v>444</v>
      </c>
      <c r="AG9" s="705"/>
      <c r="AH9" s="705"/>
      <c r="AI9" s="705"/>
      <c r="AJ9" s="705"/>
      <c r="AK9" s="160"/>
      <c r="AL9" s="751"/>
      <c r="AM9" s="163" t="s">
        <v>445</v>
      </c>
      <c r="AN9" s="164">
        <f>AF22</f>
        <v>0</v>
      </c>
      <c r="AO9" s="160"/>
      <c r="AP9" s="165"/>
      <c r="AQ9" s="166"/>
      <c r="AR9" s="166"/>
      <c r="AS9" s="167"/>
      <c r="AT9" s="168"/>
      <c r="AU9" s="169"/>
      <c r="AV9" s="169"/>
      <c r="AW9" s="170"/>
      <c r="AX9" s="165"/>
      <c r="AY9" s="166"/>
      <c r="AZ9" s="166"/>
      <c r="BA9" s="167"/>
      <c r="BB9" s="168"/>
      <c r="BC9" s="170"/>
      <c r="BD9" s="160"/>
      <c r="BE9" s="160"/>
      <c r="BF9" s="160"/>
      <c r="BG9" s="160"/>
      <c r="BH9" s="160"/>
      <c r="BI9" s="215"/>
      <c r="BJ9" s="758"/>
      <c r="BK9" s="759"/>
      <c r="BL9" s="759"/>
      <c r="BM9" s="759"/>
      <c r="BN9" s="759"/>
      <c r="BO9" s="759"/>
      <c r="BP9" s="759"/>
      <c r="BQ9" s="759"/>
      <c r="BR9" s="760"/>
      <c r="BS9" s="160"/>
      <c r="BT9" s="160"/>
      <c r="BU9" s="160"/>
      <c r="BV9" s="160"/>
      <c r="BW9" s="160"/>
      <c r="BX9" s="160"/>
      <c r="BY9" s="160"/>
      <c r="BZ9" s="160"/>
      <c r="CA9" s="160"/>
      <c r="CB9" s="160"/>
    </row>
    <row r="10" spans="3:80" ht="21" thickBot="1">
      <c r="C10" s="713"/>
      <c r="D10" s="638"/>
      <c r="E10" s="209">
        <v>4</v>
      </c>
      <c r="F10" s="634" t="s">
        <v>446</v>
      </c>
      <c r="G10" s="634"/>
      <c r="H10" s="634"/>
      <c r="I10" s="634"/>
      <c r="J10" s="634"/>
      <c r="K10" s="634"/>
      <c r="L10" s="677"/>
      <c r="M10" s="678"/>
      <c r="N10" s="210" t="b">
        <v>0</v>
      </c>
      <c r="O10" s="665" t="s">
        <v>447</v>
      </c>
      <c r="P10" s="637"/>
      <c r="Q10" s="637"/>
      <c r="R10" s="637"/>
      <c r="S10" s="637"/>
      <c r="T10" s="637"/>
      <c r="U10" s="637"/>
      <c r="W10" s="216"/>
      <c r="X10" s="217"/>
      <c r="Y10" s="218"/>
      <c r="AE10" s="726"/>
      <c r="AF10" s="704" t="s">
        <v>448</v>
      </c>
      <c r="AG10" s="705"/>
      <c r="AH10" s="705"/>
      <c r="AI10" s="705"/>
      <c r="AJ10" s="705"/>
      <c r="AL10" s="751"/>
      <c r="AM10" s="163" t="s">
        <v>449</v>
      </c>
      <c r="AN10" s="164">
        <f>AJ22</f>
        <v>0</v>
      </c>
      <c r="AP10" s="165"/>
      <c r="AQ10" s="166"/>
      <c r="AR10" s="166"/>
      <c r="AS10" s="167"/>
      <c r="AT10" s="168"/>
      <c r="AU10" s="169"/>
      <c r="AV10" s="169"/>
      <c r="AW10" s="170"/>
      <c r="AX10" s="165"/>
      <c r="AY10" s="166"/>
      <c r="AZ10" s="166"/>
      <c r="BA10" s="167"/>
      <c r="BB10" s="168"/>
      <c r="BC10" s="170"/>
      <c r="BI10" s="186"/>
      <c r="BJ10" s="706"/>
      <c r="BK10" s="707"/>
      <c r="BL10" s="707"/>
      <c r="BM10" s="707"/>
      <c r="BN10" s="707"/>
      <c r="BO10" s="707"/>
      <c r="BP10" s="707"/>
      <c r="BQ10" s="707"/>
      <c r="BR10" s="708"/>
    </row>
    <row r="11" spans="3:80" ht="17.25">
      <c r="C11" s="713"/>
      <c r="D11" s="638"/>
      <c r="E11" s="673">
        <v>5</v>
      </c>
      <c r="F11" s="730" t="s">
        <v>450</v>
      </c>
      <c r="G11" s="730"/>
      <c r="H11" s="730"/>
      <c r="I11" s="730"/>
      <c r="J11" s="730"/>
      <c r="K11" s="730"/>
      <c r="L11" s="677"/>
      <c r="M11" s="678"/>
      <c r="N11" s="673" t="b">
        <v>0</v>
      </c>
      <c r="O11" s="665" t="s">
        <v>451</v>
      </c>
      <c r="P11" s="637"/>
      <c r="Q11" s="637"/>
      <c r="R11" s="637"/>
      <c r="S11" s="637"/>
      <c r="T11" s="637"/>
      <c r="U11" s="637"/>
      <c r="W11" s="669" t="s">
        <v>436</v>
      </c>
      <c r="X11" s="183" t="s">
        <v>437</v>
      </c>
      <c r="Y11" s="184">
        <f>AN7</f>
        <v>0</v>
      </c>
      <c r="AE11" s="726"/>
      <c r="AF11" s="704" t="s">
        <v>452</v>
      </c>
      <c r="AG11" s="705"/>
      <c r="AH11" s="705"/>
      <c r="AI11" s="705"/>
      <c r="AJ11" s="705"/>
      <c r="AP11" s="219"/>
      <c r="AQ11" s="219"/>
      <c r="AR11" s="219"/>
      <c r="AS11" s="219"/>
      <c r="AT11" s="219"/>
      <c r="AU11" s="219"/>
      <c r="AV11" s="219"/>
      <c r="AW11" s="219"/>
      <c r="AX11" s="219"/>
      <c r="AY11" s="219"/>
      <c r="AZ11" s="219"/>
      <c r="BA11" s="219"/>
      <c r="BB11" s="219"/>
      <c r="BC11" s="219"/>
      <c r="BI11" s="220"/>
      <c r="BJ11" s="709"/>
      <c r="BK11" s="710"/>
      <c r="BL11" s="710"/>
      <c r="BM11" s="710"/>
      <c r="BN11" s="710"/>
      <c r="BO11" s="710"/>
      <c r="BP11" s="710"/>
      <c r="BQ11" s="710"/>
      <c r="BR11" s="711"/>
    </row>
    <row r="12" spans="3:80" ht="17.25">
      <c r="C12" s="713"/>
      <c r="D12" s="638"/>
      <c r="E12" s="674"/>
      <c r="F12" s="730"/>
      <c r="G12" s="730"/>
      <c r="H12" s="730"/>
      <c r="I12" s="730"/>
      <c r="J12" s="730"/>
      <c r="K12" s="730"/>
      <c r="L12" s="677"/>
      <c r="M12" s="678"/>
      <c r="N12" s="674"/>
      <c r="O12" s="665" t="s">
        <v>453</v>
      </c>
      <c r="P12" s="637"/>
      <c r="Q12" s="637"/>
      <c r="R12" s="637"/>
      <c r="S12" s="637"/>
      <c r="T12" s="637"/>
      <c r="U12" s="637"/>
      <c r="W12" s="670"/>
      <c r="X12" s="191" t="s">
        <v>441</v>
      </c>
      <c r="Y12" s="192">
        <f>AN8</f>
        <v>0</v>
      </c>
      <c r="AE12" s="726"/>
      <c r="AF12" s="704" t="s">
        <v>454</v>
      </c>
      <c r="AG12" s="705"/>
      <c r="AH12" s="705"/>
      <c r="AI12" s="705"/>
      <c r="AJ12" s="705"/>
      <c r="AP12" s="165"/>
      <c r="AQ12" s="166"/>
      <c r="AR12" s="166"/>
      <c r="AS12" s="167"/>
      <c r="AT12" s="168"/>
      <c r="AU12" s="169"/>
      <c r="AV12" s="169"/>
      <c r="AW12" s="169"/>
      <c r="AX12" s="169"/>
      <c r="AY12" s="169"/>
      <c r="AZ12" s="169"/>
      <c r="BA12" s="169"/>
      <c r="BB12" s="169"/>
      <c r="BC12" s="170"/>
    </row>
    <row r="13" spans="3:80" ht="17.25">
      <c r="C13" s="713"/>
      <c r="D13" s="638"/>
      <c r="E13" s="674"/>
      <c r="F13" s="730"/>
      <c r="G13" s="730"/>
      <c r="H13" s="730"/>
      <c r="I13" s="730"/>
      <c r="J13" s="730"/>
      <c r="K13" s="730"/>
      <c r="L13" s="677"/>
      <c r="M13" s="678"/>
      <c r="N13" s="674"/>
      <c r="O13" s="665" t="s">
        <v>455</v>
      </c>
      <c r="P13" s="637"/>
      <c r="Q13" s="637"/>
      <c r="R13" s="637"/>
      <c r="S13" s="637"/>
      <c r="T13" s="637"/>
      <c r="U13" s="637"/>
      <c r="W13" s="670"/>
      <c r="X13" s="191" t="s">
        <v>445</v>
      </c>
      <c r="Y13" s="192">
        <f>AN9</f>
        <v>0</v>
      </c>
      <c r="AE13" s="726"/>
      <c r="AF13" s="704" t="s">
        <v>456</v>
      </c>
      <c r="AG13" s="705"/>
      <c r="AH13" s="705"/>
      <c r="AI13" s="705"/>
      <c r="AJ13" s="705"/>
      <c r="AP13" s="165"/>
      <c r="AQ13" s="166"/>
      <c r="AR13" s="166"/>
      <c r="AS13" s="167"/>
      <c r="AT13" s="168"/>
      <c r="AU13" s="169"/>
      <c r="AV13" s="169"/>
      <c r="AW13" s="169"/>
      <c r="AX13" s="169"/>
      <c r="AY13" s="169"/>
      <c r="AZ13" s="169"/>
      <c r="BA13" s="169"/>
      <c r="BB13" s="169"/>
      <c r="BC13" s="170"/>
    </row>
    <row r="14" spans="3:80" ht="17.649999999999999" thickBot="1">
      <c r="C14" s="713"/>
      <c r="D14" s="638"/>
      <c r="E14" s="675"/>
      <c r="F14" s="730"/>
      <c r="G14" s="730"/>
      <c r="H14" s="730"/>
      <c r="I14" s="730"/>
      <c r="J14" s="730"/>
      <c r="K14" s="730"/>
      <c r="L14" s="642"/>
      <c r="M14" s="643"/>
      <c r="N14" s="675"/>
      <c r="O14" s="665" t="s">
        <v>457</v>
      </c>
      <c r="P14" s="637"/>
      <c r="Q14" s="637"/>
      <c r="R14" s="637"/>
      <c r="S14" s="637"/>
      <c r="T14" s="637"/>
      <c r="U14" s="637"/>
      <c r="W14" s="671"/>
      <c r="X14" s="212" t="s">
        <v>449</v>
      </c>
      <c r="Y14" s="213">
        <f>AN10</f>
        <v>0</v>
      </c>
      <c r="AE14" s="727"/>
      <c r="AF14" s="687" t="s">
        <v>458</v>
      </c>
      <c r="AG14" s="688"/>
      <c r="AH14" s="688"/>
      <c r="AI14" s="688"/>
      <c r="AJ14" s="688"/>
      <c r="AP14" s="165"/>
      <c r="AQ14" s="166"/>
      <c r="AR14" s="166"/>
      <c r="AS14" s="167"/>
      <c r="AT14" s="168"/>
      <c r="AU14" s="169"/>
      <c r="AV14" s="169"/>
      <c r="AW14" s="169"/>
      <c r="AX14" s="169"/>
      <c r="AY14" s="169"/>
      <c r="AZ14" s="169"/>
      <c r="BA14" s="169"/>
      <c r="BB14" s="169"/>
      <c r="BC14" s="170"/>
    </row>
    <row r="15" spans="3:80" ht="21" thickBot="1">
      <c r="C15" s="713"/>
      <c r="D15" s="638"/>
      <c r="E15" s="209">
        <v>6</v>
      </c>
      <c r="F15" s="634" t="s">
        <v>459</v>
      </c>
      <c r="G15" s="634"/>
      <c r="H15" s="634"/>
      <c r="I15" s="634"/>
      <c r="J15" s="634"/>
      <c r="K15" s="634"/>
      <c r="L15" s="689" t="s">
        <v>460</v>
      </c>
      <c r="M15" s="690"/>
      <c r="N15" s="210" t="b">
        <v>0</v>
      </c>
      <c r="O15" s="665"/>
      <c r="P15" s="637"/>
      <c r="Q15" s="637"/>
      <c r="R15" s="637"/>
      <c r="S15" s="637"/>
      <c r="T15" s="637"/>
      <c r="U15" s="637"/>
      <c r="W15" s="216"/>
      <c r="X15" s="217"/>
      <c r="Y15" s="218"/>
      <c r="AE15" s="176" t="s">
        <v>461</v>
      </c>
      <c r="AF15" s="695" t="s">
        <v>462</v>
      </c>
      <c r="AG15" s="696"/>
      <c r="AH15" s="696"/>
      <c r="AI15" s="696"/>
      <c r="AJ15" s="696"/>
      <c r="AP15" s="165"/>
      <c r="AQ15" s="166"/>
      <c r="AR15" s="166"/>
      <c r="AS15" s="167"/>
      <c r="AT15" s="168"/>
      <c r="AU15" s="169"/>
      <c r="AV15" s="169"/>
      <c r="AW15" s="169"/>
      <c r="AX15" s="169"/>
      <c r="AY15" s="169"/>
      <c r="AZ15" s="169"/>
      <c r="BA15" s="169"/>
      <c r="BB15" s="169"/>
      <c r="BC15" s="170"/>
    </row>
    <row r="16" spans="3:80" ht="17.25">
      <c r="C16" s="713"/>
      <c r="D16" s="638"/>
      <c r="E16" s="209">
        <v>7</v>
      </c>
      <c r="F16" s="634" t="s">
        <v>463</v>
      </c>
      <c r="G16" s="634"/>
      <c r="H16" s="634"/>
      <c r="I16" s="634"/>
      <c r="J16" s="634"/>
      <c r="K16" s="634"/>
      <c r="L16" s="691"/>
      <c r="M16" s="692"/>
      <c r="N16" s="210" t="b">
        <v>0</v>
      </c>
      <c r="O16" s="665"/>
      <c r="P16" s="637"/>
      <c r="Q16" s="637"/>
      <c r="R16" s="637"/>
      <c r="S16" s="637"/>
      <c r="T16" s="637"/>
      <c r="U16" s="637"/>
      <c r="W16" s="669" t="s">
        <v>396</v>
      </c>
      <c r="X16" s="183" t="s">
        <v>397</v>
      </c>
      <c r="Y16" s="184" t="e">
        <f>#REF!</f>
        <v>#REF!</v>
      </c>
      <c r="AE16" s="181" t="s">
        <v>464</v>
      </c>
      <c r="AF16" s="697"/>
      <c r="AG16" s="698"/>
      <c r="AH16" s="698"/>
      <c r="AI16" s="698"/>
      <c r="AJ16" s="698"/>
      <c r="AP16" s="211"/>
      <c r="AQ16" s="211"/>
      <c r="AR16" s="211"/>
      <c r="AS16" s="211"/>
      <c r="AT16" s="211"/>
      <c r="AU16" s="211"/>
      <c r="AV16" s="211"/>
      <c r="AW16" s="211"/>
      <c r="AX16" s="211"/>
      <c r="AY16" s="211"/>
      <c r="AZ16" s="211"/>
      <c r="BA16" s="211"/>
      <c r="BB16" s="211"/>
      <c r="BC16" s="211"/>
    </row>
    <row r="17" spans="3:55" ht="17.25">
      <c r="C17" s="713"/>
      <c r="D17" s="638"/>
      <c r="E17" s="209">
        <v>8</v>
      </c>
      <c r="F17" s="634" t="s">
        <v>465</v>
      </c>
      <c r="G17" s="634"/>
      <c r="H17" s="634"/>
      <c r="I17" s="634"/>
      <c r="J17" s="634"/>
      <c r="K17" s="634"/>
      <c r="L17" s="691"/>
      <c r="M17" s="692"/>
      <c r="N17" s="210" t="b">
        <v>0</v>
      </c>
      <c r="O17" s="665"/>
      <c r="P17" s="637"/>
      <c r="Q17" s="637"/>
      <c r="R17" s="637"/>
      <c r="S17" s="637"/>
      <c r="T17" s="637"/>
      <c r="U17" s="637"/>
      <c r="W17" s="670"/>
      <c r="X17" s="191" t="s">
        <v>171</v>
      </c>
      <c r="Y17" s="192">
        <f>BG2</f>
        <v>0</v>
      </c>
      <c r="AE17" s="176" t="s">
        <v>466</v>
      </c>
      <c r="AF17" s="221" t="s">
        <v>467</v>
      </c>
      <c r="AG17" s="685" t="s">
        <v>468</v>
      </c>
      <c r="AH17" s="686"/>
      <c r="AI17" s="685" t="s">
        <v>469</v>
      </c>
      <c r="AJ17" s="703"/>
      <c r="AP17" s="222"/>
      <c r="AQ17" s="223"/>
      <c r="AR17" s="224"/>
      <c r="AS17" s="223"/>
      <c r="AT17" s="224"/>
      <c r="AU17" s="223"/>
      <c r="AV17" s="224"/>
      <c r="AW17" s="223"/>
      <c r="AX17" s="225"/>
      <c r="AY17" s="225"/>
      <c r="AZ17" s="224"/>
      <c r="BA17" s="223"/>
      <c r="BB17" s="224"/>
      <c r="BC17" s="222"/>
    </row>
    <row r="18" spans="3:55" ht="17.25">
      <c r="C18" s="713"/>
      <c r="D18" s="638"/>
      <c r="E18" s="209">
        <v>9</v>
      </c>
      <c r="F18" s="634" t="s">
        <v>470</v>
      </c>
      <c r="G18" s="634"/>
      <c r="H18" s="634"/>
      <c r="I18" s="634"/>
      <c r="J18" s="634"/>
      <c r="K18" s="634"/>
      <c r="L18" s="691"/>
      <c r="M18" s="692"/>
      <c r="N18" s="210" t="b">
        <v>0</v>
      </c>
      <c r="O18" s="665"/>
      <c r="P18" s="637"/>
      <c r="Q18" s="637"/>
      <c r="R18" s="637"/>
      <c r="S18" s="637"/>
      <c r="T18" s="637"/>
      <c r="U18" s="637"/>
      <c r="W18" s="670"/>
      <c r="X18" s="191" t="s">
        <v>471</v>
      </c>
      <c r="Y18" s="192">
        <f>BG3</f>
        <v>0</v>
      </c>
      <c r="AE18" s="214" t="s">
        <v>472</v>
      </c>
      <c r="AF18" s="226"/>
      <c r="AG18" s="699"/>
      <c r="AH18" s="700"/>
      <c r="AI18" s="699"/>
      <c r="AJ18" s="701"/>
      <c r="AP18" s="227"/>
      <c r="AQ18" s="228"/>
      <c r="AR18" s="229"/>
      <c r="AS18" s="168"/>
      <c r="AT18" s="170"/>
      <c r="AU18" s="168"/>
      <c r="AV18" s="170"/>
      <c r="AW18" s="168"/>
      <c r="AX18" s="169"/>
      <c r="AY18" s="169"/>
      <c r="AZ18" s="170"/>
      <c r="BA18" s="168"/>
      <c r="BB18" s="170"/>
      <c r="BC18" s="230"/>
    </row>
    <row r="19" spans="3:55" ht="17.25">
      <c r="C19" s="713"/>
      <c r="D19" s="638"/>
      <c r="E19" s="209">
        <v>10</v>
      </c>
      <c r="F19" s="634" t="s">
        <v>473</v>
      </c>
      <c r="G19" s="634"/>
      <c r="H19" s="634"/>
      <c r="I19" s="634"/>
      <c r="J19" s="634"/>
      <c r="K19" s="634"/>
      <c r="L19" s="691"/>
      <c r="M19" s="692"/>
      <c r="N19" s="210" t="b">
        <v>0</v>
      </c>
      <c r="O19" s="665" t="s">
        <v>474</v>
      </c>
      <c r="P19" s="637"/>
      <c r="Q19" s="637"/>
      <c r="R19" s="637"/>
      <c r="S19" s="637"/>
      <c r="T19" s="637"/>
      <c r="U19" s="637"/>
      <c r="W19" s="670"/>
      <c r="X19" s="191" t="s">
        <v>410</v>
      </c>
      <c r="Y19" s="192">
        <f>BG4</f>
        <v>0</v>
      </c>
      <c r="AE19" s="231"/>
      <c r="AF19" s="226"/>
      <c r="AG19" s="699"/>
      <c r="AH19" s="700"/>
      <c r="AI19" s="699"/>
      <c r="AJ19" s="701"/>
      <c r="AP19" s="232"/>
      <c r="AQ19" s="233"/>
      <c r="AR19" s="234"/>
      <c r="AS19" s="235"/>
      <c r="AT19" s="236"/>
      <c r="AU19" s="237"/>
      <c r="AV19" s="238"/>
      <c r="AW19" s="235"/>
      <c r="AX19" s="236"/>
      <c r="AY19" s="235"/>
      <c r="AZ19" s="236"/>
      <c r="BA19" s="235"/>
      <c r="BB19" s="236"/>
      <c r="BC19" s="239"/>
    </row>
    <row r="20" spans="3:55" ht="17.25">
      <c r="C20" s="713"/>
      <c r="D20" s="638"/>
      <c r="E20" s="209">
        <v>11</v>
      </c>
      <c r="F20" s="634" t="s">
        <v>475</v>
      </c>
      <c r="G20" s="634"/>
      <c r="H20" s="634"/>
      <c r="I20" s="634"/>
      <c r="J20" s="634"/>
      <c r="K20" s="634"/>
      <c r="L20" s="693"/>
      <c r="M20" s="694"/>
      <c r="N20" s="210" t="b">
        <v>0</v>
      </c>
      <c r="O20" s="665"/>
      <c r="P20" s="637"/>
      <c r="Q20" s="637"/>
      <c r="R20" s="637"/>
      <c r="S20" s="637"/>
      <c r="T20" s="637"/>
      <c r="U20" s="637"/>
      <c r="W20" s="670"/>
      <c r="X20" s="191" t="s">
        <v>417</v>
      </c>
      <c r="Y20" s="192">
        <f>BG5</f>
        <v>0</v>
      </c>
      <c r="AE20" s="702" t="s">
        <v>476</v>
      </c>
      <c r="AF20" s="702"/>
      <c r="AG20" s="702"/>
      <c r="AH20" s="702"/>
      <c r="AI20" s="702"/>
      <c r="AJ20" s="702"/>
      <c r="AP20" s="240"/>
      <c r="AQ20" s="241"/>
      <c r="AR20" s="242"/>
      <c r="AS20" s="243"/>
      <c r="AT20" s="244"/>
      <c r="AU20" s="245"/>
      <c r="AV20" s="246"/>
      <c r="AW20" s="243"/>
      <c r="AX20" s="244"/>
      <c r="AY20" s="243"/>
      <c r="AZ20" s="244"/>
      <c r="BA20" s="243"/>
      <c r="BB20" s="244"/>
      <c r="BC20" s="247"/>
    </row>
    <row r="21" spans="3:55" ht="17.649999999999999" thickBot="1">
      <c r="C21" s="713"/>
      <c r="D21" s="638"/>
      <c r="E21" s="261">
        <v>12</v>
      </c>
      <c r="F21" s="679" t="s">
        <v>532</v>
      </c>
      <c r="G21" s="679"/>
      <c r="H21" s="679"/>
      <c r="I21" s="679"/>
      <c r="J21" s="679"/>
      <c r="K21" s="679"/>
      <c r="L21" s="680" t="s">
        <v>533</v>
      </c>
      <c r="M21" s="681"/>
      <c r="N21" s="262" t="b">
        <v>0</v>
      </c>
      <c r="O21" s="684"/>
      <c r="P21" s="684"/>
      <c r="Q21" s="684"/>
      <c r="R21" s="684"/>
      <c r="S21" s="684"/>
      <c r="T21" s="684"/>
      <c r="U21" s="684"/>
      <c r="W21" s="671"/>
      <c r="X21" s="212" t="s">
        <v>399</v>
      </c>
      <c r="Y21" s="213">
        <f>BG6</f>
        <v>0</v>
      </c>
      <c r="AE21" s="161" t="s">
        <v>477</v>
      </c>
      <c r="AF21" s="685"/>
      <c r="AG21" s="686"/>
      <c r="AH21" s="685" t="s">
        <v>478</v>
      </c>
      <c r="AI21" s="686"/>
      <c r="AJ21" s="162"/>
      <c r="AP21" s="240"/>
      <c r="AQ21" s="233"/>
      <c r="AR21" s="234"/>
      <c r="AS21" s="235"/>
      <c r="AT21" s="236"/>
      <c r="AU21" s="235"/>
      <c r="AV21" s="236"/>
      <c r="AW21" s="235"/>
      <c r="AX21" s="248"/>
      <c r="AY21" s="248"/>
      <c r="AZ21" s="236"/>
      <c r="BA21" s="235"/>
      <c r="BB21" s="236"/>
      <c r="BC21" s="239"/>
    </row>
    <row r="22" spans="3:55" ht="21" thickBot="1">
      <c r="C22" s="713"/>
      <c r="D22" s="638"/>
      <c r="E22" s="261">
        <v>13</v>
      </c>
      <c r="F22" s="679" t="s">
        <v>534</v>
      </c>
      <c r="G22" s="679"/>
      <c r="H22" s="679"/>
      <c r="I22" s="679"/>
      <c r="J22" s="679"/>
      <c r="K22" s="679"/>
      <c r="L22" s="682"/>
      <c r="M22" s="683"/>
      <c r="N22" s="262" t="b">
        <v>0</v>
      </c>
      <c r="O22" s="684"/>
      <c r="P22" s="684"/>
      <c r="Q22" s="684"/>
      <c r="R22" s="684"/>
      <c r="S22" s="684"/>
      <c r="T22" s="684"/>
      <c r="U22" s="684"/>
      <c r="W22" s="216"/>
      <c r="X22" s="217"/>
      <c r="Y22" s="218"/>
      <c r="AE22" s="161" t="s">
        <v>479</v>
      </c>
      <c r="AF22" s="685"/>
      <c r="AG22" s="686"/>
      <c r="AH22" s="685" t="s">
        <v>480</v>
      </c>
      <c r="AI22" s="686"/>
      <c r="AJ22" s="249"/>
      <c r="AP22" s="240"/>
      <c r="AQ22" s="241"/>
      <c r="AR22" s="242"/>
      <c r="AS22" s="243"/>
      <c r="AT22" s="244"/>
      <c r="AU22" s="243"/>
      <c r="AV22" s="244"/>
      <c r="AW22" s="243"/>
      <c r="AX22" s="250"/>
      <c r="AY22" s="250"/>
      <c r="AZ22" s="244"/>
      <c r="BA22" s="243"/>
      <c r="BB22" s="244"/>
      <c r="BC22" s="247"/>
    </row>
    <row r="23" spans="3:55" ht="17.25">
      <c r="C23" s="713"/>
      <c r="D23" s="638"/>
      <c r="E23" s="209">
        <v>14</v>
      </c>
      <c r="F23" s="634" t="s">
        <v>481</v>
      </c>
      <c r="G23" s="634"/>
      <c r="H23" s="634"/>
      <c r="I23" s="634"/>
      <c r="J23" s="634"/>
      <c r="K23" s="634"/>
      <c r="L23" s="667" t="s">
        <v>482</v>
      </c>
      <c r="M23" s="668"/>
      <c r="N23" s="210" t="b">
        <v>0</v>
      </c>
      <c r="O23" s="665"/>
      <c r="P23" s="637"/>
      <c r="Q23" s="637"/>
      <c r="R23" s="637"/>
      <c r="S23" s="637"/>
      <c r="T23" s="637"/>
      <c r="U23" s="637"/>
      <c r="W23" s="669" t="s">
        <v>398</v>
      </c>
      <c r="X23" s="183" t="s">
        <v>399</v>
      </c>
      <c r="Y23" s="184" t="e">
        <f>#REF!</f>
        <v>#REF!</v>
      </c>
      <c r="AP23" s="251"/>
      <c r="AQ23" s="228"/>
      <c r="AR23" s="229"/>
      <c r="AS23" s="168"/>
      <c r="AT23" s="170"/>
      <c r="AU23" s="168"/>
      <c r="AV23" s="170"/>
      <c r="AW23" s="168"/>
      <c r="AX23" s="169"/>
      <c r="AY23" s="169"/>
      <c r="AZ23" s="170"/>
      <c r="BA23" s="168"/>
      <c r="BB23" s="170"/>
      <c r="BC23" s="252"/>
    </row>
    <row r="24" spans="3:55" ht="17.25">
      <c r="C24" s="713"/>
      <c r="D24" s="638" t="s">
        <v>483</v>
      </c>
      <c r="E24" s="209">
        <v>15</v>
      </c>
      <c r="F24" s="634" t="s">
        <v>484</v>
      </c>
      <c r="G24" s="634"/>
      <c r="H24" s="634"/>
      <c r="I24" s="634"/>
      <c r="J24" s="634"/>
      <c r="K24" s="634"/>
      <c r="L24" s="640" t="s">
        <v>485</v>
      </c>
      <c r="M24" s="641"/>
      <c r="N24" s="210" t="b">
        <v>0</v>
      </c>
      <c r="O24" s="636"/>
      <c r="P24" s="637"/>
      <c r="Q24" s="637"/>
      <c r="R24" s="637"/>
      <c r="S24" s="637"/>
      <c r="T24" s="637"/>
      <c r="U24" s="637"/>
      <c r="W24" s="670"/>
      <c r="X24" s="191" t="s">
        <v>401</v>
      </c>
      <c r="Y24" s="192" t="e">
        <f>BV2</f>
        <v>#REF!</v>
      </c>
      <c r="AP24" s="227"/>
      <c r="AQ24" s="228"/>
      <c r="AR24" s="229"/>
      <c r="AS24" s="168"/>
      <c r="AT24" s="170"/>
      <c r="AU24" s="168"/>
      <c r="AV24" s="170"/>
      <c r="AW24" s="168"/>
      <c r="AX24" s="169"/>
      <c r="AY24" s="169"/>
      <c r="AZ24" s="170"/>
      <c r="BA24" s="168"/>
      <c r="BB24" s="170"/>
      <c r="BC24" s="230"/>
    </row>
    <row r="25" spans="3:55" ht="17.25">
      <c r="C25" s="713"/>
      <c r="D25" s="638"/>
      <c r="E25" s="209">
        <v>16</v>
      </c>
      <c r="F25" s="634" t="s">
        <v>486</v>
      </c>
      <c r="G25" s="634"/>
      <c r="H25" s="634"/>
      <c r="I25" s="634"/>
      <c r="J25" s="634"/>
      <c r="K25" s="634"/>
      <c r="L25" s="642"/>
      <c r="M25" s="643"/>
      <c r="N25" s="210" t="b">
        <v>0</v>
      </c>
      <c r="O25" s="636"/>
      <c r="P25" s="637"/>
      <c r="Q25" s="637"/>
      <c r="R25" s="637"/>
      <c r="S25" s="637"/>
      <c r="T25" s="637"/>
      <c r="U25" s="637"/>
      <c r="W25" s="670"/>
      <c r="X25" s="191" t="s">
        <v>406</v>
      </c>
      <c r="Y25" s="192" t="e">
        <f>BV3</f>
        <v>#REF!</v>
      </c>
      <c r="AP25" s="232"/>
      <c r="AQ25" s="233"/>
      <c r="AR25" s="234"/>
      <c r="AS25" s="235"/>
      <c r="AT25" s="236"/>
      <c r="AU25" s="235"/>
      <c r="AV25" s="236"/>
      <c r="AW25" s="235"/>
      <c r="AX25" s="248"/>
      <c r="AY25" s="248"/>
      <c r="AZ25" s="236"/>
      <c r="BA25" s="235"/>
      <c r="BB25" s="236"/>
      <c r="BC25" s="253"/>
    </row>
    <row r="26" spans="3:55" ht="17.25">
      <c r="C26" s="713"/>
      <c r="D26" s="638" t="s">
        <v>487</v>
      </c>
      <c r="E26" s="673">
        <v>17</v>
      </c>
      <c r="F26" s="676" t="s">
        <v>488</v>
      </c>
      <c r="G26" s="676"/>
      <c r="H26" s="676"/>
      <c r="I26" s="676"/>
      <c r="J26" s="676"/>
      <c r="K26" s="676"/>
      <c r="L26" s="640" t="s">
        <v>489</v>
      </c>
      <c r="M26" s="641"/>
      <c r="N26" s="210" t="b">
        <v>0</v>
      </c>
      <c r="O26" s="665" t="s">
        <v>490</v>
      </c>
      <c r="P26" s="666"/>
      <c r="Q26" s="666"/>
      <c r="R26" s="666"/>
      <c r="S26" s="666"/>
      <c r="T26" s="666"/>
      <c r="U26" s="666"/>
      <c r="W26" s="670"/>
      <c r="X26" s="191" t="s">
        <v>411</v>
      </c>
      <c r="Y26" s="192" t="str">
        <f>BV4</f>
        <v>2024. 11. 18 ~ 2025. 01. 10</v>
      </c>
      <c r="AP26" s="240"/>
      <c r="AQ26" s="241"/>
      <c r="AR26" s="242"/>
      <c r="AS26" s="243"/>
      <c r="AT26" s="244"/>
      <c r="AU26" s="243"/>
      <c r="AV26" s="244"/>
      <c r="AW26" s="243"/>
      <c r="AX26" s="250"/>
      <c r="AY26" s="250"/>
      <c r="AZ26" s="244"/>
      <c r="BA26" s="243"/>
      <c r="BB26" s="244"/>
      <c r="BC26" s="254"/>
    </row>
    <row r="27" spans="3:55" ht="17.25">
      <c r="C27" s="713"/>
      <c r="D27" s="672"/>
      <c r="E27" s="674"/>
      <c r="F27" s="676"/>
      <c r="G27" s="676"/>
      <c r="H27" s="676"/>
      <c r="I27" s="676"/>
      <c r="J27" s="676"/>
      <c r="K27" s="676"/>
      <c r="L27" s="677"/>
      <c r="M27" s="678"/>
      <c r="N27" s="210" t="b">
        <v>0</v>
      </c>
      <c r="O27" s="665" t="s">
        <v>491</v>
      </c>
      <c r="P27" s="666"/>
      <c r="Q27" s="666"/>
      <c r="R27" s="666"/>
      <c r="S27" s="666"/>
      <c r="T27" s="666"/>
      <c r="U27" s="666"/>
      <c r="W27" s="670"/>
      <c r="X27" s="191" t="s">
        <v>418</v>
      </c>
      <c r="Y27" s="192">
        <f>BV5</f>
        <v>0</v>
      </c>
      <c r="AP27" s="240"/>
      <c r="AQ27" s="233"/>
      <c r="AR27" s="234"/>
      <c r="AS27" s="235"/>
      <c r="AT27" s="236"/>
      <c r="AU27" s="235"/>
      <c r="AV27" s="236"/>
      <c r="AW27" s="235"/>
      <c r="AX27" s="248"/>
      <c r="AY27" s="248"/>
      <c r="AZ27" s="236"/>
      <c r="BA27" s="235"/>
      <c r="BB27" s="236"/>
      <c r="BC27" s="239"/>
    </row>
    <row r="28" spans="3:55" ht="17.649999999999999" thickBot="1">
      <c r="C28" s="713"/>
      <c r="D28" s="672"/>
      <c r="E28" s="675"/>
      <c r="F28" s="676"/>
      <c r="G28" s="676"/>
      <c r="H28" s="676"/>
      <c r="I28" s="676"/>
      <c r="J28" s="676"/>
      <c r="K28" s="676"/>
      <c r="L28" s="677"/>
      <c r="M28" s="678"/>
      <c r="N28" s="210" t="b">
        <v>0</v>
      </c>
      <c r="O28" s="665" t="s">
        <v>492</v>
      </c>
      <c r="P28" s="666"/>
      <c r="Q28" s="666"/>
      <c r="R28" s="666"/>
      <c r="S28" s="666"/>
      <c r="T28" s="666"/>
      <c r="U28" s="666"/>
      <c r="W28" s="671"/>
      <c r="X28" s="212" t="s">
        <v>429</v>
      </c>
      <c r="Y28" s="213">
        <f>BV6</f>
        <v>0</v>
      </c>
      <c r="AP28" s="240"/>
      <c r="AQ28" s="241"/>
      <c r="AR28" s="242"/>
      <c r="AS28" s="243"/>
      <c r="AT28" s="244"/>
      <c r="AU28" s="243"/>
      <c r="AV28" s="244"/>
      <c r="AW28" s="243"/>
      <c r="AX28" s="250"/>
      <c r="AY28" s="250"/>
      <c r="AZ28" s="244"/>
      <c r="BA28" s="243"/>
      <c r="BB28" s="244"/>
      <c r="BC28" s="247"/>
    </row>
    <row r="29" spans="3:55">
      <c r="C29" s="713"/>
      <c r="D29" s="672"/>
      <c r="E29" s="209">
        <v>18</v>
      </c>
      <c r="F29" s="634" t="s">
        <v>493</v>
      </c>
      <c r="G29" s="634"/>
      <c r="H29" s="634"/>
      <c r="I29" s="634"/>
      <c r="J29" s="634"/>
      <c r="K29" s="634"/>
      <c r="L29" s="677"/>
      <c r="M29" s="678"/>
      <c r="N29" s="210" t="b">
        <v>0</v>
      </c>
      <c r="O29" s="636"/>
      <c r="P29" s="637"/>
      <c r="Q29" s="637"/>
      <c r="R29" s="637"/>
      <c r="S29" s="637"/>
      <c r="T29" s="637"/>
      <c r="U29" s="637"/>
      <c r="AP29" s="251"/>
      <c r="AQ29" s="228"/>
      <c r="AR29" s="229"/>
      <c r="AS29" s="168"/>
      <c r="AT29" s="170"/>
      <c r="AU29" s="168"/>
      <c r="AV29" s="170"/>
      <c r="AW29" s="168"/>
      <c r="AX29" s="169"/>
      <c r="AY29" s="169"/>
      <c r="AZ29" s="170"/>
      <c r="BA29" s="168"/>
      <c r="BB29" s="170"/>
      <c r="BC29" s="230"/>
    </row>
    <row r="30" spans="3:55">
      <c r="C30" s="713"/>
      <c r="D30" s="672"/>
      <c r="E30" s="209">
        <v>19</v>
      </c>
      <c r="F30" s="634" t="s">
        <v>494</v>
      </c>
      <c r="G30" s="634"/>
      <c r="H30" s="634"/>
      <c r="I30" s="634"/>
      <c r="J30" s="634"/>
      <c r="K30" s="634"/>
      <c r="L30" s="677"/>
      <c r="M30" s="678"/>
      <c r="N30" s="210" t="b">
        <v>0</v>
      </c>
      <c r="O30" s="636"/>
      <c r="P30" s="637"/>
      <c r="Q30" s="637"/>
      <c r="R30" s="637"/>
      <c r="S30" s="637"/>
      <c r="T30" s="637"/>
      <c r="U30" s="637"/>
    </row>
    <row r="31" spans="3:55">
      <c r="C31" s="713"/>
      <c r="D31" s="672"/>
      <c r="E31" s="209">
        <v>20</v>
      </c>
      <c r="F31" s="634" t="s">
        <v>495</v>
      </c>
      <c r="G31" s="634"/>
      <c r="H31" s="634"/>
      <c r="I31" s="634"/>
      <c r="J31" s="634"/>
      <c r="K31" s="634"/>
      <c r="L31" s="677"/>
      <c r="M31" s="678"/>
      <c r="N31" s="210" t="b">
        <v>0</v>
      </c>
      <c r="O31" s="636"/>
      <c r="P31" s="637"/>
      <c r="Q31" s="637"/>
      <c r="R31" s="637"/>
      <c r="S31" s="637"/>
      <c r="T31" s="637"/>
      <c r="U31" s="637"/>
    </row>
    <row r="32" spans="3:55" ht="30.75" customHeight="1">
      <c r="C32" s="713"/>
      <c r="D32" s="672"/>
      <c r="E32" s="209">
        <v>21</v>
      </c>
      <c r="F32" s="634" t="s">
        <v>496</v>
      </c>
      <c r="G32" s="634"/>
      <c r="H32" s="634"/>
      <c r="I32" s="634"/>
      <c r="J32" s="634"/>
      <c r="K32" s="634"/>
      <c r="L32" s="642"/>
      <c r="M32" s="643"/>
      <c r="N32" s="210" t="b">
        <v>0</v>
      </c>
      <c r="O32" s="636" t="s">
        <v>497</v>
      </c>
      <c r="P32" s="637"/>
      <c r="Q32" s="637"/>
      <c r="R32" s="637"/>
      <c r="S32" s="637"/>
      <c r="T32" s="637"/>
      <c r="U32" s="637"/>
    </row>
    <row r="33" spans="3:21">
      <c r="C33" s="713"/>
      <c r="D33" s="638" t="s">
        <v>498</v>
      </c>
      <c r="E33" s="255">
        <v>22</v>
      </c>
      <c r="F33" s="656" t="s">
        <v>499</v>
      </c>
      <c r="G33" s="656"/>
      <c r="H33" s="656"/>
      <c r="I33" s="656"/>
      <c r="J33" s="656"/>
      <c r="K33" s="656"/>
      <c r="L33" s="657" t="s">
        <v>500</v>
      </c>
      <c r="M33" s="657"/>
      <c r="N33" s="256" t="b">
        <v>0</v>
      </c>
      <c r="O33" s="658" t="s">
        <v>501</v>
      </c>
      <c r="P33" s="658"/>
      <c r="Q33" s="658"/>
      <c r="R33" s="658"/>
      <c r="S33" s="658"/>
      <c r="T33" s="658"/>
      <c r="U33" s="658"/>
    </row>
    <row r="34" spans="3:21">
      <c r="C34" s="713"/>
      <c r="D34" s="638"/>
      <c r="E34" s="209">
        <v>23</v>
      </c>
      <c r="F34" s="634" t="s">
        <v>502</v>
      </c>
      <c r="G34" s="634"/>
      <c r="H34" s="634"/>
      <c r="I34" s="634"/>
      <c r="J34" s="634"/>
      <c r="K34" s="634"/>
      <c r="L34" s="640" t="s">
        <v>503</v>
      </c>
      <c r="M34" s="641"/>
      <c r="N34" s="210" t="b">
        <v>0</v>
      </c>
      <c r="O34" s="665" t="s">
        <v>504</v>
      </c>
      <c r="P34" s="666"/>
      <c r="Q34" s="666"/>
      <c r="R34" s="666"/>
      <c r="S34" s="666"/>
      <c r="T34" s="666"/>
      <c r="U34" s="666"/>
    </row>
    <row r="35" spans="3:21">
      <c r="C35" s="713"/>
      <c r="D35" s="638"/>
      <c r="E35" s="209">
        <v>24</v>
      </c>
      <c r="F35" s="634" t="s">
        <v>505</v>
      </c>
      <c r="G35" s="634"/>
      <c r="H35" s="634"/>
      <c r="I35" s="634"/>
      <c r="J35" s="634"/>
      <c r="K35" s="634"/>
      <c r="L35" s="642"/>
      <c r="M35" s="643"/>
      <c r="N35" s="210" t="b">
        <v>0</v>
      </c>
      <c r="O35" s="636"/>
      <c r="P35" s="637"/>
      <c r="Q35" s="637"/>
      <c r="R35" s="637"/>
      <c r="S35" s="637"/>
      <c r="T35" s="637"/>
      <c r="U35" s="637"/>
    </row>
    <row r="36" spans="3:21">
      <c r="C36" s="713"/>
      <c r="D36" s="638"/>
      <c r="E36" s="209">
        <v>25</v>
      </c>
      <c r="F36" s="634" t="s">
        <v>506</v>
      </c>
      <c r="G36" s="634"/>
      <c r="H36" s="634"/>
      <c r="I36" s="634"/>
      <c r="J36" s="634"/>
      <c r="K36" s="634"/>
      <c r="L36" s="635" t="s">
        <v>507</v>
      </c>
      <c r="M36" s="635"/>
      <c r="N36" s="210" t="b">
        <v>0</v>
      </c>
      <c r="O36" s="636"/>
      <c r="P36" s="637"/>
      <c r="Q36" s="637"/>
      <c r="R36" s="637"/>
      <c r="S36" s="637"/>
      <c r="T36" s="637"/>
      <c r="U36" s="637"/>
    </row>
    <row r="37" spans="3:21">
      <c r="C37" s="713"/>
      <c r="D37" s="638"/>
      <c r="E37" s="209">
        <v>26</v>
      </c>
      <c r="F37" s="649" t="s">
        <v>508</v>
      </c>
      <c r="G37" s="650"/>
      <c r="H37" s="650"/>
      <c r="I37" s="650"/>
      <c r="J37" s="650"/>
      <c r="K37" s="651"/>
      <c r="L37" s="652" t="s">
        <v>509</v>
      </c>
      <c r="M37" s="653"/>
      <c r="N37" s="210" t="b">
        <v>0</v>
      </c>
      <c r="O37" s="636"/>
      <c r="P37" s="637"/>
      <c r="Q37" s="637"/>
      <c r="R37" s="637"/>
      <c r="S37" s="637"/>
      <c r="T37" s="637"/>
      <c r="U37" s="637"/>
    </row>
    <row r="38" spans="3:21">
      <c r="C38" s="713"/>
      <c r="D38" s="638"/>
      <c r="E38" s="209">
        <v>27</v>
      </c>
      <c r="F38" s="634" t="s">
        <v>510</v>
      </c>
      <c r="G38" s="634"/>
      <c r="H38" s="634"/>
      <c r="I38" s="634"/>
      <c r="J38" s="634"/>
      <c r="K38" s="634"/>
      <c r="L38" s="654"/>
      <c r="M38" s="655"/>
      <c r="N38" s="210" t="b">
        <v>0</v>
      </c>
      <c r="O38" s="636" t="s">
        <v>511</v>
      </c>
      <c r="P38" s="637"/>
      <c r="Q38" s="637"/>
      <c r="R38" s="637"/>
      <c r="S38" s="637"/>
      <c r="T38" s="637"/>
      <c r="U38" s="637"/>
    </row>
    <row r="39" spans="3:21">
      <c r="C39" s="713"/>
      <c r="D39" s="638" t="s">
        <v>512</v>
      </c>
      <c r="E39" s="255">
        <v>28</v>
      </c>
      <c r="F39" s="656" t="s">
        <v>513</v>
      </c>
      <c r="G39" s="656"/>
      <c r="H39" s="656"/>
      <c r="I39" s="656"/>
      <c r="J39" s="656"/>
      <c r="K39" s="656"/>
      <c r="L39" s="657" t="s">
        <v>514</v>
      </c>
      <c r="M39" s="657"/>
      <c r="N39" s="256" t="b">
        <v>0</v>
      </c>
      <c r="O39" s="658"/>
      <c r="P39" s="658"/>
      <c r="Q39" s="658"/>
      <c r="R39" s="658"/>
      <c r="S39" s="658"/>
      <c r="T39" s="658"/>
      <c r="U39" s="658"/>
    </row>
    <row r="40" spans="3:21">
      <c r="C40" s="713"/>
      <c r="D40" s="638"/>
      <c r="E40" s="209">
        <v>29</v>
      </c>
      <c r="F40" s="634" t="s">
        <v>515</v>
      </c>
      <c r="G40" s="634"/>
      <c r="H40" s="634"/>
      <c r="I40" s="634"/>
      <c r="J40" s="634"/>
      <c r="K40" s="634"/>
      <c r="L40" s="635" t="s">
        <v>516</v>
      </c>
      <c r="M40" s="635"/>
      <c r="N40" s="210" t="b">
        <v>0</v>
      </c>
      <c r="O40" s="636"/>
      <c r="P40" s="637"/>
      <c r="Q40" s="637"/>
      <c r="R40" s="637"/>
      <c r="S40" s="637"/>
      <c r="T40" s="637"/>
      <c r="U40" s="637"/>
    </row>
    <row r="41" spans="3:21">
      <c r="C41" s="713"/>
      <c r="D41" s="638"/>
      <c r="E41" s="257">
        <v>30</v>
      </c>
      <c r="F41" s="632" t="s">
        <v>517</v>
      </c>
      <c r="G41" s="632"/>
      <c r="H41" s="632"/>
      <c r="I41" s="632"/>
      <c r="J41" s="632"/>
      <c r="K41" s="632"/>
      <c r="L41" s="659" t="s">
        <v>518</v>
      </c>
      <c r="M41" s="660"/>
      <c r="N41" s="258" t="b">
        <v>0</v>
      </c>
      <c r="O41" s="633" t="s">
        <v>519</v>
      </c>
      <c r="P41" s="633"/>
      <c r="Q41" s="633"/>
      <c r="R41" s="633"/>
      <c r="S41" s="633"/>
      <c r="T41" s="633"/>
      <c r="U41" s="633"/>
    </row>
    <row r="42" spans="3:21">
      <c r="C42" s="713"/>
      <c r="D42" s="638"/>
      <c r="E42" s="257">
        <v>31</v>
      </c>
      <c r="F42" s="632" t="s">
        <v>520</v>
      </c>
      <c r="G42" s="632"/>
      <c r="H42" s="632"/>
      <c r="I42" s="632"/>
      <c r="J42" s="632"/>
      <c r="K42" s="632"/>
      <c r="L42" s="661"/>
      <c r="M42" s="662"/>
      <c r="N42" s="258" t="b">
        <v>0</v>
      </c>
      <c r="O42" s="633"/>
      <c r="P42" s="633"/>
      <c r="Q42" s="633"/>
      <c r="R42" s="633"/>
      <c r="S42" s="633"/>
      <c r="T42" s="633"/>
      <c r="U42" s="633"/>
    </row>
    <row r="43" spans="3:21">
      <c r="C43" s="713"/>
      <c r="D43" s="638"/>
      <c r="E43" s="257">
        <v>32</v>
      </c>
      <c r="F43" s="632" t="s">
        <v>521</v>
      </c>
      <c r="G43" s="632"/>
      <c r="H43" s="632"/>
      <c r="I43" s="632"/>
      <c r="J43" s="632"/>
      <c r="K43" s="632"/>
      <c r="L43" s="661"/>
      <c r="M43" s="662"/>
      <c r="N43" s="258" t="b">
        <v>0</v>
      </c>
      <c r="O43" s="633"/>
      <c r="P43" s="633"/>
      <c r="Q43" s="633"/>
      <c r="R43" s="633"/>
      <c r="S43" s="633"/>
      <c r="T43" s="633"/>
      <c r="U43" s="633"/>
    </row>
    <row r="44" spans="3:21">
      <c r="C44" s="713"/>
      <c r="D44" s="638"/>
      <c r="E44" s="257">
        <v>33</v>
      </c>
      <c r="F44" s="632" t="s">
        <v>522</v>
      </c>
      <c r="G44" s="632"/>
      <c r="H44" s="632"/>
      <c r="I44" s="632"/>
      <c r="J44" s="632"/>
      <c r="K44" s="632"/>
      <c r="L44" s="661"/>
      <c r="M44" s="662"/>
      <c r="N44" s="258" t="b">
        <v>0</v>
      </c>
      <c r="O44" s="633"/>
      <c r="P44" s="633"/>
      <c r="Q44" s="633"/>
      <c r="R44" s="633"/>
      <c r="S44" s="633"/>
      <c r="T44" s="633"/>
      <c r="U44" s="633"/>
    </row>
    <row r="45" spans="3:21">
      <c r="C45" s="713"/>
      <c r="D45" s="638"/>
      <c r="E45" s="257">
        <v>34</v>
      </c>
      <c r="F45" s="632" t="s">
        <v>523</v>
      </c>
      <c r="G45" s="632"/>
      <c r="H45" s="632"/>
      <c r="I45" s="632"/>
      <c r="J45" s="632"/>
      <c r="K45" s="632"/>
      <c r="L45" s="663"/>
      <c r="M45" s="664"/>
      <c r="N45" s="258" t="b">
        <v>0</v>
      </c>
      <c r="O45" s="633"/>
      <c r="P45" s="633"/>
      <c r="Q45" s="633"/>
      <c r="R45" s="633"/>
      <c r="S45" s="633"/>
      <c r="T45" s="633"/>
      <c r="U45" s="633"/>
    </row>
    <row r="46" spans="3:21">
      <c r="C46" s="713"/>
      <c r="D46" s="638"/>
      <c r="E46" s="209">
        <v>35</v>
      </c>
      <c r="F46" s="634" t="s">
        <v>524</v>
      </c>
      <c r="G46" s="634"/>
      <c r="H46" s="634"/>
      <c r="I46" s="634"/>
      <c r="J46" s="634"/>
      <c r="K46" s="634"/>
      <c r="L46" s="635" t="s">
        <v>525</v>
      </c>
      <c r="M46" s="635"/>
      <c r="N46" s="210" t="b">
        <v>0</v>
      </c>
      <c r="O46" s="636"/>
      <c r="P46" s="637"/>
      <c r="Q46" s="637"/>
      <c r="R46" s="637"/>
      <c r="S46" s="637"/>
      <c r="T46" s="637"/>
      <c r="U46" s="637"/>
    </row>
    <row r="47" spans="3:21">
      <c r="C47" s="713"/>
      <c r="D47" s="638"/>
      <c r="E47" s="209">
        <v>36</v>
      </c>
      <c r="F47" s="634" t="s">
        <v>526</v>
      </c>
      <c r="G47" s="634"/>
      <c r="H47" s="634"/>
      <c r="I47" s="634"/>
      <c r="J47" s="634"/>
      <c r="K47" s="634"/>
      <c r="L47" s="635" t="s">
        <v>507</v>
      </c>
      <c r="M47" s="635"/>
      <c r="N47" s="210" t="b">
        <v>0</v>
      </c>
      <c r="O47" s="636"/>
      <c r="P47" s="637"/>
      <c r="Q47" s="637"/>
      <c r="R47" s="637"/>
      <c r="S47" s="637"/>
      <c r="T47" s="637"/>
      <c r="U47" s="637"/>
    </row>
    <row r="48" spans="3:21">
      <c r="C48" s="713"/>
      <c r="D48" s="638" t="s">
        <v>527</v>
      </c>
      <c r="E48" s="209">
        <v>37</v>
      </c>
      <c r="F48" s="634" t="s">
        <v>528</v>
      </c>
      <c r="G48" s="634"/>
      <c r="H48" s="634"/>
      <c r="I48" s="634"/>
      <c r="J48" s="634"/>
      <c r="K48" s="634"/>
      <c r="L48" s="640" t="s">
        <v>529</v>
      </c>
      <c r="M48" s="641"/>
      <c r="N48" s="210" t="b">
        <v>0</v>
      </c>
      <c r="O48" s="636"/>
      <c r="P48" s="637"/>
      <c r="Q48" s="637"/>
      <c r="R48" s="637"/>
      <c r="S48" s="637"/>
      <c r="T48" s="637"/>
      <c r="U48" s="637"/>
    </row>
    <row r="49" spans="3:21">
      <c r="C49" s="714"/>
      <c r="D49" s="639"/>
      <c r="E49" s="209">
        <v>38</v>
      </c>
      <c r="F49" s="644" t="s">
        <v>530</v>
      </c>
      <c r="G49" s="645"/>
      <c r="H49" s="645"/>
      <c r="I49" s="645"/>
      <c r="J49" s="645"/>
      <c r="K49" s="646"/>
      <c r="L49" s="642"/>
      <c r="M49" s="643"/>
      <c r="N49" s="259" t="b">
        <v>0</v>
      </c>
      <c r="O49" s="647"/>
      <c r="P49" s="648"/>
      <c r="Q49" s="648"/>
      <c r="R49" s="648"/>
      <c r="S49" s="648"/>
      <c r="T49" s="648"/>
      <c r="U49" s="648"/>
    </row>
    <row r="50" spans="3:21" ht="16.5" customHeight="1"/>
    <row r="51" spans="3:21" ht="17.25" customHeight="1"/>
    <row r="52" spans="3:21" ht="16.5" customHeight="1"/>
  </sheetData>
  <mergeCells count="157">
    <mergeCell ref="AL2:AL6"/>
    <mergeCell ref="BE2:BE6"/>
    <mergeCell ref="BJ4:BR4"/>
    <mergeCell ref="AF5:AJ5"/>
    <mergeCell ref="AJ6:AJ7"/>
    <mergeCell ref="AL7:AL10"/>
    <mergeCell ref="BJ8:BR8"/>
    <mergeCell ref="BT2:BT6"/>
    <mergeCell ref="AF2:AG3"/>
    <mergeCell ref="AH2:AI2"/>
    <mergeCell ref="AJ2:AJ3"/>
    <mergeCell ref="BJ2:BR2"/>
    <mergeCell ref="AH3:AI3"/>
    <mergeCell ref="BJ3:BR3"/>
    <mergeCell ref="BJ9:BR9"/>
    <mergeCell ref="F6:K6"/>
    <mergeCell ref="L6:M6"/>
    <mergeCell ref="O6:U6"/>
    <mergeCell ref="AE6:AE7"/>
    <mergeCell ref="AF6:AG7"/>
    <mergeCell ref="AH6:AI6"/>
    <mergeCell ref="N4:U5"/>
    <mergeCell ref="W4:W9"/>
    <mergeCell ref="AF4:AG4"/>
    <mergeCell ref="AH4:AI4"/>
    <mergeCell ref="F9:K9"/>
    <mergeCell ref="O9:U9"/>
    <mergeCell ref="AF9:AJ9"/>
    <mergeCell ref="F10:K10"/>
    <mergeCell ref="O10:U10"/>
    <mergeCell ref="AF10:AJ10"/>
    <mergeCell ref="BJ10:BR11"/>
    <mergeCell ref="C7:C49"/>
    <mergeCell ref="D7:D23"/>
    <mergeCell ref="F7:K7"/>
    <mergeCell ref="L7:M14"/>
    <mergeCell ref="O7:U7"/>
    <mergeCell ref="AH7:AI7"/>
    <mergeCell ref="F8:K8"/>
    <mergeCell ref="O8:U8"/>
    <mergeCell ref="AE8:AE14"/>
    <mergeCell ref="AF8:AJ8"/>
    <mergeCell ref="E11:E14"/>
    <mergeCell ref="F11:K14"/>
    <mergeCell ref="N11:N14"/>
    <mergeCell ref="O11:U11"/>
    <mergeCell ref="W11:W14"/>
    <mergeCell ref="AF11:AJ11"/>
    <mergeCell ref="O12:U12"/>
    <mergeCell ref="AF12:AJ12"/>
    <mergeCell ref="O13:U13"/>
    <mergeCell ref="AF13:AJ13"/>
    <mergeCell ref="O14:U14"/>
    <mergeCell ref="AF14:AJ14"/>
    <mergeCell ref="F15:K15"/>
    <mergeCell ref="L15:M20"/>
    <mergeCell ref="O15:U15"/>
    <mergeCell ref="AF15:AJ16"/>
    <mergeCell ref="F16:K16"/>
    <mergeCell ref="O16:U16"/>
    <mergeCell ref="W16:W21"/>
    <mergeCell ref="F17:K17"/>
    <mergeCell ref="F19:K19"/>
    <mergeCell ref="O19:U19"/>
    <mergeCell ref="AG19:AH19"/>
    <mergeCell ref="AI19:AJ19"/>
    <mergeCell ref="F20:K20"/>
    <mergeCell ref="O20:U20"/>
    <mergeCell ref="AE20:AJ20"/>
    <mergeCell ref="O17:U17"/>
    <mergeCell ref="AG17:AH17"/>
    <mergeCell ref="AI17:AJ17"/>
    <mergeCell ref="F18:K18"/>
    <mergeCell ref="O18:U18"/>
    <mergeCell ref="AG18:AH18"/>
    <mergeCell ref="AI18:AJ18"/>
    <mergeCell ref="F21:K21"/>
    <mergeCell ref="L21:M22"/>
    <mergeCell ref="O21:U21"/>
    <mergeCell ref="AF21:AG21"/>
    <mergeCell ref="AH21:AI21"/>
    <mergeCell ref="F22:K22"/>
    <mergeCell ref="O22:U22"/>
    <mergeCell ref="AF22:AG22"/>
    <mergeCell ref="AH22:AI22"/>
    <mergeCell ref="F23:K23"/>
    <mergeCell ref="L23:M23"/>
    <mergeCell ref="O23:U23"/>
    <mergeCell ref="W23:W28"/>
    <mergeCell ref="D24:D25"/>
    <mergeCell ref="F24:K24"/>
    <mergeCell ref="L24:M25"/>
    <mergeCell ref="O24:U24"/>
    <mergeCell ref="F25:K25"/>
    <mergeCell ref="O25:U25"/>
    <mergeCell ref="D26:D32"/>
    <mergeCell ref="E26:E28"/>
    <mergeCell ref="F26:K28"/>
    <mergeCell ref="L26:M32"/>
    <mergeCell ref="O26:U26"/>
    <mergeCell ref="O27:U27"/>
    <mergeCell ref="O28:U28"/>
    <mergeCell ref="F29:K29"/>
    <mergeCell ref="O29:U29"/>
    <mergeCell ref="F30:K30"/>
    <mergeCell ref="L34:M35"/>
    <mergeCell ref="O34:U34"/>
    <mergeCell ref="F35:K35"/>
    <mergeCell ref="O35:U35"/>
    <mergeCell ref="F36:K36"/>
    <mergeCell ref="L36:M36"/>
    <mergeCell ref="O36:U36"/>
    <mergeCell ref="O30:U30"/>
    <mergeCell ref="F31:K31"/>
    <mergeCell ref="O31:U31"/>
    <mergeCell ref="F32:K32"/>
    <mergeCell ref="O32:U32"/>
    <mergeCell ref="F33:K33"/>
    <mergeCell ref="L33:M33"/>
    <mergeCell ref="O33:U33"/>
    <mergeCell ref="F34:K34"/>
    <mergeCell ref="F37:K37"/>
    <mergeCell ref="L37:M38"/>
    <mergeCell ref="O37:U37"/>
    <mergeCell ref="F38:K38"/>
    <mergeCell ref="O38:U38"/>
    <mergeCell ref="D39:D47"/>
    <mergeCell ref="F39:K39"/>
    <mergeCell ref="L39:M39"/>
    <mergeCell ref="O39:U39"/>
    <mergeCell ref="F40:K40"/>
    <mergeCell ref="D33:D38"/>
    <mergeCell ref="O44:U44"/>
    <mergeCell ref="F45:K45"/>
    <mergeCell ref="O45:U45"/>
    <mergeCell ref="F46:K46"/>
    <mergeCell ref="L46:M46"/>
    <mergeCell ref="O46:U46"/>
    <mergeCell ref="L40:M40"/>
    <mergeCell ref="O40:U40"/>
    <mergeCell ref="F41:K41"/>
    <mergeCell ref="L41:M45"/>
    <mergeCell ref="O41:U41"/>
    <mergeCell ref="F42:K42"/>
    <mergeCell ref="O42:U42"/>
    <mergeCell ref="F43:K43"/>
    <mergeCell ref="O43:U43"/>
    <mergeCell ref="F44:K44"/>
    <mergeCell ref="F47:K47"/>
    <mergeCell ref="L47:M47"/>
    <mergeCell ref="O47:U47"/>
    <mergeCell ref="D48:D49"/>
    <mergeCell ref="F48:K48"/>
    <mergeCell ref="L48:M49"/>
    <mergeCell ref="O48:U48"/>
    <mergeCell ref="F49:K49"/>
    <mergeCell ref="O49:U49"/>
  </mergeCells>
  <phoneticPr fontId="1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Check Box 1">
              <controlPr defaultSize="0" autoFill="0" autoLine="0" autoPict="0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13</xdr:col>
                    <xdr:colOff>914400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Check Box 2">
              <controlPr defaultSize="0" autoFill="0" autoLine="0" autoPict="0">
                <anchor mov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13</xdr:col>
                    <xdr:colOff>914400</xdr:colOff>
                    <xdr:row>9</xdr:row>
                    <xdr:rowOff>4763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Check Box 3">
              <controlPr defaultSize="0" autoFill="0" autoLine="0" autoPict="0">
                <anchor mov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13</xdr:col>
                    <xdr:colOff>914400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Check Box 4">
              <controlPr defaultSize="0" autoFill="0" autoLine="0" autoPict="0">
                <anchor moveWithCells="1">
                  <from>
                    <xdr:col>13</xdr:col>
                    <xdr:colOff>0</xdr:colOff>
                    <xdr:row>11</xdr:row>
                    <xdr:rowOff>95250</xdr:rowOff>
                  </from>
                  <to>
                    <xdr:col>13</xdr:col>
                    <xdr:colOff>914400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Check Box 5">
              <controlPr defaultSize="0" autoFill="0" autoLine="0" autoPict="0">
                <anchor mov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13</xdr:col>
                    <xdr:colOff>914400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Check Box 6">
              <controlPr defaultSize="0" autoFill="0" autoLine="0" autoPict="0">
                <anchor mov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13</xdr:col>
                    <xdr:colOff>914400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Check Box 7">
              <controlPr defaultSize="0" autoFill="0" autoLine="0" autoPict="0">
                <anchor mov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13</xdr:col>
                    <xdr:colOff>914400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Check Box 8">
              <controlPr defaultSize="0" autoFill="0" autoLine="0" autoPict="0">
                <anchor mov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13</xdr:col>
                    <xdr:colOff>914400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Check Box 9">
              <controlPr defaultSize="0" autoFill="0" autoLine="0" autoPict="0">
                <anchor moveWithCells="1">
                  <from>
                    <xdr:col>13</xdr:col>
                    <xdr:colOff>0</xdr:colOff>
                    <xdr:row>18</xdr:row>
                    <xdr:rowOff>257175</xdr:rowOff>
                  </from>
                  <to>
                    <xdr:col>13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Check Box 10">
              <controlPr defaultSize="0" autoFill="0" autoLine="0" autoPict="0">
                <anchor mov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13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Check Box 11">
              <controlPr defaultSize="0" autoFill="0" autoLine="0" autoPict="0">
                <anchor mov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13</xdr:col>
                    <xdr:colOff>914400</xdr:colOff>
                    <xdr:row>21</xdr:row>
                    <xdr:rowOff>4763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Check Box 12">
              <controlPr defaultSize="0" autoFill="0" autoLine="0" autoPict="0">
                <anchor moveWithCells="1">
                  <from>
                    <xdr:col>13</xdr:col>
                    <xdr:colOff>0</xdr:colOff>
                    <xdr:row>21</xdr:row>
                    <xdr:rowOff>247650</xdr:rowOff>
                  </from>
                  <to>
                    <xdr:col>13</xdr:col>
                    <xdr:colOff>914400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Check Box 13">
              <controlPr defaultSize="0" autoFill="0" autoLine="0" autoPict="0">
                <anchor mov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13</xdr:col>
                    <xdr:colOff>914400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Check Box 14">
              <controlPr defaultSize="0" autoFill="0" autoLine="0" autoPict="0">
                <anchor mov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13</xdr:col>
                    <xdr:colOff>914400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Check Box 15">
              <controlPr defaultSize="0" autoFill="0" autoLine="0" autoPict="0">
                <anchor moveWithCells="1">
                  <from>
                    <xdr:col>13</xdr:col>
                    <xdr:colOff>0</xdr:colOff>
                    <xdr:row>25</xdr:row>
                    <xdr:rowOff>114300</xdr:rowOff>
                  </from>
                  <to>
                    <xdr:col>13</xdr:col>
                    <xdr:colOff>914400</xdr:colOff>
                    <xdr:row>26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Check Box 16">
              <controlPr defaultSize="0" autoFill="0" autoLine="0" autoPict="0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13</xdr:col>
                    <xdr:colOff>914400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Check Box 17">
              <controlPr defaultSize="0" autoFill="0" autoLine="0" autoPict="0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13</xdr:col>
                    <xdr:colOff>914400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Check Box 18">
              <controlPr defaultSize="0" autoFill="0" autoLine="0" autoPict="0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13</xdr:col>
                    <xdr:colOff>914400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Check Box 19">
              <controlPr defaultSize="0" autoFill="0" autoLine="0" autoPict="0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13</xdr:col>
                    <xdr:colOff>914400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Check Box 20">
              <controlPr defaultSize="0" autoFill="0" autoLine="0" autoPict="0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13</xdr:col>
                    <xdr:colOff>914400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Check Box 21">
              <controlPr defaultSize="0" autoFill="0" autoLine="0" autoPict="0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13</xdr:col>
                    <xdr:colOff>914400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Check Box 22">
              <controlPr defaultSize="0" autoFill="0" autoLine="0" autoPict="0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13</xdr:col>
                    <xdr:colOff>914400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Check Box 23">
              <controlPr defaultSize="0" autoFill="0" autoLine="0" autoPict="0">
                <anchor moveWithCells="1">
                  <from>
                    <xdr:col>13</xdr:col>
                    <xdr:colOff>0</xdr:colOff>
                    <xdr:row>34</xdr:row>
                    <xdr:rowOff>152400</xdr:rowOff>
                  </from>
                  <to>
                    <xdr:col>13</xdr:col>
                    <xdr:colOff>914400</xdr:colOff>
                    <xdr:row>35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Check Box 24">
              <controlPr defaultSize="0" autoFill="0" autoLine="0" autoPict="0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13</xdr:col>
                    <xdr:colOff>914400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Check Box 25">
              <controlPr defaultSize="0" autoFill="0" autoLine="0" autoPict="0">
                <anchor mov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13</xdr:col>
                    <xdr:colOff>914400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Check Box 26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Check Box 27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Check Box 28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Check Box 29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Check Box 30">
              <controlPr defaultSize="0" autoFill="0" autoLine="0" autoPict="0">
                <anchor mov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13</xdr:col>
                    <xdr:colOff>914400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Check Box 31">
              <controlPr defaultSize="0" autoFill="0" autoLine="0" autoPict="0">
                <anchor mov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13</xdr:col>
                    <xdr:colOff>914400</xdr:colOff>
                    <xdr:row>41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Check Box 32">
              <controlPr defaultSize="0" autoFill="0" autoLine="0" autoPict="0">
                <anchor mov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13</xdr:col>
                    <xdr:colOff>914400</xdr:colOff>
                    <xdr:row>42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Check Box 33">
              <controlPr defaultSize="0" autoFill="0" autoLine="0" autoPict="0">
                <anchor mov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13</xdr:col>
                    <xdr:colOff>914400</xdr:colOff>
                    <xdr:row>43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Check Box 34">
              <controlPr defaultSize="0" autoFill="0" autoLine="0" autoPict="0">
                <anchor mov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13</xdr:col>
                    <xdr:colOff>914400</xdr:colOff>
                    <xdr:row>44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Check Box 35">
              <controlPr defaultSize="0" autoFill="0" autoLine="0" autoPict="0">
                <anchor mov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13</xdr:col>
                    <xdr:colOff>914400</xdr:colOff>
                    <xdr:row>46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Check Box 36">
              <controlPr defaultSize="0" autoFill="0" autoLine="0" autoPict="0">
                <anchor mov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13</xdr:col>
                    <xdr:colOff>914400</xdr:colOff>
                    <xdr:row>47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Check Box 37">
              <controlPr defaultSize="0" autoFill="0" autoLine="0" autoPict="0">
                <anchor mov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13</xdr:col>
                    <xdr:colOff>914400</xdr:colOff>
                    <xdr:row>48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Check Box 38">
              <controlPr defaultSize="0" autoFill="0" autoLine="0" autoPict="0">
                <anchor mov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13</xdr:col>
                    <xdr:colOff>914400</xdr:colOff>
                    <xdr:row>36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Check Box 39">
              <controlPr defaultSize="0" autoFill="0" autoLine="0" autoPict="0">
                <anchor mov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13</xdr:col>
                    <xdr:colOff>914400</xdr:colOff>
                    <xdr:row>45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Check Box 40">
              <controlPr defaultSize="0" autoFill="0" autoLine="0" autoPict="0">
                <anchor mov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14</xdr:col>
                    <xdr:colOff>0</xdr:colOff>
                    <xdr:row>39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Check Box 41">
              <controlPr defaultSize="0" autoFill="0" autoLine="0" autoPict="0">
                <anchor mov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14</xdr:col>
                    <xdr:colOff>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Check Box 42">
              <controlPr defaultSize="0" autoFill="0" autoLine="0" autoPict="0">
                <anchor mov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14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Check Box 43">
              <controlPr defaultSize="0" autoFill="0" autoLine="0" autoPict="0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14</xdr:col>
                    <xdr:colOff>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Check Box 44">
              <controlPr defaultSize="0" autoFill="0" autoLine="0" autoPict="0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14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C2697-3E5E-416A-A634-1F260958646E}">
  <sheetPr codeName="Sheet23"/>
  <dimension ref="A1:AA89"/>
  <sheetViews>
    <sheetView workbookViewId="0">
      <selection activeCell="D17" sqref="D17"/>
    </sheetView>
    <sheetView tabSelected="1" topLeftCell="A3" zoomScale="70" zoomScaleNormal="70" workbookViewId="1">
      <selection activeCell="D8" sqref="D8"/>
    </sheetView>
  </sheetViews>
  <sheetFormatPr defaultColWidth="9" defaultRowHeight="12.75"/>
  <cols>
    <col min="1" max="2" width="9" style="343"/>
    <col min="3" max="3" width="10" style="387" customWidth="1"/>
    <col min="4" max="4" width="77.86328125" style="343" bestFit="1" customWidth="1"/>
    <col min="5" max="5" width="17.265625" style="343" bestFit="1" customWidth="1"/>
    <col min="6" max="6" width="9" style="343"/>
    <col min="7" max="7" width="46.86328125" style="343" customWidth="1"/>
    <col min="8" max="8" width="9" style="344"/>
    <col min="9" max="9" width="7.265625" style="343" bestFit="1" customWidth="1"/>
    <col min="10" max="11" width="9" style="343"/>
    <col min="12" max="12" width="5.3984375" style="343" bestFit="1" customWidth="1"/>
    <col min="13" max="13" width="21.3984375" style="343" bestFit="1" customWidth="1"/>
    <col min="14" max="14" width="8.1328125" style="343" bestFit="1" customWidth="1"/>
    <col min="15" max="15" width="18.3984375" style="343" customWidth="1"/>
    <col min="16" max="16" width="7.265625" style="343" bestFit="1" customWidth="1"/>
    <col min="17" max="17" width="9" style="343" customWidth="1"/>
    <col min="18" max="18" width="9" style="343"/>
    <col min="19" max="19" width="9" style="343" customWidth="1"/>
    <col min="20" max="20" width="9" style="343"/>
    <col min="21" max="21" width="8.86328125" style="343" bestFit="1" customWidth="1"/>
    <col min="22" max="23" width="9" style="343"/>
    <col min="24" max="24" width="3.86328125" style="343" customWidth="1"/>
    <col min="25" max="27" width="8.86328125" style="343" bestFit="1" customWidth="1"/>
    <col min="28" max="16384" width="9" style="343"/>
  </cols>
  <sheetData>
    <row r="1" spans="1:27" ht="14.25" thickBot="1">
      <c r="A1" s="366" t="s">
        <v>977</v>
      </c>
      <c r="B1" s="369">
        <v>5</v>
      </c>
      <c r="C1" s="520"/>
      <c r="D1" s="368" t="s">
        <v>614</v>
      </c>
      <c r="E1" s="367"/>
    </row>
    <row r="2" spans="1:27" ht="13.15" thickTop="1">
      <c r="A2" s="366"/>
      <c r="B2" s="366"/>
      <c r="C2" s="519"/>
    </row>
    <row r="3" spans="1:27">
      <c r="A3" s="366"/>
      <c r="B3" s="783" t="s">
        <v>1014</v>
      </c>
      <c r="C3" s="783"/>
      <c r="D3" s="783"/>
      <c r="E3" s="783"/>
      <c r="F3" s="783"/>
      <c r="G3" s="783"/>
      <c r="I3" s="761" t="s">
        <v>617</v>
      </c>
      <c r="J3" s="761"/>
      <c r="K3" s="761"/>
      <c r="L3" s="761"/>
      <c r="M3" s="761"/>
      <c r="N3" s="761"/>
      <c r="O3" s="761"/>
      <c r="P3" s="761"/>
      <c r="Q3" s="761"/>
      <c r="S3" s="761" t="s">
        <v>1013</v>
      </c>
      <c r="T3" s="761"/>
      <c r="U3" s="761"/>
      <c r="V3" s="761"/>
      <c r="W3" s="761"/>
      <c r="X3" s="761"/>
      <c r="Y3" s="761"/>
      <c r="Z3" s="761"/>
      <c r="AA3" s="761"/>
    </row>
    <row r="4" spans="1:27" ht="13.15" thickBot="1">
      <c r="A4" s="366"/>
      <c r="B4" s="784"/>
      <c r="C4" s="784"/>
      <c r="D4" s="784"/>
      <c r="E4" s="784"/>
      <c r="F4" s="784"/>
      <c r="G4" s="784"/>
      <c r="I4" s="762"/>
      <c r="J4" s="762"/>
      <c r="K4" s="762"/>
      <c r="L4" s="762"/>
      <c r="M4" s="762"/>
      <c r="N4" s="762"/>
      <c r="O4" s="762"/>
      <c r="P4" s="762"/>
      <c r="Q4" s="762"/>
      <c r="S4" s="762"/>
      <c r="T4" s="762"/>
      <c r="U4" s="762"/>
      <c r="V4" s="762"/>
      <c r="W4" s="762"/>
      <c r="X4" s="762"/>
      <c r="Y4" s="762"/>
      <c r="Z4" s="762"/>
      <c r="AA4" s="762"/>
    </row>
    <row r="5" spans="1:27" ht="25.15" thickTop="1">
      <c r="A5" s="365"/>
      <c r="B5" s="1562" t="s">
        <v>761</v>
      </c>
      <c r="C5" s="1567" t="s">
        <v>1012</v>
      </c>
      <c r="D5" s="1561" t="s">
        <v>1445</v>
      </c>
      <c r="E5" s="1562" t="s">
        <v>852</v>
      </c>
      <c r="F5" s="1564" t="s">
        <v>851</v>
      </c>
      <c r="G5" s="1563" t="s">
        <v>976</v>
      </c>
      <c r="I5" s="376" t="s">
        <v>612</v>
      </c>
      <c r="J5" s="376"/>
      <c r="K5" s="376"/>
      <c r="L5" s="376"/>
      <c r="M5" s="376"/>
      <c r="N5" s="376"/>
      <c r="O5" s="376"/>
      <c r="P5" s="376"/>
      <c r="Q5" s="376"/>
      <c r="T5" s="347"/>
      <c r="U5" s="347"/>
      <c r="V5" s="347"/>
      <c r="W5" s="347"/>
      <c r="X5" s="347"/>
      <c r="Z5" s="347"/>
      <c r="AA5" s="347"/>
    </row>
    <row r="6" spans="1:27" ht="24.75">
      <c r="B6" s="1569">
        <v>0</v>
      </c>
      <c r="C6" s="1569"/>
      <c r="D6" s="1570" t="s">
        <v>1446</v>
      </c>
      <c r="E6" s="1569"/>
      <c r="F6" s="1569"/>
      <c r="G6" s="1569"/>
      <c r="I6" s="377" t="s">
        <v>613</v>
      </c>
      <c r="J6" s="377"/>
      <c r="K6" s="377"/>
      <c r="L6" s="377"/>
      <c r="M6" s="377"/>
      <c r="N6" s="377"/>
      <c r="O6" s="377"/>
      <c r="P6" s="377"/>
      <c r="Q6" s="377"/>
      <c r="S6" s="772" t="s">
        <v>577</v>
      </c>
      <c r="T6" s="772"/>
      <c r="U6" s="772"/>
      <c r="V6" s="772"/>
      <c r="W6" s="772"/>
      <c r="X6" s="347"/>
      <c r="Y6" s="772" t="s">
        <v>1008</v>
      </c>
      <c r="Z6" s="772"/>
      <c r="AA6" s="772"/>
    </row>
    <row r="7" spans="1:27" ht="19.149999999999999">
      <c r="B7" s="1568">
        <v>1</v>
      </c>
      <c r="C7" s="1565" t="s">
        <v>1011</v>
      </c>
      <c r="D7" s="350" t="s">
        <v>1010</v>
      </c>
      <c r="E7" s="349" t="s">
        <v>1009</v>
      </c>
      <c r="F7" s="498" t="s">
        <v>1007</v>
      </c>
      <c r="G7" s="348"/>
      <c r="I7" s="377" t="s">
        <v>611</v>
      </c>
      <c r="J7" s="377"/>
      <c r="K7" s="377"/>
      <c r="L7" s="377"/>
      <c r="M7" s="377"/>
      <c r="N7" s="377"/>
      <c r="O7" s="377"/>
      <c r="P7" s="377"/>
      <c r="Q7" s="377"/>
      <c r="S7" s="518"/>
      <c r="T7" s="518"/>
      <c r="U7" s="518"/>
      <c r="V7" s="518"/>
      <c r="W7" s="518"/>
      <c r="X7" s="344"/>
      <c r="Y7" s="517"/>
      <c r="Z7" s="517"/>
      <c r="AA7" s="517"/>
    </row>
    <row r="8" spans="1:27" ht="25.5" thickBot="1">
      <c r="B8" s="351">
        <v>2</v>
      </c>
      <c r="C8" s="1565"/>
      <c r="D8" s="350" t="s">
        <v>615</v>
      </c>
      <c r="E8" s="349" t="s">
        <v>1007</v>
      </c>
      <c r="F8" s="498" t="s">
        <v>1007</v>
      </c>
      <c r="G8" s="348"/>
      <c r="I8" s="374" t="s">
        <v>638</v>
      </c>
      <c r="J8" s="375"/>
      <c r="K8" s="375"/>
      <c r="L8" s="375"/>
      <c r="M8" s="375"/>
      <c r="N8" s="375"/>
      <c r="O8" s="375"/>
      <c r="P8" s="375"/>
      <c r="Q8" s="375"/>
      <c r="S8" s="767" t="s">
        <v>995</v>
      </c>
      <c r="T8" s="767"/>
      <c r="U8" s="767"/>
      <c r="V8" s="767"/>
      <c r="W8" s="767"/>
      <c r="Y8" s="771" t="s">
        <v>630</v>
      </c>
      <c r="Z8" s="771"/>
      <c r="AA8" s="771"/>
    </row>
    <row r="9" spans="1:27" ht="19.899999999999999" thickTop="1" thickBot="1">
      <c r="B9" s="351">
        <v>3</v>
      </c>
      <c r="C9" s="1565"/>
      <c r="D9" s="352" t="s">
        <v>133</v>
      </c>
      <c r="E9" s="349" t="s">
        <v>1007</v>
      </c>
      <c r="F9" s="498" t="s">
        <v>1007</v>
      </c>
      <c r="G9" s="348"/>
      <c r="I9" s="775" t="s">
        <v>392</v>
      </c>
      <c r="J9" s="775"/>
      <c r="K9" s="775"/>
      <c r="L9" s="775"/>
      <c r="M9" s="775"/>
      <c r="N9" s="775"/>
      <c r="O9" s="775"/>
      <c r="P9" s="775"/>
      <c r="Q9" s="775"/>
      <c r="S9" s="379" t="s">
        <v>632</v>
      </c>
      <c r="T9" s="380"/>
      <c r="U9" s="455" t="s">
        <v>633</v>
      </c>
      <c r="V9" s="768" t="s">
        <v>634</v>
      </c>
      <c r="W9" s="768"/>
      <c r="Y9" s="386" t="s">
        <v>631</v>
      </c>
      <c r="Z9" s="516" t="s">
        <v>631</v>
      </c>
      <c r="AA9" s="386" t="s">
        <v>631</v>
      </c>
    </row>
    <row r="10" spans="1:27" ht="19.5" thickTop="1">
      <c r="B10" s="351">
        <v>4</v>
      </c>
      <c r="C10" s="1566"/>
      <c r="D10" s="352" t="s">
        <v>616</v>
      </c>
      <c r="E10" s="349" t="s">
        <v>1007</v>
      </c>
      <c r="F10" s="498" t="s">
        <v>1007</v>
      </c>
      <c r="G10" s="348"/>
      <c r="I10" s="344"/>
      <c r="J10" s="344"/>
      <c r="K10" s="344"/>
      <c r="L10" s="344"/>
      <c r="M10" s="344"/>
      <c r="N10" s="344"/>
      <c r="O10" s="344"/>
      <c r="P10" s="344"/>
      <c r="Q10" s="344"/>
      <c r="S10" s="763" t="s">
        <v>636</v>
      </c>
      <c r="T10" s="764"/>
      <c r="U10" s="515" t="s">
        <v>631</v>
      </c>
      <c r="V10" s="769" t="s">
        <v>635</v>
      </c>
      <c r="W10" s="769"/>
      <c r="Y10" s="385" t="s">
        <v>635</v>
      </c>
      <c r="Z10" s="514" t="s">
        <v>635</v>
      </c>
      <c r="AA10" s="385" t="s">
        <v>635</v>
      </c>
    </row>
    <row r="11" spans="1:27" ht="25.5" thickBot="1">
      <c r="B11" s="351">
        <v>5</v>
      </c>
      <c r="C11" s="787" t="s">
        <v>1006</v>
      </c>
      <c r="D11" s="352" t="s">
        <v>1005</v>
      </c>
      <c r="E11" s="349" t="s">
        <v>436</v>
      </c>
      <c r="F11" s="498" t="s">
        <v>834</v>
      </c>
      <c r="G11" s="348"/>
      <c r="I11" s="777" t="s">
        <v>850</v>
      </c>
      <c r="J11" s="777"/>
      <c r="K11" s="777"/>
      <c r="L11" s="777"/>
      <c r="M11" s="777"/>
      <c r="N11" s="777"/>
      <c r="O11" s="777"/>
      <c r="P11" s="777"/>
      <c r="Q11" s="777"/>
      <c r="S11" s="765"/>
      <c r="T11" s="766"/>
      <c r="U11" s="513" t="s">
        <v>631</v>
      </c>
      <c r="V11" s="770" t="s">
        <v>635</v>
      </c>
      <c r="W11" s="770"/>
      <c r="Y11" s="384" t="s">
        <v>635</v>
      </c>
      <c r="Z11" s="512" t="s">
        <v>635</v>
      </c>
      <c r="AA11" s="384" t="s">
        <v>635</v>
      </c>
    </row>
    <row r="12" spans="1:27" ht="19.899999999999999" thickTop="1" thickBot="1">
      <c r="B12" s="351">
        <v>6</v>
      </c>
      <c r="C12" s="786"/>
      <c r="D12" s="352" t="s">
        <v>1004</v>
      </c>
      <c r="E12" s="349" t="s">
        <v>436</v>
      </c>
      <c r="F12" s="498" t="s">
        <v>834</v>
      </c>
      <c r="G12" s="348"/>
      <c r="I12" s="363" t="s">
        <v>849</v>
      </c>
      <c r="J12" s="372" t="s">
        <v>848</v>
      </c>
      <c r="K12" s="373"/>
      <c r="L12" s="364" t="s">
        <v>847</v>
      </c>
      <c r="M12" s="364" t="s">
        <v>846</v>
      </c>
      <c r="N12" s="364" t="s">
        <v>845</v>
      </c>
      <c r="O12" s="364" t="s">
        <v>844</v>
      </c>
      <c r="P12" s="510" t="s">
        <v>583</v>
      </c>
      <c r="Q12" s="363"/>
      <c r="S12" s="509"/>
      <c r="T12" s="509"/>
      <c r="U12" s="509"/>
      <c r="V12" s="509"/>
      <c r="W12" s="509"/>
    </row>
    <row r="13" spans="1:27" ht="63.4" thickTop="1">
      <c r="B13" s="351">
        <v>7</v>
      </c>
      <c r="C13" s="351" t="s">
        <v>1003</v>
      </c>
      <c r="D13" s="511" t="s">
        <v>1002</v>
      </c>
      <c r="E13" s="349" t="s">
        <v>436</v>
      </c>
      <c r="F13" s="498" t="s">
        <v>834</v>
      </c>
      <c r="G13" s="508" t="s">
        <v>1001</v>
      </c>
      <c r="I13" s="362" t="s">
        <v>843</v>
      </c>
      <c r="J13" s="370" t="s">
        <v>576</v>
      </c>
      <c r="K13" s="371"/>
      <c r="L13" s="361">
        <v>20</v>
      </c>
      <c r="M13" s="361" t="s">
        <v>582</v>
      </c>
      <c r="N13" s="361" t="s">
        <v>579</v>
      </c>
      <c r="O13" s="361" t="s">
        <v>619</v>
      </c>
      <c r="P13" s="360" t="s">
        <v>620</v>
      </c>
      <c r="Q13" s="360"/>
      <c r="S13" s="772" t="s">
        <v>997</v>
      </c>
      <c r="T13" s="772"/>
      <c r="U13" s="772"/>
      <c r="V13" s="772"/>
      <c r="W13" s="772"/>
    </row>
    <row r="14" spans="1:27" ht="47.25">
      <c r="B14" s="351">
        <v>8</v>
      </c>
      <c r="C14" s="351" t="s">
        <v>1000</v>
      </c>
      <c r="D14" s="352" t="s">
        <v>999</v>
      </c>
      <c r="E14" s="349" t="s">
        <v>436</v>
      </c>
      <c r="F14" s="498" t="s">
        <v>834</v>
      </c>
      <c r="G14" s="508" t="s">
        <v>998</v>
      </c>
      <c r="I14" s="358" t="s">
        <v>842</v>
      </c>
      <c r="J14" s="370" t="s">
        <v>576</v>
      </c>
      <c r="K14" s="371"/>
      <c r="L14" s="357">
        <v>14</v>
      </c>
      <c r="M14" s="357" t="s">
        <v>621</v>
      </c>
      <c r="N14" s="357" t="s">
        <v>578</v>
      </c>
      <c r="O14" s="357" t="s">
        <v>622</v>
      </c>
      <c r="P14" s="356" t="s">
        <v>620</v>
      </c>
      <c r="Q14" s="356"/>
      <c r="S14" s="507"/>
      <c r="T14" s="507"/>
      <c r="U14" s="507"/>
      <c r="V14" s="507"/>
      <c r="W14" s="507"/>
    </row>
    <row r="15" spans="1:27" ht="25.15">
      <c r="B15" s="351">
        <v>9</v>
      </c>
      <c r="C15" s="789" t="s">
        <v>996</v>
      </c>
      <c r="D15" s="352" t="s">
        <v>1183</v>
      </c>
      <c r="E15" s="349" t="s">
        <v>436</v>
      </c>
      <c r="F15" s="505" t="s">
        <v>835</v>
      </c>
      <c r="G15" s="348"/>
      <c r="I15" s="358" t="s">
        <v>841</v>
      </c>
      <c r="J15" s="370" t="s">
        <v>576</v>
      </c>
      <c r="K15" s="371"/>
      <c r="L15" s="357">
        <v>12</v>
      </c>
      <c r="M15" s="357" t="s">
        <v>623</v>
      </c>
      <c r="N15" s="357" t="s">
        <v>580</v>
      </c>
      <c r="O15" s="357" t="s">
        <v>624</v>
      </c>
      <c r="P15" s="356" t="s">
        <v>620</v>
      </c>
      <c r="Q15" s="356"/>
      <c r="S15" s="782" t="s">
        <v>995</v>
      </c>
      <c r="T15" s="782"/>
      <c r="U15" s="782"/>
      <c r="V15" s="782"/>
      <c r="W15" s="782"/>
    </row>
    <row r="16" spans="1:27" ht="47.65" thickBot="1">
      <c r="B16" s="351">
        <v>10</v>
      </c>
      <c r="C16" s="785"/>
      <c r="D16" s="352" t="s">
        <v>1182</v>
      </c>
      <c r="E16" s="349" t="s">
        <v>436</v>
      </c>
      <c r="F16" s="505" t="s">
        <v>835</v>
      </c>
      <c r="G16" s="506" t="s">
        <v>1079</v>
      </c>
      <c r="I16" s="358" t="s">
        <v>840</v>
      </c>
      <c r="J16" s="370" t="s">
        <v>576</v>
      </c>
      <c r="K16" s="371"/>
      <c r="L16" s="357">
        <v>14</v>
      </c>
      <c r="M16" s="357" t="s">
        <v>621</v>
      </c>
      <c r="N16" s="357" t="s">
        <v>578</v>
      </c>
      <c r="O16" s="357" t="s">
        <v>625</v>
      </c>
      <c r="P16" s="356" t="s">
        <v>620</v>
      </c>
      <c r="Q16" s="356"/>
      <c r="S16" s="379" t="s">
        <v>632</v>
      </c>
      <c r="T16" s="380"/>
      <c r="U16" s="381" t="s">
        <v>633</v>
      </c>
      <c r="V16" s="780" t="s">
        <v>634</v>
      </c>
      <c r="W16" s="768"/>
    </row>
    <row r="17" spans="2:23" ht="19.5" thickTop="1">
      <c r="B17" s="351">
        <v>11</v>
      </c>
      <c r="C17" s="785"/>
      <c r="D17" s="352" t="s">
        <v>618</v>
      </c>
      <c r="E17" s="349" t="s">
        <v>436</v>
      </c>
      <c r="F17" s="505" t="s">
        <v>835</v>
      </c>
      <c r="G17" s="348"/>
      <c r="I17" s="358" t="s">
        <v>839</v>
      </c>
      <c r="J17" s="370" t="s">
        <v>576</v>
      </c>
      <c r="K17" s="371"/>
      <c r="L17" s="357">
        <v>12</v>
      </c>
      <c r="M17" s="357" t="s">
        <v>623</v>
      </c>
      <c r="N17" s="357" t="s">
        <v>581</v>
      </c>
      <c r="O17" s="357" t="s">
        <v>619</v>
      </c>
      <c r="P17" s="356" t="s">
        <v>626</v>
      </c>
      <c r="Q17" s="356"/>
      <c r="S17" s="763" t="s">
        <v>636</v>
      </c>
      <c r="T17" s="764"/>
      <c r="U17" s="382" t="s">
        <v>631</v>
      </c>
      <c r="V17" s="769" t="s">
        <v>635</v>
      </c>
      <c r="W17" s="769"/>
    </row>
    <row r="18" spans="2:23" ht="20.65">
      <c r="B18" s="351">
        <v>12</v>
      </c>
      <c r="C18" s="786"/>
      <c r="D18" s="352" t="s">
        <v>1317</v>
      </c>
      <c r="E18" s="349" t="s">
        <v>436</v>
      </c>
      <c r="F18" s="498" t="s">
        <v>834</v>
      </c>
      <c r="G18" s="348"/>
      <c r="I18" s="358" t="s">
        <v>837</v>
      </c>
      <c r="J18" s="370" t="s">
        <v>576</v>
      </c>
      <c r="K18" s="371"/>
      <c r="L18" s="357">
        <v>14</v>
      </c>
      <c r="M18" s="357" t="s">
        <v>621</v>
      </c>
      <c r="N18" s="357" t="s">
        <v>578</v>
      </c>
      <c r="O18" s="357" t="s">
        <v>625</v>
      </c>
      <c r="P18" s="356" t="s">
        <v>620</v>
      </c>
      <c r="Q18" s="356"/>
      <c r="S18" s="778"/>
      <c r="T18" s="779"/>
      <c r="U18" s="378" t="s">
        <v>631</v>
      </c>
      <c r="V18" s="781" t="s">
        <v>635</v>
      </c>
      <c r="W18" s="781"/>
    </row>
    <row r="19" spans="2:23" ht="19.149999999999999">
      <c r="B19" s="351">
        <v>13</v>
      </c>
      <c r="C19" s="787" t="s">
        <v>994</v>
      </c>
      <c r="D19" s="352" t="s">
        <v>838</v>
      </c>
      <c r="E19" s="353" t="s">
        <v>760</v>
      </c>
      <c r="F19" s="505" t="s">
        <v>835</v>
      </c>
      <c r="G19" s="348"/>
      <c r="I19" s="358" t="s">
        <v>836</v>
      </c>
      <c r="J19" s="370" t="s">
        <v>576</v>
      </c>
      <c r="K19" s="371"/>
      <c r="L19" s="357">
        <v>20</v>
      </c>
      <c r="M19" s="357" t="s">
        <v>621</v>
      </c>
      <c r="N19" s="357" t="s">
        <v>578</v>
      </c>
      <c r="O19" s="357" t="s">
        <v>628</v>
      </c>
      <c r="P19" s="356" t="s">
        <v>620</v>
      </c>
      <c r="Q19" s="356"/>
      <c r="S19" s="778"/>
      <c r="T19" s="779"/>
      <c r="U19" s="378" t="s">
        <v>631</v>
      </c>
      <c r="V19" s="792" t="s">
        <v>635</v>
      </c>
      <c r="W19" s="792"/>
    </row>
    <row r="20" spans="2:23" ht="21" thickBot="1">
      <c r="B20" s="351">
        <v>14</v>
      </c>
      <c r="C20" s="786"/>
      <c r="D20" s="352" t="s">
        <v>1184</v>
      </c>
      <c r="E20" s="349" t="s">
        <v>436</v>
      </c>
      <c r="F20" s="498" t="s">
        <v>834</v>
      </c>
      <c r="G20" s="348"/>
      <c r="I20" s="355"/>
      <c r="J20" s="370"/>
      <c r="K20" s="371"/>
      <c r="L20" s="354"/>
      <c r="M20" s="354"/>
      <c r="N20" s="354"/>
      <c r="O20" s="354"/>
      <c r="P20" s="354"/>
      <c r="Q20" s="354"/>
      <c r="S20" s="793" t="s">
        <v>991</v>
      </c>
      <c r="T20" s="793"/>
      <c r="U20" s="793"/>
      <c r="V20" s="793"/>
      <c r="W20" s="793"/>
    </row>
    <row r="21" spans="2:23" ht="19.899999999999999" thickTop="1" thickBot="1">
      <c r="B21" s="351">
        <v>15</v>
      </c>
      <c r="C21" s="790" t="s">
        <v>993</v>
      </c>
      <c r="D21" s="504" t="s">
        <v>992</v>
      </c>
      <c r="E21" s="353" t="s">
        <v>760</v>
      </c>
      <c r="F21" s="498" t="s">
        <v>834</v>
      </c>
      <c r="G21" s="348"/>
      <c r="I21" s="776" t="s">
        <v>392</v>
      </c>
      <c r="J21" s="776"/>
      <c r="K21" s="776"/>
      <c r="L21" s="776"/>
      <c r="M21" s="776"/>
      <c r="N21" s="776"/>
      <c r="O21" s="776"/>
      <c r="P21" s="776"/>
      <c r="Q21" s="776"/>
      <c r="S21" s="763" t="s">
        <v>636</v>
      </c>
      <c r="T21" s="764"/>
      <c r="U21" s="382" t="s">
        <v>631</v>
      </c>
      <c r="V21" s="769" t="s">
        <v>635</v>
      </c>
      <c r="W21" s="769"/>
    </row>
    <row r="22" spans="2:23" ht="38.65" thickTop="1">
      <c r="B22" s="351">
        <v>16</v>
      </c>
      <c r="C22" s="791"/>
      <c r="D22" s="504" t="s">
        <v>1181</v>
      </c>
      <c r="E22" s="349" t="s">
        <v>436</v>
      </c>
      <c r="F22" s="505" t="s">
        <v>835</v>
      </c>
      <c r="G22" s="572" t="s">
        <v>1162</v>
      </c>
      <c r="I22" s="344"/>
      <c r="J22" s="344"/>
      <c r="K22" s="344"/>
      <c r="L22" s="344"/>
      <c r="M22" s="344"/>
      <c r="N22" s="344"/>
      <c r="O22" s="344"/>
      <c r="P22" s="344"/>
      <c r="Q22" s="344"/>
      <c r="S22" s="778"/>
      <c r="T22" s="779"/>
      <c r="U22" s="378" t="s">
        <v>631</v>
      </c>
      <c r="V22" s="781" t="s">
        <v>635</v>
      </c>
      <c r="W22" s="781"/>
    </row>
    <row r="23" spans="2:23" ht="21" thickBot="1">
      <c r="B23" s="351">
        <v>17</v>
      </c>
      <c r="C23" s="791"/>
      <c r="D23" s="504" t="s">
        <v>990</v>
      </c>
      <c r="E23" s="353" t="s">
        <v>760</v>
      </c>
      <c r="F23" s="505" t="s">
        <v>835</v>
      </c>
      <c r="G23" s="348"/>
      <c r="I23" s="344"/>
      <c r="J23" s="344"/>
      <c r="K23" s="344"/>
      <c r="L23" s="344"/>
      <c r="M23" s="344"/>
      <c r="N23" s="344"/>
      <c r="O23" s="344"/>
      <c r="P23" s="344"/>
      <c r="Q23" s="344"/>
      <c r="S23" s="765"/>
      <c r="T23" s="766"/>
      <c r="U23" s="383" t="s">
        <v>631</v>
      </c>
      <c r="V23" s="770" t="s">
        <v>635</v>
      </c>
      <c r="W23" s="770"/>
    </row>
    <row r="24" spans="2:23" ht="20.65">
      <c r="B24" s="351">
        <v>18</v>
      </c>
      <c r="C24" s="791"/>
      <c r="D24" s="504" t="s">
        <v>1180</v>
      </c>
      <c r="E24" s="349" t="s">
        <v>1007</v>
      </c>
      <c r="F24" s="498" t="s">
        <v>834</v>
      </c>
      <c r="G24" s="348"/>
      <c r="W24" s="501"/>
    </row>
    <row r="25" spans="2:23" ht="19.149999999999999">
      <c r="B25" s="351">
        <v>19</v>
      </c>
      <c r="C25" s="791"/>
      <c r="D25" s="504" t="s">
        <v>989</v>
      </c>
      <c r="E25" s="353" t="s">
        <v>760</v>
      </c>
      <c r="F25" s="505" t="s">
        <v>835</v>
      </c>
      <c r="G25" s="348"/>
      <c r="W25" s="501"/>
    </row>
    <row r="26" spans="2:23" ht="19.149999999999999">
      <c r="B26" s="351">
        <v>20</v>
      </c>
      <c r="C26" s="791"/>
      <c r="D26" s="504" t="s">
        <v>988</v>
      </c>
      <c r="E26" s="353" t="s">
        <v>760</v>
      </c>
      <c r="F26" s="505" t="s">
        <v>835</v>
      </c>
      <c r="G26" s="348"/>
      <c r="I26" s="794" t="s">
        <v>854</v>
      </c>
      <c r="J26" s="794"/>
      <c r="K26" s="794"/>
      <c r="L26" s="794"/>
      <c r="M26" s="794"/>
      <c r="N26" s="794"/>
      <c r="O26" s="794"/>
      <c r="P26" s="794"/>
      <c r="Q26" s="794"/>
      <c r="W26" s="501"/>
    </row>
    <row r="27" spans="2:23" ht="19.5" thickBot="1">
      <c r="B27" s="351">
        <v>21</v>
      </c>
      <c r="C27" s="791"/>
      <c r="D27" s="504" t="s">
        <v>627</v>
      </c>
      <c r="E27" s="353" t="s">
        <v>760</v>
      </c>
      <c r="F27" s="505" t="s">
        <v>835</v>
      </c>
      <c r="G27" s="348"/>
      <c r="I27" s="762"/>
      <c r="J27" s="762"/>
      <c r="K27" s="762"/>
      <c r="L27" s="762"/>
      <c r="M27" s="762"/>
      <c r="N27" s="762"/>
      <c r="O27" s="762"/>
      <c r="P27" s="762"/>
      <c r="Q27" s="762"/>
      <c r="W27" s="501"/>
    </row>
    <row r="28" spans="2:23" ht="19.5" thickTop="1">
      <c r="B28" s="351">
        <v>22</v>
      </c>
      <c r="C28" s="791"/>
      <c r="D28" s="504" t="s">
        <v>987</v>
      </c>
      <c r="E28" s="353" t="s">
        <v>760</v>
      </c>
      <c r="F28" s="505" t="s">
        <v>835</v>
      </c>
      <c r="G28" s="348"/>
      <c r="I28" s="503" t="s">
        <v>602</v>
      </c>
      <c r="J28" s="503"/>
      <c r="K28" s="503"/>
      <c r="L28" s="503"/>
      <c r="M28" s="503"/>
      <c r="N28" s="503"/>
      <c r="O28" s="503"/>
      <c r="P28" s="503"/>
      <c r="Q28" s="503"/>
      <c r="W28" s="501"/>
    </row>
    <row r="29" spans="2:23" ht="19.149999999999999">
      <c r="B29" s="351">
        <v>23</v>
      </c>
      <c r="C29" s="791"/>
      <c r="D29" s="504" t="s">
        <v>986</v>
      </c>
      <c r="E29" s="499" t="s">
        <v>979</v>
      </c>
      <c r="F29" s="498" t="s">
        <v>834</v>
      </c>
      <c r="G29" s="348"/>
      <c r="I29" s="343" t="s">
        <v>603</v>
      </c>
      <c r="W29" s="501"/>
    </row>
    <row r="30" spans="2:23" ht="25.5">
      <c r="B30" s="351">
        <v>24</v>
      </c>
      <c r="C30" s="502" t="s">
        <v>985</v>
      </c>
      <c r="D30" s="352" t="s">
        <v>984</v>
      </c>
      <c r="E30" s="349" t="s">
        <v>436</v>
      </c>
      <c r="F30" s="505" t="s">
        <v>835</v>
      </c>
      <c r="G30" s="348"/>
      <c r="I30" s="343" t="s">
        <v>604</v>
      </c>
    </row>
    <row r="31" spans="2:23" ht="19.149999999999999">
      <c r="B31" s="351">
        <v>25</v>
      </c>
      <c r="C31" s="500" t="s">
        <v>983</v>
      </c>
      <c r="D31" s="352" t="s">
        <v>982</v>
      </c>
      <c r="E31" s="499" t="s">
        <v>979</v>
      </c>
      <c r="F31" s="498" t="s">
        <v>834</v>
      </c>
      <c r="G31" s="348"/>
      <c r="I31" s="343" t="s">
        <v>605</v>
      </c>
    </row>
    <row r="32" spans="2:23" ht="19.149999999999999">
      <c r="B32" s="351">
        <v>26</v>
      </c>
      <c r="C32" s="500" t="s">
        <v>981</v>
      </c>
      <c r="D32" s="352" t="s">
        <v>980</v>
      </c>
      <c r="E32" s="499" t="s">
        <v>979</v>
      </c>
      <c r="F32" s="498" t="s">
        <v>834</v>
      </c>
      <c r="G32" s="348"/>
      <c r="I32" s="343" t="s">
        <v>637</v>
      </c>
    </row>
    <row r="33" spans="2:17" ht="15.75">
      <c r="B33" s="788" t="s">
        <v>833</v>
      </c>
      <c r="C33" s="788"/>
      <c r="D33" s="788"/>
      <c r="E33" s="788"/>
      <c r="F33" s="788"/>
      <c r="G33" s="788"/>
      <c r="I33" s="496" t="s">
        <v>606</v>
      </c>
      <c r="J33" s="496"/>
      <c r="K33" s="496"/>
      <c r="L33" s="496"/>
      <c r="M33" s="496"/>
      <c r="N33" s="496"/>
      <c r="O33" s="496"/>
      <c r="P33" s="496"/>
      <c r="Q33" s="496"/>
    </row>
    <row r="35" spans="2:17" ht="15">
      <c r="I35" s="497" t="s">
        <v>607</v>
      </c>
      <c r="J35" s="497"/>
      <c r="K35" s="497"/>
      <c r="L35" s="497"/>
      <c r="M35" s="497"/>
      <c r="N35" s="497"/>
      <c r="O35" s="497"/>
      <c r="P35" s="497"/>
      <c r="Q35" s="497"/>
    </row>
    <row r="36" spans="2:17">
      <c r="I36" s="343" t="s">
        <v>608</v>
      </c>
    </row>
    <row r="37" spans="2:17" ht="15.75">
      <c r="I37" s="343" t="s">
        <v>639</v>
      </c>
    </row>
    <row r="38" spans="2:17" ht="17.25" customHeight="1">
      <c r="I38" s="343" t="s">
        <v>609</v>
      </c>
    </row>
    <row r="39" spans="2:17" ht="16.5" customHeight="1">
      <c r="I39" s="496" t="s">
        <v>610</v>
      </c>
      <c r="J39" s="496"/>
      <c r="K39" s="496"/>
      <c r="L39" s="496"/>
      <c r="M39" s="496"/>
      <c r="N39" s="496"/>
      <c r="O39" s="496"/>
      <c r="P39" s="496"/>
      <c r="Q39" s="496"/>
    </row>
    <row r="40" spans="2:17" ht="16.5" customHeight="1">
      <c r="C40" s="495"/>
      <c r="D40" s="344"/>
      <c r="E40" s="344"/>
    </row>
    <row r="41" spans="2:17">
      <c r="C41" s="495"/>
      <c r="D41" s="344"/>
      <c r="E41" s="344"/>
    </row>
    <row r="42" spans="2:17">
      <c r="C42" s="495"/>
      <c r="D42" s="344"/>
      <c r="E42" s="344"/>
    </row>
    <row r="43" spans="2:17" ht="12.75" customHeight="1">
      <c r="C43" s="495"/>
      <c r="D43" s="344"/>
      <c r="E43" s="344"/>
    </row>
    <row r="44" spans="2:17">
      <c r="I44" s="773" t="s">
        <v>853</v>
      </c>
      <c r="J44" s="773"/>
      <c r="K44" s="773"/>
      <c r="L44" s="773"/>
    </row>
    <row r="45" spans="2:17" ht="13.15" thickBot="1">
      <c r="I45" s="774"/>
      <c r="J45" s="774"/>
      <c r="K45" s="774"/>
      <c r="L45" s="774"/>
    </row>
    <row r="46" spans="2:17" ht="13.15" thickTop="1"/>
    <row r="47" spans="2:17">
      <c r="I47" s="343">
        <v>1</v>
      </c>
      <c r="J47" s="343" t="s">
        <v>640</v>
      </c>
    </row>
    <row r="48" spans="2:17" ht="16.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6.5" customHeight="1"/>
    <row r="71" spans="18:18">
      <c r="R71" s="344"/>
    </row>
    <row r="72" spans="18:18">
      <c r="R72" s="344"/>
    </row>
    <row r="73" spans="18:18" ht="12.75" customHeight="1">
      <c r="R73" s="344"/>
    </row>
    <row r="74" spans="18:18" ht="13.5" customHeight="1">
      <c r="R74" s="344"/>
    </row>
    <row r="75" spans="18:18">
      <c r="R75" s="344"/>
    </row>
    <row r="76" spans="18:18">
      <c r="R76" s="344"/>
    </row>
    <row r="77" spans="18:18">
      <c r="R77" s="344"/>
    </row>
    <row r="78" spans="18:18">
      <c r="R78" s="344"/>
    </row>
    <row r="79" spans="18:18">
      <c r="R79" s="344"/>
    </row>
    <row r="80" spans="18:18">
      <c r="R80" s="344"/>
    </row>
    <row r="81" spans="18:18">
      <c r="R81" s="344"/>
    </row>
    <row r="82" spans="18:18">
      <c r="R82" s="344"/>
    </row>
    <row r="83" spans="18:18">
      <c r="R83" s="344"/>
    </row>
    <row r="84" spans="18:18">
      <c r="R84" s="344"/>
    </row>
    <row r="85" spans="18:18">
      <c r="R85" s="344"/>
    </row>
    <row r="86" spans="18:18">
      <c r="R86" s="344"/>
    </row>
    <row r="87" spans="18:18">
      <c r="R87" s="344"/>
    </row>
    <row r="88" spans="18:18">
      <c r="R88" s="344"/>
    </row>
    <row r="89" spans="18:18">
      <c r="R89" s="344"/>
    </row>
  </sheetData>
  <mergeCells count="33">
    <mergeCell ref="B33:G33"/>
    <mergeCell ref="V19:W19"/>
    <mergeCell ref="S21:T23"/>
    <mergeCell ref="S20:W20"/>
    <mergeCell ref="I26:Q27"/>
    <mergeCell ref="V21:W21"/>
    <mergeCell ref="V22:W22"/>
    <mergeCell ref="V23:W23"/>
    <mergeCell ref="B3:G4"/>
    <mergeCell ref="C11:C12"/>
    <mergeCell ref="C15:C18"/>
    <mergeCell ref="C19:C20"/>
    <mergeCell ref="C21:C29"/>
    <mergeCell ref="V16:W16"/>
    <mergeCell ref="V17:W17"/>
    <mergeCell ref="V18:W18"/>
    <mergeCell ref="S15:W15"/>
    <mergeCell ref="S13:W13"/>
    <mergeCell ref="I44:L45"/>
    <mergeCell ref="I9:Q9"/>
    <mergeCell ref="I21:Q21"/>
    <mergeCell ref="I11:Q11"/>
    <mergeCell ref="S17:T19"/>
    <mergeCell ref="I3:Q4"/>
    <mergeCell ref="S3:AA4"/>
    <mergeCell ref="S10:T11"/>
    <mergeCell ref="S8:W8"/>
    <mergeCell ref="V9:W9"/>
    <mergeCell ref="V10:W10"/>
    <mergeCell ref="V11:W11"/>
    <mergeCell ref="Y8:AA8"/>
    <mergeCell ref="S6:W6"/>
    <mergeCell ref="Y6:AA6"/>
  </mergeCells>
  <phoneticPr fontId="1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3" name="Drop Down 1">
              <controlPr defaultSize="0" autoLine="0" autoPict="0" macro="[0]!목차드롭다운">
                <anchor moveWithCells="1">
                  <from>
                    <xdr:col>3</xdr:col>
                    <xdr:colOff>2838450</xdr:colOff>
                    <xdr:row>33</xdr:row>
                    <xdr:rowOff>123825</xdr:rowOff>
                  </from>
                  <to>
                    <xdr:col>3</xdr:col>
                    <xdr:colOff>4914900</xdr:colOff>
                    <xdr:row>37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BCCAB-F3F5-4989-9539-323E73B64E7A}">
  <sheetPr codeName="Sheet1"/>
  <dimension ref="A1:AL63"/>
  <sheetViews>
    <sheetView workbookViewId="0"/>
    <sheetView workbookViewId="1"/>
  </sheetViews>
  <sheetFormatPr defaultRowHeight="12.75"/>
  <cols>
    <col min="1" max="1" width="14" customWidth="1"/>
  </cols>
  <sheetData>
    <row r="1" spans="1:38" ht="26.25">
      <c r="A1" s="1" t="s">
        <v>41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899999999999999">
      <c r="A2" s="3">
        <v>0</v>
      </c>
    </row>
    <row r="3" spans="1:38" ht="16.899999999999999">
      <c r="A3" s="2">
        <v>1</v>
      </c>
    </row>
    <row r="4" spans="1:38" ht="16.899999999999999">
      <c r="A4" s="2">
        <v>2</v>
      </c>
    </row>
    <row r="5" spans="1:38" ht="16.899999999999999">
      <c r="A5" s="2">
        <v>3</v>
      </c>
    </row>
    <row r="6" spans="1:38" ht="16.899999999999999">
      <c r="A6" s="2">
        <v>4</v>
      </c>
    </row>
    <row r="7" spans="1:38" ht="16.899999999999999">
      <c r="A7" s="2">
        <v>5</v>
      </c>
    </row>
    <row r="8" spans="1:38" ht="16.899999999999999">
      <c r="A8" s="2">
        <v>6</v>
      </c>
    </row>
    <row r="9" spans="1:38" ht="16.899999999999999">
      <c r="A9" s="2">
        <v>7</v>
      </c>
    </row>
    <row r="10" spans="1:38" ht="16.899999999999999">
      <c r="A10" s="2">
        <v>8</v>
      </c>
    </row>
    <row r="11" spans="1:38" ht="16.899999999999999">
      <c r="A11" s="2">
        <v>9</v>
      </c>
    </row>
    <row r="12" spans="1:38" ht="16.899999999999999">
      <c r="A12" s="2">
        <v>10</v>
      </c>
    </row>
    <row r="13" spans="1:38" ht="16.899999999999999">
      <c r="A13" s="2">
        <v>11</v>
      </c>
    </row>
    <row r="14" spans="1:38" ht="16.899999999999999">
      <c r="A14" s="2">
        <v>12</v>
      </c>
    </row>
    <row r="15" spans="1:38" ht="16.899999999999999">
      <c r="A15" s="2">
        <v>13</v>
      </c>
    </row>
    <row r="16" spans="1:38" ht="16.899999999999999">
      <c r="A16" s="2">
        <v>14</v>
      </c>
    </row>
    <row r="17" spans="1:1" ht="16.899999999999999">
      <c r="A17" s="2">
        <v>15</v>
      </c>
    </row>
    <row r="18" spans="1:1" ht="16.899999999999999">
      <c r="A18" s="2">
        <v>16</v>
      </c>
    </row>
    <row r="19" spans="1:1" ht="16.899999999999999">
      <c r="A19" s="2">
        <v>17</v>
      </c>
    </row>
    <row r="20" spans="1:1" ht="16.899999999999999">
      <c r="A20" s="2">
        <v>18</v>
      </c>
    </row>
    <row r="21" spans="1:1" ht="16.899999999999999">
      <c r="A21" s="2">
        <v>19</v>
      </c>
    </row>
    <row r="22" spans="1:1" ht="16.899999999999999">
      <c r="A22" s="2">
        <v>20</v>
      </c>
    </row>
    <row r="23" spans="1:1" ht="16.899999999999999">
      <c r="A23" s="2">
        <v>21</v>
      </c>
    </row>
    <row r="24" spans="1:1" ht="16.899999999999999">
      <c r="A24" s="2">
        <v>22</v>
      </c>
    </row>
    <row r="25" spans="1:1" ht="16.899999999999999">
      <c r="A25" s="2">
        <v>23</v>
      </c>
    </row>
    <row r="26" spans="1:1" ht="16.899999999999999">
      <c r="A26" s="2">
        <v>24</v>
      </c>
    </row>
    <row r="27" spans="1:1" ht="16.899999999999999">
      <c r="A27" s="2">
        <v>25</v>
      </c>
    </row>
    <row r="28" spans="1:1" ht="16.899999999999999">
      <c r="A28" s="2">
        <v>26</v>
      </c>
    </row>
    <row r="29" spans="1:1" ht="16.899999999999999">
      <c r="A29" s="2">
        <v>27</v>
      </c>
    </row>
    <row r="30" spans="1:1" ht="16.899999999999999">
      <c r="A30" s="2">
        <v>28</v>
      </c>
    </row>
    <row r="31" spans="1:1" ht="16.899999999999999">
      <c r="A31" s="2">
        <v>29</v>
      </c>
    </row>
    <row r="32" spans="1:1" ht="16.899999999999999">
      <c r="A32" s="2">
        <v>30</v>
      </c>
    </row>
    <row r="33" spans="1:1" ht="16.899999999999999">
      <c r="A33" s="2">
        <v>31</v>
      </c>
    </row>
    <row r="34" spans="1:1" ht="16.899999999999999">
      <c r="A34" s="2">
        <v>32</v>
      </c>
    </row>
    <row r="35" spans="1:1" ht="16.899999999999999">
      <c r="A35" s="2">
        <v>33</v>
      </c>
    </row>
    <row r="36" spans="1:1" ht="16.899999999999999">
      <c r="A36" s="2">
        <v>34</v>
      </c>
    </row>
    <row r="37" spans="1:1" ht="16.899999999999999">
      <c r="A37" s="2">
        <v>35</v>
      </c>
    </row>
    <row r="38" spans="1:1" ht="16.899999999999999">
      <c r="A38" s="2">
        <v>36</v>
      </c>
    </row>
    <row r="39" spans="1:1" ht="16.899999999999999">
      <c r="A39" s="2">
        <v>37</v>
      </c>
    </row>
    <row r="40" spans="1:1" ht="16.899999999999999">
      <c r="A40" s="2">
        <v>38</v>
      </c>
    </row>
    <row r="41" spans="1:1" ht="16.899999999999999">
      <c r="A41" s="2">
        <v>39</v>
      </c>
    </row>
    <row r="42" spans="1:1" ht="16.899999999999999">
      <c r="A42" s="2">
        <v>40</v>
      </c>
    </row>
    <row r="43" spans="1:1" ht="16.899999999999999">
      <c r="A43" s="2">
        <v>41</v>
      </c>
    </row>
    <row r="44" spans="1:1" ht="16.899999999999999">
      <c r="A44" s="2">
        <v>42</v>
      </c>
    </row>
    <row r="45" spans="1:1" ht="16.899999999999999">
      <c r="A45" s="2">
        <v>43</v>
      </c>
    </row>
    <row r="46" spans="1:1" ht="16.899999999999999">
      <c r="A46" s="2">
        <v>44</v>
      </c>
    </row>
    <row r="47" spans="1:1" ht="16.899999999999999">
      <c r="A47" s="2">
        <v>45</v>
      </c>
    </row>
    <row r="48" spans="1: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phoneticPr fontId="1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4" r:id="rId3" name="Drop Down 8">
              <controlPr defaultSize="0" autoLine="0" autoPict="0" macro="[0]!목차드롭다운">
                <anchor moveWithCells="1">
                  <from>
                    <xdr:col>14</xdr:col>
                    <xdr:colOff>647700</xdr:colOff>
                    <xdr:row>2</xdr:row>
                    <xdr:rowOff>19050</xdr:rowOff>
                  </from>
                  <to>
                    <xdr:col>18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6899F-5218-4068-B3C6-D64A19C648D9}">
  <sheetPr codeName="Sheet14">
    <tabColor theme="5" tint="0.79998168889431442"/>
  </sheetPr>
  <dimension ref="A1:AL63"/>
  <sheetViews>
    <sheetView workbookViewId="0"/>
    <sheetView workbookViewId="1"/>
  </sheetViews>
  <sheetFormatPr defaultRowHeight="12.75"/>
  <cols>
    <col min="1" max="1" width="14" customWidth="1"/>
    <col min="2" max="2" width="14" bestFit="1" customWidth="1"/>
    <col min="3" max="3" width="11" bestFit="1" customWidth="1"/>
    <col min="4" max="4" width="4.3984375" bestFit="1" customWidth="1"/>
    <col min="5" max="5" width="29.59765625" bestFit="1" customWidth="1"/>
    <col min="6" max="6" width="12" customWidth="1"/>
    <col min="7" max="7" width="12.1328125" bestFit="1" customWidth="1"/>
    <col min="8" max="8" width="12.1328125" customWidth="1"/>
    <col min="9" max="9" width="16.3984375" customWidth="1"/>
    <col min="10" max="11" width="18.86328125" customWidth="1"/>
    <col min="12" max="12" width="20.73046875" customWidth="1"/>
    <col min="13" max="13" width="17" customWidth="1"/>
    <col min="14" max="14" width="37.73046875" customWidth="1"/>
    <col min="15" max="15" width="20.73046875" customWidth="1"/>
    <col min="16" max="16" width="21.3984375" bestFit="1" customWidth="1"/>
    <col min="17" max="17" width="35.73046875" bestFit="1" customWidth="1"/>
    <col min="18" max="18" width="34.3984375" customWidth="1"/>
    <col min="19" max="19" width="33.265625" bestFit="1" customWidth="1"/>
    <col min="20" max="20" width="22.73046875" bestFit="1" customWidth="1"/>
    <col min="21" max="21" width="14" bestFit="1" customWidth="1"/>
    <col min="22" max="22" width="22.59765625" bestFit="1" customWidth="1"/>
    <col min="23" max="23" width="8.1328125" bestFit="1" customWidth="1"/>
    <col min="24" max="25" width="9.59765625" bestFit="1" customWidth="1"/>
    <col min="26" max="26" width="8.1328125" bestFit="1" customWidth="1"/>
    <col min="27" max="27" width="5.59765625" customWidth="1"/>
    <col min="28" max="28" width="3.265625" customWidth="1"/>
    <col min="29" max="29" width="16.265625" bestFit="1" customWidth="1"/>
    <col min="30" max="30" width="30.265625" customWidth="1"/>
    <col min="31" max="31" width="5.59765625" customWidth="1"/>
    <col min="32" max="32" width="14" bestFit="1" customWidth="1"/>
    <col min="33" max="33" width="9.59765625" bestFit="1" customWidth="1"/>
    <col min="34" max="34" width="8.1328125" bestFit="1" customWidth="1"/>
    <col min="35" max="38" width="7" bestFit="1" customWidth="1"/>
  </cols>
  <sheetData>
    <row r="1" spans="1:38" ht="26.25">
      <c r="A1" s="1" t="s">
        <v>41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899999999999999">
      <c r="A2" s="3">
        <v>0</v>
      </c>
      <c r="B2" s="573" t="s">
        <v>111</v>
      </c>
      <c r="C2" s="574" t="s">
        <v>112</v>
      </c>
      <c r="D2" s="574" t="s">
        <v>113</v>
      </c>
      <c r="E2" s="574" t="s">
        <v>114</v>
      </c>
      <c r="F2" s="574" t="s">
        <v>115</v>
      </c>
      <c r="G2" s="574" t="s">
        <v>116</v>
      </c>
      <c r="H2" s="574" t="s">
        <v>117</v>
      </c>
      <c r="I2" s="574" t="s">
        <v>118</v>
      </c>
      <c r="J2" s="574" t="s">
        <v>155</v>
      </c>
      <c r="K2" s="574" t="s">
        <v>119</v>
      </c>
      <c r="L2" s="574" t="s">
        <v>147</v>
      </c>
      <c r="M2" s="574" t="s">
        <v>120</v>
      </c>
      <c r="N2" s="574" t="s">
        <v>121</v>
      </c>
      <c r="O2" s="575" t="s">
        <v>122</v>
      </c>
      <c r="P2" s="575" t="s">
        <v>123</v>
      </c>
      <c r="Q2" s="575" t="s">
        <v>124</v>
      </c>
      <c r="R2" s="576" t="s">
        <v>125</v>
      </c>
      <c r="S2" s="577" t="s">
        <v>126</v>
      </c>
      <c r="T2" s="578" t="s">
        <v>127</v>
      </c>
      <c r="U2" s="578" t="s">
        <v>128</v>
      </c>
      <c r="V2" s="579" t="s">
        <v>129</v>
      </c>
      <c r="W2" s="577" t="s">
        <v>130</v>
      </c>
    </row>
    <row r="3" spans="1:38" ht="16.899999999999999">
      <c r="A3" s="2">
        <v>1</v>
      </c>
      <c r="B3" s="103" t="s">
        <v>273</v>
      </c>
      <c r="C3" s="104"/>
      <c r="D3" s="105">
        <v>1</v>
      </c>
      <c r="E3" s="106" t="s">
        <v>272</v>
      </c>
      <c r="F3" s="106" t="s">
        <v>189</v>
      </c>
      <c r="G3" s="106" t="s">
        <v>257</v>
      </c>
      <c r="H3" s="106" t="s">
        <v>251</v>
      </c>
      <c r="I3" s="106" t="s">
        <v>190</v>
      </c>
      <c r="J3" s="106" t="s">
        <v>191</v>
      </c>
      <c r="K3" s="107">
        <v>3</v>
      </c>
      <c r="L3" s="107" t="s">
        <v>192</v>
      </c>
      <c r="M3" s="107" t="s">
        <v>248</v>
      </c>
      <c r="N3" s="108"/>
      <c r="O3" s="126" t="s">
        <v>250</v>
      </c>
      <c r="P3" s="127" t="s">
        <v>193</v>
      </c>
      <c r="Q3" s="128" t="s">
        <v>194</v>
      </c>
      <c r="R3" s="109" t="str">
        <f t="shared" ref="R3:R17" si="0">P3&amp; "/" &amp;Q3</f>
        <v>신한은행/605-2241-148731</v>
      </c>
      <c r="S3" s="109" t="str">
        <f>IF(OR(MID(G3, 8, 1) = "3", MOD(MID(G3, 8, 1), 2) = 1), "남", "여")</f>
        <v>남</v>
      </c>
      <c r="T3" s="109" t="str">
        <f>LEFT(G3, 6)</f>
        <v>900699</v>
      </c>
      <c r="U3" s="109" t="str">
        <f>IF(VALUE(MID(G3, 8, 1)) &lt;= 2, "19" &amp; LEFT(G3, 2), "20" &amp; LEFT(G3, 2))</f>
        <v>1990</v>
      </c>
      <c r="V3" s="109">
        <f ca="1">YEAR(TODAY()) - VALUE(IF(VALUE(MID(G3, 8, 1)) &lt;= 2, "19" &amp; LEFT(G3, 2), "20" &amp; LEFT(G3, 2)))</f>
        <v>34</v>
      </c>
      <c r="W3" s="109" t="str">
        <f>IF(OR(ISNUMBER(SEARCH("서울", O3)), ISNUMBER(SEARCH("인천", O3)), ISNUMBER(SEARCH("경기", O3))), "수도권",
   IF(OR(ISNUMBER(SEARCH("부산", O3)), ISNUMBER(SEARCH("대구", O3)), ISNUMBER(SEARCH("울산", O3)), ISNUMBER(SEARCH("경북", O3)), ISNUMBER(SEARCH("경남", O3)), ISNUMBER(SEARCH("양산", O3)), ISNUMBER(SEARCH("김해", O3)), ISNUMBER(SEARCH("창원", O3)), ISNUMBER(SEARCH("경상북도", O3)), ISNUMBER(SEARCH("경상남도", O3))), "경상권",
   IF(OR(ISNUMBER(SEARCH("광주", O3)), ISNUMBER(SEARCH("전북", O3)), ISNUMBER(SEARCH("전남", O3)), ISNUMBER(SEARCH("전라북도", O3)), ISNUMBER(SEARCH("전라남도", O3))), "호남권",
   IF(OR(ISNUMBER(SEARCH("대전", O3)), ISNUMBER(SEARCH("충북", O3)), ISNUMBER(SEARCH("세종", O3)), ISNUMBER(SEARCH("충남", O3)), ISNUMBER(SEARCH("충청북도", O3)), ISNUMBER(SEARCH("충청남도", O3))), "충청권",
   IF(ISNUMBER(SEARCH("강원", O3)), "강원권",
   IF(ISNUMBER(SEARCH("제주", O3)), "제주"))))))</f>
        <v>경상권</v>
      </c>
    </row>
    <row r="4" spans="1:38" ht="16.899999999999999">
      <c r="A4" s="2">
        <v>2</v>
      </c>
      <c r="B4" s="103" t="s">
        <v>273</v>
      </c>
      <c r="C4" s="111"/>
      <c r="D4" s="105">
        <v>2</v>
      </c>
      <c r="E4" s="106" t="s">
        <v>272</v>
      </c>
      <c r="F4" s="110" t="s">
        <v>195</v>
      </c>
      <c r="G4" s="110" t="s">
        <v>258</v>
      </c>
      <c r="H4" s="106" t="s">
        <v>251</v>
      </c>
      <c r="I4" s="110" t="s">
        <v>196</v>
      </c>
      <c r="J4" s="110" t="s">
        <v>191</v>
      </c>
      <c r="K4" s="107">
        <v>3</v>
      </c>
      <c r="L4" s="107" t="s">
        <v>192</v>
      </c>
      <c r="M4" s="107" t="s">
        <v>247</v>
      </c>
      <c r="N4" s="108"/>
      <c r="O4" s="126" t="s">
        <v>197</v>
      </c>
      <c r="P4" s="127" t="s">
        <v>132</v>
      </c>
      <c r="Q4" s="128" t="s">
        <v>198</v>
      </c>
      <c r="R4" s="109" t="str">
        <f t="shared" si="0"/>
        <v>국민은행/296-6536-108357</v>
      </c>
      <c r="S4" s="109" t="str">
        <f t="shared" ref="S4:S17" si="1">IF(OR(MID(G4, 8, 1) = "3", MOD(MID(G4, 8, 1), 2) = 1), "남", "여")</f>
        <v>여</v>
      </c>
      <c r="T4" s="109" t="str">
        <f t="shared" ref="T4:T17" si="2">LEFT(G4, 6)</f>
        <v>950499</v>
      </c>
      <c r="U4" s="109" t="str">
        <f t="shared" ref="U4:U17" si="3">IF(VALUE(MID(G4, 8, 1)) &lt;= 2, "19" &amp; LEFT(G4, 2), "20" &amp; LEFT(G4, 2))</f>
        <v>1995</v>
      </c>
      <c r="V4" s="109">
        <f t="shared" ref="V4:V17" ca="1" si="4">YEAR(TODAY()) - VALUE(IF(VALUE(MID(G4, 8, 1)) &lt;= 2, "19" &amp; LEFT(G4, 2), "20" &amp; LEFT(G4, 2)))</f>
        <v>29</v>
      </c>
      <c r="W4" s="109" t="str">
        <f t="shared" ref="W4:W17" si="5">IF(OR(ISNUMBER(SEARCH("서울", O4)), ISNUMBER(SEARCH("인천", O4)), ISNUMBER(SEARCH("경기", O4))), "수도권",
   IF(OR(ISNUMBER(SEARCH("부산", O4)), ISNUMBER(SEARCH("대구", O4)), ISNUMBER(SEARCH("울산", O4)), ISNUMBER(SEARCH("경북", O4)), ISNUMBER(SEARCH("경남", O4)), ISNUMBER(SEARCH("양산", O4)), ISNUMBER(SEARCH("김해", O4)), ISNUMBER(SEARCH("창원", O4)), ISNUMBER(SEARCH("경상북도", O4)), ISNUMBER(SEARCH("경상남도", O4))), "경상권",
   IF(OR(ISNUMBER(SEARCH("광주", O4)), ISNUMBER(SEARCH("전북", O4)), ISNUMBER(SEARCH("전남", O4)), ISNUMBER(SEARCH("전라북도", O4)), ISNUMBER(SEARCH("전라남도", O4))), "호남권",
   IF(OR(ISNUMBER(SEARCH("대전", O4)), ISNUMBER(SEARCH("충북", O4)), ISNUMBER(SEARCH("세종", O4)), ISNUMBER(SEARCH("충남", O4)), ISNUMBER(SEARCH("충청북도", O4)), ISNUMBER(SEARCH("충청남도", O4))), "충청권",
   IF(ISNUMBER(SEARCH("강원", O4)), "강원권",
   IF(ISNUMBER(SEARCH("제주", O4)), "제주"))))))</f>
        <v>경상권</v>
      </c>
    </row>
    <row r="5" spans="1:38" ht="16.899999999999999">
      <c r="A5" s="2">
        <v>3</v>
      </c>
      <c r="B5" s="103" t="s">
        <v>273</v>
      </c>
      <c r="C5" s="111"/>
      <c r="D5" s="105">
        <v>3</v>
      </c>
      <c r="E5" s="106" t="s">
        <v>272</v>
      </c>
      <c r="F5" s="110" t="s">
        <v>199</v>
      </c>
      <c r="G5" s="110" t="s">
        <v>259</v>
      </c>
      <c r="H5" s="106" t="s">
        <v>251</v>
      </c>
      <c r="I5" s="110" t="s">
        <v>200</v>
      </c>
      <c r="J5" s="110" t="s">
        <v>188</v>
      </c>
      <c r="K5" s="107">
        <v>2</v>
      </c>
      <c r="L5" s="107" t="s">
        <v>201</v>
      </c>
      <c r="M5" s="107" t="s">
        <v>202</v>
      </c>
      <c r="N5" s="108" t="s">
        <v>203</v>
      </c>
      <c r="O5" s="126" t="s">
        <v>249</v>
      </c>
      <c r="P5" s="127" t="s">
        <v>193</v>
      </c>
      <c r="Q5" s="128" t="s">
        <v>204</v>
      </c>
      <c r="R5" s="109" t="str">
        <f t="shared" si="0"/>
        <v>신한은행/309-4311-417843</v>
      </c>
      <c r="S5" s="109" t="str">
        <f>IF(OR(MID(G5, 8, 1) = "3", MOD(MID(G5, 8, 1), 2) = 1), "남", "여")</f>
        <v>여</v>
      </c>
      <c r="T5" s="109" t="str">
        <f t="shared" si="2"/>
        <v>960399</v>
      </c>
      <c r="U5" s="109" t="str">
        <f t="shared" si="3"/>
        <v>1996</v>
      </c>
      <c r="V5" s="109">
        <f t="shared" ca="1" si="4"/>
        <v>28</v>
      </c>
      <c r="W5" s="109" t="str">
        <f t="shared" si="5"/>
        <v>경상권</v>
      </c>
    </row>
    <row r="6" spans="1:38" ht="16.899999999999999">
      <c r="A6" s="2">
        <v>4</v>
      </c>
      <c r="B6" s="103" t="s">
        <v>273</v>
      </c>
      <c r="C6" s="111"/>
      <c r="D6" s="105">
        <v>4</v>
      </c>
      <c r="E6" s="106" t="s">
        <v>272</v>
      </c>
      <c r="F6" s="110" t="s">
        <v>205</v>
      </c>
      <c r="G6" s="110" t="s">
        <v>260</v>
      </c>
      <c r="H6" s="106" t="s">
        <v>251</v>
      </c>
      <c r="I6" s="110" t="s">
        <v>206</v>
      </c>
      <c r="J6" s="110" t="s">
        <v>188</v>
      </c>
      <c r="K6" s="107">
        <v>2</v>
      </c>
      <c r="L6" s="107" t="s">
        <v>201</v>
      </c>
      <c r="M6" s="107" t="s">
        <v>202</v>
      </c>
      <c r="N6" s="108" t="s">
        <v>207</v>
      </c>
      <c r="O6" s="126" t="s">
        <v>197</v>
      </c>
      <c r="P6" s="127" t="s">
        <v>193</v>
      </c>
      <c r="Q6" s="128" t="s">
        <v>208</v>
      </c>
      <c r="R6" s="109" t="str">
        <f t="shared" si="0"/>
        <v>신한은행/916-4781-629387</v>
      </c>
      <c r="S6" s="109" t="str">
        <f t="shared" si="1"/>
        <v>남</v>
      </c>
      <c r="T6" s="109" t="str">
        <f t="shared" si="2"/>
        <v>930699</v>
      </c>
      <c r="U6" s="109" t="str">
        <f t="shared" si="3"/>
        <v>1993</v>
      </c>
      <c r="V6" s="109">
        <f t="shared" ca="1" si="4"/>
        <v>31</v>
      </c>
      <c r="W6" s="109" t="str">
        <f t="shared" si="5"/>
        <v>경상권</v>
      </c>
    </row>
    <row r="7" spans="1:38" ht="16.899999999999999">
      <c r="A7" s="2">
        <v>5</v>
      </c>
      <c r="B7" s="103" t="s">
        <v>273</v>
      </c>
      <c r="C7" s="111"/>
      <c r="D7" s="105">
        <v>5</v>
      </c>
      <c r="E7" s="106" t="s">
        <v>272</v>
      </c>
      <c r="F7" s="110" t="s">
        <v>189</v>
      </c>
      <c r="G7" s="110" t="s">
        <v>271</v>
      </c>
      <c r="H7" s="106" t="s">
        <v>251</v>
      </c>
      <c r="I7" s="110" t="s">
        <v>190</v>
      </c>
      <c r="J7" s="110" t="s">
        <v>209</v>
      </c>
      <c r="K7" s="107">
        <v>4</v>
      </c>
      <c r="L7" s="107" t="s">
        <v>192</v>
      </c>
      <c r="M7" s="107" t="s">
        <v>210</v>
      </c>
      <c r="N7" s="108" t="s">
        <v>211</v>
      </c>
      <c r="O7" s="126" t="s">
        <v>250</v>
      </c>
      <c r="P7" s="127" t="s">
        <v>212</v>
      </c>
      <c r="Q7" s="128" t="s">
        <v>213</v>
      </c>
      <c r="R7" s="109" t="str">
        <f t="shared" si="0"/>
        <v>우리은행/165-6075-449479</v>
      </c>
      <c r="S7" s="109" t="str">
        <f t="shared" si="1"/>
        <v>남</v>
      </c>
      <c r="T7" s="109" t="str">
        <f t="shared" si="2"/>
        <v>020699</v>
      </c>
      <c r="U7" s="109" t="str">
        <f t="shared" si="3"/>
        <v>2002</v>
      </c>
      <c r="V7" s="109">
        <f t="shared" ca="1" si="4"/>
        <v>22</v>
      </c>
      <c r="W7" s="109" t="str">
        <f t="shared" si="5"/>
        <v>경상권</v>
      </c>
    </row>
    <row r="8" spans="1:38" ht="16.899999999999999">
      <c r="A8" s="2">
        <v>6</v>
      </c>
      <c r="B8" s="103" t="s">
        <v>273</v>
      </c>
      <c r="C8" s="111"/>
      <c r="D8" s="105">
        <v>6</v>
      </c>
      <c r="E8" s="106" t="s">
        <v>272</v>
      </c>
      <c r="F8" s="110" t="s">
        <v>214</v>
      </c>
      <c r="G8" s="110" t="s">
        <v>261</v>
      </c>
      <c r="H8" s="106" t="s">
        <v>251</v>
      </c>
      <c r="I8" s="110" t="s">
        <v>215</v>
      </c>
      <c r="J8" s="110" t="s">
        <v>188</v>
      </c>
      <c r="K8" s="107">
        <v>1</v>
      </c>
      <c r="L8" s="107" t="s">
        <v>216</v>
      </c>
      <c r="M8" s="107" t="s">
        <v>202</v>
      </c>
      <c r="N8" s="108" t="s">
        <v>217</v>
      </c>
      <c r="O8" s="126" t="s">
        <v>197</v>
      </c>
      <c r="P8" s="127" t="s">
        <v>218</v>
      </c>
      <c r="Q8" s="128" t="s">
        <v>219</v>
      </c>
      <c r="R8" s="109" t="str">
        <f t="shared" si="0"/>
        <v>농협/894-4629-468857</v>
      </c>
      <c r="S8" s="109" t="str">
        <f t="shared" si="1"/>
        <v>남</v>
      </c>
      <c r="T8" s="109" t="str">
        <f t="shared" si="2"/>
        <v>930899</v>
      </c>
      <c r="U8" s="109" t="str">
        <f t="shared" si="3"/>
        <v>1993</v>
      </c>
      <c r="V8" s="109">
        <f t="shared" ca="1" si="4"/>
        <v>31</v>
      </c>
      <c r="W8" s="109" t="str">
        <f t="shared" si="5"/>
        <v>경상권</v>
      </c>
    </row>
    <row r="9" spans="1:38" ht="16.899999999999999">
      <c r="A9" s="2">
        <v>7</v>
      </c>
      <c r="B9" s="103" t="s">
        <v>273</v>
      </c>
      <c r="C9" s="111"/>
      <c r="D9" s="105">
        <v>7</v>
      </c>
      <c r="E9" s="106" t="s">
        <v>272</v>
      </c>
      <c r="F9" s="110" t="s">
        <v>220</v>
      </c>
      <c r="G9" s="110" t="s">
        <v>270</v>
      </c>
      <c r="H9" s="106" t="s">
        <v>251</v>
      </c>
      <c r="I9" s="110" t="s">
        <v>221</v>
      </c>
      <c r="J9" s="110" t="s">
        <v>222</v>
      </c>
      <c r="K9" s="107">
        <v>2</v>
      </c>
      <c r="L9" s="107" t="s">
        <v>216</v>
      </c>
      <c r="M9" s="107" t="s">
        <v>202</v>
      </c>
      <c r="N9" s="108" t="s">
        <v>223</v>
      </c>
      <c r="O9" s="126" t="s">
        <v>250</v>
      </c>
      <c r="P9" s="127" t="s">
        <v>218</v>
      </c>
      <c r="Q9" s="128" t="s">
        <v>224</v>
      </c>
      <c r="R9" s="109" t="str">
        <f t="shared" si="0"/>
        <v>농협/273-7528-862196</v>
      </c>
      <c r="S9" s="109" t="str">
        <f t="shared" si="1"/>
        <v>남</v>
      </c>
      <c r="T9" s="109" t="str">
        <f t="shared" si="2"/>
        <v>001199</v>
      </c>
      <c r="U9" s="109" t="str">
        <f t="shared" si="3"/>
        <v>2000</v>
      </c>
      <c r="V9" s="109">
        <f t="shared" ca="1" si="4"/>
        <v>24</v>
      </c>
      <c r="W9" s="109" t="str">
        <f t="shared" si="5"/>
        <v>경상권</v>
      </c>
    </row>
    <row r="10" spans="1:38" ht="16.899999999999999">
      <c r="A10" s="2">
        <v>8</v>
      </c>
      <c r="B10" s="103" t="s">
        <v>273</v>
      </c>
      <c r="C10" s="111"/>
      <c r="D10" s="105">
        <v>8</v>
      </c>
      <c r="E10" s="106" t="s">
        <v>272</v>
      </c>
      <c r="F10" s="110" t="s">
        <v>225</v>
      </c>
      <c r="G10" s="110" t="s">
        <v>262</v>
      </c>
      <c r="H10" s="106" t="s">
        <v>251</v>
      </c>
      <c r="I10" s="110" t="s">
        <v>226</v>
      </c>
      <c r="J10" s="110" t="s">
        <v>209</v>
      </c>
      <c r="K10" s="107">
        <v>4</v>
      </c>
      <c r="L10" s="107" t="s">
        <v>201</v>
      </c>
      <c r="M10" s="107" t="s">
        <v>210</v>
      </c>
      <c r="N10" s="108" t="s">
        <v>217</v>
      </c>
      <c r="O10" s="126" t="s">
        <v>249</v>
      </c>
      <c r="P10" s="127" t="s">
        <v>212</v>
      </c>
      <c r="Q10" s="128" t="s">
        <v>227</v>
      </c>
      <c r="R10" s="109" t="str">
        <f t="shared" si="0"/>
        <v>우리은행/295-1855-371274</v>
      </c>
      <c r="S10" s="109" t="str">
        <f t="shared" si="1"/>
        <v>남</v>
      </c>
      <c r="T10" s="109" t="str">
        <f t="shared" si="2"/>
        <v>920699</v>
      </c>
      <c r="U10" s="109" t="str">
        <f t="shared" si="3"/>
        <v>1992</v>
      </c>
      <c r="V10" s="109">
        <f t="shared" ca="1" si="4"/>
        <v>32</v>
      </c>
      <c r="W10" s="109" t="str">
        <f t="shared" si="5"/>
        <v>경상권</v>
      </c>
    </row>
    <row r="11" spans="1:38" ht="16.899999999999999">
      <c r="A11" s="2">
        <v>9</v>
      </c>
      <c r="B11" s="103" t="s">
        <v>273</v>
      </c>
      <c r="C11" s="111"/>
      <c r="D11" s="105">
        <v>9</v>
      </c>
      <c r="E11" s="106" t="s">
        <v>272</v>
      </c>
      <c r="F11" s="110" t="s">
        <v>214</v>
      </c>
      <c r="G11" s="110" t="s">
        <v>263</v>
      </c>
      <c r="H11" s="106" t="s">
        <v>251</v>
      </c>
      <c r="I11" s="110" t="s">
        <v>228</v>
      </c>
      <c r="J11" s="110" t="s">
        <v>222</v>
      </c>
      <c r="K11" s="107">
        <v>2</v>
      </c>
      <c r="L11" s="107" t="s">
        <v>201</v>
      </c>
      <c r="M11" s="107" t="s">
        <v>210</v>
      </c>
      <c r="N11" s="108" t="s">
        <v>217</v>
      </c>
      <c r="O11" s="126" t="s">
        <v>250</v>
      </c>
      <c r="P11" s="127" t="s">
        <v>229</v>
      </c>
      <c r="Q11" s="128" t="s">
        <v>230</v>
      </c>
      <c r="R11" s="109" t="str">
        <f t="shared" si="0"/>
        <v>하나은행/869-2828-526225</v>
      </c>
      <c r="S11" s="109" t="str">
        <f t="shared" si="1"/>
        <v>여</v>
      </c>
      <c r="T11" s="109" t="str">
        <f t="shared" si="2"/>
        <v>900699</v>
      </c>
      <c r="U11" s="109" t="str">
        <f t="shared" si="3"/>
        <v>1990</v>
      </c>
      <c r="V11" s="109">
        <f t="shared" ca="1" si="4"/>
        <v>34</v>
      </c>
      <c r="W11" s="109" t="str">
        <f t="shared" si="5"/>
        <v>경상권</v>
      </c>
    </row>
    <row r="12" spans="1:38" ht="16.899999999999999">
      <c r="A12" s="2">
        <v>10</v>
      </c>
      <c r="B12" s="103" t="s">
        <v>273</v>
      </c>
      <c r="C12" s="111"/>
      <c r="D12" s="105">
        <v>10</v>
      </c>
      <c r="E12" s="106" t="s">
        <v>272</v>
      </c>
      <c r="F12" s="110" t="s">
        <v>231</v>
      </c>
      <c r="G12" s="110" t="s">
        <v>264</v>
      </c>
      <c r="H12" s="106" t="s">
        <v>251</v>
      </c>
      <c r="I12" s="110" t="s">
        <v>232</v>
      </c>
      <c r="J12" s="110" t="s">
        <v>209</v>
      </c>
      <c r="K12" s="107">
        <v>3</v>
      </c>
      <c r="L12" s="107" t="s">
        <v>201</v>
      </c>
      <c r="M12" s="107" t="s">
        <v>233</v>
      </c>
      <c r="N12" s="108" t="s">
        <v>203</v>
      </c>
      <c r="O12" s="126" t="s">
        <v>197</v>
      </c>
      <c r="P12" s="127" t="s">
        <v>218</v>
      </c>
      <c r="Q12" s="128" t="s">
        <v>234</v>
      </c>
      <c r="R12" s="109" t="str">
        <f t="shared" si="0"/>
        <v>농협/954-9797-760181</v>
      </c>
      <c r="S12" s="109" t="str">
        <f t="shared" si="1"/>
        <v>남</v>
      </c>
      <c r="T12" s="109" t="str">
        <f t="shared" si="2"/>
        <v>900799</v>
      </c>
      <c r="U12" s="109" t="str">
        <f t="shared" si="3"/>
        <v>1990</v>
      </c>
      <c r="V12" s="109">
        <f t="shared" ca="1" si="4"/>
        <v>34</v>
      </c>
      <c r="W12" s="109" t="str">
        <f t="shared" si="5"/>
        <v>경상권</v>
      </c>
    </row>
    <row r="13" spans="1:38" ht="16.899999999999999">
      <c r="A13" s="2">
        <v>11</v>
      </c>
      <c r="B13" s="103" t="s">
        <v>273</v>
      </c>
      <c r="C13" s="111"/>
      <c r="D13" s="105">
        <v>11</v>
      </c>
      <c r="E13" s="106" t="s">
        <v>272</v>
      </c>
      <c r="F13" s="110" t="s">
        <v>195</v>
      </c>
      <c r="G13" s="110" t="s">
        <v>265</v>
      </c>
      <c r="H13" s="106" t="s">
        <v>251</v>
      </c>
      <c r="I13" s="110" t="s">
        <v>196</v>
      </c>
      <c r="J13" s="110" t="s">
        <v>188</v>
      </c>
      <c r="K13" s="107">
        <v>2</v>
      </c>
      <c r="L13" s="107" t="s">
        <v>192</v>
      </c>
      <c r="M13" s="107" t="s">
        <v>235</v>
      </c>
      <c r="N13" s="108" t="s">
        <v>211</v>
      </c>
      <c r="O13" s="127" t="s">
        <v>256</v>
      </c>
      <c r="P13" s="127" t="s">
        <v>193</v>
      </c>
      <c r="Q13" s="128" t="s">
        <v>236</v>
      </c>
      <c r="R13" s="109" t="str">
        <f t="shared" si="0"/>
        <v>신한은행/129-2235-418768</v>
      </c>
      <c r="S13" s="109" t="str">
        <f t="shared" si="1"/>
        <v>남</v>
      </c>
      <c r="T13" s="109" t="str">
        <f t="shared" si="2"/>
        <v>910699</v>
      </c>
      <c r="U13" s="109" t="str">
        <f t="shared" si="3"/>
        <v>1991</v>
      </c>
      <c r="V13" s="109">
        <f t="shared" ca="1" si="4"/>
        <v>33</v>
      </c>
      <c r="W13" s="109" t="str">
        <f t="shared" si="5"/>
        <v>제주</v>
      </c>
    </row>
    <row r="14" spans="1:38" ht="16.899999999999999">
      <c r="A14" s="2">
        <v>12</v>
      </c>
      <c r="B14" s="103" t="s">
        <v>273</v>
      </c>
      <c r="C14" s="111"/>
      <c r="D14" s="105">
        <v>12</v>
      </c>
      <c r="E14" s="106" t="s">
        <v>272</v>
      </c>
      <c r="F14" s="110" t="s">
        <v>237</v>
      </c>
      <c r="G14" s="110" t="s">
        <v>269</v>
      </c>
      <c r="H14" s="106" t="s">
        <v>251</v>
      </c>
      <c r="I14" s="110" t="s">
        <v>238</v>
      </c>
      <c r="J14" s="110" t="s">
        <v>188</v>
      </c>
      <c r="K14" s="107">
        <v>1</v>
      </c>
      <c r="L14" s="107" t="s">
        <v>216</v>
      </c>
      <c r="M14" s="107" t="s">
        <v>202</v>
      </c>
      <c r="N14" s="108" t="s">
        <v>223</v>
      </c>
      <c r="O14" s="130" t="s">
        <v>255</v>
      </c>
      <c r="P14" s="127" t="s">
        <v>212</v>
      </c>
      <c r="Q14" s="128" t="s">
        <v>239</v>
      </c>
      <c r="R14" s="109" t="str">
        <f t="shared" si="0"/>
        <v>우리은행/404-5984-950896</v>
      </c>
      <c r="S14" s="109" t="str">
        <f t="shared" si="1"/>
        <v>여</v>
      </c>
      <c r="T14" s="109" t="str">
        <f t="shared" si="2"/>
        <v>000899</v>
      </c>
      <c r="U14" s="109" t="str">
        <f t="shared" si="3"/>
        <v>2000</v>
      </c>
      <c r="V14" s="109">
        <f ca="1">YEAR(TODAY()) - VALUE(IF(VALUE(MID(G14, 8, 1)) &lt;= 2, "19" &amp; LEFT(G14, 2), "20" &amp; LEFT(G14, 2)))</f>
        <v>24</v>
      </c>
      <c r="W14" s="109" t="str">
        <f t="shared" si="5"/>
        <v>충청권</v>
      </c>
    </row>
    <row r="15" spans="1:38" ht="16.899999999999999">
      <c r="A15" s="2">
        <v>13</v>
      </c>
      <c r="B15" s="103" t="s">
        <v>273</v>
      </c>
      <c r="C15" s="111"/>
      <c r="D15" s="105">
        <v>13</v>
      </c>
      <c r="E15" s="106" t="s">
        <v>272</v>
      </c>
      <c r="F15" s="110" t="s">
        <v>240</v>
      </c>
      <c r="G15" s="110" t="s">
        <v>266</v>
      </c>
      <c r="H15" s="106" t="s">
        <v>251</v>
      </c>
      <c r="I15" s="110" t="s">
        <v>241</v>
      </c>
      <c r="J15" s="110" t="s">
        <v>188</v>
      </c>
      <c r="K15" s="107">
        <v>2</v>
      </c>
      <c r="L15" s="107" t="s">
        <v>201</v>
      </c>
      <c r="M15" s="107" t="s">
        <v>202</v>
      </c>
      <c r="N15" s="108" t="s">
        <v>211</v>
      </c>
      <c r="O15" s="127" t="s">
        <v>254</v>
      </c>
      <c r="P15" s="127" t="s">
        <v>218</v>
      </c>
      <c r="Q15" s="128" t="s">
        <v>242</v>
      </c>
      <c r="R15" s="109" t="str">
        <f t="shared" si="0"/>
        <v>농협/756-6616-606584</v>
      </c>
      <c r="S15" s="109" t="str">
        <f t="shared" si="1"/>
        <v>여</v>
      </c>
      <c r="T15" s="109" t="str">
        <f t="shared" si="2"/>
        <v>921299</v>
      </c>
      <c r="U15" s="109" t="str">
        <f t="shared" si="3"/>
        <v>1992</v>
      </c>
      <c r="V15" s="109">
        <f t="shared" ca="1" si="4"/>
        <v>32</v>
      </c>
      <c r="W15" s="109" t="str">
        <f t="shared" si="5"/>
        <v>경상권</v>
      </c>
    </row>
    <row r="16" spans="1:38" ht="16.899999999999999">
      <c r="A16" s="2">
        <v>14</v>
      </c>
      <c r="B16" s="103" t="s">
        <v>273</v>
      </c>
      <c r="C16" s="332"/>
      <c r="D16" s="105">
        <v>14</v>
      </c>
      <c r="E16" s="106" t="s">
        <v>272</v>
      </c>
      <c r="F16" s="110" t="s">
        <v>220</v>
      </c>
      <c r="G16" s="110" t="s">
        <v>267</v>
      </c>
      <c r="H16" s="106" t="s">
        <v>251</v>
      </c>
      <c r="I16" s="110" t="s">
        <v>221</v>
      </c>
      <c r="J16" s="110" t="s">
        <v>222</v>
      </c>
      <c r="K16" s="107">
        <v>2</v>
      </c>
      <c r="L16" s="107" t="s">
        <v>201</v>
      </c>
      <c r="M16" s="107" t="s">
        <v>210</v>
      </c>
      <c r="N16" s="108" t="s">
        <v>207</v>
      </c>
      <c r="O16" s="126" t="s">
        <v>253</v>
      </c>
      <c r="P16" s="127" t="s">
        <v>229</v>
      </c>
      <c r="Q16" s="128" t="s">
        <v>243</v>
      </c>
      <c r="R16" s="109" t="str">
        <f t="shared" si="0"/>
        <v>하나은행/588-1300-685386</v>
      </c>
      <c r="S16" s="109" t="str">
        <f t="shared" si="1"/>
        <v>남</v>
      </c>
      <c r="T16" s="109" t="str">
        <f t="shared" si="2"/>
        <v>901199</v>
      </c>
      <c r="U16" s="109" t="str">
        <f t="shared" si="3"/>
        <v>1990</v>
      </c>
      <c r="V16" s="109">
        <f t="shared" ca="1" si="4"/>
        <v>34</v>
      </c>
      <c r="W16" s="109" t="str">
        <f t="shared" si="5"/>
        <v>호남권</v>
      </c>
    </row>
    <row r="17" spans="1:23" ht="16.899999999999999">
      <c r="A17" s="2">
        <v>15</v>
      </c>
      <c r="B17" s="110" t="s">
        <v>273</v>
      </c>
      <c r="C17" s="111"/>
      <c r="D17" s="111">
        <v>15</v>
      </c>
      <c r="E17" s="110" t="s">
        <v>272</v>
      </c>
      <c r="F17" s="110" t="s">
        <v>244</v>
      </c>
      <c r="G17" s="110" t="s">
        <v>268</v>
      </c>
      <c r="H17" s="132" t="s">
        <v>251</v>
      </c>
      <c r="I17" s="110" t="s">
        <v>245</v>
      </c>
      <c r="J17" s="110" t="s">
        <v>209</v>
      </c>
      <c r="K17" s="131">
        <v>1</v>
      </c>
      <c r="L17" s="107" t="s">
        <v>216</v>
      </c>
      <c r="M17" s="107" t="s">
        <v>233</v>
      </c>
      <c r="N17" s="108" t="s">
        <v>223</v>
      </c>
      <c r="O17" s="126" t="s">
        <v>252</v>
      </c>
      <c r="P17" s="127" t="s">
        <v>229</v>
      </c>
      <c r="Q17" s="128" t="s">
        <v>246</v>
      </c>
      <c r="R17" s="109" t="str">
        <f t="shared" si="0"/>
        <v>하나은행/694-9043-121446</v>
      </c>
      <c r="S17" s="109" t="str">
        <f t="shared" si="1"/>
        <v>남</v>
      </c>
      <c r="T17" s="109" t="str">
        <f t="shared" si="2"/>
        <v>941099</v>
      </c>
      <c r="U17" s="109" t="str">
        <f t="shared" si="3"/>
        <v>1994</v>
      </c>
      <c r="V17" s="109">
        <f t="shared" ca="1" si="4"/>
        <v>30</v>
      </c>
      <c r="W17" s="109" t="str">
        <f t="shared" si="5"/>
        <v>수도권</v>
      </c>
    </row>
    <row r="18" spans="1:23" ht="16.899999999999999">
      <c r="A18" s="2">
        <v>16</v>
      </c>
    </row>
    <row r="19" spans="1:23" ht="16.899999999999999">
      <c r="A19" s="2">
        <v>17</v>
      </c>
    </row>
    <row r="20" spans="1:23" ht="16.899999999999999">
      <c r="A20" s="2">
        <v>18</v>
      </c>
    </row>
    <row r="21" spans="1:23" ht="16.899999999999999">
      <c r="A21" s="2">
        <v>19</v>
      </c>
      <c r="G21" s="129"/>
      <c r="H21" s="129"/>
      <c r="I21" s="129"/>
      <c r="J21" s="129"/>
      <c r="K21" s="129"/>
      <c r="L21" s="129"/>
      <c r="M21" s="129"/>
      <c r="N21" s="129"/>
      <c r="O21" s="129"/>
      <c r="P21" s="129"/>
      <c r="Q21" s="129"/>
      <c r="R21" s="129"/>
    </row>
    <row r="22" spans="1:23" ht="16.899999999999999">
      <c r="A22" s="2">
        <v>20</v>
      </c>
      <c r="G22" s="129"/>
      <c r="J22" s="129"/>
      <c r="K22" s="129"/>
      <c r="M22" s="129"/>
      <c r="P22" s="129"/>
      <c r="Q22" s="129"/>
    </row>
    <row r="23" spans="1:23" ht="16.899999999999999">
      <c r="A23" s="2">
        <v>21</v>
      </c>
      <c r="G23" s="129"/>
      <c r="J23" s="129"/>
      <c r="K23" s="129"/>
      <c r="M23" s="129"/>
      <c r="P23" s="129"/>
      <c r="Q23" s="129"/>
    </row>
    <row r="24" spans="1:23" ht="16.899999999999999">
      <c r="A24" s="2">
        <v>22</v>
      </c>
      <c r="E24" s="129"/>
      <c r="F24" s="129"/>
      <c r="G24" s="129"/>
      <c r="H24" s="129"/>
      <c r="I24" s="129"/>
      <c r="J24" s="129"/>
      <c r="K24" s="129"/>
      <c r="L24" s="129"/>
      <c r="M24" s="129"/>
      <c r="N24" s="129"/>
      <c r="O24" s="129"/>
      <c r="P24" s="129"/>
      <c r="Q24" s="129"/>
    </row>
    <row r="25" spans="1:23" ht="16.899999999999999">
      <c r="A25" s="2">
        <v>23</v>
      </c>
      <c r="E25" s="129"/>
      <c r="G25" s="129"/>
      <c r="H25" s="129"/>
      <c r="I25" s="129"/>
      <c r="J25" s="129"/>
      <c r="K25" s="129"/>
      <c r="L25" s="119"/>
      <c r="M25" s="129"/>
      <c r="N25" s="129"/>
      <c r="O25" s="129"/>
      <c r="P25" s="129"/>
      <c r="Q25" s="129"/>
    </row>
    <row r="26" spans="1:23" ht="16.899999999999999">
      <c r="A26" s="2">
        <v>24</v>
      </c>
      <c r="E26" s="129"/>
      <c r="G26" s="129"/>
      <c r="H26" s="129"/>
      <c r="I26" s="129"/>
      <c r="J26" s="129"/>
      <c r="K26" s="129"/>
      <c r="L26" s="125"/>
      <c r="M26" s="129"/>
      <c r="N26" s="129"/>
      <c r="O26" s="129"/>
      <c r="P26" s="129"/>
      <c r="Q26" s="129"/>
    </row>
    <row r="27" spans="1:23" ht="16.899999999999999">
      <c r="A27" s="2">
        <v>25</v>
      </c>
      <c r="E27" s="129"/>
      <c r="G27" s="129"/>
      <c r="H27" s="129"/>
      <c r="I27" s="129"/>
      <c r="J27" s="129"/>
      <c r="K27" s="129"/>
      <c r="L27" s="129"/>
      <c r="M27" s="129"/>
      <c r="N27" s="119"/>
      <c r="O27" s="129"/>
      <c r="P27" s="129"/>
      <c r="Q27" s="129"/>
    </row>
    <row r="28" spans="1:23" ht="16.899999999999999">
      <c r="A28" s="2">
        <v>26</v>
      </c>
      <c r="E28" s="129"/>
      <c r="G28" s="129"/>
      <c r="H28" s="129"/>
      <c r="I28" s="129"/>
      <c r="J28" s="129"/>
      <c r="K28" s="129"/>
      <c r="L28" s="129"/>
      <c r="M28" s="129"/>
      <c r="N28" s="129"/>
      <c r="O28" s="129"/>
      <c r="P28" s="129"/>
      <c r="Q28" s="129"/>
    </row>
    <row r="29" spans="1:23" ht="16.899999999999999">
      <c r="A29" s="2">
        <v>27</v>
      </c>
      <c r="E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</row>
    <row r="30" spans="1:23" ht="16.899999999999999">
      <c r="A30" s="2">
        <v>28</v>
      </c>
      <c r="E30" s="129"/>
      <c r="G30" s="129"/>
      <c r="H30" s="129"/>
      <c r="I30" s="129"/>
      <c r="J30" s="129"/>
      <c r="K30" s="129"/>
      <c r="L30" s="129"/>
      <c r="M30" s="129"/>
      <c r="N30" s="129"/>
      <c r="O30" s="129"/>
      <c r="P30" s="129"/>
      <c r="Q30" s="129"/>
    </row>
    <row r="31" spans="1:23" ht="16.899999999999999">
      <c r="A31" s="2">
        <v>29</v>
      </c>
      <c r="E31" s="129"/>
      <c r="G31" s="129"/>
      <c r="H31" s="129"/>
      <c r="I31" s="129"/>
      <c r="J31" s="129"/>
      <c r="K31" s="129"/>
      <c r="L31" s="129"/>
      <c r="M31" s="129"/>
      <c r="N31" s="129"/>
      <c r="O31" s="129"/>
      <c r="P31" s="129"/>
      <c r="Q31" s="129"/>
    </row>
    <row r="32" spans="1:23" ht="16.899999999999999">
      <c r="A32" s="2">
        <v>30</v>
      </c>
      <c r="E32" s="129"/>
      <c r="G32" s="129"/>
      <c r="H32" s="129"/>
      <c r="I32" s="129"/>
      <c r="J32" s="129"/>
      <c r="K32" s="129"/>
      <c r="L32" s="129"/>
      <c r="M32" s="129"/>
      <c r="N32" s="119"/>
      <c r="O32" s="129"/>
      <c r="P32" s="129"/>
      <c r="Q32" s="129"/>
    </row>
    <row r="33" spans="1:17" ht="16.899999999999999">
      <c r="A33" s="2">
        <v>31</v>
      </c>
      <c r="E33" s="129"/>
      <c r="G33" s="129"/>
      <c r="H33" s="129"/>
      <c r="I33" s="129"/>
      <c r="J33" s="129"/>
      <c r="K33" s="129"/>
      <c r="L33" s="129"/>
      <c r="M33" s="129"/>
      <c r="N33" s="129"/>
      <c r="O33" s="129"/>
      <c r="P33" s="129"/>
      <c r="Q33" s="129"/>
    </row>
    <row r="34" spans="1:17" ht="16.899999999999999">
      <c r="A34" s="2">
        <v>32</v>
      </c>
      <c r="E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</row>
    <row r="35" spans="1:17" ht="16.899999999999999">
      <c r="A35" s="2">
        <v>33</v>
      </c>
      <c r="E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</row>
    <row r="36" spans="1:17" ht="16.899999999999999">
      <c r="A36" s="2">
        <v>34</v>
      </c>
      <c r="E36" s="129"/>
      <c r="G36" s="129"/>
      <c r="H36" s="129"/>
      <c r="I36" s="129"/>
      <c r="J36" s="129"/>
      <c r="K36" s="129"/>
      <c r="L36" s="129"/>
      <c r="M36" s="129"/>
      <c r="N36" s="119"/>
      <c r="O36" s="129"/>
      <c r="P36" s="129"/>
      <c r="Q36" s="129"/>
    </row>
    <row r="37" spans="1:17" ht="16.899999999999999">
      <c r="A37" s="2">
        <v>35</v>
      </c>
      <c r="E37" s="129"/>
      <c r="H37" s="129"/>
      <c r="I37" s="129"/>
      <c r="K37" s="129"/>
      <c r="L37" s="129"/>
      <c r="M37" s="129"/>
      <c r="N37" s="129"/>
      <c r="O37" s="129"/>
    </row>
    <row r="38" spans="1:17" ht="16.899999999999999">
      <c r="A38" s="2">
        <v>36</v>
      </c>
      <c r="E38" s="129"/>
      <c r="H38" s="129"/>
      <c r="I38" s="129"/>
      <c r="K38" s="129"/>
      <c r="L38" s="129"/>
      <c r="M38" s="129"/>
      <c r="N38" s="119"/>
      <c r="O38" s="129"/>
    </row>
    <row r="39" spans="1:17" ht="16.899999999999999">
      <c r="A39" s="2">
        <v>37</v>
      </c>
      <c r="E39" s="129"/>
      <c r="H39" s="129"/>
      <c r="I39" s="129"/>
      <c r="K39" s="129"/>
      <c r="L39" s="129"/>
      <c r="M39" s="129"/>
      <c r="N39" s="129"/>
      <c r="O39" s="129"/>
    </row>
    <row r="40" spans="1:17" ht="16.899999999999999">
      <c r="A40" s="2">
        <v>38</v>
      </c>
    </row>
    <row r="41" spans="1:17" ht="16.899999999999999">
      <c r="A41" s="2">
        <v>39</v>
      </c>
    </row>
    <row r="42" spans="1:17" ht="16.899999999999999">
      <c r="A42" s="2">
        <v>40</v>
      </c>
    </row>
    <row r="43" spans="1:17" ht="16.899999999999999">
      <c r="A43" s="2">
        <v>41</v>
      </c>
    </row>
    <row r="44" spans="1:17" ht="16.899999999999999">
      <c r="A44" s="2">
        <v>42</v>
      </c>
    </row>
    <row r="45" spans="1:17" ht="16.899999999999999">
      <c r="A45" s="2">
        <v>43</v>
      </c>
    </row>
    <row r="46" spans="1:17" ht="16.899999999999999">
      <c r="A46" s="2">
        <v>44</v>
      </c>
    </row>
    <row r="47" spans="1:17" ht="16.899999999999999">
      <c r="A47" s="2">
        <v>45</v>
      </c>
    </row>
    <row r="48" spans="1:17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phoneticPr fontId="1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Drop Down 1">
              <controlPr defaultSize="0" autoLine="0" autoPict="0" macro="[0]!목차드롭다운">
                <anchor moveWithCells="1">
                  <from>
                    <xdr:col>1</xdr:col>
                    <xdr:colOff>152400</xdr:colOff>
                    <xdr:row>17</xdr:row>
                    <xdr:rowOff>133350</xdr:rowOff>
                  </from>
                  <to>
                    <xdr:col>4</xdr:col>
                    <xdr:colOff>1514475</xdr:colOff>
                    <xdr:row>21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7B59A-E344-47CD-9D6E-C745E50201F8}">
  <sheetPr codeName="Sheet3">
    <tabColor theme="5" tint="0.79998168889431442"/>
  </sheetPr>
  <dimension ref="A1:K90"/>
  <sheetViews>
    <sheetView workbookViewId="0"/>
    <sheetView workbookViewId="1"/>
  </sheetViews>
  <sheetFormatPr defaultColWidth="9.1328125" defaultRowHeight="12.75"/>
  <cols>
    <col min="1" max="1" width="14" style="343" customWidth="1"/>
    <col min="2" max="2" width="26.59765625" style="343" customWidth="1"/>
    <col min="3" max="3" width="30.86328125" style="343" bestFit="1" customWidth="1"/>
    <col min="4" max="4" width="50.73046875" style="343" bestFit="1" customWidth="1"/>
    <col min="5" max="5" width="28.3984375" style="343" bestFit="1" customWidth="1"/>
    <col min="6" max="6" width="29.3984375" style="359" bestFit="1" customWidth="1"/>
    <col min="7" max="16384" width="9.1328125" style="343"/>
  </cols>
  <sheetData>
    <row r="1" spans="1:9" ht="23.25">
      <c r="A1" s="459" t="s">
        <v>134</v>
      </c>
      <c r="B1" s="457">
        <v>1</v>
      </c>
      <c r="C1" s="457">
        <v>2</v>
      </c>
      <c r="D1" s="457">
        <v>3</v>
      </c>
      <c r="E1" s="457">
        <v>4</v>
      </c>
      <c r="F1" s="458">
        <v>5</v>
      </c>
      <c r="G1" s="457">
        <v>6</v>
      </c>
      <c r="H1" s="457">
        <v>7</v>
      </c>
      <c r="I1" s="457">
        <v>8</v>
      </c>
    </row>
    <row r="2" spans="1:9" ht="25.15">
      <c r="A2" s="456">
        <v>0</v>
      </c>
      <c r="B2" s="801" t="s">
        <v>629</v>
      </c>
      <c r="C2" s="802"/>
      <c r="D2" s="802"/>
      <c r="E2" s="802"/>
      <c r="F2" s="802"/>
    </row>
    <row r="3" spans="1:9" ht="18" thickBot="1">
      <c r="A3" s="392">
        <v>1</v>
      </c>
      <c r="B3" s="455" t="s">
        <v>770</v>
      </c>
      <c r="C3" s="455" t="s">
        <v>633</v>
      </c>
      <c r="D3" s="455" t="s">
        <v>634</v>
      </c>
      <c r="E3" s="455" t="s">
        <v>633</v>
      </c>
      <c r="F3" s="454" t="s">
        <v>634</v>
      </c>
    </row>
    <row r="4" spans="1:9" ht="17.25" customHeight="1" thickTop="1">
      <c r="A4" s="392">
        <v>2</v>
      </c>
      <c r="B4" s="804" t="s">
        <v>871</v>
      </c>
      <c r="C4" s="452" t="s">
        <v>541</v>
      </c>
      <c r="D4" s="453" t="s">
        <v>738</v>
      </c>
      <c r="E4" s="452" t="s">
        <v>157</v>
      </c>
      <c r="F4" s="451">
        <v>45455</v>
      </c>
    </row>
    <row r="5" spans="1:9" ht="16.5" customHeight="1">
      <c r="A5" s="392">
        <v>3</v>
      </c>
      <c r="B5" s="805"/>
      <c r="C5" s="400" t="s">
        <v>558</v>
      </c>
      <c r="D5" s="438" t="s">
        <v>3</v>
      </c>
      <c r="E5" s="437"/>
      <c r="F5" s="346"/>
    </row>
    <row r="6" spans="1:9" ht="16.5" customHeight="1">
      <c r="A6" s="392">
        <v>4</v>
      </c>
      <c r="B6" s="805"/>
      <c r="C6" s="450" t="s">
        <v>108</v>
      </c>
      <c r="D6" s="438" t="s">
        <v>870</v>
      </c>
      <c r="E6" s="400"/>
      <c r="F6" s="346"/>
    </row>
    <row r="7" spans="1:9" ht="16.5" customHeight="1">
      <c r="A7" s="392">
        <v>5</v>
      </c>
      <c r="B7" s="805"/>
      <c r="C7" s="400" t="s">
        <v>741</v>
      </c>
      <c r="D7" s="438" t="s">
        <v>274</v>
      </c>
      <c r="E7" s="437"/>
      <c r="F7" s="448"/>
      <c r="H7" s="344"/>
      <c r="I7" s="344"/>
    </row>
    <row r="8" spans="1:9" ht="16.5" customHeight="1">
      <c r="A8" s="392">
        <v>6</v>
      </c>
      <c r="B8" s="805"/>
      <c r="C8" s="437" t="s">
        <v>275</v>
      </c>
      <c r="D8" s="346">
        <v>222222222</v>
      </c>
      <c r="E8" s="449"/>
      <c r="F8" s="448"/>
      <c r="H8" s="344"/>
      <c r="I8" s="344"/>
    </row>
    <row r="9" spans="1:9" ht="15.75" customHeight="1">
      <c r="A9" s="392">
        <v>7</v>
      </c>
      <c r="B9" s="805"/>
      <c r="C9" s="400" t="s">
        <v>559</v>
      </c>
      <c r="D9" s="438" t="s">
        <v>7</v>
      </c>
      <c r="E9" s="429"/>
      <c r="F9" s="346"/>
      <c r="H9" s="344"/>
      <c r="I9" s="344"/>
    </row>
    <row r="10" spans="1:9" ht="16.5" customHeight="1">
      <c r="A10" s="392">
        <v>8</v>
      </c>
      <c r="B10" s="805"/>
      <c r="C10" s="400" t="s">
        <v>742</v>
      </c>
      <c r="D10" s="438" t="s">
        <v>743</v>
      </c>
      <c r="E10" s="429" t="s">
        <v>869</v>
      </c>
      <c r="F10" s="346" t="s">
        <v>743</v>
      </c>
      <c r="H10" s="344"/>
      <c r="I10" s="344"/>
    </row>
    <row r="11" spans="1:9" ht="17.25" customHeight="1">
      <c r="A11" s="392">
        <v>9</v>
      </c>
      <c r="B11" s="805"/>
      <c r="C11" s="437" t="s">
        <v>739</v>
      </c>
      <c r="D11" s="448" t="s">
        <v>740</v>
      </c>
      <c r="E11" s="437" t="s">
        <v>276</v>
      </c>
      <c r="F11" s="346"/>
      <c r="H11" s="344"/>
      <c r="I11" s="344"/>
    </row>
    <row r="12" spans="1:9" ht="17.25" customHeight="1">
      <c r="A12" s="392">
        <v>10</v>
      </c>
      <c r="B12" s="805"/>
      <c r="C12" s="449" t="s">
        <v>409</v>
      </c>
      <c r="D12" s="448" t="s">
        <v>764</v>
      </c>
      <c r="E12" s="437"/>
      <c r="F12" s="346"/>
      <c r="H12" s="344"/>
      <c r="I12" s="344"/>
    </row>
    <row r="13" spans="1:9" ht="18" customHeight="1">
      <c r="A13" s="392">
        <v>11</v>
      </c>
      <c r="B13" s="805"/>
      <c r="C13" s="400" t="s">
        <v>560</v>
      </c>
      <c r="D13" s="438" t="s">
        <v>13</v>
      </c>
      <c r="E13" s="449"/>
      <c r="F13" s="448"/>
      <c r="H13" s="344"/>
      <c r="I13" s="344"/>
    </row>
    <row r="14" spans="1:9" ht="16.5" customHeight="1">
      <c r="A14" s="392">
        <v>12</v>
      </c>
      <c r="B14" s="805"/>
      <c r="C14" s="450" t="s">
        <v>868</v>
      </c>
      <c r="D14" s="438" t="s">
        <v>16</v>
      </c>
      <c r="E14" s="437"/>
      <c r="F14" s="346"/>
      <c r="H14" s="344"/>
      <c r="I14" s="344"/>
    </row>
    <row r="15" spans="1:9" ht="16.5" customHeight="1">
      <c r="A15" s="392">
        <v>13</v>
      </c>
      <c r="B15" s="805"/>
      <c r="C15" s="449" t="s">
        <v>409</v>
      </c>
      <c r="D15" s="448" t="s">
        <v>764</v>
      </c>
      <c r="E15" s="437"/>
      <c r="F15" s="346"/>
    </row>
    <row r="16" spans="1:9" ht="16.5" customHeight="1">
      <c r="A16" s="392">
        <v>14</v>
      </c>
      <c r="B16" s="805"/>
      <c r="C16" s="807" t="s">
        <v>867</v>
      </c>
      <c r="D16" s="809" t="s">
        <v>16</v>
      </c>
      <c r="E16" s="781"/>
      <c r="F16" s="781"/>
    </row>
    <row r="17" spans="1:11" ht="16.5" customHeight="1">
      <c r="A17" s="392">
        <v>15</v>
      </c>
      <c r="B17" s="805"/>
      <c r="C17" s="808"/>
      <c r="D17" s="810"/>
      <c r="E17" s="811"/>
      <c r="F17" s="811"/>
    </row>
    <row r="18" spans="1:11" ht="16.5" customHeight="1">
      <c r="A18" s="392">
        <v>16</v>
      </c>
      <c r="B18" s="805"/>
      <c r="C18" s="437" t="s">
        <v>744</v>
      </c>
      <c r="D18" s="346" t="s">
        <v>745</v>
      </c>
      <c r="E18" s="437"/>
      <c r="F18" s="346"/>
    </row>
    <row r="19" spans="1:11" ht="17.25" customHeight="1">
      <c r="A19" s="392">
        <v>17</v>
      </c>
      <c r="B19" s="805"/>
      <c r="C19" s="437" t="s">
        <v>746</v>
      </c>
      <c r="D19" s="346" t="s">
        <v>539</v>
      </c>
      <c r="E19" s="437"/>
      <c r="F19" s="346"/>
    </row>
    <row r="20" spans="1:11" ht="17.25" customHeight="1">
      <c r="A20" s="392">
        <v>18</v>
      </c>
      <c r="B20" s="805"/>
      <c r="C20" s="437" t="s">
        <v>747</v>
      </c>
      <c r="D20" s="346" t="s">
        <v>748</v>
      </c>
      <c r="E20" s="437"/>
      <c r="F20" s="346"/>
    </row>
    <row r="21" spans="1:11" ht="16.899999999999999" customHeight="1">
      <c r="A21" s="392">
        <v>19</v>
      </c>
      <c r="B21" s="805"/>
      <c r="C21" s="437"/>
      <c r="D21" s="346"/>
      <c r="E21" s="437"/>
      <c r="F21" s="346"/>
    </row>
    <row r="22" spans="1:11" ht="17.25" customHeight="1" thickBot="1">
      <c r="A22" s="392">
        <v>20</v>
      </c>
      <c r="B22" s="806"/>
      <c r="C22" s="433"/>
      <c r="D22" s="345"/>
      <c r="E22" s="433"/>
      <c r="F22" s="345"/>
    </row>
    <row r="23" spans="1:11" ht="15">
      <c r="A23" s="392">
        <v>21</v>
      </c>
      <c r="B23" s="445"/>
      <c r="C23" s="444"/>
      <c r="D23" s="447"/>
      <c r="E23" s="446"/>
      <c r="F23" s="441"/>
    </row>
    <row r="24" spans="1:11" ht="15">
      <c r="A24" s="392">
        <v>22</v>
      </c>
      <c r="B24" s="445"/>
      <c r="C24" s="444"/>
      <c r="D24" s="443"/>
      <c r="E24" s="442"/>
      <c r="F24" s="441"/>
    </row>
    <row r="25" spans="1:11" ht="16.899999999999999" customHeight="1">
      <c r="A25" s="392">
        <v>23</v>
      </c>
      <c r="B25" s="803" t="s">
        <v>771</v>
      </c>
      <c r="C25" s="400" t="s">
        <v>561</v>
      </c>
      <c r="D25" s="438" t="s">
        <v>749</v>
      </c>
      <c r="E25" s="440"/>
      <c r="F25" s="439"/>
    </row>
    <row r="26" spans="1:11" ht="16.899999999999999" customHeight="1">
      <c r="A26" s="392">
        <v>24</v>
      </c>
      <c r="B26" s="799"/>
      <c r="C26" s="400" t="s">
        <v>750</v>
      </c>
      <c r="D26" s="438" t="s">
        <v>22</v>
      </c>
      <c r="E26" s="434"/>
      <c r="F26" s="346"/>
    </row>
    <row r="27" spans="1:11" ht="16.5" customHeight="1">
      <c r="A27" s="392">
        <v>25</v>
      </c>
      <c r="B27" s="799"/>
      <c r="C27" s="400" t="s">
        <v>751</v>
      </c>
      <c r="D27" s="412" t="s">
        <v>752</v>
      </c>
      <c r="E27" s="437" t="s">
        <v>277</v>
      </c>
      <c r="F27" s="346" t="s">
        <v>23</v>
      </c>
    </row>
    <row r="28" spans="1:11" ht="16.5" customHeight="1">
      <c r="A28" s="392">
        <v>26</v>
      </c>
      <c r="B28" s="799"/>
      <c r="C28" s="400" t="s">
        <v>562</v>
      </c>
      <c r="D28" s="412" t="s">
        <v>24</v>
      </c>
      <c r="E28" s="434"/>
      <c r="F28" s="346"/>
    </row>
    <row r="29" spans="1:11" ht="16.5" customHeight="1">
      <c r="A29" s="392">
        <v>27</v>
      </c>
      <c r="B29" s="799"/>
      <c r="C29" s="400" t="s">
        <v>753</v>
      </c>
      <c r="D29" s="412" t="s">
        <v>25</v>
      </c>
      <c r="E29" s="434"/>
      <c r="F29" s="346"/>
    </row>
    <row r="30" spans="1:11" ht="15.75" customHeight="1">
      <c r="A30" s="392">
        <v>28</v>
      </c>
      <c r="B30" s="799"/>
      <c r="C30" s="400" t="s">
        <v>563</v>
      </c>
      <c r="D30" s="412" t="s">
        <v>26</v>
      </c>
      <c r="E30" s="434"/>
      <c r="F30" s="346"/>
    </row>
    <row r="31" spans="1:11" ht="16.5" customHeight="1">
      <c r="A31" s="392">
        <v>29</v>
      </c>
      <c r="B31" s="799"/>
      <c r="C31" s="436" t="s">
        <v>564</v>
      </c>
      <c r="D31" s="435" t="s">
        <v>27</v>
      </c>
      <c r="E31" s="434"/>
      <c r="F31" s="346"/>
    </row>
    <row r="32" spans="1:11" ht="15.4" thickBot="1">
      <c r="A32" s="392">
        <v>30</v>
      </c>
      <c r="B32" s="800"/>
      <c r="C32" s="433" t="s">
        <v>565</v>
      </c>
      <c r="D32" s="432"/>
      <c r="E32" s="431"/>
      <c r="F32" s="345"/>
      <c r="I32" s="430"/>
      <c r="K32" s="430"/>
    </row>
    <row r="33" spans="1:11" ht="15">
      <c r="A33" s="392">
        <v>31</v>
      </c>
      <c r="C33" s="419"/>
      <c r="D33" s="421"/>
      <c r="E33" s="417"/>
      <c r="F33" s="420"/>
      <c r="I33" s="430"/>
      <c r="K33" s="430"/>
    </row>
    <row r="34" spans="1:11" ht="47.35" customHeight="1" thickBot="1">
      <c r="A34" s="392">
        <v>32</v>
      </c>
      <c r="B34" s="812" t="s">
        <v>1254</v>
      </c>
      <c r="C34" s="813"/>
      <c r="D34" s="813"/>
      <c r="E34" s="813"/>
      <c r="F34" s="813"/>
      <c r="I34" s="428"/>
    </row>
    <row r="35" spans="1:11" ht="19.149999999999999" customHeight="1">
      <c r="A35" s="392">
        <v>33</v>
      </c>
      <c r="B35" s="814" t="s">
        <v>772</v>
      </c>
      <c r="C35" s="598" t="s">
        <v>866</v>
      </c>
      <c r="D35" s="599" t="s">
        <v>754</v>
      </c>
      <c r="E35" s="437" t="s">
        <v>866</v>
      </c>
      <c r="F35" s="448" t="s">
        <v>755</v>
      </c>
      <c r="I35" s="428"/>
    </row>
    <row r="36" spans="1:11" ht="15" customHeight="1">
      <c r="A36" s="392">
        <v>34</v>
      </c>
      <c r="B36" s="799"/>
      <c r="C36" s="400" t="s">
        <v>756</v>
      </c>
      <c r="D36" s="412" t="s">
        <v>28</v>
      </c>
      <c r="E36" s="400" t="s">
        <v>756</v>
      </c>
      <c r="F36" s="404" t="s">
        <v>757</v>
      </c>
    </row>
    <row r="37" spans="1:11" ht="19.149999999999999" customHeight="1">
      <c r="A37" s="392">
        <v>35</v>
      </c>
      <c r="B37" s="799"/>
      <c r="C37" s="400" t="s">
        <v>566</v>
      </c>
      <c r="D37" s="412" t="s">
        <v>24</v>
      </c>
      <c r="E37" s="400" t="s">
        <v>566</v>
      </c>
      <c r="F37" s="427" t="s">
        <v>781</v>
      </c>
    </row>
    <row r="38" spans="1:11" ht="15" customHeight="1">
      <c r="A38" s="392">
        <v>36</v>
      </c>
      <c r="B38" s="799"/>
      <c r="C38" s="400" t="s">
        <v>567</v>
      </c>
      <c r="D38" s="412" t="s">
        <v>26</v>
      </c>
      <c r="E38" s="400" t="s">
        <v>567</v>
      </c>
      <c r="F38" s="404" t="s">
        <v>540</v>
      </c>
    </row>
    <row r="39" spans="1:11" ht="15" customHeight="1">
      <c r="A39" s="392">
        <v>37</v>
      </c>
      <c r="B39" s="799"/>
      <c r="C39" s="400" t="s">
        <v>568</v>
      </c>
      <c r="D39" s="426" t="s">
        <v>538</v>
      </c>
      <c r="E39" s="400" t="s">
        <v>568</v>
      </c>
      <c r="F39" s="425" t="s">
        <v>537</v>
      </c>
    </row>
    <row r="40" spans="1:11" ht="15" customHeight="1">
      <c r="A40" s="392">
        <v>38</v>
      </c>
      <c r="B40" s="799"/>
      <c r="C40" s="400" t="s">
        <v>569</v>
      </c>
      <c r="D40" s="426"/>
      <c r="E40" s="400" t="s">
        <v>569</v>
      </c>
      <c r="F40" s="425"/>
    </row>
    <row r="41" spans="1:11" ht="15" customHeight="1">
      <c r="A41" s="392">
        <v>39</v>
      </c>
      <c r="B41" s="799"/>
      <c r="C41" s="400" t="s">
        <v>1253</v>
      </c>
      <c r="D41" s="426"/>
      <c r="E41" s="429" t="s">
        <v>1252</v>
      </c>
      <c r="F41" s="425"/>
    </row>
    <row r="42" spans="1:11" ht="19.5" customHeight="1">
      <c r="A42" s="392">
        <v>40</v>
      </c>
      <c r="B42" s="799"/>
      <c r="C42" s="400" t="s">
        <v>865</v>
      </c>
      <c r="D42" s="426"/>
      <c r="E42" s="400" t="s">
        <v>865</v>
      </c>
      <c r="F42" s="425"/>
    </row>
    <row r="43" spans="1:11" ht="15.4" thickBot="1">
      <c r="A43" s="392">
        <v>41</v>
      </c>
      <c r="B43" s="800"/>
      <c r="C43" s="423" t="s">
        <v>864</v>
      </c>
      <c r="D43" s="424"/>
      <c r="E43" s="423" t="s">
        <v>864</v>
      </c>
      <c r="F43" s="422"/>
    </row>
    <row r="44" spans="1:11" ht="15">
      <c r="A44" s="392">
        <v>42</v>
      </c>
      <c r="C44" s="419"/>
      <c r="D44" s="421"/>
      <c r="E44" s="417"/>
      <c r="F44" s="420"/>
    </row>
    <row r="45" spans="1:11" ht="15.75" customHeight="1">
      <c r="A45" s="392">
        <v>43</v>
      </c>
      <c r="C45" s="419"/>
      <c r="D45" s="418"/>
      <c r="E45" s="417"/>
      <c r="F45" s="416"/>
    </row>
    <row r="46" spans="1:11" ht="15.75" customHeight="1">
      <c r="A46" s="392">
        <v>44</v>
      </c>
      <c r="B46" s="798" t="s">
        <v>859</v>
      </c>
      <c r="C46" s="400" t="s">
        <v>863</v>
      </c>
      <c r="D46" s="415" t="s">
        <v>862</v>
      </c>
      <c r="E46" s="414" t="s">
        <v>861</v>
      </c>
      <c r="F46" s="413">
        <v>1</v>
      </c>
    </row>
    <row r="47" spans="1:11" ht="15.75" customHeight="1">
      <c r="A47" s="392">
        <v>45</v>
      </c>
      <c r="B47" s="799"/>
      <c r="C47" s="400" t="s">
        <v>860</v>
      </c>
      <c r="D47" s="396"/>
      <c r="E47" s="397"/>
      <c r="F47" s="396"/>
    </row>
    <row r="48" spans="1:11" ht="19.5">
      <c r="A48" s="392">
        <v>46</v>
      </c>
      <c r="B48" s="799"/>
      <c r="C48" s="398"/>
      <c r="D48" s="396"/>
      <c r="E48" s="397"/>
      <c r="F48" s="396"/>
    </row>
    <row r="49" spans="1:6" ht="15.75" customHeight="1">
      <c r="A49" s="392">
        <v>47</v>
      </c>
      <c r="B49" s="799"/>
      <c r="C49" s="400" t="s">
        <v>570</v>
      </c>
      <c r="D49" s="412" t="s">
        <v>29</v>
      </c>
      <c r="E49" s="400"/>
      <c r="F49" s="413"/>
    </row>
    <row r="50" spans="1:6" ht="15">
      <c r="A50" s="392">
        <v>48</v>
      </c>
      <c r="B50" s="799"/>
      <c r="C50" s="400" t="s">
        <v>571</v>
      </c>
      <c r="D50" s="412" t="s">
        <v>30</v>
      </c>
      <c r="E50" s="400"/>
      <c r="F50" s="411"/>
    </row>
    <row r="51" spans="1:6" ht="15.75" customHeight="1">
      <c r="A51" s="392">
        <v>49</v>
      </c>
      <c r="B51" s="799"/>
      <c r="C51" s="400" t="s">
        <v>572</v>
      </c>
      <c r="D51" s="410" t="s">
        <v>31</v>
      </c>
      <c r="E51" s="400"/>
      <c r="F51" s="399"/>
    </row>
    <row r="52" spans="1:6" ht="15.75" customHeight="1">
      <c r="A52" s="392">
        <v>50</v>
      </c>
      <c r="B52" s="799"/>
      <c r="C52" s="409" t="s">
        <v>573</v>
      </c>
      <c r="D52" s="405" t="s">
        <v>66</v>
      </c>
      <c r="E52" s="400" t="s">
        <v>574</v>
      </c>
      <c r="F52" s="404" t="s">
        <v>186</v>
      </c>
    </row>
    <row r="53" spans="1:6" ht="16.5" customHeight="1">
      <c r="A53" s="392">
        <v>51</v>
      </c>
      <c r="B53" s="799"/>
      <c r="C53" s="406"/>
      <c r="D53" s="405"/>
      <c r="E53" s="400" t="s">
        <v>575</v>
      </c>
      <c r="F53" s="404" t="s">
        <v>187</v>
      </c>
    </row>
    <row r="54" spans="1:6" ht="16.5" customHeight="1">
      <c r="A54" s="392">
        <v>52</v>
      </c>
      <c r="B54" s="799"/>
      <c r="C54" s="408"/>
      <c r="D54" s="405"/>
      <c r="E54" s="400" t="s">
        <v>758</v>
      </c>
      <c r="F54" s="407" t="str">
        <f>LEFT(F52, FIND("~", F52) - 2)</f>
        <v>2024.11.18</v>
      </c>
    </row>
    <row r="55" spans="1:6" ht="16.5" customHeight="1">
      <c r="A55" s="392">
        <v>53</v>
      </c>
      <c r="B55" s="799"/>
      <c r="C55" s="406"/>
      <c r="D55" s="405"/>
      <c r="E55" s="400" t="s">
        <v>759</v>
      </c>
      <c r="F55" s="404" t="str">
        <f>LEFT(F53, FIND("~", F53) - 2)</f>
        <v>2024.12.16</v>
      </c>
    </row>
    <row r="56" spans="1:6" ht="16.5" customHeight="1">
      <c r="A56" s="392">
        <v>54</v>
      </c>
      <c r="B56" s="799"/>
      <c r="C56" s="402" t="s">
        <v>773</v>
      </c>
      <c r="D56" s="401" t="s">
        <v>766</v>
      </c>
      <c r="E56" s="400"/>
      <c r="F56" s="399"/>
    </row>
    <row r="57" spans="1:6" ht="16.5" customHeight="1">
      <c r="A57" s="392">
        <v>55</v>
      </c>
      <c r="B57" s="799"/>
      <c r="C57" s="402" t="s">
        <v>774</v>
      </c>
      <c r="D57" s="401" t="s">
        <v>767</v>
      </c>
      <c r="E57" s="400"/>
      <c r="F57" s="399"/>
    </row>
    <row r="58" spans="1:6" ht="16.5" customHeight="1">
      <c r="A58" s="392">
        <v>56</v>
      </c>
      <c r="B58" s="799"/>
      <c r="C58" s="402" t="s">
        <v>775</v>
      </c>
      <c r="D58" s="403" t="s">
        <v>34</v>
      </c>
      <c r="E58" s="400"/>
      <c r="F58" s="399"/>
    </row>
    <row r="59" spans="1:6" ht="16.5" customHeight="1">
      <c r="A59" s="392">
        <v>57</v>
      </c>
      <c r="B59" s="799"/>
      <c r="C59" s="402" t="s">
        <v>776</v>
      </c>
      <c r="D59" s="401" t="s">
        <v>35</v>
      </c>
      <c r="E59" s="400"/>
      <c r="F59" s="399"/>
    </row>
    <row r="60" spans="1:6" ht="16.5" customHeight="1">
      <c r="A60" s="392">
        <v>58</v>
      </c>
      <c r="B60" s="799"/>
      <c r="C60" s="402" t="s">
        <v>777</v>
      </c>
      <c r="D60" s="401" t="s">
        <v>768</v>
      </c>
      <c r="E60" s="400"/>
      <c r="F60" s="399"/>
    </row>
    <row r="61" spans="1:6" ht="19.5" customHeight="1">
      <c r="A61" s="392">
        <v>59</v>
      </c>
      <c r="B61" s="799"/>
      <c r="C61" s="402" t="s">
        <v>778</v>
      </c>
      <c r="D61" s="401" t="s">
        <v>769</v>
      </c>
      <c r="E61" s="400"/>
      <c r="F61" s="399"/>
    </row>
    <row r="62" spans="1:6" ht="19.5" customHeight="1">
      <c r="A62" s="392">
        <v>60</v>
      </c>
      <c r="B62" s="799"/>
      <c r="C62" s="402" t="s">
        <v>779</v>
      </c>
      <c r="D62" s="403" t="s">
        <v>38</v>
      </c>
      <c r="E62" s="400"/>
      <c r="F62" s="399"/>
    </row>
    <row r="63" spans="1:6" ht="19.5" customHeight="1">
      <c r="A63" s="392">
        <v>61</v>
      </c>
      <c r="B63" s="799"/>
      <c r="C63" s="402" t="s">
        <v>780</v>
      </c>
      <c r="D63" s="401" t="s">
        <v>39</v>
      </c>
      <c r="E63" s="400"/>
      <c r="F63" s="399"/>
    </row>
    <row r="64" spans="1:6" ht="16.5" customHeight="1">
      <c r="A64" s="392">
        <v>62</v>
      </c>
      <c r="B64" s="799"/>
      <c r="C64" s="398"/>
      <c r="D64" s="396"/>
      <c r="E64" s="397"/>
      <c r="F64" s="396"/>
    </row>
    <row r="65" spans="1:6" ht="15.4" thickBot="1">
      <c r="A65" s="392">
        <v>63</v>
      </c>
      <c r="B65" s="800"/>
      <c r="C65" s="395"/>
      <c r="D65" s="394"/>
      <c r="E65" s="395"/>
      <c r="F65" s="394"/>
    </row>
    <row r="66" spans="1:6" ht="15" customHeight="1">
      <c r="A66" s="392">
        <v>64</v>
      </c>
      <c r="B66" s="393"/>
    </row>
    <row r="67" spans="1:6" ht="15" customHeight="1">
      <c r="A67" s="392">
        <v>65</v>
      </c>
      <c r="E67" s="344"/>
    </row>
    <row r="68" spans="1:6" ht="15" customHeight="1">
      <c r="A68" s="392">
        <v>66</v>
      </c>
      <c r="B68" s="795" t="s">
        <v>872</v>
      </c>
      <c r="C68" s="278" t="s">
        <v>798</v>
      </c>
      <c r="D68" s="6" t="s">
        <v>794</v>
      </c>
      <c r="E68" s="344"/>
    </row>
    <row r="69" spans="1:6" ht="15" customHeight="1">
      <c r="A69" s="392">
        <v>67</v>
      </c>
      <c r="B69" s="796"/>
      <c r="C69" s="280" t="s">
        <v>873</v>
      </c>
      <c r="D69" s="337" t="s">
        <v>874</v>
      </c>
      <c r="E69" s="344"/>
    </row>
    <row r="70" spans="1:6" ht="15" customHeight="1">
      <c r="A70" s="392">
        <v>68</v>
      </c>
      <c r="B70" s="796"/>
      <c r="C70" s="280" t="s">
        <v>875</v>
      </c>
      <c r="D70" s="337" t="s">
        <v>876</v>
      </c>
      <c r="E70" s="344"/>
    </row>
    <row r="71" spans="1:6" ht="15" customHeight="1">
      <c r="A71" s="392">
        <v>69</v>
      </c>
      <c r="B71" s="796"/>
      <c r="C71" s="280" t="s">
        <v>877</v>
      </c>
      <c r="D71" s="337" t="s">
        <v>878</v>
      </c>
    </row>
    <row r="72" spans="1:6" ht="15" customHeight="1">
      <c r="A72" s="392">
        <v>70</v>
      </c>
      <c r="B72" s="796"/>
      <c r="C72" s="280" t="s">
        <v>879</v>
      </c>
      <c r="D72" s="337" t="s">
        <v>880</v>
      </c>
    </row>
    <row r="73" spans="1:6" ht="15" customHeight="1">
      <c r="A73" s="392">
        <v>71</v>
      </c>
      <c r="B73" s="796"/>
      <c r="C73" s="278" t="s">
        <v>799</v>
      </c>
      <c r="D73" s="6" t="s">
        <v>795</v>
      </c>
    </row>
    <row r="74" spans="1:6" ht="15.4" customHeight="1">
      <c r="A74" s="392">
        <v>72</v>
      </c>
      <c r="B74" s="796"/>
      <c r="C74" s="278" t="s">
        <v>800</v>
      </c>
      <c r="D74" s="6" t="s">
        <v>796</v>
      </c>
    </row>
    <row r="75" spans="1:6" ht="15">
      <c r="A75" s="392">
        <v>73</v>
      </c>
      <c r="B75" s="796"/>
      <c r="C75" s="278" t="s">
        <v>801</v>
      </c>
      <c r="D75" s="6" t="s">
        <v>740</v>
      </c>
    </row>
    <row r="76" spans="1:6" ht="15.4" thickBot="1">
      <c r="A76" s="392">
        <v>74</v>
      </c>
      <c r="B76" s="797"/>
      <c r="C76" s="281" t="s">
        <v>802</v>
      </c>
      <c r="D76" s="336" t="s">
        <v>797</v>
      </c>
    </row>
    <row r="77" spans="1:6" ht="13.5">
      <c r="A77" s="392">
        <v>75</v>
      </c>
    </row>
    <row r="78" spans="1:6" ht="13.5">
      <c r="A78" s="392">
        <v>76</v>
      </c>
    </row>
    <row r="79" spans="1:6" ht="13.5">
      <c r="A79" s="392">
        <v>77</v>
      </c>
    </row>
    <row r="80" spans="1:6" ht="13.5">
      <c r="A80" s="392">
        <v>78</v>
      </c>
    </row>
    <row r="81" spans="1:1" ht="13.5">
      <c r="A81" s="392">
        <v>79</v>
      </c>
    </row>
    <row r="82" spans="1:1" ht="13.5">
      <c r="A82" s="392">
        <v>80</v>
      </c>
    </row>
    <row r="83" spans="1:1" ht="13.5">
      <c r="A83" s="392">
        <v>81</v>
      </c>
    </row>
    <row r="84" spans="1:1" ht="13.5">
      <c r="A84" s="392">
        <v>82</v>
      </c>
    </row>
    <row r="85" spans="1:1" ht="13.5">
      <c r="A85" s="392">
        <v>83</v>
      </c>
    </row>
    <row r="86" spans="1:1" ht="13.5">
      <c r="A86" s="392">
        <v>84</v>
      </c>
    </row>
    <row r="87" spans="1:1" ht="13.5">
      <c r="A87" s="392">
        <v>85</v>
      </c>
    </row>
    <row r="88" spans="1:1" ht="13.5">
      <c r="A88" s="392">
        <v>86</v>
      </c>
    </row>
    <row r="89" spans="1:1" ht="13.5">
      <c r="A89" s="392">
        <v>87</v>
      </c>
    </row>
    <row r="90" spans="1:1" ht="13.5">
      <c r="A90" s="392">
        <v>88</v>
      </c>
    </row>
  </sheetData>
  <mergeCells count="9">
    <mergeCell ref="B68:B76"/>
    <mergeCell ref="B46:B65"/>
    <mergeCell ref="B2:F2"/>
    <mergeCell ref="B25:B32"/>
    <mergeCell ref="B4:B22"/>
    <mergeCell ref="C16:C17"/>
    <mergeCell ref="D16:F17"/>
    <mergeCell ref="B34:F34"/>
    <mergeCell ref="B35:B43"/>
  </mergeCells>
  <phoneticPr fontId="11" type="noConversion"/>
  <dataValidations count="7">
    <dataValidation allowBlank="1" showInputMessage="1" showErrorMessage="1" promptTitle="연락처" prompt="직통번호만 가능합니다._x000a_예)_x000a_1866-9999 (X)_x000a_051-000-0000 (0)_x000a_" sqref="D6" xr:uid="{F8E76DFE-8543-4B53-BB53-68A689A6B0B8}"/>
    <dataValidation type="list" allowBlank="1" showInputMessage="1" showErrorMessage="1" sqref="D49" xr:uid="{01246E6C-BFF3-4A21-A670-B0F13BAD9A00}">
      <formula1>"광고마케팅,IT,행정,회계"</formula1>
    </dataValidation>
    <dataValidation type="list" allowBlank="1" showInputMessage="1" showErrorMessage="1" sqref="F46" xr:uid="{FC445C84-B227-4960-9833-1CF98DAA52B2}">
      <formula1>"1,2,3,4,5,6"</formula1>
    </dataValidation>
    <dataValidation type="list" allowBlank="1" showInputMessage="1" showErrorMessage="1" sqref="D46" xr:uid="{27C588E9-5649-43EA-AD1E-28E68F59991C}">
      <formula1>"인턴형,프로젝트형"</formula1>
    </dataValidation>
    <dataValidation type="list" allowBlank="1" showErrorMessage="1" sqref="D13" xr:uid="{81E7F5DE-630E-44EA-8AA1-3B840AA01CEF}">
      <formula1>"중소기업,중견기업,대기업,기타(비영리 법인 등)"</formula1>
    </dataValidation>
    <dataValidation type="list" allowBlank="1" showErrorMessage="1" sqref="F11" xr:uid="{20F9A341-DDF5-4A89-8EF3-A551306F5CC2}">
      <formula1>"신기술·신성장유망기업,강소기업·청년친화강소기업,우수벤처기업,우수 중소기업(경영혁신형․기술혁신형 중소기업),사회적기업,기타 중소기업"</formula1>
    </dataValidation>
    <dataValidation type="list" allowBlank="1" showErrorMessage="1" sqref="D26" xr:uid="{B1C39882-0A20-49F2-82BF-F7CFE28AFBA5}">
      <formula1>"없음,있음"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EEA76-6CA8-4990-8457-F14E8B983C7D}">
  <sheetPr codeName="Sheet27"/>
  <dimension ref="A1:AL63"/>
  <sheetViews>
    <sheetView topLeftCell="A7" workbookViewId="0">
      <selection activeCell="B14" sqref="B14:G30"/>
    </sheetView>
    <sheetView workbookViewId="1"/>
  </sheetViews>
  <sheetFormatPr defaultRowHeight="12.75"/>
  <cols>
    <col min="1" max="1" width="14" style="47" customWidth="1"/>
    <col min="2" max="2" width="24.86328125" style="47" customWidth="1"/>
    <col min="3" max="3" width="19.53125" style="47" bestFit="1" customWidth="1"/>
    <col min="4" max="4" width="38.19921875" style="47" bestFit="1" customWidth="1"/>
    <col min="5" max="6" width="9.06640625" style="47"/>
    <col min="7" max="7" width="12.59765625" style="47" bestFit="1" customWidth="1"/>
    <col min="8" max="9" width="7.1328125" style="47" customWidth="1"/>
    <col min="10" max="19" width="6.3984375" style="47" customWidth="1"/>
    <col min="20" max="20" width="11.86328125" style="47" customWidth="1"/>
    <col min="21" max="27" width="9.06640625" style="47"/>
    <col min="28" max="29" width="9.06640625" style="47" customWidth="1"/>
    <col min="30" max="16384" width="9.06640625" style="47"/>
  </cols>
  <sheetData>
    <row r="1" spans="1:38" ht="23.25">
      <c r="A1" s="112" t="s">
        <v>134</v>
      </c>
      <c r="B1" s="113">
        <v>1</v>
      </c>
      <c r="C1" s="113">
        <v>2</v>
      </c>
      <c r="D1" s="113">
        <v>3</v>
      </c>
      <c r="E1" s="113">
        <v>4</v>
      </c>
      <c r="F1" s="113">
        <v>5</v>
      </c>
      <c r="G1" s="113">
        <v>6</v>
      </c>
      <c r="H1" s="113">
        <v>7</v>
      </c>
      <c r="I1" s="113">
        <v>8</v>
      </c>
      <c r="J1" s="113">
        <v>9</v>
      </c>
      <c r="K1" s="113">
        <v>10</v>
      </c>
      <c r="L1" s="113">
        <v>11</v>
      </c>
      <c r="M1" s="113">
        <v>12</v>
      </c>
      <c r="N1" s="113">
        <v>13</v>
      </c>
      <c r="O1" s="113">
        <v>14</v>
      </c>
      <c r="P1" s="113">
        <v>15</v>
      </c>
      <c r="Q1" s="113">
        <v>16</v>
      </c>
      <c r="R1" s="113">
        <v>17</v>
      </c>
      <c r="S1" s="113">
        <v>18</v>
      </c>
      <c r="T1" s="113">
        <v>19</v>
      </c>
      <c r="U1" s="113">
        <v>20</v>
      </c>
      <c r="V1" s="113">
        <v>21</v>
      </c>
      <c r="W1" s="113">
        <v>22</v>
      </c>
      <c r="X1" s="113">
        <v>23</v>
      </c>
      <c r="Y1" s="113">
        <v>24</v>
      </c>
      <c r="Z1" s="113">
        <v>25</v>
      </c>
      <c r="AA1" s="113">
        <v>26</v>
      </c>
      <c r="AB1" s="113">
        <v>27</v>
      </c>
      <c r="AC1" s="113">
        <v>28</v>
      </c>
      <c r="AD1" s="113">
        <v>29</v>
      </c>
      <c r="AE1" s="113">
        <v>30</v>
      </c>
      <c r="AF1" s="113">
        <v>31</v>
      </c>
      <c r="AG1" s="113">
        <v>32</v>
      </c>
      <c r="AH1" s="113">
        <v>33</v>
      </c>
      <c r="AI1" s="113">
        <v>34</v>
      </c>
      <c r="AJ1" s="113">
        <v>35</v>
      </c>
      <c r="AK1" s="113">
        <v>36</v>
      </c>
      <c r="AL1" s="113">
        <v>37</v>
      </c>
    </row>
    <row r="2" spans="1:38" ht="27" customHeight="1">
      <c r="A2" s="114">
        <v>0</v>
      </c>
      <c r="B2" s="1036" t="s">
        <v>791</v>
      </c>
      <c r="C2" s="866"/>
      <c r="D2" s="866"/>
      <c r="E2" s="40"/>
      <c r="F2" s="41"/>
    </row>
    <row r="3" spans="1:38" ht="27.4" customHeight="1" thickBot="1">
      <c r="A3" s="115">
        <v>1</v>
      </c>
      <c r="B3" s="329" t="s">
        <v>788</v>
      </c>
      <c r="C3" s="329" t="s">
        <v>792</v>
      </c>
      <c r="D3" s="596" t="s">
        <v>1081</v>
      </c>
      <c r="E3" s="12"/>
      <c r="F3" s="11"/>
      <c r="I3" s="1033" t="s">
        <v>803</v>
      </c>
      <c r="J3" s="1034"/>
      <c r="K3" s="1034"/>
      <c r="L3" s="1034"/>
      <c r="M3" s="1034"/>
      <c r="N3" s="1034"/>
      <c r="O3" s="1034"/>
      <c r="P3" s="1034"/>
      <c r="Q3" s="1034"/>
      <c r="R3" s="1034"/>
      <c r="S3" s="1034"/>
      <c r="T3" s="1034"/>
      <c r="U3" s="1034"/>
      <c r="V3" s="1035"/>
    </row>
    <row r="4" spans="1:38" ht="19.5" customHeight="1" thickTop="1">
      <c r="A4" s="115">
        <v>2</v>
      </c>
      <c r="B4" s="869"/>
      <c r="C4" s="277" t="s">
        <v>798</v>
      </c>
      <c r="D4" s="328"/>
      <c r="E4" s="35"/>
      <c r="F4" s="16"/>
      <c r="I4" s="857"/>
      <c r="J4" s="857"/>
      <c r="K4" s="857"/>
      <c r="L4" s="857"/>
      <c r="M4" s="857"/>
      <c r="N4" s="857"/>
      <c r="O4" s="857"/>
      <c r="P4" s="857"/>
      <c r="Q4" s="857"/>
      <c r="R4" s="857"/>
      <c r="S4" s="857"/>
      <c r="T4" s="857"/>
      <c r="U4" s="857"/>
      <c r="V4" s="857"/>
    </row>
    <row r="5" spans="1:38" ht="19.149999999999999" customHeight="1">
      <c r="A5" s="115">
        <v>3</v>
      </c>
      <c r="B5" s="870"/>
      <c r="C5" s="389" t="s">
        <v>855</v>
      </c>
      <c r="D5" s="391"/>
      <c r="E5" s="36"/>
      <c r="F5" s="37"/>
      <c r="I5" s="1013" t="s">
        <v>804</v>
      </c>
      <c r="J5" s="1014"/>
      <c r="K5" s="1014"/>
      <c r="L5" s="1015"/>
      <c r="M5" s="1022" t="s">
        <v>805</v>
      </c>
      <c r="N5" s="1023"/>
      <c r="O5" s="1023"/>
      <c r="P5" s="1023"/>
      <c r="Q5" s="1023"/>
      <c r="R5" s="1023" t="s">
        <v>806</v>
      </c>
      <c r="S5" s="1023"/>
      <c r="T5" s="1023"/>
      <c r="U5" s="1023"/>
      <c r="V5" s="1025"/>
    </row>
    <row r="6" spans="1:38" ht="19.149999999999999" customHeight="1">
      <c r="A6" s="115">
        <v>4</v>
      </c>
      <c r="B6" s="870"/>
      <c r="C6" s="390" t="s">
        <v>856</v>
      </c>
      <c r="D6" s="391"/>
      <c r="E6" s="36"/>
      <c r="F6" s="11"/>
      <c r="I6" s="1013" t="s">
        <v>807</v>
      </c>
      <c r="J6" s="1014"/>
      <c r="K6" s="1014"/>
      <c r="L6" s="1015"/>
      <c r="M6" s="1016" t="s">
        <v>1185</v>
      </c>
      <c r="N6" s="1017"/>
      <c r="O6" s="1017"/>
      <c r="P6" s="1017"/>
      <c r="Q6" s="1017"/>
      <c r="R6" s="1017"/>
      <c r="S6" s="1017"/>
      <c r="T6" s="1017"/>
      <c r="U6" s="1017"/>
      <c r="V6" s="1018"/>
    </row>
    <row r="7" spans="1:38" ht="19.149999999999999" customHeight="1">
      <c r="A7" s="115">
        <v>5</v>
      </c>
      <c r="B7" s="870"/>
      <c r="C7" s="390" t="s">
        <v>857</v>
      </c>
      <c r="D7" s="391"/>
      <c r="E7" s="12"/>
      <c r="F7" s="11"/>
      <c r="I7" s="1013" t="s">
        <v>808</v>
      </c>
      <c r="J7" s="1014"/>
      <c r="K7" s="1014"/>
      <c r="L7" s="1015"/>
      <c r="M7" s="1016" t="s">
        <v>1186</v>
      </c>
      <c r="N7" s="1017"/>
      <c r="O7" s="1017"/>
      <c r="P7" s="1017"/>
      <c r="Q7" s="1017"/>
      <c r="R7" s="1017"/>
      <c r="S7" s="1017"/>
      <c r="T7" s="1017"/>
      <c r="U7" s="1017"/>
      <c r="V7" s="1018"/>
    </row>
    <row r="8" spans="1:38" ht="19.5" customHeight="1">
      <c r="A8" s="335">
        <v>6</v>
      </c>
      <c r="B8" s="870"/>
      <c r="C8" s="390" t="s">
        <v>142</v>
      </c>
      <c r="D8" s="391"/>
      <c r="E8" s="35"/>
      <c r="F8" s="16"/>
      <c r="I8" s="1013" t="s">
        <v>809</v>
      </c>
      <c r="J8" s="1014"/>
      <c r="K8" s="1014"/>
      <c r="L8" s="1015"/>
      <c r="M8" s="1016" t="s">
        <v>809</v>
      </c>
      <c r="N8" s="1017"/>
      <c r="O8" s="1017"/>
      <c r="P8" s="1017"/>
      <c r="Q8" s="1017"/>
      <c r="R8" s="1017"/>
      <c r="S8" s="1017"/>
      <c r="T8" s="1017"/>
      <c r="U8" s="1017"/>
      <c r="V8" s="1018"/>
    </row>
    <row r="9" spans="1:38" ht="19.149999999999999" customHeight="1">
      <c r="A9" s="115">
        <v>7</v>
      </c>
      <c r="B9" s="870"/>
      <c r="C9" s="278" t="s">
        <v>799</v>
      </c>
      <c r="D9" s="6"/>
      <c r="E9" s="9"/>
      <c r="F9" s="11"/>
      <c r="I9" s="1029" t="s">
        <v>810</v>
      </c>
      <c r="J9" s="1030"/>
      <c r="K9" s="1013" t="s">
        <v>812</v>
      </c>
      <c r="L9" s="1015"/>
      <c r="M9" s="1016" t="s">
        <v>812</v>
      </c>
      <c r="N9" s="1017"/>
      <c r="O9" s="1017"/>
      <c r="P9" s="1017"/>
      <c r="Q9" s="1017"/>
      <c r="R9" s="1017"/>
      <c r="S9" s="1017"/>
      <c r="T9" s="1017"/>
      <c r="U9" s="1017"/>
      <c r="V9" s="1018"/>
    </row>
    <row r="10" spans="1:38" ht="19.149999999999999" customHeight="1">
      <c r="A10" s="335">
        <v>8</v>
      </c>
      <c r="B10" s="870"/>
      <c r="C10" s="278" t="s">
        <v>800</v>
      </c>
      <c r="D10" s="6"/>
      <c r="E10" s="39"/>
      <c r="F10" s="38"/>
      <c r="I10" s="1031" t="s">
        <v>811</v>
      </c>
      <c r="J10" s="1032"/>
      <c r="K10" s="1013" t="s">
        <v>813</v>
      </c>
      <c r="L10" s="1015"/>
      <c r="M10" s="1016" t="s">
        <v>1187</v>
      </c>
      <c r="N10" s="1017"/>
      <c r="O10" s="1017"/>
      <c r="P10" s="1017"/>
      <c r="Q10" s="1017"/>
      <c r="R10" s="1017"/>
      <c r="S10" s="1017"/>
      <c r="T10" s="1017"/>
      <c r="U10" s="1017"/>
      <c r="V10" s="1018"/>
    </row>
    <row r="11" spans="1:38" ht="19.149999999999999" customHeight="1">
      <c r="A11" s="115">
        <v>9</v>
      </c>
      <c r="B11" s="870"/>
      <c r="C11" s="278" t="s">
        <v>801</v>
      </c>
      <c r="D11" s="6"/>
      <c r="I11" s="1013" t="s">
        <v>814</v>
      </c>
      <c r="J11" s="1014"/>
      <c r="K11" s="1014"/>
      <c r="L11" s="1015"/>
      <c r="M11" s="1016" t="s">
        <v>814</v>
      </c>
      <c r="N11" s="1017"/>
      <c r="O11" s="1017"/>
      <c r="P11" s="1017"/>
      <c r="Q11" s="1017"/>
      <c r="R11" s="1017"/>
      <c r="S11" s="1017"/>
      <c r="T11" s="1017"/>
      <c r="U11" s="1017"/>
      <c r="V11" s="1018"/>
    </row>
    <row r="12" spans="1:38" ht="15.4" thickBot="1">
      <c r="A12" s="115">
        <v>10</v>
      </c>
      <c r="B12" s="871"/>
      <c r="C12" s="281" t="s">
        <v>802</v>
      </c>
      <c r="D12" s="336"/>
      <c r="I12" s="1009"/>
      <c r="J12" s="1009"/>
      <c r="K12" s="1009"/>
      <c r="L12" s="1009"/>
      <c r="M12" s="1009"/>
      <c r="N12" s="1009"/>
      <c r="O12" s="1009"/>
      <c r="P12" s="1009"/>
      <c r="Q12" s="1009"/>
      <c r="R12" s="1009"/>
      <c r="S12" s="1009"/>
      <c r="T12" s="1009"/>
      <c r="U12" s="1009"/>
      <c r="V12" s="1009"/>
    </row>
    <row r="13" spans="1:38" ht="19.149999999999999" customHeight="1">
      <c r="A13" s="115">
        <v>11</v>
      </c>
      <c r="I13" s="1013" t="s">
        <v>815</v>
      </c>
      <c r="J13" s="1014"/>
      <c r="K13" s="1014"/>
      <c r="L13" s="1015"/>
      <c r="M13" s="1026" t="s">
        <v>816</v>
      </c>
      <c r="N13" s="1027"/>
      <c r="O13" s="1027"/>
      <c r="P13" s="1028"/>
      <c r="Q13" s="1013" t="s">
        <v>817</v>
      </c>
      <c r="R13" s="1014"/>
      <c r="S13" s="1014"/>
      <c r="T13" s="1015"/>
      <c r="U13" s="1026" t="s">
        <v>818</v>
      </c>
      <c r="V13" s="1028"/>
    </row>
    <row r="14" spans="1:38" ht="26.65" thickBot="1">
      <c r="A14" s="115">
        <v>12</v>
      </c>
      <c r="B14" s="1037" t="s">
        <v>1206</v>
      </c>
      <c r="C14" s="1038"/>
      <c r="D14" s="1038"/>
      <c r="E14" s="1038"/>
      <c r="F14" s="1038"/>
      <c r="G14" s="1038"/>
      <c r="I14" s="1013" t="s">
        <v>280</v>
      </c>
      <c r="J14" s="1014"/>
      <c r="K14" s="1014"/>
      <c r="L14" s="1015"/>
      <c r="M14" s="1019" t="s">
        <v>819</v>
      </c>
      <c r="N14" s="1020"/>
      <c r="O14" s="1020"/>
      <c r="P14" s="1021"/>
      <c r="Q14" s="1013" t="s">
        <v>20</v>
      </c>
      <c r="R14" s="1014"/>
      <c r="S14" s="1014"/>
      <c r="T14" s="1015"/>
      <c r="U14" s="1019" t="s">
        <v>27</v>
      </c>
      <c r="V14" s="1021"/>
    </row>
    <row r="15" spans="1:38" ht="13.9" thickTop="1">
      <c r="A15" s="115">
        <v>13</v>
      </c>
      <c r="B15" s="589" t="s">
        <v>1199</v>
      </c>
      <c r="C15" s="589" t="s">
        <v>1200</v>
      </c>
      <c r="D15" s="592" t="s">
        <v>1207</v>
      </c>
      <c r="E15" s="590" t="s">
        <v>1191</v>
      </c>
      <c r="F15" s="590" t="s">
        <v>1192</v>
      </c>
      <c r="G15" s="591" t="s">
        <v>1193</v>
      </c>
      <c r="I15" s="1020"/>
      <c r="J15" s="1020"/>
      <c r="K15" s="1020"/>
      <c r="L15" s="1020"/>
      <c r="M15" s="1020"/>
      <c r="N15" s="1020"/>
      <c r="O15" s="1020"/>
      <c r="P15" s="1020"/>
      <c r="Q15" s="1020"/>
      <c r="R15" s="1020"/>
      <c r="S15" s="1020"/>
      <c r="T15" s="1020"/>
      <c r="U15" s="1020"/>
      <c r="V15" s="1020"/>
    </row>
    <row r="16" spans="1:38" ht="19.149999999999999" customHeight="1">
      <c r="A16" s="115">
        <v>14</v>
      </c>
      <c r="B16" s="47" t="s">
        <v>1194</v>
      </c>
      <c r="C16" s="586" t="s">
        <v>531</v>
      </c>
      <c r="D16" s="587" t="s">
        <v>1208</v>
      </c>
      <c r="E16" s="586" t="s">
        <v>1210</v>
      </c>
      <c r="F16" s="586" t="s">
        <v>1224</v>
      </c>
      <c r="G16" s="587" t="s">
        <v>1225</v>
      </c>
      <c r="I16" s="1013" t="s">
        <v>820</v>
      </c>
      <c r="J16" s="1014"/>
      <c r="K16" s="1014"/>
      <c r="L16" s="1015"/>
      <c r="M16" s="1022" t="s">
        <v>821</v>
      </c>
      <c r="N16" s="1023"/>
      <c r="O16" s="1024" t="s">
        <v>822</v>
      </c>
      <c r="P16" s="1024"/>
      <c r="Q16" s="1024"/>
      <c r="R16" s="1024"/>
      <c r="S16" s="1023" t="s">
        <v>823</v>
      </c>
      <c r="T16" s="1023"/>
      <c r="U16" s="1023"/>
      <c r="V16" s="1025"/>
    </row>
    <row r="17" spans="1:22" ht="19.149999999999999" customHeight="1">
      <c r="A17" s="115">
        <v>15</v>
      </c>
      <c r="B17" s="593" t="s">
        <v>1209</v>
      </c>
      <c r="C17" s="586" t="s">
        <v>1195</v>
      </c>
      <c r="D17" s="587" t="s">
        <v>1208</v>
      </c>
      <c r="E17" s="586" t="s">
        <v>1203</v>
      </c>
      <c r="F17" s="586" t="s">
        <v>1204</v>
      </c>
      <c r="G17" s="587" t="s">
        <v>1205</v>
      </c>
      <c r="I17" s="1013" t="s">
        <v>789</v>
      </c>
      <c r="J17" s="1014"/>
      <c r="K17" s="1014"/>
      <c r="L17" s="1015"/>
      <c r="M17" s="1016" t="s">
        <v>789</v>
      </c>
      <c r="N17" s="1017"/>
      <c r="O17" s="1017"/>
      <c r="P17" s="1017"/>
      <c r="Q17" s="1017"/>
      <c r="R17" s="1017"/>
      <c r="S17" s="1017"/>
      <c r="T17" s="1017"/>
      <c r="U17" s="1017"/>
      <c r="V17" s="1018"/>
    </row>
    <row r="18" spans="1:22" ht="19.149999999999999" customHeight="1">
      <c r="A18" s="115">
        <v>16</v>
      </c>
      <c r="B18" s="594"/>
      <c r="C18" s="586" t="s">
        <v>1196</v>
      </c>
      <c r="D18" s="587" t="s">
        <v>1208</v>
      </c>
      <c r="E18" s="586" t="s">
        <v>1211</v>
      </c>
      <c r="F18" s="586" t="s">
        <v>1226</v>
      </c>
      <c r="G18" s="587" t="s">
        <v>1239</v>
      </c>
      <c r="I18" s="1013" t="s">
        <v>790</v>
      </c>
      <c r="J18" s="1014"/>
      <c r="K18" s="1014"/>
      <c r="L18" s="1015"/>
      <c r="M18" s="1016" t="s">
        <v>790</v>
      </c>
      <c r="N18" s="1017"/>
      <c r="O18" s="1017"/>
      <c r="P18" s="1017"/>
      <c r="Q18" s="1017"/>
      <c r="R18" s="1017"/>
      <c r="S18" s="1017"/>
      <c r="T18" s="1017"/>
      <c r="U18" s="1017"/>
      <c r="V18" s="1018"/>
    </row>
    <row r="19" spans="1:22" ht="19.149999999999999" customHeight="1">
      <c r="A19" s="115">
        <v>17</v>
      </c>
      <c r="B19" s="594"/>
      <c r="C19" s="586" t="s">
        <v>1197</v>
      </c>
      <c r="D19" s="587" t="s">
        <v>1208</v>
      </c>
      <c r="E19" s="586" t="s">
        <v>1212</v>
      </c>
      <c r="F19" s="586" t="s">
        <v>1227</v>
      </c>
      <c r="G19" s="587" t="s">
        <v>1240</v>
      </c>
      <c r="I19" s="1013" t="s">
        <v>824</v>
      </c>
      <c r="J19" s="1014"/>
      <c r="K19" s="1014"/>
      <c r="L19" s="1015"/>
      <c r="M19" s="1016" t="s">
        <v>824</v>
      </c>
      <c r="N19" s="1017"/>
      <c r="O19" s="1017"/>
      <c r="P19" s="1017"/>
      <c r="Q19" s="1017"/>
      <c r="R19" s="1017"/>
      <c r="S19" s="1017"/>
      <c r="T19" s="1017"/>
      <c r="U19" s="1017"/>
      <c r="V19" s="1018"/>
    </row>
    <row r="20" spans="1:22" ht="16.899999999999999" customHeight="1">
      <c r="A20" s="115">
        <v>18</v>
      </c>
      <c r="B20" s="595"/>
      <c r="C20" s="586" t="s">
        <v>1198</v>
      </c>
      <c r="D20" s="587" t="s">
        <v>1208</v>
      </c>
      <c r="E20" s="586" t="s">
        <v>1213</v>
      </c>
      <c r="F20" s="586" t="s">
        <v>1228</v>
      </c>
      <c r="G20" s="587" t="s">
        <v>1241</v>
      </c>
      <c r="I20" s="1009"/>
      <c r="J20" s="1009"/>
      <c r="K20" s="1009"/>
      <c r="L20" s="1009"/>
      <c r="M20" s="1009"/>
      <c r="N20" s="1009"/>
      <c r="O20" s="1009"/>
      <c r="P20" s="1009"/>
      <c r="Q20" s="1009"/>
      <c r="R20" s="1009"/>
      <c r="S20" s="1009"/>
      <c r="T20" s="1009"/>
      <c r="U20" s="1009"/>
      <c r="V20" s="1009"/>
    </row>
    <row r="21" spans="1:22" ht="16.899999999999999" customHeight="1">
      <c r="A21" s="115">
        <v>19</v>
      </c>
      <c r="B21" s="102" t="s">
        <v>1201</v>
      </c>
      <c r="C21" s="586" t="s">
        <v>531</v>
      </c>
      <c r="D21" s="587" t="s">
        <v>1208</v>
      </c>
      <c r="E21" s="586" t="s">
        <v>1214</v>
      </c>
      <c r="F21" s="586" t="s">
        <v>1229</v>
      </c>
      <c r="G21" s="587" t="s">
        <v>1242</v>
      </c>
      <c r="I21" s="338" t="s">
        <v>825</v>
      </c>
      <c r="J21" s="1010" t="s">
        <v>826</v>
      </c>
      <c r="K21" s="1011"/>
      <c r="L21" s="1010" t="s">
        <v>342</v>
      </c>
      <c r="M21" s="1011"/>
      <c r="N21" s="1010" t="s">
        <v>343</v>
      </c>
      <c r="O21" s="1011"/>
      <c r="P21" s="1010" t="s">
        <v>344</v>
      </c>
      <c r="Q21" s="1012"/>
      <c r="R21" s="1012"/>
      <c r="S21" s="1011"/>
      <c r="T21" s="1010" t="s">
        <v>345</v>
      </c>
      <c r="U21" s="1011"/>
      <c r="V21" s="338" t="s">
        <v>346</v>
      </c>
    </row>
    <row r="22" spans="1:22" ht="16.899999999999999" customHeight="1">
      <c r="A22" s="115">
        <v>20</v>
      </c>
      <c r="B22" s="593" t="s">
        <v>1209</v>
      </c>
      <c r="C22" s="586" t="s">
        <v>1195</v>
      </c>
      <c r="D22" s="587" t="s">
        <v>1208</v>
      </c>
      <c r="E22" s="586" t="s">
        <v>1215</v>
      </c>
      <c r="F22" s="586" t="s">
        <v>1230</v>
      </c>
      <c r="G22" s="587" t="s">
        <v>1243</v>
      </c>
      <c r="I22" s="339" t="s">
        <v>827</v>
      </c>
      <c r="J22" s="1003" t="s">
        <v>828</v>
      </c>
      <c r="K22" s="1004"/>
      <c r="L22" s="1008"/>
      <c r="M22" s="820"/>
      <c r="N22" s="1008"/>
      <c r="O22" s="820"/>
      <c r="P22" s="1008"/>
      <c r="Q22" s="819"/>
      <c r="R22" s="819"/>
      <c r="S22" s="820"/>
      <c r="T22" s="1008"/>
      <c r="U22" s="820"/>
      <c r="V22" s="521"/>
    </row>
    <row r="23" spans="1:22" ht="16.899999999999999" customHeight="1">
      <c r="A23" s="115">
        <v>21</v>
      </c>
      <c r="B23" s="594"/>
      <c r="C23" s="586" t="s">
        <v>1196</v>
      </c>
      <c r="D23" s="587" t="s">
        <v>1208</v>
      </c>
      <c r="E23" s="586" t="s">
        <v>1216</v>
      </c>
      <c r="F23" s="586" t="s">
        <v>1231</v>
      </c>
      <c r="G23" s="587" t="s">
        <v>1244</v>
      </c>
      <c r="I23" s="340" t="s">
        <v>1188</v>
      </c>
      <c r="J23" s="1003" t="s">
        <v>829</v>
      </c>
      <c r="K23" s="1004"/>
      <c r="L23" s="1005"/>
      <c r="M23" s="1006"/>
      <c r="N23" s="1005"/>
      <c r="O23" s="1006"/>
      <c r="P23" s="1005"/>
      <c r="Q23" s="1007"/>
      <c r="R23" s="1007"/>
      <c r="S23" s="1006"/>
      <c r="T23" s="1005"/>
      <c r="U23" s="1006"/>
      <c r="V23" s="597"/>
    </row>
    <row r="24" spans="1:22" ht="16.899999999999999" customHeight="1">
      <c r="A24" s="115">
        <v>22</v>
      </c>
      <c r="B24" s="594"/>
      <c r="C24" s="586" t="s">
        <v>1197</v>
      </c>
      <c r="D24" s="587" t="s">
        <v>1208</v>
      </c>
      <c r="E24" s="586" t="s">
        <v>1217</v>
      </c>
      <c r="F24" s="586" t="s">
        <v>1232</v>
      </c>
      <c r="G24" s="587" t="s">
        <v>1245</v>
      </c>
      <c r="I24" s="341"/>
      <c r="J24" s="1003" t="s">
        <v>811</v>
      </c>
      <c r="K24" s="1004"/>
      <c r="L24" s="1005"/>
      <c r="M24" s="1006"/>
      <c r="N24" s="1005"/>
      <c r="O24" s="1006"/>
      <c r="P24" s="1005"/>
      <c r="Q24" s="1007"/>
      <c r="R24" s="1007"/>
      <c r="S24" s="1006"/>
      <c r="T24" s="1005"/>
      <c r="U24" s="1006"/>
      <c r="V24" s="597"/>
    </row>
    <row r="25" spans="1:22" ht="16.899999999999999" customHeight="1">
      <c r="A25" s="115">
        <v>23</v>
      </c>
      <c r="B25" s="595"/>
      <c r="C25" s="586" t="s">
        <v>1198</v>
      </c>
      <c r="D25" s="587" t="s">
        <v>1208</v>
      </c>
      <c r="E25" s="586" t="s">
        <v>1218</v>
      </c>
      <c r="F25" s="586" t="s">
        <v>1233</v>
      </c>
      <c r="G25" s="587" t="s">
        <v>1246</v>
      </c>
      <c r="I25" s="342"/>
      <c r="J25" s="1003" t="s">
        <v>830</v>
      </c>
      <c r="K25" s="1004"/>
      <c r="L25" s="1005"/>
      <c r="M25" s="1006"/>
      <c r="N25" s="1005"/>
      <c r="O25" s="1006"/>
      <c r="P25" s="1005"/>
      <c r="Q25" s="1007"/>
      <c r="R25" s="1007"/>
      <c r="S25" s="1006"/>
      <c r="T25" s="1005"/>
      <c r="U25" s="1006"/>
      <c r="V25" s="597"/>
    </row>
    <row r="26" spans="1:22" ht="16.899999999999999" customHeight="1">
      <c r="A26" s="115">
        <v>24</v>
      </c>
      <c r="B26" s="102" t="s">
        <v>1202</v>
      </c>
      <c r="C26" s="586" t="s">
        <v>531</v>
      </c>
      <c r="D26" s="587" t="s">
        <v>1208</v>
      </c>
      <c r="E26" s="586" t="s">
        <v>1219</v>
      </c>
      <c r="F26" s="586" t="s">
        <v>1234</v>
      </c>
      <c r="G26" s="587" t="s">
        <v>1247</v>
      </c>
      <c r="I26" s="339" t="s">
        <v>831</v>
      </c>
      <c r="J26" s="1003" t="s">
        <v>828</v>
      </c>
      <c r="K26" s="1004"/>
      <c r="L26" s="1008"/>
      <c r="M26" s="820"/>
      <c r="N26" s="1008"/>
      <c r="O26" s="820"/>
      <c r="P26" s="1008"/>
      <c r="Q26" s="819"/>
      <c r="R26" s="819"/>
      <c r="S26" s="820"/>
      <c r="T26" s="1008"/>
      <c r="U26" s="820"/>
      <c r="V26" s="521"/>
    </row>
    <row r="27" spans="1:22" ht="16.899999999999999" customHeight="1">
      <c r="A27" s="115">
        <v>25</v>
      </c>
      <c r="B27" s="593" t="s">
        <v>1209</v>
      </c>
      <c r="C27" s="586" t="s">
        <v>1195</v>
      </c>
      <c r="D27" s="587" t="s">
        <v>1208</v>
      </c>
      <c r="E27" s="586" t="s">
        <v>1220</v>
      </c>
      <c r="F27" s="586" t="s">
        <v>1235</v>
      </c>
      <c r="G27" s="587" t="s">
        <v>1248</v>
      </c>
      <c r="I27" s="340" t="s">
        <v>1189</v>
      </c>
      <c r="J27" s="1003" t="s">
        <v>829</v>
      </c>
      <c r="K27" s="1004"/>
      <c r="L27" s="1005"/>
      <c r="M27" s="1006"/>
      <c r="N27" s="1005"/>
      <c r="O27" s="1006"/>
      <c r="P27" s="1005"/>
      <c r="Q27" s="1007"/>
      <c r="R27" s="1007"/>
      <c r="S27" s="1006"/>
      <c r="T27" s="1005"/>
      <c r="U27" s="1006"/>
      <c r="V27" s="597"/>
    </row>
    <row r="28" spans="1:22" ht="16.899999999999999" customHeight="1">
      <c r="A28" s="115">
        <v>26</v>
      </c>
      <c r="B28" s="594"/>
      <c r="C28" s="586" t="s">
        <v>1196</v>
      </c>
      <c r="D28" s="587" t="s">
        <v>1208</v>
      </c>
      <c r="E28" s="586" t="s">
        <v>1221</v>
      </c>
      <c r="F28" s="586" t="s">
        <v>1236</v>
      </c>
      <c r="G28" s="587" t="s">
        <v>1249</v>
      </c>
      <c r="I28" s="341"/>
      <c r="J28" s="1003" t="s">
        <v>811</v>
      </c>
      <c r="K28" s="1004"/>
      <c r="L28" s="1005"/>
      <c r="M28" s="1006"/>
      <c r="N28" s="1005"/>
      <c r="O28" s="1006"/>
      <c r="P28" s="1005"/>
      <c r="Q28" s="1007"/>
      <c r="R28" s="1007"/>
      <c r="S28" s="1006"/>
      <c r="T28" s="1005"/>
      <c r="U28" s="1006"/>
      <c r="V28" s="597"/>
    </row>
    <row r="29" spans="1:22" ht="16.899999999999999" customHeight="1">
      <c r="A29" s="115">
        <v>27</v>
      </c>
      <c r="B29" s="594"/>
      <c r="C29" s="586" t="s">
        <v>1197</v>
      </c>
      <c r="D29" s="587" t="s">
        <v>1208</v>
      </c>
      <c r="E29" s="586" t="s">
        <v>1222</v>
      </c>
      <c r="F29" s="586" t="s">
        <v>1237</v>
      </c>
      <c r="G29" s="587" t="s">
        <v>1250</v>
      </c>
      <c r="I29" s="342"/>
      <c r="J29" s="1003" t="s">
        <v>830</v>
      </c>
      <c r="K29" s="1004"/>
      <c r="L29" s="1005"/>
      <c r="M29" s="1006"/>
      <c r="N29" s="1005"/>
      <c r="O29" s="1006"/>
      <c r="P29" s="1005"/>
      <c r="Q29" s="1007"/>
      <c r="R29" s="1007"/>
      <c r="S29" s="1006"/>
      <c r="T29" s="1005"/>
      <c r="U29" s="1006"/>
      <c r="V29" s="597"/>
    </row>
    <row r="30" spans="1:22" ht="16.899999999999999" customHeight="1">
      <c r="A30" s="115">
        <v>28</v>
      </c>
      <c r="B30" s="595"/>
      <c r="C30" s="586" t="s">
        <v>1198</v>
      </c>
      <c r="D30" s="587" t="s">
        <v>1208</v>
      </c>
      <c r="E30" s="586" t="s">
        <v>1223</v>
      </c>
      <c r="F30" s="586" t="s">
        <v>1238</v>
      </c>
      <c r="G30" s="587" t="s">
        <v>1251</v>
      </c>
      <c r="I30" s="339" t="s">
        <v>832</v>
      </c>
      <c r="J30" s="1003" t="s">
        <v>828</v>
      </c>
      <c r="K30" s="1004"/>
      <c r="L30" s="1008"/>
      <c r="M30" s="820"/>
      <c r="N30" s="1008"/>
      <c r="O30" s="820"/>
      <c r="P30" s="1008"/>
      <c r="Q30" s="819"/>
      <c r="R30" s="819"/>
      <c r="S30" s="820"/>
      <c r="T30" s="1008"/>
      <c r="U30" s="820"/>
      <c r="V30" s="521"/>
    </row>
    <row r="31" spans="1:22" ht="16.899999999999999" customHeight="1">
      <c r="A31" s="115">
        <v>29</v>
      </c>
      <c r="B31" s="585"/>
      <c r="C31" s="585"/>
      <c r="D31" s="585"/>
      <c r="E31" s="585"/>
      <c r="F31" s="585"/>
      <c r="I31" s="340" t="s">
        <v>1190</v>
      </c>
      <c r="J31" s="1003" t="s">
        <v>829</v>
      </c>
      <c r="K31" s="1004"/>
      <c r="L31" s="1005"/>
      <c r="M31" s="1006"/>
      <c r="N31" s="1005"/>
      <c r="O31" s="1006"/>
      <c r="P31" s="1005"/>
      <c r="Q31" s="1007"/>
      <c r="R31" s="1007"/>
      <c r="S31" s="1006"/>
      <c r="T31" s="1005"/>
      <c r="U31" s="1006"/>
      <c r="V31" s="597"/>
    </row>
    <row r="32" spans="1:22" ht="16.899999999999999" customHeight="1">
      <c r="A32" s="115">
        <v>30</v>
      </c>
      <c r="I32" s="341"/>
      <c r="J32" s="1003" t="s">
        <v>811</v>
      </c>
      <c r="K32" s="1004"/>
      <c r="L32" s="1005"/>
      <c r="M32" s="1006"/>
      <c r="N32" s="1005"/>
      <c r="O32" s="1006"/>
      <c r="P32" s="1005"/>
      <c r="Q32" s="1007"/>
      <c r="R32" s="1007"/>
      <c r="S32" s="1006"/>
      <c r="T32" s="1005"/>
      <c r="U32" s="1006"/>
      <c r="V32" s="597"/>
    </row>
    <row r="33" spans="1:22" ht="16.899999999999999" customHeight="1">
      <c r="A33" s="115">
        <v>31</v>
      </c>
      <c r="I33" s="342"/>
      <c r="J33" s="1003" t="s">
        <v>830</v>
      </c>
      <c r="K33" s="1004"/>
      <c r="L33" s="1005"/>
      <c r="M33" s="1006"/>
      <c r="N33" s="1005"/>
      <c r="O33" s="1006"/>
      <c r="P33" s="1005"/>
      <c r="Q33" s="1007"/>
      <c r="R33" s="1007"/>
      <c r="S33" s="1006"/>
      <c r="T33" s="1005"/>
      <c r="U33" s="1006"/>
      <c r="V33" s="597"/>
    </row>
    <row r="34" spans="1:22" ht="13.5">
      <c r="A34" s="115">
        <v>32</v>
      </c>
    </row>
    <row r="35" spans="1:22" ht="13.5">
      <c r="A35" s="115">
        <v>33</v>
      </c>
    </row>
    <row r="36" spans="1:22" ht="13.5">
      <c r="A36" s="115">
        <v>34</v>
      </c>
    </row>
    <row r="37" spans="1:22" ht="13.5">
      <c r="A37" s="115">
        <v>35</v>
      </c>
    </row>
    <row r="38" spans="1:22" ht="13.5">
      <c r="A38" s="115">
        <v>36</v>
      </c>
    </row>
    <row r="39" spans="1:22" ht="13.5">
      <c r="A39" s="115">
        <v>37</v>
      </c>
    </row>
    <row r="40" spans="1:22" ht="13.5">
      <c r="A40" s="115">
        <v>38</v>
      </c>
    </row>
    <row r="41" spans="1:22" ht="13.5">
      <c r="A41" s="115">
        <v>39</v>
      </c>
    </row>
    <row r="42" spans="1:22" ht="13.5">
      <c r="A42" s="115">
        <v>40</v>
      </c>
    </row>
    <row r="43" spans="1:22" ht="13.5">
      <c r="A43" s="115">
        <v>41</v>
      </c>
    </row>
    <row r="44" spans="1:22" ht="13.5">
      <c r="A44" s="115">
        <v>42</v>
      </c>
    </row>
    <row r="45" spans="1:22" ht="13.5">
      <c r="A45" s="115">
        <v>43</v>
      </c>
    </row>
    <row r="46" spans="1:22" ht="13.5">
      <c r="A46" s="115">
        <v>44</v>
      </c>
    </row>
    <row r="47" spans="1:22" ht="13.5">
      <c r="A47" s="115">
        <v>45</v>
      </c>
    </row>
    <row r="48" spans="1:22" ht="13.5">
      <c r="A48" s="115">
        <v>46</v>
      </c>
    </row>
    <row r="49" spans="1:1" ht="13.5">
      <c r="A49" s="115">
        <v>47</v>
      </c>
    </row>
    <row r="50" spans="1:1" ht="13.5">
      <c r="A50" s="115">
        <v>48</v>
      </c>
    </row>
    <row r="51" spans="1:1" ht="13.5">
      <c r="A51" s="115">
        <v>49</v>
      </c>
    </row>
    <row r="52" spans="1:1" ht="13.5">
      <c r="A52" s="115">
        <v>50</v>
      </c>
    </row>
    <row r="53" spans="1:1" ht="13.5">
      <c r="A53" s="115">
        <v>51</v>
      </c>
    </row>
    <row r="54" spans="1:1" ht="13.5">
      <c r="A54" s="115">
        <v>52</v>
      </c>
    </row>
    <row r="55" spans="1:1" ht="13.5">
      <c r="A55" s="115">
        <v>53</v>
      </c>
    </row>
    <row r="56" spans="1:1" ht="13.5">
      <c r="A56" s="115">
        <v>54</v>
      </c>
    </row>
    <row r="57" spans="1:1" ht="13.5">
      <c r="A57" s="115">
        <v>55</v>
      </c>
    </row>
    <row r="58" spans="1:1" ht="13.5">
      <c r="A58" s="115">
        <v>56</v>
      </c>
    </row>
    <row r="59" spans="1:1" ht="13.5">
      <c r="A59" s="115">
        <v>57</v>
      </c>
    </row>
    <row r="60" spans="1:1" ht="13.5">
      <c r="A60" s="115">
        <v>58</v>
      </c>
    </row>
    <row r="61" spans="1:1" ht="13.5">
      <c r="A61" s="115">
        <v>59</v>
      </c>
    </row>
    <row r="62" spans="1:1" ht="13.5">
      <c r="A62" s="115">
        <v>60</v>
      </c>
    </row>
    <row r="63" spans="1:1" ht="13.5">
      <c r="A63" s="115">
        <v>61</v>
      </c>
    </row>
  </sheetData>
  <mergeCells count="108">
    <mergeCell ref="B14:G14"/>
    <mergeCell ref="I3:V3"/>
    <mergeCell ref="I4:V4"/>
    <mergeCell ref="I5:L5"/>
    <mergeCell ref="M5:Q5"/>
    <mergeCell ref="R5:V5"/>
    <mergeCell ref="I6:L6"/>
    <mergeCell ref="M6:V6"/>
    <mergeCell ref="B2:D2"/>
    <mergeCell ref="B4:B12"/>
    <mergeCell ref="I11:L11"/>
    <mergeCell ref="M11:V11"/>
    <mergeCell ref="I12:V12"/>
    <mergeCell ref="I13:L13"/>
    <mergeCell ref="M13:P13"/>
    <mergeCell ref="Q13:T13"/>
    <mergeCell ref="U13:V13"/>
    <mergeCell ref="I7:L7"/>
    <mergeCell ref="M7:V7"/>
    <mergeCell ref="I8:L8"/>
    <mergeCell ref="M8:V8"/>
    <mergeCell ref="I9:J9"/>
    <mergeCell ref="I10:J10"/>
    <mergeCell ref="K9:L9"/>
    <mergeCell ref="M9:V9"/>
    <mergeCell ref="K10:L10"/>
    <mergeCell ref="M10:V10"/>
    <mergeCell ref="I14:L14"/>
    <mergeCell ref="M14:P14"/>
    <mergeCell ref="Q14:T14"/>
    <mergeCell ref="U14:V14"/>
    <mergeCell ref="I15:V15"/>
    <mergeCell ref="I16:L16"/>
    <mergeCell ref="M16:N16"/>
    <mergeCell ref="O16:R16"/>
    <mergeCell ref="S16:V16"/>
    <mergeCell ref="I20:V20"/>
    <mergeCell ref="J21:K21"/>
    <mergeCell ref="L21:M21"/>
    <mergeCell ref="N21:O21"/>
    <mergeCell ref="P21:S21"/>
    <mergeCell ref="T21:U21"/>
    <mergeCell ref="I17:L17"/>
    <mergeCell ref="M17:V17"/>
    <mergeCell ref="I18:L18"/>
    <mergeCell ref="M18:V18"/>
    <mergeCell ref="I19:L19"/>
    <mergeCell ref="M19:V19"/>
    <mergeCell ref="J22:K22"/>
    <mergeCell ref="L22:M22"/>
    <mergeCell ref="N22:O22"/>
    <mergeCell ref="P22:S22"/>
    <mergeCell ref="T22:U22"/>
    <mergeCell ref="J23:K23"/>
    <mergeCell ref="L23:M23"/>
    <mergeCell ref="N23:O23"/>
    <mergeCell ref="P23:S23"/>
    <mergeCell ref="T23:U23"/>
    <mergeCell ref="J24:K24"/>
    <mergeCell ref="L24:M24"/>
    <mergeCell ref="N24:O24"/>
    <mergeCell ref="P24:S24"/>
    <mergeCell ref="T24:U24"/>
    <mergeCell ref="J25:K25"/>
    <mergeCell ref="L25:M25"/>
    <mergeCell ref="N25:O25"/>
    <mergeCell ref="P25:S25"/>
    <mergeCell ref="T25:U25"/>
    <mergeCell ref="J26:K26"/>
    <mergeCell ref="L26:M26"/>
    <mergeCell ref="N26:O26"/>
    <mergeCell ref="P26:S26"/>
    <mergeCell ref="T26:U26"/>
    <mergeCell ref="J27:K27"/>
    <mergeCell ref="L27:M27"/>
    <mergeCell ref="N27:O27"/>
    <mergeCell ref="P27:S27"/>
    <mergeCell ref="T27:U27"/>
    <mergeCell ref="J28:K28"/>
    <mergeCell ref="L28:M28"/>
    <mergeCell ref="N28:O28"/>
    <mergeCell ref="P28:S28"/>
    <mergeCell ref="T28:U28"/>
    <mergeCell ref="J29:K29"/>
    <mergeCell ref="L29:M29"/>
    <mergeCell ref="N29:O29"/>
    <mergeCell ref="P29:S29"/>
    <mergeCell ref="T29:U29"/>
    <mergeCell ref="J30:K30"/>
    <mergeCell ref="L30:M30"/>
    <mergeCell ref="N30:O30"/>
    <mergeCell ref="P30:S30"/>
    <mergeCell ref="T30:U30"/>
    <mergeCell ref="J31:K31"/>
    <mergeCell ref="L31:M31"/>
    <mergeCell ref="N31:O31"/>
    <mergeCell ref="P31:S31"/>
    <mergeCell ref="T31:U31"/>
    <mergeCell ref="J32:K32"/>
    <mergeCell ref="L32:M32"/>
    <mergeCell ref="N32:O32"/>
    <mergeCell ref="P32:S32"/>
    <mergeCell ref="T32:U32"/>
    <mergeCell ref="J33:K33"/>
    <mergeCell ref="L33:M33"/>
    <mergeCell ref="N33:O33"/>
    <mergeCell ref="P33:S33"/>
    <mergeCell ref="T33:U33"/>
  </mergeCells>
  <phoneticPr fontId="1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028EB-0185-4886-8CC3-76B2BF693276}">
  <sheetPr codeName="Sheet9"/>
  <dimension ref="A1:AL66"/>
  <sheetViews>
    <sheetView workbookViewId="0"/>
    <sheetView workbookViewId="1"/>
  </sheetViews>
  <sheetFormatPr defaultRowHeight="12.75"/>
  <cols>
    <col min="1" max="1" width="14" customWidth="1"/>
    <col min="2" max="2" width="29" customWidth="1"/>
    <col min="3" max="3" width="26.73046875" customWidth="1"/>
    <col min="4" max="4" width="19.265625" bestFit="1" customWidth="1"/>
    <col min="5" max="5" width="8.265625" bestFit="1" customWidth="1"/>
  </cols>
  <sheetData>
    <row r="1" spans="1:38" ht="26.25">
      <c r="A1" s="1" t="s">
        <v>41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2.5">
      <c r="A2" s="3">
        <v>0</v>
      </c>
      <c r="B2" s="1149" t="s">
        <v>0</v>
      </c>
      <c r="C2" s="1150"/>
      <c r="D2" s="1150"/>
      <c r="E2" s="89"/>
    </row>
    <row r="3" spans="1:38" ht="17.649999999999999">
      <c r="A3" s="2">
        <v>1</v>
      </c>
      <c r="B3" s="90" t="s">
        <v>1</v>
      </c>
      <c r="C3" s="91" t="s">
        <v>85</v>
      </c>
      <c r="D3" s="92"/>
      <c r="E3" s="14"/>
    </row>
    <row r="4" spans="1:38" ht="17.649999999999999">
      <c r="A4" s="2">
        <v>2</v>
      </c>
      <c r="B4" s="90" t="s">
        <v>2</v>
      </c>
      <c r="C4" s="91" t="s">
        <v>3</v>
      </c>
      <c r="D4" s="92"/>
      <c r="E4" s="14"/>
    </row>
    <row r="5" spans="1:38" ht="17.649999999999999">
      <c r="A5" s="2">
        <v>3</v>
      </c>
      <c r="B5" s="90" t="s">
        <v>4</v>
      </c>
      <c r="C5" s="91" t="s">
        <v>5</v>
      </c>
      <c r="D5" s="92"/>
      <c r="E5" s="14"/>
    </row>
    <row r="6" spans="1:38" ht="17.649999999999999">
      <c r="A6" s="2">
        <v>4</v>
      </c>
      <c r="B6" s="90" t="s">
        <v>6</v>
      </c>
      <c r="C6" s="91" t="s">
        <v>7</v>
      </c>
      <c r="D6" s="92"/>
      <c r="E6" s="14"/>
    </row>
    <row r="7" spans="1:38" ht="17.649999999999999">
      <c r="A7" s="2">
        <v>5</v>
      </c>
      <c r="B7" s="90" t="s">
        <v>8</v>
      </c>
      <c r="C7" s="91" t="s">
        <v>9</v>
      </c>
      <c r="D7" s="92"/>
      <c r="E7" s="14"/>
    </row>
    <row r="8" spans="1:38" ht="17.649999999999999">
      <c r="A8" s="2">
        <v>6</v>
      </c>
      <c r="B8" s="90" t="s">
        <v>10</v>
      </c>
      <c r="C8" s="91" t="s">
        <v>11</v>
      </c>
      <c r="D8" s="92"/>
      <c r="E8" s="14"/>
    </row>
    <row r="9" spans="1:38" ht="17.649999999999999">
      <c r="A9" s="2">
        <v>7</v>
      </c>
      <c r="B9" s="90" t="s">
        <v>86</v>
      </c>
      <c r="C9" s="91" t="s">
        <v>87</v>
      </c>
      <c r="D9" s="92"/>
      <c r="E9" s="14"/>
    </row>
    <row r="10" spans="1:38" ht="17.649999999999999">
      <c r="A10" s="2">
        <v>8</v>
      </c>
      <c r="B10" s="90" t="s">
        <v>88</v>
      </c>
      <c r="C10" s="91" t="s">
        <v>89</v>
      </c>
      <c r="D10" s="92"/>
      <c r="E10" s="14"/>
    </row>
    <row r="11" spans="1:38" ht="17.649999999999999">
      <c r="A11" s="2">
        <v>9</v>
      </c>
      <c r="B11" s="90" t="s">
        <v>12</v>
      </c>
      <c r="C11" s="91" t="s">
        <v>13</v>
      </c>
      <c r="D11" s="93" t="s">
        <v>14</v>
      </c>
      <c r="E11" s="14"/>
    </row>
    <row r="12" spans="1:38" ht="17.649999999999999">
      <c r="A12" s="2">
        <v>10</v>
      </c>
      <c r="B12" s="90" t="s">
        <v>15</v>
      </c>
      <c r="C12" s="91" t="s">
        <v>16</v>
      </c>
      <c r="D12" s="92"/>
      <c r="E12" s="14"/>
    </row>
    <row r="13" spans="1:38" ht="17.649999999999999">
      <c r="A13" s="2">
        <v>11</v>
      </c>
      <c r="B13" s="94"/>
      <c r="C13" s="95"/>
      <c r="D13" s="96"/>
      <c r="E13" s="11"/>
    </row>
    <row r="14" spans="1:38" ht="17.649999999999999">
      <c r="A14" s="2">
        <v>12</v>
      </c>
      <c r="B14" s="90" t="s">
        <v>17</v>
      </c>
      <c r="C14" s="91" t="s">
        <v>18</v>
      </c>
      <c r="D14" s="92"/>
      <c r="E14" s="14"/>
    </row>
    <row r="15" spans="1:38" ht="17.649999999999999">
      <c r="A15" s="2">
        <v>13</v>
      </c>
      <c r="B15" s="90" t="s">
        <v>19</v>
      </c>
      <c r="C15" s="91" t="s">
        <v>3</v>
      </c>
      <c r="D15" s="92"/>
      <c r="E15" s="14"/>
    </row>
    <row r="16" spans="1:38" ht="17.649999999999999">
      <c r="A16" s="2">
        <v>14</v>
      </c>
      <c r="B16" s="90" t="s">
        <v>90</v>
      </c>
      <c r="C16" s="91" t="s">
        <v>84</v>
      </c>
      <c r="D16" s="92"/>
      <c r="E16" s="87"/>
    </row>
    <row r="17" spans="1:6" ht="17.649999999999999">
      <c r="A17" s="2">
        <v>15</v>
      </c>
      <c r="B17" s="90" t="s">
        <v>20</v>
      </c>
      <c r="C17" s="91" t="s">
        <v>21</v>
      </c>
      <c r="D17" s="92"/>
      <c r="E17" s="87"/>
    </row>
    <row r="18" spans="1:6" ht="17.649999999999999">
      <c r="A18" s="2">
        <v>16</v>
      </c>
      <c r="B18" s="97"/>
      <c r="C18" s="98"/>
      <c r="D18" s="99"/>
      <c r="E18" s="11"/>
    </row>
    <row r="19" spans="1:6" ht="17.649999999999999">
      <c r="A19" s="2">
        <v>17</v>
      </c>
      <c r="B19" s="90" t="s">
        <v>91</v>
      </c>
      <c r="C19" s="100">
        <v>45455</v>
      </c>
      <c r="D19" s="92"/>
      <c r="E19" s="87"/>
    </row>
    <row r="20" spans="1:6" ht="17.649999999999999">
      <c r="A20" s="2">
        <v>18</v>
      </c>
      <c r="B20" s="86"/>
      <c r="C20" s="84"/>
      <c r="D20" s="85"/>
      <c r="E20" s="16"/>
    </row>
    <row r="21" spans="1:6" ht="17.649999999999999">
      <c r="A21" s="2">
        <v>19</v>
      </c>
      <c r="B21" s="58" t="s">
        <v>393</v>
      </c>
      <c r="C21" s="61" t="e">
        <f>#REF!</f>
        <v>#REF!</v>
      </c>
      <c r="D21" s="59"/>
      <c r="E21" s="57"/>
      <c r="F21" s="10"/>
    </row>
    <row r="22" spans="1:6" ht="17.649999999999999">
      <c r="A22" s="2">
        <v>20</v>
      </c>
      <c r="B22" s="83" t="s">
        <v>394</v>
      </c>
      <c r="C22" s="61"/>
      <c r="D22" s="59"/>
      <c r="E22" s="59"/>
    </row>
    <row r="23" spans="1:6" ht="17.649999999999999">
      <c r="A23" s="2">
        <v>21</v>
      </c>
      <c r="B23" s="51"/>
      <c r="C23" s="62"/>
      <c r="D23" s="52"/>
      <c r="E23" s="52"/>
    </row>
    <row r="24" spans="1:6" ht="17.649999999999999">
      <c r="A24" s="48">
        <v>22</v>
      </c>
      <c r="B24" s="88"/>
      <c r="C24" s="61"/>
      <c r="D24" s="59"/>
      <c r="E24" s="59"/>
    </row>
    <row r="25" spans="1:6" ht="17.649999999999999">
      <c r="A25" s="2">
        <v>23</v>
      </c>
      <c r="B25" s="51"/>
      <c r="C25" s="63"/>
      <c r="D25" s="52"/>
      <c r="E25" s="52"/>
    </row>
    <row r="26" spans="1:6" ht="17.649999999999999">
      <c r="A26" s="48">
        <v>24</v>
      </c>
      <c r="B26" s="88"/>
      <c r="C26" s="61"/>
      <c r="D26" s="59"/>
      <c r="E26" s="59"/>
      <c r="F26" s="82"/>
    </row>
    <row r="27" spans="1:6" ht="17.649999999999999">
      <c r="A27" s="2">
        <v>25</v>
      </c>
      <c r="B27" s="77"/>
      <c r="C27" s="81"/>
      <c r="D27" s="53"/>
      <c r="E27" s="53"/>
    </row>
    <row r="28" spans="1:6" ht="17.649999999999999">
      <c r="A28" s="2">
        <v>26</v>
      </c>
      <c r="B28" s="73"/>
      <c r="C28" s="74"/>
      <c r="D28" s="59"/>
      <c r="E28" s="59"/>
    </row>
    <row r="29" spans="1:6" ht="17.649999999999999">
      <c r="A29" s="48">
        <v>27</v>
      </c>
      <c r="B29" s="88"/>
      <c r="C29" s="74"/>
      <c r="D29" s="59"/>
      <c r="E29" s="59"/>
    </row>
    <row r="30" spans="1:6" ht="17.649999999999999">
      <c r="A30" s="2">
        <v>28</v>
      </c>
      <c r="B30" s="73"/>
      <c r="C30" s="74"/>
      <c r="D30" s="59"/>
      <c r="E30" s="75"/>
    </row>
    <row r="31" spans="1:6" ht="17.649999999999999">
      <c r="A31" s="2">
        <v>29</v>
      </c>
      <c r="B31" s="51"/>
      <c r="C31" s="63"/>
      <c r="D31" s="52"/>
      <c r="E31" s="55"/>
    </row>
    <row r="32" spans="1:6" ht="17.649999999999999">
      <c r="A32" s="2">
        <v>30</v>
      </c>
      <c r="B32" s="73"/>
      <c r="C32" s="61"/>
      <c r="D32" s="59"/>
      <c r="E32" s="54"/>
    </row>
    <row r="33" spans="1:5" ht="17.649999999999999">
      <c r="A33" s="2">
        <v>31</v>
      </c>
      <c r="B33" s="51"/>
      <c r="C33" s="63"/>
      <c r="D33" s="52"/>
      <c r="E33" s="54"/>
    </row>
    <row r="34" spans="1:5" ht="17.649999999999999">
      <c r="A34" s="2">
        <v>32</v>
      </c>
      <c r="B34" s="73"/>
      <c r="C34" s="61"/>
      <c r="D34" s="59"/>
      <c r="E34" s="75"/>
    </row>
    <row r="35" spans="1:5" ht="17.649999999999999">
      <c r="A35" s="2">
        <v>33</v>
      </c>
      <c r="B35" s="51"/>
      <c r="C35" s="64"/>
      <c r="D35" s="52"/>
      <c r="E35" s="55"/>
    </row>
    <row r="36" spans="1:5" ht="17.649999999999999">
      <c r="A36" s="2">
        <v>34</v>
      </c>
      <c r="B36" s="73"/>
      <c r="C36" s="61"/>
      <c r="D36" s="59"/>
      <c r="E36" s="75"/>
    </row>
    <row r="37" spans="1:5" ht="17.649999999999999">
      <c r="A37" s="78">
        <v>35</v>
      </c>
      <c r="B37" s="51"/>
      <c r="C37" s="63"/>
      <c r="D37" s="52"/>
      <c r="E37" s="55"/>
    </row>
    <row r="38" spans="1:5" ht="17.649999999999999">
      <c r="A38" s="79">
        <v>36</v>
      </c>
      <c r="B38" s="58"/>
      <c r="C38" s="67"/>
      <c r="D38" s="68"/>
      <c r="E38" s="76"/>
    </row>
    <row r="39" spans="1:5" ht="17.649999999999999">
      <c r="A39" s="80">
        <v>37</v>
      </c>
      <c r="B39" s="73"/>
      <c r="C39" s="71"/>
      <c r="D39" s="72"/>
      <c r="E39" s="65"/>
    </row>
    <row r="40" spans="1:5" ht="17.649999999999999">
      <c r="A40" s="80">
        <v>38</v>
      </c>
      <c r="B40" s="77"/>
      <c r="C40" s="69"/>
      <c r="D40" s="56"/>
      <c r="E40" s="70"/>
    </row>
    <row r="41" spans="1:5" ht="16.899999999999999">
      <c r="A41" s="2">
        <v>39</v>
      </c>
      <c r="C41" s="13"/>
      <c r="D41" s="60"/>
      <c r="E41" s="66"/>
    </row>
    <row r="42" spans="1:5" ht="16.899999999999999">
      <c r="A42" s="2">
        <v>40</v>
      </c>
    </row>
    <row r="43" spans="1:5" ht="16.899999999999999">
      <c r="A43" s="2">
        <v>41</v>
      </c>
    </row>
    <row r="44" spans="1:5" ht="16.899999999999999">
      <c r="A44" s="2">
        <v>42</v>
      </c>
    </row>
    <row r="45" spans="1:5" ht="16.899999999999999">
      <c r="A45" s="2">
        <v>43</v>
      </c>
    </row>
    <row r="46" spans="1:5" ht="16.899999999999999">
      <c r="A46" s="2">
        <v>44</v>
      </c>
    </row>
    <row r="47" spans="1:5" ht="16.899999999999999">
      <c r="A47" s="2">
        <v>45</v>
      </c>
    </row>
    <row r="48" spans="1:5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  <row r="64" spans="1:1" ht="16.899999999999999">
      <c r="A64" s="2">
        <v>62</v>
      </c>
    </row>
    <row r="65" spans="1:1" ht="16.899999999999999">
      <c r="A65" s="2">
        <v>63</v>
      </c>
    </row>
    <row r="66" spans="1:1" ht="16.899999999999999">
      <c r="A66" s="2">
        <v>64</v>
      </c>
    </row>
  </sheetData>
  <mergeCells count="1">
    <mergeCell ref="B2:D2"/>
  </mergeCells>
  <phoneticPr fontId="11" type="noConversion"/>
  <dataValidations count="4">
    <dataValidation type="list" allowBlank="1" showErrorMessage="1" sqref="C11" xr:uid="{A57C1AA3-B8E9-4D99-8D38-BB1E00261636}">
      <formula1>"중소기업,중견기업,대기업,기타(비영리 법인 등)"</formula1>
    </dataValidation>
    <dataValidation type="list" allowBlank="1" showErrorMessage="1" sqref="E11" xr:uid="{6DB5E054-236E-44D5-BE49-32F7467E752D}">
      <formula1>"신기술·신성장유망기업,강소기업·청년친화강소기업,우수벤처기업,우수 중소기업(경영혁신형․기술혁신형 중소기업),사회적기업,기타 중소기업"</formula1>
    </dataValidation>
    <dataValidation type="list" allowBlank="1" showErrorMessage="1" sqref="C18" xr:uid="{2313105E-37AC-4FB0-AA42-0FB38AB9965E}">
      <formula1>"프로젝트형,인턴형"</formula1>
    </dataValidation>
    <dataValidation type="list" allowBlank="1" showErrorMessage="1" sqref="C22" xr:uid="{70420A93-D8C1-461F-95CC-EC343C1551F7}">
      <formula1>"없음,있음"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Drop Down 1">
              <controlPr defaultSize="0" autoLine="0" autoPict="0" macro="[0]!목차드롭다운">
                <anchor moveWithCells="1">
                  <from>
                    <xdr:col>5</xdr:col>
                    <xdr:colOff>38100</xdr:colOff>
                    <xdr:row>1</xdr:row>
                    <xdr:rowOff>285750</xdr:rowOff>
                  </from>
                  <to>
                    <xdr:col>8</xdr:col>
                    <xdr:colOff>457200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F7C0F-FAF9-4510-B64A-D3811B6E573C}">
  <sheetPr codeName="Sheet10"/>
  <dimension ref="A1:AL64"/>
  <sheetViews>
    <sheetView workbookViewId="0"/>
    <sheetView workbookViewId="1"/>
  </sheetViews>
  <sheetFormatPr defaultRowHeight="12.75"/>
  <cols>
    <col min="1" max="1" width="14" customWidth="1"/>
    <col min="2" max="2" width="31.86328125" customWidth="1"/>
    <col min="3" max="3" width="49.73046875" customWidth="1"/>
  </cols>
  <sheetData>
    <row r="1" spans="1:38" ht="26.25">
      <c r="A1" s="1" t="s">
        <v>41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5.15">
      <c r="A2" s="3">
        <v>0</v>
      </c>
      <c r="B2" s="1151" t="s">
        <v>92</v>
      </c>
      <c r="C2" s="1152"/>
    </row>
    <row r="3" spans="1:38" ht="19.5">
      <c r="A3" s="2">
        <v>1</v>
      </c>
      <c r="B3" s="5" t="s">
        <v>95</v>
      </c>
      <c r="C3" s="122" t="s">
        <v>185</v>
      </c>
    </row>
    <row r="4" spans="1:38" ht="16.899999999999999">
      <c r="A4" s="2">
        <v>2</v>
      </c>
      <c r="B4" s="5" t="s">
        <v>43</v>
      </c>
      <c r="C4" s="7" t="s">
        <v>93</v>
      </c>
    </row>
    <row r="5" spans="1:38" ht="16.899999999999999">
      <c r="A5" s="2">
        <v>3</v>
      </c>
      <c r="B5" s="5" t="s">
        <v>44</v>
      </c>
      <c r="C5" s="7" t="s">
        <v>69</v>
      </c>
    </row>
    <row r="6" spans="1:38" ht="16.899999999999999">
      <c r="A6" s="2">
        <v>4</v>
      </c>
      <c r="B6" s="5" t="s">
        <v>96</v>
      </c>
      <c r="C6" s="7" t="s">
        <v>97</v>
      </c>
    </row>
    <row r="7" spans="1:38" ht="16.899999999999999">
      <c r="A7" s="2">
        <v>5</v>
      </c>
      <c r="B7" s="5" t="s">
        <v>98</v>
      </c>
      <c r="C7" s="7" t="s">
        <v>99</v>
      </c>
    </row>
    <row r="8" spans="1:38" ht="16.899999999999999">
      <c r="A8" s="2">
        <v>6</v>
      </c>
      <c r="B8" s="5" t="s">
        <v>52</v>
      </c>
      <c r="C8" s="7" t="s">
        <v>100</v>
      </c>
    </row>
    <row r="9" spans="1:38" ht="16.899999999999999">
      <c r="A9" s="2">
        <v>7</v>
      </c>
      <c r="B9" s="5" t="s">
        <v>51</v>
      </c>
      <c r="C9" s="7" t="s">
        <v>101</v>
      </c>
    </row>
    <row r="10" spans="1:38" ht="16.899999999999999">
      <c r="A10" s="2">
        <v>8</v>
      </c>
      <c r="B10" s="5" t="s">
        <v>102</v>
      </c>
      <c r="C10" s="7" t="s">
        <v>94</v>
      </c>
    </row>
    <row r="11" spans="1:38" ht="16.899999999999999">
      <c r="A11" s="2">
        <v>9</v>
      </c>
      <c r="B11" s="17"/>
      <c r="C11" s="49"/>
      <c r="D11" s="10"/>
    </row>
    <row r="12" spans="1:38" ht="16.899999999999999">
      <c r="A12" s="2">
        <v>10</v>
      </c>
      <c r="B12" s="5" t="s">
        <v>103</v>
      </c>
      <c r="C12" s="7" t="s">
        <v>104</v>
      </c>
    </row>
    <row r="13" spans="1:38" ht="16.899999999999999">
      <c r="A13" s="2">
        <v>11</v>
      </c>
    </row>
    <row r="14" spans="1:38" ht="16.899999999999999">
      <c r="A14" s="2">
        <v>12</v>
      </c>
    </row>
    <row r="15" spans="1:38" ht="16.899999999999999">
      <c r="A15" s="2">
        <v>13</v>
      </c>
    </row>
    <row r="16" spans="1:38" ht="16.899999999999999">
      <c r="A16" s="2">
        <v>14</v>
      </c>
    </row>
    <row r="17" spans="1:1" ht="16.899999999999999">
      <c r="A17" s="2">
        <v>15</v>
      </c>
    </row>
    <row r="18" spans="1:1" ht="16.899999999999999">
      <c r="A18" s="2">
        <v>16</v>
      </c>
    </row>
    <row r="19" spans="1:1" ht="16.899999999999999">
      <c r="A19" s="2">
        <v>17</v>
      </c>
    </row>
    <row r="20" spans="1:1" ht="16.899999999999999">
      <c r="A20" s="2">
        <v>18</v>
      </c>
    </row>
    <row r="21" spans="1:1" ht="16.899999999999999">
      <c r="A21" s="2">
        <v>19</v>
      </c>
    </row>
    <row r="22" spans="1:1" ht="16.899999999999999">
      <c r="A22" s="2">
        <v>20</v>
      </c>
    </row>
    <row r="23" spans="1:1" ht="16.899999999999999">
      <c r="A23" s="2">
        <v>21</v>
      </c>
    </row>
    <row r="24" spans="1:1" ht="16.899999999999999">
      <c r="A24" s="2">
        <v>22</v>
      </c>
    </row>
    <row r="25" spans="1:1" ht="16.899999999999999">
      <c r="A25" s="2">
        <v>23</v>
      </c>
    </row>
    <row r="26" spans="1:1" ht="16.899999999999999">
      <c r="A26" s="2">
        <v>24</v>
      </c>
    </row>
    <row r="27" spans="1:1" ht="16.899999999999999">
      <c r="A27" s="2">
        <v>25</v>
      </c>
    </row>
    <row r="28" spans="1:1" ht="16.899999999999999">
      <c r="A28" s="2">
        <v>26</v>
      </c>
    </row>
    <row r="29" spans="1:1" ht="16.899999999999999">
      <c r="A29" s="2">
        <v>27</v>
      </c>
    </row>
    <row r="30" spans="1:1" ht="16.899999999999999">
      <c r="A30" s="2">
        <v>28</v>
      </c>
    </row>
    <row r="31" spans="1:1" ht="16.899999999999999">
      <c r="A31" s="2">
        <v>29</v>
      </c>
    </row>
    <row r="32" spans="1:1" ht="16.899999999999999">
      <c r="A32" s="2">
        <v>30</v>
      </c>
    </row>
    <row r="33" spans="1:1" ht="16.899999999999999">
      <c r="A33" s="2">
        <v>31</v>
      </c>
    </row>
    <row r="34" spans="1:1" ht="16.899999999999999">
      <c r="A34" s="2">
        <v>32</v>
      </c>
    </row>
    <row r="35" spans="1:1" ht="16.899999999999999">
      <c r="A35" s="2">
        <v>33</v>
      </c>
    </row>
    <row r="36" spans="1:1" ht="16.899999999999999">
      <c r="A36" s="2">
        <v>34</v>
      </c>
    </row>
    <row r="37" spans="1:1" ht="16.899999999999999">
      <c r="A37" s="2">
        <v>35</v>
      </c>
    </row>
    <row r="38" spans="1:1" ht="16.899999999999999">
      <c r="A38" s="2">
        <v>36</v>
      </c>
    </row>
    <row r="39" spans="1:1" ht="16.899999999999999">
      <c r="A39" s="2">
        <v>37</v>
      </c>
    </row>
    <row r="40" spans="1:1" ht="16.899999999999999">
      <c r="A40" s="2">
        <v>38</v>
      </c>
    </row>
    <row r="41" spans="1:1" ht="16.899999999999999">
      <c r="A41" s="2">
        <v>39</v>
      </c>
    </row>
    <row r="42" spans="1:1" ht="16.899999999999999">
      <c r="A42" s="2">
        <v>40</v>
      </c>
    </row>
    <row r="43" spans="1:1" ht="16.899999999999999">
      <c r="A43" s="2">
        <v>41</v>
      </c>
    </row>
    <row r="44" spans="1:1" ht="16.899999999999999">
      <c r="A44" s="2">
        <v>42</v>
      </c>
    </row>
    <row r="45" spans="1:1" ht="16.899999999999999">
      <c r="A45" s="2">
        <v>43</v>
      </c>
    </row>
    <row r="46" spans="1:1" ht="16.899999999999999">
      <c r="A46" s="2">
        <v>44</v>
      </c>
    </row>
    <row r="47" spans="1:1" ht="16.899999999999999">
      <c r="A47" s="2">
        <v>45</v>
      </c>
    </row>
    <row r="48" spans="1: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  <row r="64" spans="1:1" ht="16.899999999999999">
      <c r="A64" s="2">
        <v>62</v>
      </c>
    </row>
  </sheetData>
  <mergeCells count="1">
    <mergeCell ref="B2:C2"/>
  </mergeCells>
  <phoneticPr fontId="1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7</xdr:col>
                    <xdr:colOff>419100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CC8C0-8DB8-45A7-818D-87232189135A}">
  <sheetPr codeName="Sheet17"/>
  <dimension ref="A1:AL63"/>
  <sheetViews>
    <sheetView workbookViewId="0">
      <selection activeCell="C21" sqref="C21"/>
    </sheetView>
    <sheetView workbookViewId="1"/>
  </sheetViews>
  <sheetFormatPr defaultColWidth="8.73046875" defaultRowHeight="12.75"/>
  <cols>
    <col min="1" max="1" width="14" style="47" customWidth="1"/>
    <col min="2" max="2" width="27.59765625" style="47" customWidth="1"/>
    <col min="3" max="3" width="37" style="47" customWidth="1"/>
    <col min="4" max="4" width="7.73046875" style="47" customWidth="1"/>
    <col min="5" max="5" width="18" style="47" customWidth="1"/>
    <col min="6" max="6" width="13.1328125" style="47" customWidth="1"/>
    <col min="7" max="16384" width="8.73046875" style="47"/>
  </cols>
  <sheetData>
    <row r="1" spans="1:38" ht="23.25">
      <c r="A1" s="112" t="s">
        <v>134</v>
      </c>
      <c r="B1" s="113">
        <v>1</v>
      </c>
      <c r="C1" s="113">
        <v>2</v>
      </c>
      <c r="D1" s="113">
        <v>3</v>
      </c>
      <c r="E1" s="113">
        <v>4</v>
      </c>
      <c r="F1" s="113">
        <v>5</v>
      </c>
      <c r="G1" s="113">
        <v>6</v>
      </c>
      <c r="H1" s="113">
        <v>7</v>
      </c>
      <c r="I1" s="113">
        <v>8</v>
      </c>
      <c r="J1" s="113">
        <v>9</v>
      </c>
      <c r="K1" s="113">
        <v>10</v>
      </c>
      <c r="L1" s="113">
        <v>11</v>
      </c>
      <c r="M1" s="113">
        <v>12</v>
      </c>
      <c r="N1" s="113">
        <v>13</v>
      </c>
      <c r="O1" s="113">
        <v>14</v>
      </c>
      <c r="P1" s="113">
        <v>15</v>
      </c>
      <c r="Q1" s="113">
        <v>16</v>
      </c>
      <c r="R1" s="113">
        <v>17</v>
      </c>
      <c r="S1" s="113">
        <v>18</v>
      </c>
      <c r="T1" s="113">
        <v>19</v>
      </c>
      <c r="U1" s="113">
        <v>20</v>
      </c>
      <c r="V1" s="113">
        <v>21</v>
      </c>
      <c r="W1" s="113">
        <v>22</v>
      </c>
      <c r="X1" s="113">
        <v>23</v>
      </c>
      <c r="Y1" s="113">
        <v>24</v>
      </c>
      <c r="Z1" s="113">
        <v>25</v>
      </c>
      <c r="AA1" s="113">
        <v>26</v>
      </c>
      <c r="AB1" s="113">
        <v>27</v>
      </c>
      <c r="AC1" s="113">
        <v>28</v>
      </c>
      <c r="AD1" s="113">
        <v>29</v>
      </c>
      <c r="AE1" s="113">
        <v>30</v>
      </c>
      <c r="AF1" s="113">
        <v>31</v>
      </c>
      <c r="AG1" s="113">
        <v>32</v>
      </c>
      <c r="AH1" s="113">
        <v>33</v>
      </c>
      <c r="AI1" s="113">
        <v>34</v>
      </c>
      <c r="AJ1" s="113">
        <v>35</v>
      </c>
      <c r="AK1" s="113">
        <v>36</v>
      </c>
      <c r="AL1" s="113">
        <v>37</v>
      </c>
    </row>
    <row r="2" spans="1:38" ht="28.5">
      <c r="A2" s="114">
        <v>0</v>
      </c>
      <c r="B2" s="1213" t="s">
        <v>160</v>
      </c>
      <c r="C2" s="1152"/>
    </row>
    <row r="3" spans="1:38" ht="19.5">
      <c r="A3" s="115">
        <v>1</v>
      </c>
      <c r="B3" s="117" t="s">
        <v>140</v>
      </c>
      <c r="C3" s="122" t="s">
        <v>110</v>
      </c>
    </row>
    <row r="4" spans="1:38" ht="19.5">
      <c r="A4" s="115">
        <v>2</v>
      </c>
      <c r="B4" s="117" t="s">
        <v>106</v>
      </c>
      <c r="C4" s="123">
        <v>123412</v>
      </c>
    </row>
    <row r="5" spans="1:38" ht="13.5">
      <c r="A5" s="115">
        <v>3</v>
      </c>
    </row>
    <row r="6" spans="1:38" ht="19.5">
      <c r="A6" s="115">
        <v>4</v>
      </c>
      <c r="B6" s="117" t="s">
        <v>157</v>
      </c>
      <c r="C6" s="7" t="s">
        <v>158</v>
      </c>
    </row>
    <row r="7" spans="1:38" ht="13.5">
      <c r="A7" s="115">
        <v>5</v>
      </c>
    </row>
    <row r="8" spans="1:38" ht="13.5">
      <c r="A8" s="115">
        <v>6</v>
      </c>
    </row>
    <row r="9" spans="1:38" ht="13.5">
      <c r="A9" s="115">
        <v>7</v>
      </c>
    </row>
    <row r="10" spans="1:38" ht="13.5">
      <c r="A10" s="115">
        <v>8</v>
      </c>
    </row>
    <row r="11" spans="1:38" ht="13.5">
      <c r="A11" s="115">
        <v>9</v>
      </c>
    </row>
    <row r="12" spans="1:38" ht="15.75">
      <c r="A12" s="115">
        <v>10</v>
      </c>
      <c r="B12" s="120"/>
      <c r="D12" s="119"/>
      <c r="E12" s="102"/>
      <c r="F12" s="121"/>
    </row>
    <row r="13" spans="1:38" ht="13.5">
      <c r="A13" s="115">
        <v>11</v>
      </c>
    </row>
    <row r="14" spans="1:38" ht="13.5">
      <c r="A14" s="115">
        <v>12</v>
      </c>
    </row>
    <row r="15" spans="1:38" ht="13.5">
      <c r="A15" s="115">
        <v>13</v>
      </c>
    </row>
    <row r="16" spans="1:38" ht="13.5">
      <c r="A16" s="115">
        <v>14</v>
      </c>
    </row>
    <row r="17" spans="1:1" ht="13.5">
      <c r="A17" s="115">
        <v>15</v>
      </c>
    </row>
    <row r="18" spans="1:1" ht="13.5">
      <c r="A18" s="115">
        <v>16</v>
      </c>
    </row>
    <row r="19" spans="1:1" ht="13.5">
      <c r="A19" s="115">
        <v>17</v>
      </c>
    </row>
    <row r="20" spans="1:1" ht="13.5">
      <c r="A20" s="115">
        <v>18</v>
      </c>
    </row>
    <row r="21" spans="1:1" ht="13.5">
      <c r="A21" s="115">
        <v>19</v>
      </c>
    </row>
    <row r="22" spans="1:1" ht="13.5">
      <c r="A22" s="115">
        <v>20</v>
      </c>
    </row>
    <row r="23" spans="1:1" ht="13.5">
      <c r="A23" s="115">
        <v>21</v>
      </c>
    </row>
    <row r="24" spans="1:1" ht="13.5">
      <c r="A24" s="115">
        <v>22</v>
      </c>
    </row>
    <row r="25" spans="1:1" ht="13.5">
      <c r="A25" s="115">
        <v>23</v>
      </c>
    </row>
    <row r="26" spans="1:1" ht="13.5">
      <c r="A26" s="115">
        <v>24</v>
      </c>
    </row>
    <row r="27" spans="1:1" ht="13.5">
      <c r="A27" s="115">
        <v>25</v>
      </c>
    </row>
    <row r="28" spans="1:1" ht="13.5">
      <c r="A28" s="115">
        <v>26</v>
      </c>
    </row>
    <row r="29" spans="1:1" ht="13.5">
      <c r="A29" s="115">
        <v>27</v>
      </c>
    </row>
    <row r="30" spans="1:1" ht="13.5">
      <c r="A30" s="115">
        <v>28</v>
      </c>
    </row>
    <row r="31" spans="1:1" ht="13.5">
      <c r="A31" s="115">
        <v>29</v>
      </c>
    </row>
    <row r="32" spans="1:1" ht="13.5">
      <c r="A32" s="115">
        <v>30</v>
      </c>
    </row>
    <row r="33" spans="1:1" ht="13.5">
      <c r="A33" s="115">
        <v>31</v>
      </c>
    </row>
    <row r="34" spans="1:1" ht="13.5">
      <c r="A34" s="115">
        <v>32</v>
      </c>
    </row>
    <row r="35" spans="1:1" ht="13.5">
      <c r="A35" s="115">
        <v>33</v>
      </c>
    </row>
    <row r="36" spans="1:1" ht="13.5">
      <c r="A36" s="115">
        <v>34</v>
      </c>
    </row>
    <row r="37" spans="1:1" ht="13.5">
      <c r="A37" s="115">
        <v>35</v>
      </c>
    </row>
    <row r="38" spans="1:1" ht="13.5">
      <c r="A38" s="115">
        <v>36</v>
      </c>
    </row>
    <row r="39" spans="1:1" ht="13.5">
      <c r="A39" s="115">
        <v>37</v>
      </c>
    </row>
    <row r="40" spans="1:1" ht="13.5">
      <c r="A40" s="115">
        <v>38</v>
      </c>
    </row>
    <row r="41" spans="1:1" ht="13.5">
      <c r="A41" s="115">
        <v>39</v>
      </c>
    </row>
    <row r="42" spans="1:1" ht="13.5">
      <c r="A42" s="115">
        <v>40</v>
      </c>
    </row>
    <row r="43" spans="1:1" ht="13.5">
      <c r="A43" s="115">
        <v>41</v>
      </c>
    </row>
    <row r="44" spans="1:1" ht="13.5">
      <c r="A44" s="115">
        <v>42</v>
      </c>
    </row>
    <row r="45" spans="1:1" ht="13.5">
      <c r="A45" s="115">
        <v>43</v>
      </c>
    </row>
    <row r="46" spans="1:1" ht="13.5">
      <c r="A46" s="115">
        <v>44</v>
      </c>
    </row>
    <row r="47" spans="1:1" ht="13.5">
      <c r="A47" s="115">
        <v>45</v>
      </c>
    </row>
    <row r="48" spans="1:1" ht="13.5">
      <c r="A48" s="115">
        <v>46</v>
      </c>
    </row>
    <row r="49" spans="1:1" ht="13.5">
      <c r="A49" s="115">
        <v>47</v>
      </c>
    </row>
    <row r="50" spans="1:1" ht="13.5">
      <c r="A50" s="115">
        <v>48</v>
      </c>
    </row>
    <row r="51" spans="1:1" ht="13.5">
      <c r="A51" s="115">
        <v>49</v>
      </c>
    </row>
    <row r="52" spans="1:1" ht="13.5">
      <c r="A52" s="115">
        <v>50</v>
      </c>
    </row>
    <row r="53" spans="1:1" ht="13.5">
      <c r="A53" s="115">
        <v>51</v>
      </c>
    </row>
    <row r="54" spans="1:1" ht="13.5">
      <c r="A54" s="115">
        <v>52</v>
      </c>
    </row>
    <row r="55" spans="1:1" ht="13.5">
      <c r="A55" s="115">
        <v>53</v>
      </c>
    </row>
    <row r="56" spans="1:1" ht="13.5">
      <c r="A56" s="115">
        <v>54</v>
      </c>
    </row>
    <row r="57" spans="1:1" ht="13.5">
      <c r="A57" s="115">
        <v>55</v>
      </c>
    </row>
    <row r="58" spans="1:1" ht="13.5">
      <c r="A58" s="115">
        <v>56</v>
      </c>
    </row>
    <row r="59" spans="1:1" ht="13.5">
      <c r="A59" s="115">
        <v>57</v>
      </c>
    </row>
    <row r="60" spans="1:1" ht="13.5">
      <c r="A60" s="115">
        <v>58</v>
      </c>
    </row>
    <row r="61" spans="1:1" ht="13.5">
      <c r="A61" s="115">
        <v>59</v>
      </c>
    </row>
    <row r="62" spans="1:1" ht="13.5">
      <c r="A62" s="115">
        <v>60</v>
      </c>
    </row>
    <row r="63" spans="1:1" ht="13.5">
      <c r="A63" s="115">
        <v>61</v>
      </c>
    </row>
  </sheetData>
  <mergeCells count="1">
    <mergeCell ref="B2:C2"/>
  </mergeCells>
  <phoneticPr fontId="1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6BC7-28C8-4BDD-A414-B501214D4FD6}">
  <sheetPr codeName="Sheet16"/>
  <dimension ref="A1:AL63"/>
  <sheetViews>
    <sheetView topLeftCell="A12" workbookViewId="0"/>
    <sheetView workbookViewId="1"/>
  </sheetViews>
  <sheetFormatPr defaultColWidth="8.73046875" defaultRowHeight="12.75"/>
  <cols>
    <col min="1" max="1" width="14" style="47" customWidth="1"/>
    <col min="2" max="2" width="27.59765625" style="47" customWidth="1"/>
    <col min="3" max="3" width="37" style="47" customWidth="1"/>
    <col min="4" max="4" width="7.73046875" style="47" customWidth="1"/>
    <col min="5" max="5" width="18" style="47" customWidth="1"/>
    <col min="6" max="6" width="13.1328125" style="47" customWidth="1"/>
    <col min="7" max="16384" width="8.73046875" style="47"/>
  </cols>
  <sheetData>
    <row r="1" spans="1:38" ht="23.25">
      <c r="A1" s="112" t="s">
        <v>134</v>
      </c>
      <c r="B1" s="113">
        <v>1</v>
      </c>
      <c r="C1" s="113">
        <v>2</v>
      </c>
      <c r="D1" s="113">
        <v>3</v>
      </c>
      <c r="E1" s="113">
        <v>4</v>
      </c>
      <c r="F1" s="113">
        <v>5</v>
      </c>
      <c r="G1" s="113">
        <v>6</v>
      </c>
      <c r="H1" s="113">
        <v>7</v>
      </c>
      <c r="I1" s="113">
        <v>8</v>
      </c>
      <c r="J1" s="113">
        <v>9</v>
      </c>
      <c r="K1" s="113">
        <v>10</v>
      </c>
      <c r="L1" s="113">
        <v>11</v>
      </c>
      <c r="M1" s="113">
        <v>12</v>
      </c>
      <c r="N1" s="113">
        <v>13</v>
      </c>
      <c r="O1" s="113">
        <v>14</v>
      </c>
      <c r="P1" s="113">
        <v>15</v>
      </c>
      <c r="Q1" s="113">
        <v>16</v>
      </c>
      <c r="R1" s="113">
        <v>17</v>
      </c>
      <c r="S1" s="113">
        <v>18</v>
      </c>
      <c r="T1" s="113">
        <v>19</v>
      </c>
      <c r="U1" s="113">
        <v>20</v>
      </c>
      <c r="V1" s="113">
        <v>21</v>
      </c>
      <c r="W1" s="113">
        <v>22</v>
      </c>
      <c r="X1" s="113">
        <v>23</v>
      </c>
      <c r="Y1" s="113">
        <v>24</v>
      </c>
      <c r="Z1" s="113">
        <v>25</v>
      </c>
      <c r="AA1" s="113">
        <v>26</v>
      </c>
      <c r="AB1" s="113">
        <v>27</v>
      </c>
      <c r="AC1" s="113">
        <v>28</v>
      </c>
      <c r="AD1" s="113">
        <v>29</v>
      </c>
      <c r="AE1" s="113">
        <v>30</v>
      </c>
      <c r="AF1" s="113">
        <v>31</v>
      </c>
      <c r="AG1" s="113">
        <v>32</v>
      </c>
      <c r="AH1" s="113">
        <v>33</v>
      </c>
      <c r="AI1" s="113">
        <v>34</v>
      </c>
      <c r="AJ1" s="113">
        <v>35</v>
      </c>
      <c r="AK1" s="113">
        <v>36</v>
      </c>
      <c r="AL1" s="113">
        <v>37</v>
      </c>
    </row>
    <row r="2" spans="1:38" ht="28.5">
      <c r="A2" s="114">
        <v>0</v>
      </c>
      <c r="B2" s="1213" t="s">
        <v>159</v>
      </c>
      <c r="C2" s="1152"/>
    </row>
    <row r="3" spans="1:38" ht="19.5">
      <c r="A3" s="115">
        <v>1</v>
      </c>
      <c r="B3" s="117" t="s">
        <v>140</v>
      </c>
      <c r="C3" s="122" t="s">
        <v>110</v>
      </c>
    </row>
    <row r="4" spans="1:38" ht="19.5">
      <c r="A4" s="115">
        <v>2</v>
      </c>
      <c r="B4" s="117" t="s">
        <v>141</v>
      </c>
      <c r="C4" s="122" t="s">
        <v>152</v>
      </c>
    </row>
    <row r="5" spans="1:38" ht="13.5">
      <c r="A5" s="115">
        <v>3</v>
      </c>
    </row>
    <row r="6" spans="1:38" ht="19.5">
      <c r="A6" s="115">
        <v>4</v>
      </c>
      <c r="B6" s="117" t="s">
        <v>157</v>
      </c>
      <c r="C6" s="7" t="s">
        <v>158</v>
      </c>
    </row>
    <row r="7" spans="1:38" ht="13.5">
      <c r="A7" s="115">
        <v>5</v>
      </c>
    </row>
    <row r="8" spans="1:38" ht="13.5">
      <c r="A8" s="115">
        <v>6</v>
      </c>
    </row>
    <row r="9" spans="1:38" ht="13.5">
      <c r="A9" s="115">
        <v>7</v>
      </c>
    </row>
    <row r="10" spans="1:38" ht="13.5">
      <c r="A10" s="115">
        <v>8</v>
      </c>
    </row>
    <row r="11" spans="1:38" ht="13.5">
      <c r="A11" s="115">
        <v>9</v>
      </c>
    </row>
    <row r="12" spans="1:38" ht="15.75">
      <c r="A12" s="115">
        <v>10</v>
      </c>
      <c r="B12" s="120"/>
      <c r="D12" s="119"/>
      <c r="E12" s="102"/>
      <c r="F12" s="121"/>
    </row>
    <row r="13" spans="1:38" ht="13.5">
      <c r="A13" s="115">
        <v>11</v>
      </c>
    </row>
    <row r="14" spans="1:38" ht="13.5">
      <c r="A14" s="115">
        <v>12</v>
      </c>
    </row>
    <row r="15" spans="1:38" ht="13.5">
      <c r="A15" s="115">
        <v>13</v>
      </c>
    </row>
    <row r="16" spans="1:38" ht="13.5">
      <c r="A16" s="115">
        <v>14</v>
      </c>
    </row>
    <row r="17" spans="1:1" ht="13.5">
      <c r="A17" s="115">
        <v>15</v>
      </c>
    </row>
    <row r="18" spans="1:1" ht="13.5">
      <c r="A18" s="115">
        <v>16</v>
      </c>
    </row>
    <row r="19" spans="1:1" ht="13.5">
      <c r="A19" s="115">
        <v>17</v>
      </c>
    </row>
    <row r="20" spans="1:1" ht="13.5">
      <c r="A20" s="115">
        <v>18</v>
      </c>
    </row>
    <row r="21" spans="1:1" ht="13.5">
      <c r="A21" s="115">
        <v>19</v>
      </c>
    </row>
    <row r="22" spans="1:1" ht="13.5">
      <c r="A22" s="115">
        <v>20</v>
      </c>
    </row>
    <row r="23" spans="1:1" ht="13.5">
      <c r="A23" s="115">
        <v>21</v>
      </c>
    </row>
    <row r="24" spans="1:1" ht="13.5">
      <c r="A24" s="115">
        <v>22</v>
      </c>
    </row>
    <row r="25" spans="1:1" ht="13.5">
      <c r="A25" s="115">
        <v>23</v>
      </c>
    </row>
    <row r="26" spans="1:1" ht="13.5">
      <c r="A26" s="115">
        <v>24</v>
      </c>
    </row>
    <row r="27" spans="1:1" ht="13.5">
      <c r="A27" s="115">
        <v>25</v>
      </c>
    </row>
    <row r="28" spans="1:1" ht="13.5">
      <c r="A28" s="115">
        <v>26</v>
      </c>
    </row>
    <row r="29" spans="1:1" ht="13.5">
      <c r="A29" s="115">
        <v>27</v>
      </c>
    </row>
    <row r="30" spans="1:1" ht="13.5">
      <c r="A30" s="115">
        <v>28</v>
      </c>
    </row>
    <row r="31" spans="1:1" ht="13.5">
      <c r="A31" s="115">
        <v>29</v>
      </c>
    </row>
    <row r="32" spans="1:1" ht="13.5">
      <c r="A32" s="115">
        <v>30</v>
      </c>
    </row>
    <row r="33" spans="1:1" ht="13.5">
      <c r="A33" s="115">
        <v>31</v>
      </c>
    </row>
    <row r="34" spans="1:1" ht="13.5">
      <c r="A34" s="115">
        <v>32</v>
      </c>
    </row>
    <row r="35" spans="1:1" ht="13.5">
      <c r="A35" s="115">
        <v>33</v>
      </c>
    </row>
    <row r="36" spans="1:1" ht="13.5">
      <c r="A36" s="115">
        <v>34</v>
      </c>
    </row>
    <row r="37" spans="1:1" ht="13.5">
      <c r="A37" s="115">
        <v>35</v>
      </c>
    </row>
    <row r="38" spans="1:1" ht="13.5">
      <c r="A38" s="115">
        <v>36</v>
      </c>
    </row>
    <row r="39" spans="1:1" ht="13.5">
      <c r="A39" s="115">
        <v>37</v>
      </c>
    </row>
    <row r="40" spans="1:1" ht="13.5">
      <c r="A40" s="115">
        <v>38</v>
      </c>
    </row>
    <row r="41" spans="1:1" ht="13.5">
      <c r="A41" s="115">
        <v>39</v>
      </c>
    </row>
    <row r="42" spans="1:1" ht="13.5">
      <c r="A42" s="115">
        <v>40</v>
      </c>
    </row>
    <row r="43" spans="1:1" ht="13.5">
      <c r="A43" s="115">
        <v>41</v>
      </c>
    </row>
    <row r="44" spans="1:1" ht="13.5">
      <c r="A44" s="115">
        <v>42</v>
      </c>
    </row>
    <row r="45" spans="1:1" ht="13.5">
      <c r="A45" s="115">
        <v>43</v>
      </c>
    </row>
    <row r="46" spans="1:1" ht="13.5">
      <c r="A46" s="115">
        <v>44</v>
      </c>
    </row>
    <row r="47" spans="1:1" ht="13.5">
      <c r="A47" s="115">
        <v>45</v>
      </c>
    </row>
    <row r="48" spans="1:1" ht="13.5">
      <c r="A48" s="115">
        <v>46</v>
      </c>
    </row>
    <row r="49" spans="1:1" ht="13.5">
      <c r="A49" s="115">
        <v>47</v>
      </c>
    </row>
    <row r="50" spans="1:1" ht="13.5">
      <c r="A50" s="115">
        <v>48</v>
      </c>
    </row>
    <row r="51" spans="1:1" ht="13.5">
      <c r="A51" s="115">
        <v>49</v>
      </c>
    </row>
    <row r="52" spans="1:1" ht="13.5">
      <c r="A52" s="115">
        <v>50</v>
      </c>
    </row>
    <row r="53" spans="1:1" ht="13.5">
      <c r="A53" s="115">
        <v>51</v>
      </c>
    </row>
    <row r="54" spans="1:1" ht="13.5">
      <c r="A54" s="115">
        <v>52</v>
      </c>
    </row>
    <row r="55" spans="1:1" ht="13.5">
      <c r="A55" s="115">
        <v>53</v>
      </c>
    </row>
    <row r="56" spans="1:1" ht="13.5">
      <c r="A56" s="115">
        <v>54</v>
      </c>
    </row>
    <row r="57" spans="1:1" ht="13.5">
      <c r="A57" s="115">
        <v>55</v>
      </c>
    </row>
    <row r="58" spans="1:1" ht="13.5">
      <c r="A58" s="115">
        <v>56</v>
      </c>
    </row>
    <row r="59" spans="1:1" ht="13.5">
      <c r="A59" s="115">
        <v>57</v>
      </c>
    </row>
    <row r="60" spans="1:1" ht="13.5">
      <c r="A60" s="115">
        <v>58</v>
      </c>
    </row>
    <row r="61" spans="1:1" ht="13.5">
      <c r="A61" s="115">
        <v>59</v>
      </c>
    </row>
    <row r="62" spans="1:1" ht="13.5">
      <c r="A62" s="115">
        <v>60</v>
      </c>
    </row>
    <row r="63" spans="1:1" ht="13.5">
      <c r="A63" s="115">
        <v>61</v>
      </c>
    </row>
  </sheetData>
  <mergeCells count="1">
    <mergeCell ref="B2:C2"/>
  </mergeCells>
  <phoneticPr fontId="1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44F86-E0A9-4A3F-A56B-530002B22324}">
  <sheetPr codeName="Sheet15"/>
  <dimension ref="A1:AL63"/>
  <sheetViews>
    <sheetView workbookViewId="0"/>
    <sheetView workbookViewId="1"/>
  </sheetViews>
  <sheetFormatPr defaultColWidth="8.73046875" defaultRowHeight="12.75"/>
  <cols>
    <col min="1" max="1" width="14" style="47" customWidth="1"/>
    <col min="2" max="2" width="27.59765625" style="47" customWidth="1"/>
    <col min="3" max="3" width="37" style="47" customWidth="1"/>
    <col min="4" max="4" width="7.73046875" style="47" customWidth="1"/>
    <col min="5" max="5" width="18" style="47" customWidth="1"/>
    <col min="6" max="6" width="13.1328125" style="47" customWidth="1"/>
    <col min="7" max="16384" width="8.73046875" style="47"/>
  </cols>
  <sheetData>
    <row r="1" spans="1:38" ht="23.25">
      <c r="A1" s="112" t="s">
        <v>134</v>
      </c>
      <c r="B1" s="113">
        <v>1</v>
      </c>
      <c r="C1" s="113">
        <v>2</v>
      </c>
      <c r="D1" s="113">
        <v>3</v>
      </c>
      <c r="E1" s="113">
        <v>4</v>
      </c>
      <c r="F1" s="113">
        <v>5</v>
      </c>
      <c r="G1" s="113">
        <v>6</v>
      </c>
      <c r="H1" s="113">
        <v>7</v>
      </c>
      <c r="I1" s="113">
        <v>8</v>
      </c>
      <c r="J1" s="113">
        <v>9</v>
      </c>
      <c r="K1" s="113">
        <v>10</v>
      </c>
      <c r="L1" s="113">
        <v>11</v>
      </c>
      <c r="M1" s="113">
        <v>12</v>
      </c>
      <c r="N1" s="113">
        <v>13</v>
      </c>
      <c r="O1" s="113">
        <v>14</v>
      </c>
      <c r="P1" s="113">
        <v>15</v>
      </c>
      <c r="Q1" s="113">
        <v>16</v>
      </c>
      <c r="R1" s="113">
        <v>17</v>
      </c>
      <c r="S1" s="113">
        <v>18</v>
      </c>
      <c r="T1" s="113">
        <v>19</v>
      </c>
      <c r="U1" s="113">
        <v>20</v>
      </c>
      <c r="V1" s="113">
        <v>21</v>
      </c>
      <c r="W1" s="113">
        <v>22</v>
      </c>
      <c r="X1" s="113">
        <v>23</v>
      </c>
      <c r="Y1" s="113">
        <v>24</v>
      </c>
      <c r="Z1" s="113">
        <v>25</v>
      </c>
      <c r="AA1" s="113">
        <v>26</v>
      </c>
      <c r="AB1" s="113">
        <v>27</v>
      </c>
      <c r="AC1" s="113">
        <v>28</v>
      </c>
      <c r="AD1" s="113">
        <v>29</v>
      </c>
      <c r="AE1" s="113">
        <v>30</v>
      </c>
      <c r="AF1" s="113">
        <v>31</v>
      </c>
      <c r="AG1" s="113">
        <v>32</v>
      </c>
      <c r="AH1" s="113">
        <v>33</v>
      </c>
      <c r="AI1" s="113">
        <v>34</v>
      </c>
      <c r="AJ1" s="113">
        <v>35</v>
      </c>
      <c r="AK1" s="113">
        <v>36</v>
      </c>
      <c r="AL1" s="113">
        <v>37</v>
      </c>
    </row>
    <row r="2" spans="1:38" ht="28.5">
      <c r="A2" s="114">
        <v>0</v>
      </c>
      <c r="B2" s="1213" t="s">
        <v>139</v>
      </c>
      <c r="C2" s="1152"/>
    </row>
    <row r="3" spans="1:38" ht="19.5">
      <c r="A3" s="115">
        <v>1</v>
      </c>
      <c r="B3" s="117" t="s">
        <v>140</v>
      </c>
      <c r="C3" s="122" t="s">
        <v>110</v>
      </c>
    </row>
    <row r="4" spans="1:38" ht="19.5">
      <c r="A4" s="115">
        <v>2</v>
      </c>
      <c r="B4" s="117" t="s">
        <v>141</v>
      </c>
      <c r="C4" s="122" t="s">
        <v>152</v>
      </c>
    </row>
    <row r="5" spans="1:38" ht="19.5">
      <c r="A5" s="115">
        <v>3</v>
      </c>
      <c r="B5" s="117" t="s">
        <v>142</v>
      </c>
      <c r="C5" s="7" t="s">
        <v>135</v>
      </c>
    </row>
    <row r="6" spans="1:38" ht="19.5">
      <c r="A6" s="115">
        <v>4</v>
      </c>
      <c r="B6" s="118" t="s">
        <v>144</v>
      </c>
      <c r="C6" s="7" t="s">
        <v>153</v>
      </c>
    </row>
    <row r="7" spans="1:38" ht="19.5">
      <c r="A7" s="115">
        <v>5</v>
      </c>
      <c r="B7" s="118" t="s">
        <v>143</v>
      </c>
      <c r="C7" s="116" t="s">
        <v>154</v>
      </c>
    </row>
    <row r="8" spans="1:38" ht="13.5">
      <c r="A8" s="115">
        <v>6</v>
      </c>
    </row>
    <row r="9" spans="1:38" ht="19.5">
      <c r="A9" s="115">
        <v>7</v>
      </c>
      <c r="B9" s="117" t="s">
        <v>157</v>
      </c>
      <c r="C9" s="7" t="s">
        <v>158</v>
      </c>
    </row>
    <row r="10" spans="1:38" ht="13.5">
      <c r="A10" s="115">
        <v>8</v>
      </c>
    </row>
    <row r="11" spans="1:38" ht="19.5">
      <c r="A11" s="115">
        <v>9</v>
      </c>
      <c r="B11" s="117" t="s">
        <v>145</v>
      </c>
      <c r="C11" s="117" t="s">
        <v>146</v>
      </c>
      <c r="D11" s="117" t="s">
        <v>147</v>
      </c>
      <c r="E11" s="117" t="s">
        <v>148</v>
      </c>
      <c r="F11" s="117" t="s">
        <v>149</v>
      </c>
    </row>
    <row r="12" spans="1:38" ht="15.75">
      <c r="A12" s="115">
        <v>10</v>
      </c>
      <c r="B12" s="120" t="s">
        <v>156</v>
      </c>
      <c r="D12" s="119" t="s">
        <v>131</v>
      </c>
      <c r="E12" s="102" t="s">
        <v>150</v>
      </c>
      <c r="F12" s="121" t="s">
        <v>151</v>
      </c>
    </row>
    <row r="13" spans="1:38" ht="13.5">
      <c r="A13" s="115">
        <v>11</v>
      </c>
    </row>
    <row r="14" spans="1:38" ht="13.5">
      <c r="A14" s="115">
        <v>12</v>
      </c>
    </row>
    <row r="15" spans="1:38" ht="13.5">
      <c r="A15" s="115">
        <v>13</v>
      </c>
    </row>
    <row r="16" spans="1:38" ht="13.5">
      <c r="A16" s="115">
        <v>14</v>
      </c>
    </row>
    <row r="17" spans="1:1" ht="13.5">
      <c r="A17" s="115">
        <v>15</v>
      </c>
    </row>
    <row r="18" spans="1:1" ht="13.5">
      <c r="A18" s="115">
        <v>16</v>
      </c>
    </row>
    <row r="19" spans="1:1" ht="13.5">
      <c r="A19" s="115">
        <v>17</v>
      </c>
    </row>
    <row r="20" spans="1:1" ht="13.5">
      <c r="A20" s="115">
        <v>18</v>
      </c>
    </row>
    <row r="21" spans="1:1" ht="13.5">
      <c r="A21" s="115">
        <v>19</v>
      </c>
    </row>
    <row r="22" spans="1:1" ht="13.5">
      <c r="A22" s="115">
        <v>20</v>
      </c>
    </row>
    <row r="23" spans="1:1" ht="13.5">
      <c r="A23" s="115">
        <v>21</v>
      </c>
    </row>
    <row r="24" spans="1:1" ht="13.5">
      <c r="A24" s="115">
        <v>22</v>
      </c>
    </row>
    <row r="25" spans="1:1" ht="13.5">
      <c r="A25" s="115">
        <v>23</v>
      </c>
    </row>
    <row r="26" spans="1:1" ht="13.5">
      <c r="A26" s="115">
        <v>24</v>
      </c>
    </row>
    <row r="27" spans="1:1" ht="13.5">
      <c r="A27" s="115">
        <v>25</v>
      </c>
    </row>
    <row r="28" spans="1:1" ht="13.5">
      <c r="A28" s="115">
        <v>26</v>
      </c>
    </row>
    <row r="29" spans="1:1" ht="13.5">
      <c r="A29" s="115">
        <v>27</v>
      </c>
    </row>
    <row r="30" spans="1:1" ht="13.5">
      <c r="A30" s="115">
        <v>28</v>
      </c>
    </row>
    <row r="31" spans="1:1" ht="13.5">
      <c r="A31" s="115">
        <v>29</v>
      </c>
    </row>
    <row r="32" spans="1:1" ht="13.5">
      <c r="A32" s="115">
        <v>30</v>
      </c>
    </row>
    <row r="33" spans="1:1" ht="13.5">
      <c r="A33" s="115">
        <v>31</v>
      </c>
    </row>
    <row r="34" spans="1:1" ht="13.5">
      <c r="A34" s="115">
        <v>32</v>
      </c>
    </row>
    <row r="35" spans="1:1" ht="13.5">
      <c r="A35" s="115">
        <v>33</v>
      </c>
    </row>
    <row r="36" spans="1:1" ht="13.5">
      <c r="A36" s="115">
        <v>34</v>
      </c>
    </row>
    <row r="37" spans="1:1" ht="13.5">
      <c r="A37" s="115">
        <v>35</v>
      </c>
    </row>
    <row r="38" spans="1:1" ht="13.5">
      <c r="A38" s="115">
        <v>36</v>
      </c>
    </row>
    <row r="39" spans="1:1" ht="13.5">
      <c r="A39" s="115">
        <v>37</v>
      </c>
    </row>
    <row r="40" spans="1:1" ht="13.5">
      <c r="A40" s="115">
        <v>38</v>
      </c>
    </row>
    <row r="41" spans="1:1" ht="13.5">
      <c r="A41" s="115">
        <v>39</v>
      </c>
    </row>
    <row r="42" spans="1:1" ht="13.5">
      <c r="A42" s="115">
        <v>40</v>
      </c>
    </row>
    <row r="43" spans="1:1" ht="13.5">
      <c r="A43" s="115">
        <v>41</v>
      </c>
    </row>
    <row r="44" spans="1:1" ht="13.5">
      <c r="A44" s="115">
        <v>42</v>
      </c>
    </row>
    <row r="45" spans="1:1" ht="13.5">
      <c r="A45" s="115">
        <v>43</v>
      </c>
    </row>
    <row r="46" spans="1:1" ht="13.5">
      <c r="A46" s="115">
        <v>44</v>
      </c>
    </row>
    <row r="47" spans="1:1" ht="13.5">
      <c r="A47" s="115">
        <v>45</v>
      </c>
    </row>
    <row r="48" spans="1:1" ht="13.5">
      <c r="A48" s="115">
        <v>46</v>
      </c>
    </row>
    <row r="49" spans="1:1" ht="13.5">
      <c r="A49" s="115">
        <v>47</v>
      </c>
    </row>
    <row r="50" spans="1:1" ht="13.5">
      <c r="A50" s="115">
        <v>48</v>
      </c>
    </row>
    <row r="51" spans="1:1" ht="13.5">
      <c r="A51" s="115">
        <v>49</v>
      </c>
    </row>
    <row r="52" spans="1:1" ht="13.5">
      <c r="A52" s="115">
        <v>50</v>
      </c>
    </row>
    <row r="53" spans="1:1" ht="13.5">
      <c r="A53" s="115">
        <v>51</v>
      </c>
    </row>
    <row r="54" spans="1:1" ht="13.5">
      <c r="A54" s="115">
        <v>52</v>
      </c>
    </row>
    <row r="55" spans="1:1" ht="13.5">
      <c r="A55" s="115">
        <v>53</v>
      </c>
    </row>
    <row r="56" spans="1:1" ht="13.5">
      <c r="A56" s="115">
        <v>54</v>
      </c>
    </row>
    <row r="57" spans="1:1" ht="13.5">
      <c r="A57" s="115">
        <v>55</v>
      </c>
    </row>
    <row r="58" spans="1:1" ht="13.5">
      <c r="A58" s="115">
        <v>56</v>
      </c>
    </row>
    <row r="59" spans="1:1" ht="13.5">
      <c r="A59" s="115">
        <v>57</v>
      </c>
    </row>
    <row r="60" spans="1:1" ht="13.5">
      <c r="A60" s="115">
        <v>58</v>
      </c>
    </row>
    <row r="61" spans="1:1" ht="13.5">
      <c r="A61" s="115">
        <v>59</v>
      </c>
    </row>
    <row r="62" spans="1:1" ht="13.5">
      <c r="A62" s="115">
        <v>60</v>
      </c>
    </row>
    <row r="63" spans="1:1" ht="13.5">
      <c r="A63" s="115">
        <v>61</v>
      </c>
    </row>
  </sheetData>
  <mergeCells count="1">
    <mergeCell ref="B2:C2"/>
  </mergeCells>
  <phoneticPr fontId="11" type="noConversion"/>
  <hyperlinks>
    <hyperlink ref="C7" r:id="rId1" xr:uid="{050DC29C-09B4-4A4E-96B2-D6A0345664D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67AAA-4EAE-41DA-9F08-1E49B5668680}">
  <sheetPr codeName="Sheet21"/>
  <dimension ref="A1:AL69"/>
  <sheetViews>
    <sheetView workbookViewId="0"/>
    <sheetView workbookViewId="1"/>
  </sheetViews>
  <sheetFormatPr defaultRowHeight="12.75"/>
  <cols>
    <col min="1" max="1" width="14" style="47" customWidth="1"/>
    <col min="2" max="2" width="36.53125" style="47" customWidth="1"/>
    <col min="3" max="3" width="44.1328125" style="47" customWidth="1"/>
    <col min="4" max="4" width="6.265625" style="47" bestFit="1" customWidth="1"/>
    <col min="5" max="5" width="22.73046875" style="47" customWidth="1"/>
    <col min="6" max="6" width="11.6640625" style="47" customWidth="1"/>
    <col min="7" max="8" width="8.46484375" style="47" bestFit="1" customWidth="1"/>
    <col min="9" max="9" width="9" style="47" bestFit="1" customWidth="1"/>
    <col min="10" max="12" width="8.46484375" style="47" bestFit="1" customWidth="1"/>
    <col min="13" max="13" width="10.06640625" style="47" customWidth="1"/>
    <col min="14" max="16" width="8.46484375" style="47" bestFit="1" customWidth="1"/>
    <col min="17" max="20" width="3.3984375" style="47" bestFit="1" customWidth="1"/>
    <col min="21" max="21" width="3.3984375" style="47" customWidth="1"/>
    <col min="22" max="16384" width="9.06640625" style="47"/>
  </cols>
  <sheetData>
    <row r="1" spans="1:38" ht="23.25">
      <c r="A1" s="112" t="s">
        <v>134</v>
      </c>
      <c r="B1" s="113">
        <v>1</v>
      </c>
      <c r="C1" s="113">
        <v>2</v>
      </c>
      <c r="D1" s="113">
        <v>3</v>
      </c>
      <c r="E1" s="113">
        <v>4</v>
      </c>
      <c r="F1" s="113">
        <v>5</v>
      </c>
      <c r="G1" s="113">
        <v>6</v>
      </c>
      <c r="H1" s="113">
        <v>7</v>
      </c>
      <c r="I1" s="113">
        <v>8</v>
      </c>
      <c r="J1" s="113">
        <v>9</v>
      </c>
      <c r="K1" s="113">
        <v>10</v>
      </c>
      <c r="L1" s="113">
        <v>11</v>
      </c>
      <c r="M1" s="113">
        <v>12</v>
      </c>
      <c r="N1" s="113">
        <v>13</v>
      </c>
      <c r="O1" s="113">
        <v>14</v>
      </c>
      <c r="P1" s="113">
        <v>15</v>
      </c>
      <c r="Q1" s="113">
        <v>16</v>
      </c>
      <c r="R1" s="113">
        <v>17</v>
      </c>
      <c r="S1" s="113">
        <v>18</v>
      </c>
      <c r="T1" s="113">
        <v>19</v>
      </c>
      <c r="U1" s="113">
        <v>20</v>
      </c>
      <c r="V1" s="113">
        <v>21</v>
      </c>
      <c r="W1" s="113">
        <v>22</v>
      </c>
      <c r="X1" s="113">
        <v>23</v>
      </c>
      <c r="Y1" s="113">
        <v>24</v>
      </c>
      <c r="Z1" s="113">
        <v>25</v>
      </c>
      <c r="AA1" s="113">
        <v>26</v>
      </c>
      <c r="AB1" s="113">
        <v>27</v>
      </c>
      <c r="AC1" s="113">
        <v>28</v>
      </c>
      <c r="AD1" s="113">
        <v>29</v>
      </c>
      <c r="AE1" s="113">
        <v>30</v>
      </c>
      <c r="AF1" s="113">
        <v>31</v>
      </c>
      <c r="AG1" s="113">
        <v>32</v>
      </c>
      <c r="AH1" s="113">
        <v>33</v>
      </c>
      <c r="AI1" s="113">
        <v>34</v>
      </c>
      <c r="AJ1" s="113">
        <v>35</v>
      </c>
      <c r="AK1" s="113">
        <v>36</v>
      </c>
      <c r="AL1" s="113">
        <v>37</v>
      </c>
    </row>
    <row r="2" spans="1:38" ht="46.5" customHeight="1">
      <c r="A2" s="114">
        <v>0</v>
      </c>
      <c r="B2" s="1151" t="s">
        <v>1086</v>
      </c>
      <c r="C2" s="1153"/>
      <c r="E2" s="1157" t="s">
        <v>1087</v>
      </c>
      <c r="F2" s="1157"/>
      <c r="G2" s="1157"/>
      <c r="H2" s="1157"/>
      <c r="I2" s="1157"/>
      <c r="J2" s="1157"/>
      <c r="K2" s="1157"/>
      <c r="L2" s="1157"/>
      <c r="M2" s="1157"/>
      <c r="N2" s="1157"/>
      <c r="O2" s="1157"/>
      <c r="P2" s="1157"/>
      <c r="Q2" s="1157"/>
      <c r="R2" s="1157"/>
      <c r="S2" s="1157"/>
      <c r="T2" s="1157"/>
      <c r="U2" s="1157"/>
    </row>
    <row r="3" spans="1:38" ht="46.5" customHeight="1">
      <c r="A3" s="115">
        <v>1</v>
      </c>
      <c r="B3" s="5" t="s">
        <v>1088</v>
      </c>
      <c r="C3" s="8"/>
      <c r="E3" s="1161" t="s">
        <v>1089</v>
      </c>
      <c r="F3" s="1162"/>
      <c r="G3" s="1162"/>
      <c r="H3" s="1162"/>
      <c r="I3" s="1162"/>
      <c r="J3" s="1162"/>
      <c r="K3" s="1162"/>
      <c r="L3" s="1162"/>
      <c r="M3" s="1162"/>
      <c r="N3" s="1162"/>
      <c r="O3" s="1162"/>
      <c r="P3" s="1162"/>
      <c r="Q3" s="1162"/>
      <c r="R3" s="1162"/>
      <c r="S3" s="1162"/>
      <c r="T3" s="1162"/>
      <c r="U3" s="1162"/>
    </row>
    <row r="4" spans="1:38" ht="19.5" customHeight="1">
      <c r="A4" s="115">
        <v>2</v>
      </c>
      <c r="B4" s="5" t="s">
        <v>1090</v>
      </c>
      <c r="C4" s="8"/>
      <c r="E4" s="554" t="s">
        <v>1091</v>
      </c>
      <c r="F4" s="847">
        <f>C3</f>
        <v>0</v>
      </c>
      <c r="G4" s="1163"/>
      <c r="H4" s="1163"/>
      <c r="I4" s="1163"/>
      <c r="J4" s="1163"/>
      <c r="K4" s="1163"/>
      <c r="L4" s="848"/>
      <c r="M4" s="554" t="s">
        <v>1092</v>
      </c>
      <c r="N4" s="847">
        <f>C4</f>
        <v>0</v>
      </c>
      <c r="O4" s="1163"/>
      <c r="P4" s="1163"/>
      <c r="Q4" s="1163"/>
      <c r="R4" s="1163"/>
      <c r="S4" s="1163"/>
      <c r="T4" s="1163"/>
      <c r="U4" s="848"/>
    </row>
    <row r="5" spans="1:38" ht="19.5" customHeight="1">
      <c r="A5" s="115">
        <v>3</v>
      </c>
      <c r="B5" s="5" t="s">
        <v>1093</v>
      </c>
      <c r="C5" s="8"/>
      <c r="E5" s="554" t="s">
        <v>1094</v>
      </c>
      <c r="F5" s="847">
        <f>C5</f>
        <v>0</v>
      </c>
      <c r="G5" s="1163"/>
      <c r="H5" s="1163"/>
      <c r="I5" s="1163"/>
      <c r="J5" s="1163"/>
      <c r="K5" s="1163"/>
      <c r="L5" s="848"/>
      <c r="M5" s="554" t="s">
        <v>1095</v>
      </c>
      <c r="N5" s="1164" t="str">
        <f>C6&amp;"(09:00~18:00) / 총" &amp;C7&amp;"시간"</f>
        <v>12~13(09:00~18:00) / 총12시간</v>
      </c>
      <c r="O5" s="1165"/>
      <c r="P5" s="1165"/>
      <c r="Q5" s="1165"/>
      <c r="R5" s="1165"/>
      <c r="S5" s="1165"/>
      <c r="T5" s="1165"/>
      <c r="U5" s="1166"/>
    </row>
    <row r="6" spans="1:38" ht="19.5" customHeight="1">
      <c r="A6" s="115">
        <v>4</v>
      </c>
      <c r="B6" s="5" t="s">
        <v>1096</v>
      </c>
      <c r="C6" s="8" t="s">
        <v>1085</v>
      </c>
      <c r="E6" s="554" t="s">
        <v>1097</v>
      </c>
      <c r="F6" s="1164">
        <f>C8</f>
        <v>0</v>
      </c>
      <c r="G6" s="1165"/>
      <c r="H6" s="1165"/>
      <c r="I6" s="1166"/>
      <c r="J6" s="1164" t="s">
        <v>1098</v>
      </c>
      <c r="K6" s="1165"/>
      <c r="L6" s="1166"/>
      <c r="M6" s="554" t="s">
        <v>1099</v>
      </c>
      <c r="N6" s="1164" t="str">
        <f>"집체교육 ("&amp;C9&amp;") 시간 / 온라인교육 ("&amp;C10&amp;") 시간"</f>
        <v>집체교육 (111) 시간 / 온라인교육 (222) 시간</v>
      </c>
      <c r="O6" s="1165"/>
      <c r="P6" s="1165"/>
      <c r="Q6" s="1165"/>
      <c r="R6" s="1165"/>
      <c r="S6" s="1165"/>
      <c r="T6" s="1165"/>
      <c r="U6" s="1166"/>
    </row>
    <row r="7" spans="1:38" ht="16.5">
      <c r="A7" s="115">
        <v>5</v>
      </c>
      <c r="B7" s="5" t="s">
        <v>1100</v>
      </c>
      <c r="C7" s="8">
        <v>12</v>
      </c>
      <c r="E7" s="1154" t="s">
        <v>1101</v>
      </c>
      <c r="F7" s="530" t="s">
        <v>1102</v>
      </c>
      <c r="G7" s="1155">
        <f>C11</f>
        <v>0</v>
      </c>
      <c r="H7" s="1156"/>
      <c r="I7" s="1155">
        <f>C12</f>
        <v>0</v>
      </c>
      <c r="J7" s="1160"/>
      <c r="K7" s="1155">
        <f>C13</f>
        <v>0</v>
      </c>
      <c r="L7" s="1160"/>
      <c r="M7" s="1155">
        <f>C14</f>
        <v>0</v>
      </c>
      <c r="N7" s="1160"/>
      <c r="O7" s="1155">
        <f>C15</f>
        <v>0</v>
      </c>
      <c r="P7" s="1160"/>
      <c r="Q7" s="555" t="s">
        <v>1103</v>
      </c>
      <c r="R7" s="555" t="s">
        <v>1104</v>
      </c>
      <c r="S7" s="555" t="s">
        <v>1105</v>
      </c>
      <c r="T7" s="555" t="s">
        <v>1106</v>
      </c>
      <c r="U7" s="555" t="s">
        <v>1107</v>
      </c>
    </row>
    <row r="8" spans="1:38" ht="16.5">
      <c r="A8" s="115">
        <v>6</v>
      </c>
      <c r="B8" s="5" t="s">
        <v>1108</v>
      </c>
      <c r="C8" s="8"/>
      <c r="E8" s="1154"/>
      <c r="F8" s="529" t="s">
        <v>1109</v>
      </c>
      <c r="G8" s="521" t="s">
        <v>1110</v>
      </c>
      <c r="H8" s="521" t="s">
        <v>1111</v>
      </c>
      <c r="I8" s="521" t="s">
        <v>1110</v>
      </c>
      <c r="J8" s="521" t="s">
        <v>1111</v>
      </c>
      <c r="K8" s="521" t="s">
        <v>1110</v>
      </c>
      <c r="L8" s="521" t="s">
        <v>1111</v>
      </c>
      <c r="M8" s="521" t="s">
        <v>1110</v>
      </c>
      <c r="N8" s="521" t="s">
        <v>1111</v>
      </c>
      <c r="O8" s="521" t="s">
        <v>1110</v>
      </c>
      <c r="P8" s="521" t="s">
        <v>1111</v>
      </c>
      <c r="Q8" s="555" t="s">
        <v>1112</v>
      </c>
      <c r="R8" s="555" t="s">
        <v>1112</v>
      </c>
      <c r="S8" s="555" t="s">
        <v>1113</v>
      </c>
      <c r="T8" s="555" t="s">
        <v>1114</v>
      </c>
      <c r="U8" s="555" t="s">
        <v>1115</v>
      </c>
    </row>
    <row r="9" spans="1:38" ht="16.5">
      <c r="A9" s="115">
        <v>7</v>
      </c>
      <c r="B9" s="5" t="s">
        <v>1116</v>
      </c>
      <c r="C9" s="8">
        <v>111</v>
      </c>
      <c r="E9" s="842"/>
      <c r="F9" s="556" t="s">
        <v>1117</v>
      </c>
      <c r="G9" s="521"/>
      <c r="H9" s="521"/>
      <c r="I9" s="521"/>
      <c r="J9" s="521"/>
      <c r="K9" s="521"/>
      <c r="L9" s="521"/>
      <c r="M9" s="521"/>
      <c r="N9" s="521"/>
      <c r="O9" s="521"/>
      <c r="P9" s="521"/>
      <c r="Q9" s="534"/>
      <c r="R9" s="534"/>
      <c r="S9" s="534"/>
      <c r="T9" s="534"/>
      <c r="U9" s="534"/>
    </row>
    <row r="10" spans="1:38" ht="16.5">
      <c r="A10" s="115">
        <v>8</v>
      </c>
      <c r="B10" s="5" t="s">
        <v>1118</v>
      </c>
      <c r="C10" s="8">
        <v>222</v>
      </c>
      <c r="E10" s="521">
        <v>1</v>
      </c>
      <c r="F10" s="531">
        <f>B20</f>
        <v>0</v>
      </c>
      <c r="G10" s="521"/>
      <c r="H10" s="522"/>
      <c r="I10" s="522"/>
      <c r="J10" s="522"/>
      <c r="K10" s="522"/>
      <c r="L10" s="522"/>
      <c r="M10" s="522"/>
      <c r="N10" s="522"/>
      <c r="O10" s="522"/>
      <c r="P10" s="522"/>
      <c r="Q10" s="521"/>
      <c r="R10" s="521"/>
      <c r="S10" s="521"/>
      <c r="T10" s="521"/>
      <c r="U10" s="521"/>
    </row>
    <row r="11" spans="1:38" ht="16.5">
      <c r="A11" s="115">
        <v>9</v>
      </c>
      <c r="B11" s="5" t="s">
        <v>1119</v>
      </c>
      <c r="C11" s="558"/>
      <c r="E11" s="521">
        <v>2</v>
      </c>
      <c r="F11" s="531">
        <f t="shared" ref="F11:F24" si="0">B21</f>
        <v>0</v>
      </c>
      <c r="G11" s="521"/>
      <c r="H11" s="521"/>
      <c r="I11" s="521"/>
      <c r="J11" s="521"/>
      <c r="K11" s="521"/>
      <c r="L11" s="521"/>
      <c r="M11" s="521"/>
      <c r="N11" s="521"/>
      <c r="O11" s="521"/>
      <c r="P11" s="521"/>
      <c r="Q11" s="521"/>
      <c r="R11" s="521"/>
      <c r="S11" s="521"/>
      <c r="T11" s="521"/>
      <c r="U11" s="521"/>
    </row>
    <row r="12" spans="1:38" ht="16.5">
      <c r="A12" s="115">
        <v>10</v>
      </c>
      <c r="B12" s="5" t="s">
        <v>1120</v>
      </c>
      <c r="C12" s="558"/>
      <c r="E12" s="521">
        <v>3</v>
      </c>
      <c r="F12" s="531">
        <f t="shared" si="0"/>
        <v>0</v>
      </c>
      <c r="G12" s="521"/>
      <c r="H12" s="521"/>
      <c r="I12" s="521"/>
      <c r="J12" s="521"/>
      <c r="K12" s="521"/>
      <c r="L12" s="521"/>
      <c r="M12" s="521"/>
      <c r="N12" s="521"/>
      <c r="O12" s="521"/>
      <c r="P12" s="521"/>
      <c r="Q12" s="521"/>
      <c r="R12" s="521"/>
      <c r="S12" s="521"/>
      <c r="T12" s="521"/>
      <c r="U12" s="521"/>
    </row>
    <row r="13" spans="1:38" ht="16.5">
      <c r="A13" s="115">
        <v>11</v>
      </c>
      <c r="B13" s="5" t="s">
        <v>1121</v>
      </c>
      <c r="C13" s="558"/>
      <c r="E13" s="521">
        <v>4</v>
      </c>
      <c r="F13" s="531">
        <f t="shared" si="0"/>
        <v>0</v>
      </c>
      <c r="G13" s="521"/>
      <c r="H13" s="521"/>
      <c r="I13" s="521"/>
      <c r="J13" s="521"/>
      <c r="K13" s="521"/>
      <c r="L13" s="521"/>
      <c r="M13" s="521"/>
      <c r="N13" s="521"/>
      <c r="O13" s="521"/>
      <c r="P13" s="521"/>
      <c r="Q13" s="521"/>
      <c r="R13" s="521"/>
      <c r="S13" s="521"/>
      <c r="T13" s="521"/>
      <c r="U13" s="521"/>
    </row>
    <row r="14" spans="1:38" ht="16.5">
      <c r="A14" s="115">
        <v>12</v>
      </c>
      <c r="B14" s="5" t="s">
        <v>1122</v>
      </c>
      <c r="C14" s="558"/>
      <c r="E14" s="521">
        <v>5</v>
      </c>
      <c r="F14" s="531">
        <f t="shared" si="0"/>
        <v>0</v>
      </c>
      <c r="G14" s="521"/>
      <c r="H14" s="521"/>
      <c r="I14" s="521"/>
      <c r="J14" s="521"/>
      <c r="K14" s="521"/>
      <c r="L14" s="521"/>
      <c r="M14" s="521"/>
      <c r="N14" s="521"/>
      <c r="O14" s="521"/>
      <c r="P14" s="521"/>
      <c r="Q14" s="521"/>
      <c r="R14" s="521"/>
      <c r="S14" s="521"/>
      <c r="T14" s="521"/>
      <c r="U14" s="521"/>
    </row>
    <row r="15" spans="1:38" ht="16.5">
      <c r="A15" s="115">
        <v>13</v>
      </c>
      <c r="B15" s="5" t="s">
        <v>1123</v>
      </c>
      <c r="C15" s="558"/>
      <c r="E15" s="521">
        <v>6</v>
      </c>
      <c r="F15" s="531">
        <f t="shared" si="0"/>
        <v>0</v>
      </c>
      <c r="G15" s="521"/>
      <c r="H15" s="521"/>
      <c r="I15" s="521"/>
      <c r="J15" s="521"/>
      <c r="K15" s="521"/>
      <c r="L15" s="521"/>
      <c r="M15" s="521"/>
      <c r="N15" s="521"/>
      <c r="O15" s="521"/>
      <c r="P15" s="521"/>
      <c r="Q15" s="521"/>
      <c r="R15" s="521"/>
      <c r="S15" s="521"/>
      <c r="T15" s="521"/>
      <c r="U15" s="521"/>
    </row>
    <row r="16" spans="1:38" ht="16.5">
      <c r="A16" s="115">
        <v>14</v>
      </c>
      <c r="B16" s="5" t="s">
        <v>1124</v>
      </c>
      <c r="C16" s="8">
        <v>232323</v>
      </c>
      <c r="E16" s="521">
        <v>7</v>
      </c>
      <c r="F16" s="531">
        <f t="shared" si="0"/>
        <v>0</v>
      </c>
      <c r="G16" s="521"/>
      <c r="H16" s="521"/>
      <c r="I16" s="521"/>
      <c r="J16" s="521"/>
      <c r="K16" s="521"/>
      <c r="L16" s="521"/>
      <c r="M16" s="521"/>
      <c r="N16" s="521"/>
      <c r="O16" s="521"/>
      <c r="P16" s="521"/>
      <c r="Q16" s="521"/>
      <c r="R16" s="521"/>
      <c r="S16" s="521"/>
      <c r="T16" s="521"/>
      <c r="U16" s="521"/>
    </row>
    <row r="17" spans="1:21" ht="13.5">
      <c r="A17" s="115">
        <v>15</v>
      </c>
      <c r="E17" s="521">
        <v>8</v>
      </c>
      <c r="F17" s="531">
        <f t="shared" si="0"/>
        <v>0</v>
      </c>
      <c r="G17" s="521"/>
      <c r="H17" s="521"/>
      <c r="I17" s="521"/>
      <c r="J17" s="521"/>
      <c r="K17" s="521"/>
      <c r="L17" s="521"/>
      <c r="M17" s="521"/>
      <c r="N17" s="521"/>
      <c r="O17" s="521"/>
      <c r="P17" s="521"/>
      <c r="Q17" s="521"/>
      <c r="R17" s="521"/>
      <c r="S17" s="521"/>
      <c r="T17" s="521"/>
      <c r="U17" s="521"/>
    </row>
    <row r="18" spans="1:21" ht="25.15">
      <c r="A18" s="115">
        <v>16</v>
      </c>
      <c r="B18" s="557" t="s">
        <v>1125</v>
      </c>
      <c r="E18" s="521">
        <v>9</v>
      </c>
      <c r="F18" s="531">
        <f t="shared" si="0"/>
        <v>0</v>
      </c>
      <c r="G18" s="521"/>
      <c r="H18" s="521"/>
      <c r="I18" s="521"/>
      <c r="J18" s="521"/>
      <c r="K18" s="521"/>
      <c r="L18" s="521"/>
      <c r="M18" s="521"/>
      <c r="N18" s="521"/>
      <c r="O18" s="521"/>
      <c r="P18" s="521"/>
      <c r="Q18" s="521"/>
      <c r="R18" s="521"/>
      <c r="S18" s="521"/>
      <c r="T18" s="521"/>
      <c r="U18" s="521"/>
    </row>
    <row r="19" spans="1:21" ht="16.5">
      <c r="A19" s="115">
        <v>17</v>
      </c>
      <c r="B19" s="559" t="s">
        <v>105</v>
      </c>
      <c r="E19" s="521">
        <v>10</v>
      </c>
      <c r="F19" s="531">
        <f t="shared" si="0"/>
        <v>0</v>
      </c>
      <c r="G19" s="521"/>
      <c r="H19" s="521"/>
      <c r="I19" s="521"/>
      <c r="J19" s="521"/>
      <c r="K19" s="521"/>
      <c r="L19" s="521"/>
      <c r="M19" s="521"/>
      <c r="N19" s="521"/>
      <c r="O19" s="521"/>
      <c r="P19" s="521"/>
      <c r="Q19" s="521"/>
      <c r="R19" s="521"/>
      <c r="S19" s="521"/>
      <c r="T19" s="521"/>
      <c r="U19" s="521"/>
    </row>
    <row r="20" spans="1:21" ht="13.5">
      <c r="A20" s="115">
        <v>18</v>
      </c>
      <c r="B20" s="552"/>
      <c r="E20" s="521">
        <v>11</v>
      </c>
      <c r="F20" s="531">
        <f t="shared" si="0"/>
        <v>0</v>
      </c>
      <c r="G20" s="521"/>
      <c r="H20" s="521"/>
      <c r="I20" s="521"/>
      <c r="J20" s="521"/>
      <c r="K20" s="521"/>
      <c r="L20" s="521"/>
      <c r="M20" s="521"/>
      <c r="N20" s="521"/>
      <c r="O20" s="521"/>
      <c r="P20" s="521"/>
      <c r="Q20" s="521"/>
      <c r="R20" s="521"/>
      <c r="S20" s="521"/>
      <c r="T20" s="521"/>
      <c r="U20" s="521"/>
    </row>
    <row r="21" spans="1:21" ht="13.5">
      <c r="A21" s="115">
        <v>19</v>
      </c>
      <c r="B21" s="552"/>
      <c r="E21" s="521">
        <v>12</v>
      </c>
      <c r="F21" s="531">
        <f t="shared" si="0"/>
        <v>0</v>
      </c>
      <c r="G21" s="521"/>
      <c r="H21" s="521"/>
      <c r="I21" s="521"/>
      <c r="J21" s="521"/>
      <c r="K21" s="521"/>
      <c r="L21" s="521"/>
      <c r="M21" s="521"/>
      <c r="N21" s="521"/>
      <c r="O21" s="521"/>
      <c r="P21" s="521"/>
      <c r="Q21" s="521"/>
      <c r="R21" s="521"/>
      <c r="S21" s="521"/>
      <c r="T21" s="521"/>
      <c r="U21" s="521"/>
    </row>
    <row r="22" spans="1:21" ht="13.5">
      <c r="A22" s="115">
        <v>20</v>
      </c>
      <c r="B22" s="552"/>
      <c r="E22" s="521">
        <v>13</v>
      </c>
      <c r="F22" s="531">
        <f t="shared" si="0"/>
        <v>0</v>
      </c>
      <c r="G22" s="521"/>
      <c r="H22" s="521"/>
      <c r="I22" s="521"/>
      <c r="J22" s="521"/>
      <c r="K22" s="521"/>
      <c r="L22" s="521"/>
      <c r="M22" s="521"/>
      <c r="N22" s="521"/>
      <c r="O22" s="521"/>
      <c r="P22" s="521"/>
      <c r="Q22" s="521"/>
      <c r="R22" s="521"/>
      <c r="S22" s="521"/>
      <c r="T22" s="521"/>
      <c r="U22" s="521"/>
    </row>
    <row r="23" spans="1:21" ht="13.5">
      <c r="A23" s="115">
        <v>21</v>
      </c>
      <c r="B23" s="552"/>
      <c r="E23" s="521">
        <v>14</v>
      </c>
      <c r="F23" s="531">
        <f t="shared" si="0"/>
        <v>0</v>
      </c>
      <c r="G23" s="521"/>
      <c r="H23" s="521"/>
      <c r="I23" s="521"/>
      <c r="J23" s="521"/>
      <c r="K23" s="521"/>
      <c r="L23" s="521"/>
      <c r="M23" s="521"/>
      <c r="N23" s="521"/>
      <c r="O23" s="521"/>
      <c r="P23" s="521"/>
      <c r="Q23" s="521"/>
      <c r="R23" s="521"/>
      <c r="S23" s="521"/>
      <c r="T23" s="521"/>
      <c r="U23" s="521"/>
    </row>
    <row r="24" spans="1:21" ht="13.5">
      <c r="A24" s="115">
        <v>22</v>
      </c>
      <c r="B24" s="552"/>
      <c r="E24" s="521">
        <v>15</v>
      </c>
      <c r="F24" s="531">
        <f t="shared" si="0"/>
        <v>0</v>
      </c>
      <c r="G24" s="521"/>
      <c r="H24" s="521"/>
      <c r="I24" s="521"/>
      <c r="J24" s="521"/>
      <c r="K24" s="521"/>
      <c r="L24" s="521"/>
      <c r="M24" s="521"/>
      <c r="N24" s="521"/>
      <c r="O24" s="521"/>
      <c r="P24" s="521"/>
      <c r="Q24" s="521"/>
      <c r="R24" s="521"/>
      <c r="S24" s="521"/>
      <c r="T24" s="521"/>
      <c r="U24" s="521"/>
    </row>
    <row r="25" spans="1:21" ht="13.5">
      <c r="A25" s="115">
        <v>23</v>
      </c>
      <c r="B25" s="552"/>
      <c r="E25" s="1158" t="s">
        <v>1126</v>
      </c>
      <c r="F25" s="1158"/>
      <c r="G25" s="1158"/>
      <c r="H25" s="1158"/>
      <c r="I25" s="1158"/>
      <c r="J25" s="1158"/>
      <c r="K25" s="1158"/>
      <c r="L25" s="1158"/>
      <c r="M25" s="1158"/>
      <c r="N25" s="1158"/>
      <c r="O25" s="1158"/>
      <c r="P25" s="1158"/>
      <c r="Q25" s="1158"/>
      <c r="R25" s="1158"/>
      <c r="S25" s="1158"/>
      <c r="T25" s="1158"/>
      <c r="U25" s="1158"/>
    </row>
    <row r="26" spans="1:21" ht="13.5">
      <c r="A26" s="115">
        <v>24</v>
      </c>
      <c r="B26" s="552"/>
      <c r="E26" s="1159" t="str">
        <f>"담당자 확인 :"&amp;C16&amp;"(인)"</f>
        <v>담당자 확인 :232323(인)</v>
      </c>
      <c r="F26" s="1159"/>
      <c r="G26" s="1159"/>
      <c r="H26" s="1159"/>
      <c r="I26" s="1159"/>
      <c r="J26" s="1159"/>
      <c r="K26" s="1159"/>
      <c r="L26" s="1159"/>
      <c r="M26" s="1159"/>
      <c r="N26" s="1159"/>
      <c r="O26" s="1159"/>
      <c r="P26" s="1159"/>
      <c r="Q26" s="1159"/>
      <c r="R26" s="1159"/>
      <c r="S26" s="1159"/>
      <c r="T26" s="1159"/>
      <c r="U26" s="1159"/>
    </row>
    <row r="27" spans="1:21" ht="13.5">
      <c r="A27" s="115">
        <v>25</v>
      </c>
      <c r="B27" s="552"/>
    </row>
    <row r="28" spans="1:21" ht="13.5">
      <c r="A28" s="115">
        <v>26</v>
      </c>
      <c r="B28" s="552"/>
    </row>
    <row r="29" spans="1:21" ht="13.5">
      <c r="A29" s="115">
        <v>27</v>
      </c>
      <c r="B29" s="552"/>
    </row>
    <row r="30" spans="1:21" ht="13.5">
      <c r="A30" s="115">
        <v>28</v>
      </c>
      <c r="B30" s="552"/>
    </row>
    <row r="31" spans="1:21" ht="13.5">
      <c r="A31" s="115">
        <v>29</v>
      </c>
      <c r="B31" s="552"/>
    </row>
    <row r="32" spans="1:21" ht="13.5">
      <c r="A32" s="115">
        <v>30</v>
      </c>
      <c r="B32" s="552"/>
    </row>
    <row r="33" spans="1:21" ht="13.5">
      <c r="A33" s="115">
        <v>31</v>
      </c>
      <c r="B33" s="552"/>
    </row>
    <row r="34" spans="1:21" ht="13.5">
      <c r="A34" s="115">
        <v>32</v>
      </c>
      <c r="B34" s="552"/>
    </row>
    <row r="35" spans="1:21" ht="13.5">
      <c r="A35" s="115">
        <v>33</v>
      </c>
    </row>
    <row r="36" spans="1:21" ht="13.5">
      <c r="A36" s="115">
        <v>34</v>
      </c>
    </row>
    <row r="37" spans="1:21" ht="25.15">
      <c r="A37" s="115">
        <v>35</v>
      </c>
      <c r="B37" s="1151" t="s">
        <v>1127</v>
      </c>
      <c r="C37" s="1153"/>
      <c r="E37" s="1157" t="s">
        <v>1128</v>
      </c>
      <c r="F37" s="1157"/>
      <c r="G37" s="1157"/>
      <c r="H37" s="1157"/>
      <c r="I37" s="1157"/>
      <c r="J37" s="1157"/>
      <c r="K37" s="1157"/>
      <c r="L37" s="1157"/>
      <c r="M37" s="1157"/>
      <c r="N37" s="1157"/>
      <c r="O37" s="1157"/>
      <c r="P37" s="1157"/>
      <c r="Q37" s="1157"/>
      <c r="R37" s="1157"/>
      <c r="S37" s="1157"/>
      <c r="T37" s="1157"/>
      <c r="U37" s="1157"/>
    </row>
    <row r="38" spans="1:21" ht="22.15">
      <c r="A38" s="115">
        <v>36</v>
      </c>
      <c r="B38" s="5" t="s">
        <v>1088</v>
      </c>
      <c r="C38" s="8"/>
      <c r="E38" s="1161" t="s">
        <v>1129</v>
      </c>
      <c r="F38" s="1162"/>
      <c r="G38" s="1162"/>
      <c r="H38" s="1162"/>
      <c r="I38" s="1162"/>
      <c r="J38" s="1162"/>
      <c r="K38" s="1162"/>
      <c r="L38" s="1162"/>
      <c r="M38" s="1162"/>
      <c r="N38" s="1162"/>
      <c r="O38" s="1162"/>
      <c r="P38" s="1162"/>
      <c r="Q38" s="1162"/>
      <c r="R38" s="1162"/>
      <c r="S38" s="1162"/>
      <c r="T38" s="1162"/>
      <c r="U38" s="1162"/>
    </row>
    <row r="39" spans="1:21" ht="16.5">
      <c r="A39" s="115">
        <v>37</v>
      </c>
      <c r="B39" s="5" t="s">
        <v>1090</v>
      </c>
      <c r="C39" s="8"/>
      <c r="E39" s="554" t="s">
        <v>1091</v>
      </c>
      <c r="F39" s="847">
        <f>C38</f>
        <v>0</v>
      </c>
      <c r="G39" s="1163"/>
      <c r="H39" s="1163"/>
      <c r="I39" s="1163"/>
      <c r="J39" s="1163"/>
      <c r="K39" s="1163"/>
      <c r="L39" s="848"/>
      <c r="M39" s="554" t="s">
        <v>1092</v>
      </c>
      <c r="N39" s="847">
        <f>C39</f>
        <v>0</v>
      </c>
      <c r="O39" s="1163"/>
      <c r="P39" s="1163"/>
      <c r="Q39" s="1163"/>
      <c r="R39" s="1163"/>
      <c r="S39" s="1163"/>
      <c r="T39" s="1163"/>
      <c r="U39" s="848"/>
    </row>
    <row r="40" spans="1:21" ht="16.5">
      <c r="A40" s="115">
        <v>38</v>
      </c>
      <c r="B40" s="5" t="s">
        <v>1093</v>
      </c>
      <c r="C40" s="8"/>
      <c r="E40" s="554" t="s">
        <v>1094</v>
      </c>
      <c r="F40" s="847">
        <f>C40</f>
        <v>0</v>
      </c>
      <c r="G40" s="1163"/>
      <c r="H40" s="1163"/>
      <c r="I40" s="1163"/>
      <c r="J40" s="1163"/>
      <c r="K40" s="1163"/>
      <c r="L40" s="848"/>
      <c r="M40" s="554" t="s">
        <v>1095</v>
      </c>
      <c r="N40" s="1164" t="str">
        <f>C41&amp;"(09:00~18:00) / 총" &amp;C42&amp;"시간"</f>
        <v>12~13(09:00~18:00) / 총12시간</v>
      </c>
      <c r="O40" s="1165"/>
      <c r="P40" s="1165"/>
      <c r="Q40" s="1165"/>
      <c r="R40" s="1165"/>
      <c r="S40" s="1165"/>
      <c r="T40" s="1165"/>
      <c r="U40" s="1166"/>
    </row>
    <row r="41" spans="1:21" ht="16.5">
      <c r="A41" s="115">
        <v>39</v>
      </c>
      <c r="B41" s="5" t="s">
        <v>1096</v>
      </c>
      <c r="C41" s="8" t="s">
        <v>1085</v>
      </c>
      <c r="E41" s="554" t="s">
        <v>1097</v>
      </c>
      <c r="F41" s="1164">
        <f>C43</f>
        <v>0</v>
      </c>
      <c r="G41" s="1165"/>
      <c r="H41" s="1165"/>
      <c r="I41" s="1166"/>
      <c r="J41" s="1164" t="s">
        <v>1098</v>
      </c>
      <c r="K41" s="1165"/>
      <c r="L41" s="1166"/>
      <c r="M41" s="554" t="s">
        <v>1099</v>
      </c>
      <c r="N41" s="1164" t="str">
        <f>"집체교육 ("&amp;C44&amp;") 시간 / 온라인교육 ("&amp;C45&amp;") 시간"</f>
        <v>집체교육 (111) 시간 / 온라인교육 (222) 시간</v>
      </c>
      <c r="O41" s="1165"/>
      <c r="P41" s="1165"/>
      <c r="Q41" s="1165"/>
      <c r="R41" s="1165"/>
      <c r="S41" s="1165"/>
      <c r="T41" s="1165"/>
      <c r="U41" s="1166"/>
    </row>
    <row r="42" spans="1:21" ht="16.5">
      <c r="A42" s="115">
        <v>40</v>
      </c>
      <c r="B42" s="5" t="s">
        <v>1100</v>
      </c>
      <c r="C42" s="8">
        <v>12</v>
      </c>
      <c r="E42" s="1154" t="s">
        <v>1101</v>
      </c>
      <c r="F42" s="530" t="s">
        <v>1102</v>
      </c>
      <c r="G42" s="1155">
        <f>C46</f>
        <v>0</v>
      </c>
      <c r="H42" s="1156"/>
      <c r="I42" s="1155">
        <f>C47</f>
        <v>0</v>
      </c>
      <c r="J42" s="1160"/>
      <c r="K42" s="1155">
        <f>C48</f>
        <v>0</v>
      </c>
      <c r="L42" s="1160"/>
      <c r="M42" s="1155">
        <f>C49</f>
        <v>0</v>
      </c>
      <c r="N42" s="1160"/>
      <c r="O42" s="1155">
        <f>C50</f>
        <v>0</v>
      </c>
      <c r="P42" s="1160"/>
      <c r="Q42" s="555" t="s">
        <v>1103</v>
      </c>
      <c r="R42" s="555" t="s">
        <v>1104</v>
      </c>
      <c r="S42" s="555" t="s">
        <v>1105</v>
      </c>
      <c r="T42" s="555" t="s">
        <v>1106</v>
      </c>
      <c r="U42" s="555" t="s">
        <v>1107</v>
      </c>
    </row>
    <row r="43" spans="1:21" ht="16.5">
      <c r="A43" s="115">
        <v>41</v>
      </c>
      <c r="B43" s="5" t="s">
        <v>1108</v>
      </c>
      <c r="C43" s="8"/>
      <c r="E43" s="1154"/>
      <c r="F43" s="529" t="s">
        <v>1109</v>
      </c>
      <c r="G43" s="521" t="s">
        <v>1110</v>
      </c>
      <c r="H43" s="521" t="s">
        <v>1111</v>
      </c>
      <c r="I43" s="521" t="s">
        <v>1110</v>
      </c>
      <c r="J43" s="521" t="s">
        <v>1111</v>
      </c>
      <c r="K43" s="521" t="s">
        <v>1110</v>
      </c>
      <c r="L43" s="521" t="s">
        <v>1111</v>
      </c>
      <c r="M43" s="521" t="s">
        <v>1110</v>
      </c>
      <c r="N43" s="521" t="s">
        <v>1111</v>
      </c>
      <c r="O43" s="521" t="s">
        <v>1110</v>
      </c>
      <c r="P43" s="521" t="s">
        <v>1111</v>
      </c>
      <c r="Q43" s="555" t="s">
        <v>1112</v>
      </c>
      <c r="R43" s="555" t="s">
        <v>1112</v>
      </c>
      <c r="S43" s="555" t="s">
        <v>1113</v>
      </c>
      <c r="T43" s="555" t="s">
        <v>1114</v>
      </c>
      <c r="U43" s="555" t="s">
        <v>1115</v>
      </c>
    </row>
    <row r="44" spans="1:21" ht="16.5">
      <c r="A44" s="115">
        <v>42</v>
      </c>
      <c r="B44" s="5" t="s">
        <v>1116</v>
      </c>
      <c r="C44" s="8">
        <v>111</v>
      </c>
      <c r="E44" s="842"/>
      <c r="F44" s="556" t="s">
        <v>1117</v>
      </c>
      <c r="G44" s="521"/>
      <c r="H44" s="521"/>
      <c r="I44" s="521"/>
      <c r="J44" s="521"/>
      <c r="K44" s="521"/>
      <c r="L44" s="521"/>
      <c r="M44" s="521"/>
      <c r="N44" s="521"/>
      <c r="O44" s="521"/>
      <c r="P44" s="521"/>
      <c r="Q44" s="534"/>
      <c r="R44" s="534"/>
      <c r="S44" s="534"/>
      <c r="T44" s="534"/>
      <c r="U44" s="534"/>
    </row>
    <row r="45" spans="1:21" ht="16.5">
      <c r="A45" s="115">
        <v>43</v>
      </c>
      <c r="B45" s="5" t="s">
        <v>1118</v>
      </c>
      <c r="C45" s="8">
        <v>222</v>
      </c>
      <c r="E45" s="521">
        <v>1</v>
      </c>
      <c r="F45" s="531">
        <f>B55</f>
        <v>0</v>
      </c>
      <c r="G45" s="521"/>
      <c r="H45" s="522"/>
      <c r="I45" s="522"/>
      <c r="J45" s="522"/>
      <c r="K45" s="522"/>
      <c r="L45" s="522"/>
      <c r="M45" s="522"/>
      <c r="N45" s="522"/>
      <c r="O45" s="522"/>
      <c r="P45" s="522"/>
      <c r="Q45" s="521"/>
      <c r="R45" s="521"/>
      <c r="S45" s="521"/>
      <c r="T45" s="521"/>
      <c r="U45" s="521"/>
    </row>
    <row r="46" spans="1:21" ht="16.5">
      <c r="A46" s="115">
        <v>44</v>
      </c>
      <c r="B46" s="5" t="s">
        <v>1119</v>
      </c>
      <c r="C46" s="558"/>
      <c r="E46" s="521">
        <v>2</v>
      </c>
      <c r="F46" s="531">
        <f t="shared" ref="F46:F59" si="1">B56</f>
        <v>0</v>
      </c>
      <c r="G46" s="521"/>
      <c r="H46" s="521"/>
      <c r="I46" s="521"/>
      <c r="J46" s="521"/>
      <c r="K46" s="521"/>
      <c r="L46" s="521"/>
      <c r="M46" s="521"/>
      <c r="N46" s="521"/>
      <c r="O46" s="521"/>
      <c r="P46" s="521"/>
      <c r="Q46" s="521"/>
      <c r="R46" s="521"/>
      <c r="S46" s="521"/>
      <c r="T46" s="521"/>
      <c r="U46" s="521"/>
    </row>
    <row r="47" spans="1:21" ht="16.5">
      <c r="A47" s="115">
        <v>45</v>
      </c>
      <c r="B47" s="5" t="s">
        <v>1120</v>
      </c>
      <c r="C47" s="558"/>
      <c r="E47" s="521">
        <v>3</v>
      </c>
      <c r="F47" s="531">
        <f t="shared" si="1"/>
        <v>0</v>
      </c>
      <c r="G47" s="521"/>
      <c r="H47" s="521"/>
      <c r="I47" s="521"/>
      <c r="J47" s="521"/>
      <c r="K47" s="521"/>
      <c r="L47" s="521"/>
      <c r="M47" s="521"/>
      <c r="N47" s="521"/>
      <c r="O47" s="521"/>
      <c r="P47" s="521"/>
      <c r="Q47" s="521"/>
      <c r="R47" s="521"/>
      <c r="S47" s="521"/>
      <c r="T47" s="521"/>
      <c r="U47" s="521"/>
    </row>
    <row r="48" spans="1:21" ht="16.5">
      <c r="A48" s="115">
        <v>46</v>
      </c>
      <c r="B48" s="5" t="s">
        <v>1121</v>
      </c>
      <c r="C48" s="558"/>
      <c r="E48" s="521">
        <v>4</v>
      </c>
      <c r="F48" s="531">
        <f t="shared" si="1"/>
        <v>0</v>
      </c>
      <c r="G48" s="521"/>
      <c r="H48" s="521"/>
      <c r="I48" s="521"/>
      <c r="J48" s="521"/>
      <c r="K48" s="521"/>
      <c r="L48" s="521"/>
      <c r="M48" s="521"/>
      <c r="N48" s="521"/>
      <c r="O48" s="521"/>
      <c r="P48" s="521"/>
      <c r="Q48" s="521"/>
      <c r="R48" s="521"/>
      <c r="S48" s="521"/>
      <c r="T48" s="521"/>
      <c r="U48" s="521"/>
    </row>
    <row r="49" spans="1:21" ht="16.5">
      <c r="A49" s="115">
        <v>47</v>
      </c>
      <c r="B49" s="5" t="s">
        <v>1122</v>
      </c>
      <c r="C49" s="558"/>
      <c r="E49" s="521">
        <v>5</v>
      </c>
      <c r="F49" s="531">
        <f t="shared" si="1"/>
        <v>0</v>
      </c>
      <c r="G49" s="521"/>
      <c r="H49" s="521"/>
      <c r="I49" s="521"/>
      <c r="J49" s="521"/>
      <c r="K49" s="521"/>
      <c r="L49" s="521"/>
      <c r="M49" s="521"/>
      <c r="N49" s="521"/>
      <c r="O49" s="521"/>
      <c r="P49" s="521"/>
      <c r="Q49" s="521"/>
      <c r="R49" s="521"/>
      <c r="S49" s="521"/>
      <c r="T49" s="521"/>
      <c r="U49" s="521"/>
    </row>
    <row r="50" spans="1:21" ht="16.5">
      <c r="A50" s="115">
        <v>48</v>
      </c>
      <c r="B50" s="5" t="s">
        <v>1123</v>
      </c>
      <c r="C50" s="558"/>
      <c r="E50" s="521">
        <v>6</v>
      </c>
      <c r="F50" s="531">
        <f t="shared" si="1"/>
        <v>0</v>
      </c>
      <c r="G50" s="521"/>
      <c r="H50" s="521"/>
      <c r="I50" s="521"/>
      <c r="J50" s="521"/>
      <c r="K50" s="521"/>
      <c r="L50" s="521"/>
      <c r="M50" s="521"/>
      <c r="N50" s="521"/>
      <c r="O50" s="521"/>
      <c r="P50" s="521"/>
      <c r="Q50" s="521"/>
      <c r="R50" s="521"/>
      <c r="S50" s="521"/>
      <c r="T50" s="521"/>
      <c r="U50" s="521"/>
    </row>
    <row r="51" spans="1:21" ht="16.5">
      <c r="A51" s="115">
        <v>49</v>
      </c>
      <c r="B51" s="5" t="s">
        <v>1124</v>
      </c>
      <c r="C51" s="8">
        <v>333333</v>
      </c>
      <c r="E51" s="521">
        <v>7</v>
      </c>
      <c r="F51" s="531">
        <f t="shared" si="1"/>
        <v>0</v>
      </c>
      <c r="G51" s="521"/>
      <c r="H51" s="521"/>
      <c r="I51" s="521"/>
      <c r="J51" s="521"/>
      <c r="K51" s="521"/>
      <c r="L51" s="521"/>
      <c r="M51" s="521"/>
      <c r="N51" s="521"/>
      <c r="O51" s="521"/>
      <c r="P51" s="521"/>
      <c r="Q51" s="521"/>
      <c r="R51" s="521"/>
      <c r="S51" s="521"/>
      <c r="T51" s="521"/>
      <c r="U51" s="521"/>
    </row>
    <row r="52" spans="1:21" ht="13.5">
      <c r="A52" s="335">
        <v>50</v>
      </c>
      <c r="E52" s="521">
        <v>8</v>
      </c>
      <c r="F52" s="531">
        <f t="shared" si="1"/>
        <v>0</v>
      </c>
      <c r="G52" s="521"/>
      <c r="H52" s="521"/>
      <c r="I52" s="521"/>
      <c r="J52" s="521"/>
      <c r="K52" s="521"/>
      <c r="L52" s="521"/>
      <c r="M52" s="521"/>
      <c r="N52" s="521"/>
      <c r="O52" s="521"/>
      <c r="P52" s="521"/>
      <c r="Q52" s="521"/>
      <c r="R52" s="521"/>
      <c r="S52" s="521"/>
      <c r="T52" s="521"/>
      <c r="U52" s="521"/>
    </row>
    <row r="53" spans="1:21" ht="25.15">
      <c r="A53" s="335">
        <v>51</v>
      </c>
      <c r="B53" s="557" t="s">
        <v>1125</v>
      </c>
      <c r="E53" s="521">
        <v>9</v>
      </c>
      <c r="F53" s="531">
        <f t="shared" si="1"/>
        <v>0</v>
      </c>
      <c r="G53" s="521"/>
      <c r="H53" s="521"/>
      <c r="I53" s="521"/>
      <c r="J53" s="521"/>
      <c r="K53" s="521"/>
      <c r="L53" s="521"/>
      <c r="M53" s="521"/>
      <c r="N53" s="521"/>
      <c r="O53" s="521"/>
      <c r="P53" s="521"/>
      <c r="Q53" s="521"/>
      <c r="R53" s="521"/>
      <c r="S53" s="521"/>
      <c r="T53" s="521"/>
      <c r="U53" s="521"/>
    </row>
    <row r="54" spans="1:21" ht="16.5">
      <c r="A54" s="335">
        <v>52</v>
      </c>
      <c r="B54" s="559" t="s">
        <v>105</v>
      </c>
      <c r="E54" s="521">
        <v>10</v>
      </c>
      <c r="F54" s="531">
        <f t="shared" si="1"/>
        <v>0</v>
      </c>
      <c r="G54" s="521"/>
      <c r="H54" s="521"/>
      <c r="I54" s="521"/>
      <c r="J54" s="521"/>
      <c r="K54" s="521"/>
      <c r="L54" s="521"/>
      <c r="M54" s="521"/>
      <c r="N54" s="521"/>
      <c r="O54" s="521"/>
      <c r="P54" s="521"/>
      <c r="Q54" s="521"/>
      <c r="R54" s="521"/>
      <c r="S54" s="521"/>
      <c r="T54" s="521"/>
      <c r="U54" s="521"/>
    </row>
    <row r="55" spans="1:21" ht="13.5">
      <c r="A55" s="335">
        <v>53</v>
      </c>
      <c r="B55" s="552"/>
      <c r="E55" s="521">
        <v>11</v>
      </c>
      <c r="F55" s="531">
        <f t="shared" si="1"/>
        <v>0</v>
      </c>
      <c r="G55" s="521"/>
      <c r="H55" s="521"/>
      <c r="I55" s="521"/>
      <c r="J55" s="521"/>
      <c r="K55" s="521"/>
      <c r="L55" s="521"/>
      <c r="M55" s="521"/>
      <c r="N55" s="521"/>
      <c r="O55" s="521"/>
      <c r="P55" s="521"/>
      <c r="Q55" s="521"/>
      <c r="R55" s="521"/>
      <c r="S55" s="521"/>
      <c r="T55" s="521"/>
      <c r="U55" s="521"/>
    </row>
    <row r="56" spans="1:21" ht="13.5">
      <c r="A56" s="335">
        <v>54</v>
      </c>
      <c r="B56" s="552"/>
      <c r="E56" s="521">
        <v>12</v>
      </c>
      <c r="F56" s="531">
        <f t="shared" si="1"/>
        <v>0</v>
      </c>
      <c r="G56" s="521"/>
      <c r="H56" s="521"/>
      <c r="I56" s="521"/>
      <c r="J56" s="521"/>
      <c r="K56" s="521"/>
      <c r="L56" s="521"/>
      <c r="M56" s="521"/>
      <c r="N56" s="521"/>
      <c r="O56" s="521"/>
      <c r="P56" s="521"/>
      <c r="Q56" s="521"/>
      <c r="R56" s="521"/>
      <c r="S56" s="521"/>
      <c r="T56" s="521"/>
      <c r="U56" s="521"/>
    </row>
    <row r="57" spans="1:21" ht="13.5">
      <c r="A57" s="335">
        <v>55</v>
      </c>
      <c r="B57" s="552"/>
      <c r="E57" s="521">
        <v>13</v>
      </c>
      <c r="F57" s="531">
        <f t="shared" si="1"/>
        <v>0</v>
      </c>
      <c r="G57" s="521"/>
      <c r="H57" s="521"/>
      <c r="I57" s="521"/>
      <c r="J57" s="521"/>
      <c r="K57" s="521"/>
      <c r="L57" s="521"/>
      <c r="M57" s="521"/>
      <c r="N57" s="521"/>
      <c r="O57" s="521"/>
      <c r="P57" s="521"/>
      <c r="Q57" s="521"/>
      <c r="R57" s="521"/>
      <c r="S57" s="521"/>
      <c r="T57" s="521"/>
      <c r="U57" s="521"/>
    </row>
    <row r="58" spans="1:21" ht="13.5">
      <c r="A58" s="335">
        <v>56</v>
      </c>
      <c r="B58" s="552"/>
      <c r="E58" s="521">
        <v>14</v>
      </c>
      <c r="F58" s="531">
        <f t="shared" si="1"/>
        <v>0</v>
      </c>
      <c r="G58" s="521"/>
      <c r="H58" s="521"/>
      <c r="I58" s="521"/>
      <c r="J58" s="521"/>
      <c r="K58" s="521"/>
      <c r="L58" s="521"/>
      <c r="M58" s="521"/>
      <c r="N58" s="521"/>
      <c r="O58" s="521"/>
      <c r="P58" s="521"/>
      <c r="Q58" s="521"/>
      <c r="R58" s="521"/>
      <c r="S58" s="521"/>
      <c r="T58" s="521"/>
      <c r="U58" s="521"/>
    </row>
    <row r="59" spans="1:21" ht="13.5">
      <c r="A59" s="335">
        <v>57</v>
      </c>
      <c r="B59" s="552"/>
      <c r="E59" s="521">
        <v>15</v>
      </c>
      <c r="F59" s="531">
        <f t="shared" si="1"/>
        <v>0</v>
      </c>
      <c r="G59" s="521"/>
      <c r="H59" s="521"/>
      <c r="I59" s="521"/>
      <c r="J59" s="521"/>
      <c r="K59" s="521"/>
      <c r="L59" s="521"/>
      <c r="M59" s="521"/>
      <c r="N59" s="521"/>
      <c r="O59" s="521"/>
      <c r="P59" s="521"/>
      <c r="Q59" s="521"/>
      <c r="R59" s="521"/>
      <c r="S59" s="521"/>
      <c r="T59" s="521"/>
      <c r="U59" s="521"/>
    </row>
    <row r="60" spans="1:21" ht="13.5">
      <c r="A60" s="335">
        <v>58</v>
      </c>
      <c r="B60" s="552"/>
      <c r="E60" s="1158" t="s">
        <v>1126</v>
      </c>
      <c r="F60" s="1158"/>
      <c r="G60" s="1158"/>
      <c r="H60" s="1158"/>
      <c r="I60" s="1158"/>
      <c r="J60" s="1158"/>
      <c r="K60" s="1158"/>
      <c r="L60" s="1158"/>
      <c r="M60" s="1158"/>
      <c r="N60" s="1158"/>
      <c r="O60" s="1158"/>
      <c r="P60" s="1158"/>
      <c r="Q60" s="1158"/>
      <c r="R60" s="1158"/>
      <c r="S60" s="1158"/>
      <c r="T60" s="1158"/>
      <c r="U60" s="1158"/>
    </row>
    <row r="61" spans="1:21" ht="13.5">
      <c r="A61" s="335">
        <v>59</v>
      </c>
      <c r="B61" s="552"/>
      <c r="E61" s="1159" t="str">
        <f>"담당자 확인 :"&amp;C51&amp;"(인)"</f>
        <v>담당자 확인 :333333(인)</v>
      </c>
      <c r="F61" s="1159"/>
      <c r="G61" s="1159"/>
      <c r="H61" s="1159"/>
      <c r="I61" s="1159"/>
      <c r="J61" s="1159"/>
      <c r="K61" s="1159"/>
      <c r="L61" s="1159"/>
      <c r="M61" s="1159"/>
      <c r="N61" s="1159"/>
      <c r="O61" s="1159"/>
      <c r="P61" s="1159"/>
      <c r="Q61" s="1159"/>
      <c r="R61" s="1159"/>
      <c r="S61" s="1159"/>
      <c r="T61" s="1159"/>
      <c r="U61" s="1159"/>
    </row>
    <row r="62" spans="1:21" ht="13.5">
      <c r="A62" s="335">
        <v>60</v>
      </c>
      <c r="B62" s="552"/>
    </row>
    <row r="63" spans="1:21" ht="13.5">
      <c r="A63" s="335">
        <v>61</v>
      </c>
      <c r="B63" s="552"/>
    </row>
    <row r="64" spans="1:21" ht="13.5">
      <c r="A64" s="335">
        <v>62</v>
      </c>
      <c r="B64" s="552"/>
    </row>
    <row r="65" spans="1:2" ht="13.5">
      <c r="A65" s="335">
        <v>63</v>
      </c>
      <c r="B65" s="552"/>
    </row>
    <row r="66" spans="1:2" ht="13.5">
      <c r="A66" s="335">
        <v>64</v>
      </c>
      <c r="B66" s="552"/>
    </row>
    <row r="67" spans="1:2" ht="13.5">
      <c r="A67" s="335">
        <v>65</v>
      </c>
      <c r="B67" s="552"/>
    </row>
    <row r="68" spans="1:2" ht="13.5">
      <c r="A68" s="335">
        <v>66</v>
      </c>
      <c r="B68" s="552"/>
    </row>
    <row r="69" spans="1:2" ht="13.5">
      <c r="A69" s="335">
        <v>67</v>
      </c>
      <c r="B69" s="552"/>
    </row>
  </sheetData>
  <mergeCells count="36">
    <mergeCell ref="E61:U61"/>
    <mergeCell ref="E60:U60"/>
    <mergeCell ref="E38:U38"/>
    <mergeCell ref="F40:L40"/>
    <mergeCell ref="F41:I41"/>
    <mergeCell ref="J41:L41"/>
    <mergeCell ref="N41:U41"/>
    <mergeCell ref="E42:E44"/>
    <mergeCell ref="G42:H42"/>
    <mergeCell ref="I42:J42"/>
    <mergeCell ref="K42:L42"/>
    <mergeCell ref="M42:N42"/>
    <mergeCell ref="O42:P42"/>
    <mergeCell ref="N4:U4"/>
    <mergeCell ref="E37:U37"/>
    <mergeCell ref="F39:L39"/>
    <mergeCell ref="N39:U39"/>
    <mergeCell ref="N40:U40"/>
    <mergeCell ref="N5:U5"/>
    <mergeCell ref="N6:U6"/>
    <mergeCell ref="B2:C2"/>
    <mergeCell ref="B37:C37"/>
    <mergeCell ref="E7:E9"/>
    <mergeCell ref="G7:H7"/>
    <mergeCell ref="E2:U2"/>
    <mergeCell ref="E25:U25"/>
    <mergeCell ref="E26:U26"/>
    <mergeCell ref="I7:J7"/>
    <mergeCell ref="K7:L7"/>
    <mergeCell ref="M7:N7"/>
    <mergeCell ref="O7:P7"/>
    <mergeCell ref="E3:U3"/>
    <mergeCell ref="F5:L5"/>
    <mergeCell ref="F4:L4"/>
    <mergeCell ref="J6:L6"/>
    <mergeCell ref="F6:I6"/>
  </mergeCells>
  <phoneticPr fontId="1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47C57-FB10-42A4-9FB8-576BE92A9DE8}">
  <sheetPr codeName="Sheet24">
    <tabColor theme="5" tint="0.79998168889431442"/>
  </sheetPr>
  <dimension ref="A1:L90"/>
  <sheetViews>
    <sheetView workbookViewId="0"/>
    <sheetView workbookViewId="1"/>
  </sheetViews>
  <sheetFormatPr defaultColWidth="9.1328125" defaultRowHeight="12.75"/>
  <cols>
    <col min="1" max="1" width="14" style="343" customWidth="1"/>
    <col min="2" max="2" width="26.59765625" style="343" customWidth="1"/>
    <col min="3" max="3" width="30.86328125" style="343" bestFit="1" customWidth="1"/>
    <col min="4" max="4" width="50.73046875" style="343" bestFit="1" customWidth="1"/>
    <col min="5" max="5" width="28.3984375" style="343" bestFit="1" customWidth="1"/>
    <col min="6" max="6" width="13.796875" style="359" customWidth="1"/>
    <col min="7" max="8" width="9.1328125" style="343"/>
    <col min="9" max="10" width="17.53125" style="343" customWidth="1"/>
    <col min="11" max="11" width="16.33203125" style="343" customWidth="1"/>
    <col min="12" max="12" width="14.46484375" style="343" customWidth="1"/>
    <col min="13" max="16384" width="9.1328125" style="343"/>
  </cols>
  <sheetData>
    <row r="1" spans="1:12" ht="23.25">
      <c r="A1" s="459" t="s">
        <v>134</v>
      </c>
      <c r="B1" s="457">
        <v>1</v>
      </c>
      <c r="C1" s="457">
        <v>2</v>
      </c>
      <c r="D1" s="457">
        <v>3</v>
      </c>
      <c r="E1" s="457">
        <v>4</v>
      </c>
      <c r="F1" s="458">
        <v>5</v>
      </c>
      <c r="G1" s="457">
        <v>6</v>
      </c>
      <c r="H1" s="457">
        <v>7</v>
      </c>
      <c r="I1" s="457">
        <v>8</v>
      </c>
      <c r="J1" s="457">
        <v>9</v>
      </c>
      <c r="K1" s="457">
        <v>10</v>
      </c>
      <c r="L1" s="457">
        <v>11</v>
      </c>
    </row>
    <row r="2" spans="1:12" ht="25.15">
      <c r="A2" s="456">
        <v>0</v>
      </c>
      <c r="B2" s="815" t="s">
        <v>1020</v>
      </c>
      <c r="C2" s="816"/>
      <c r="D2" s="816"/>
      <c r="F2" s="846" t="s">
        <v>1021</v>
      </c>
      <c r="G2" s="846"/>
      <c r="H2" s="846"/>
      <c r="I2" s="846"/>
      <c r="J2" s="846"/>
      <c r="K2" s="846"/>
      <c r="L2" s="846"/>
    </row>
    <row r="3" spans="1:12" ht="22.5" thickBot="1">
      <c r="A3" s="392">
        <v>1</v>
      </c>
      <c r="B3" s="455" t="s">
        <v>770</v>
      </c>
      <c r="C3" s="455" t="s">
        <v>633</v>
      </c>
      <c r="D3" s="455" t="s">
        <v>634</v>
      </c>
      <c r="F3" s="843" t="s">
        <v>1022</v>
      </c>
      <c r="G3" s="844"/>
      <c r="H3" s="844"/>
      <c r="I3" s="844"/>
      <c r="J3" s="844"/>
      <c r="K3" s="845"/>
      <c r="L3" s="845"/>
    </row>
    <row r="4" spans="1:12" ht="17.25" customHeight="1" thickTop="1">
      <c r="A4" s="392">
        <v>2</v>
      </c>
      <c r="B4" s="821" t="s">
        <v>1015</v>
      </c>
      <c r="C4" s="452" t="s">
        <v>1016</v>
      </c>
      <c r="D4" s="453"/>
      <c r="F4" s="536" t="s">
        <v>1023</v>
      </c>
      <c r="G4" s="847">
        <f>D4</f>
        <v>0</v>
      </c>
      <c r="H4" s="848"/>
      <c r="I4" s="851" t="s">
        <v>1024</v>
      </c>
      <c r="J4" s="851"/>
      <c r="K4" s="832">
        <f>D5</f>
        <v>0</v>
      </c>
      <c r="L4" s="818"/>
    </row>
    <row r="5" spans="1:12" ht="21" customHeight="1">
      <c r="A5" s="392">
        <v>3</v>
      </c>
      <c r="B5" s="799"/>
      <c r="C5" s="400" t="s">
        <v>1017</v>
      </c>
      <c r="D5" s="438"/>
      <c r="F5" s="536" t="s">
        <v>1025</v>
      </c>
      <c r="G5" s="849">
        <f>D6</f>
        <v>0</v>
      </c>
      <c r="H5" s="850"/>
      <c r="I5" s="851" t="s">
        <v>1026</v>
      </c>
      <c r="J5" s="851"/>
      <c r="K5" s="819">
        <f>D7</f>
        <v>0</v>
      </c>
      <c r="L5" s="820"/>
    </row>
    <row r="6" spans="1:12" ht="16.5" customHeight="1">
      <c r="A6" s="392">
        <v>4</v>
      </c>
      <c r="B6" s="799"/>
      <c r="C6" s="400" t="s">
        <v>1018</v>
      </c>
      <c r="D6" s="438"/>
      <c r="F6" s="833"/>
      <c r="G6" s="834"/>
      <c r="H6" s="834"/>
      <c r="I6" s="834"/>
      <c r="J6" s="834"/>
      <c r="K6" s="835"/>
      <c r="L6" s="836"/>
    </row>
    <row r="7" spans="1:12" ht="16.5" customHeight="1" thickBot="1">
      <c r="A7" s="392">
        <v>5</v>
      </c>
      <c r="B7" s="800"/>
      <c r="C7" s="433" t="s">
        <v>1019</v>
      </c>
      <c r="D7" s="524"/>
      <c r="F7" s="529" t="s">
        <v>1027</v>
      </c>
      <c r="G7" s="837" t="s">
        <v>1028</v>
      </c>
      <c r="H7" s="838"/>
      <c r="I7" s="841" t="s">
        <v>1029</v>
      </c>
      <c r="J7" s="837" t="s">
        <v>1030</v>
      </c>
      <c r="K7" s="838"/>
      <c r="L7" s="529" t="s">
        <v>1031</v>
      </c>
    </row>
    <row r="8" spans="1:12" ht="16.5" customHeight="1">
      <c r="A8" s="392">
        <v>6</v>
      </c>
      <c r="F8" s="530" t="s">
        <v>1032</v>
      </c>
      <c r="G8" s="839"/>
      <c r="H8" s="840"/>
      <c r="I8" s="842"/>
      <c r="J8" s="839"/>
      <c r="K8" s="840"/>
      <c r="L8" s="530" t="s">
        <v>1033</v>
      </c>
    </row>
    <row r="9" spans="1:12" ht="15.75" customHeight="1">
      <c r="A9" s="392">
        <v>7</v>
      </c>
      <c r="F9" s="521">
        <v>1</v>
      </c>
      <c r="G9" s="817">
        <f>B13</f>
        <v>0</v>
      </c>
      <c r="H9" s="818"/>
      <c r="I9" s="531">
        <f>C13</f>
        <v>0</v>
      </c>
      <c r="J9" s="817">
        <f>D13</f>
        <v>0</v>
      </c>
      <c r="K9" s="818"/>
      <c r="L9" s="521"/>
    </row>
    <row r="10" spans="1:12" ht="16.5" customHeight="1">
      <c r="A10" s="392">
        <v>8</v>
      </c>
      <c r="B10" s="822" t="s">
        <v>1034</v>
      </c>
      <c r="C10" s="823"/>
      <c r="D10" s="823"/>
      <c r="E10" s="359"/>
      <c r="F10" s="521">
        <v>2</v>
      </c>
      <c r="G10" s="817">
        <f t="shared" ref="G10:G18" si="0">B14</f>
        <v>0</v>
      </c>
      <c r="H10" s="818"/>
      <c r="I10" s="531">
        <f t="shared" ref="I10:I18" si="1">C14</f>
        <v>0</v>
      </c>
      <c r="J10" s="817">
        <f t="shared" ref="J10:J18" si="2">D14</f>
        <v>0</v>
      </c>
      <c r="K10" s="818"/>
      <c r="L10" s="521"/>
    </row>
    <row r="11" spans="1:12" ht="17.25" customHeight="1" thickBot="1">
      <c r="A11" s="392">
        <v>9</v>
      </c>
      <c r="B11" s="824"/>
      <c r="C11" s="825"/>
      <c r="D11" s="825"/>
      <c r="E11" s="359"/>
      <c r="F11" s="521">
        <v>3</v>
      </c>
      <c r="G11" s="817">
        <f t="shared" si="0"/>
        <v>0</v>
      </c>
      <c r="H11" s="818"/>
      <c r="I11" s="531">
        <f t="shared" si="1"/>
        <v>0</v>
      </c>
      <c r="J11" s="817">
        <f t="shared" si="2"/>
        <v>0</v>
      </c>
      <c r="K11" s="818"/>
      <c r="L11" s="521"/>
    </row>
    <row r="12" spans="1:12" ht="17.25" customHeight="1" thickTop="1">
      <c r="A12" s="392">
        <v>10</v>
      </c>
      <c r="B12" s="273" t="s">
        <v>1035</v>
      </c>
      <c r="C12" s="273" t="s">
        <v>1036</v>
      </c>
      <c r="D12" s="532" t="s">
        <v>1037</v>
      </c>
      <c r="E12" s="359"/>
      <c r="F12" s="521">
        <v>4</v>
      </c>
      <c r="G12" s="817">
        <f t="shared" si="0"/>
        <v>0</v>
      </c>
      <c r="H12" s="818"/>
      <c r="I12" s="531">
        <f t="shared" si="1"/>
        <v>0</v>
      </c>
      <c r="J12" s="817">
        <f t="shared" si="2"/>
        <v>0</v>
      </c>
      <c r="K12" s="818"/>
      <c r="L12" s="521"/>
    </row>
    <row r="13" spans="1:12" ht="18" customHeight="1">
      <c r="A13" s="392">
        <v>11</v>
      </c>
      <c r="B13" s="296"/>
      <c r="C13" s="276"/>
      <c r="D13" s="525"/>
      <c r="E13" s="359"/>
      <c r="F13" s="521">
        <v>5</v>
      </c>
      <c r="G13" s="817">
        <f t="shared" si="0"/>
        <v>0</v>
      </c>
      <c r="H13" s="818"/>
      <c r="I13" s="531">
        <f t="shared" si="1"/>
        <v>0</v>
      </c>
      <c r="J13" s="817">
        <f t="shared" si="2"/>
        <v>0</v>
      </c>
      <c r="K13" s="818"/>
      <c r="L13" s="521"/>
    </row>
    <row r="14" spans="1:12" ht="16.5" customHeight="1">
      <c r="A14" s="392">
        <v>12</v>
      </c>
      <c r="B14" s="296"/>
      <c r="C14" s="276"/>
      <c r="D14" s="525"/>
      <c r="E14" s="359"/>
      <c r="F14" s="521">
        <v>6</v>
      </c>
      <c r="G14" s="817">
        <f t="shared" si="0"/>
        <v>0</v>
      </c>
      <c r="H14" s="818"/>
      <c r="I14" s="531">
        <f t="shared" si="1"/>
        <v>0</v>
      </c>
      <c r="J14" s="817">
        <f t="shared" si="2"/>
        <v>0</v>
      </c>
      <c r="K14" s="818"/>
      <c r="L14" s="521"/>
    </row>
    <row r="15" spans="1:12" ht="16.5" customHeight="1">
      <c r="A15" s="392">
        <v>13</v>
      </c>
      <c r="B15" s="296"/>
      <c r="C15" s="276"/>
      <c r="D15" s="525"/>
      <c r="E15" s="359"/>
      <c r="F15" s="521">
        <v>7</v>
      </c>
      <c r="G15" s="817">
        <f t="shared" si="0"/>
        <v>0</v>
      </c>
      <c r="H15" s="818"/>
      <c r="I15" s="531">
        <f t="shared" si="1"/>
        <v>0</v>
      </c>
      <c r="J15" s="817">
        <f t="shared" si="2"/>
        <v>0</v>
      </c>
      <c r="K15" s="818"/>
      <c r="L15" s="521"/>
    </row>
    <row r="16" spans="1:12" ht="16.5" customHeight="1">
      <c r="A16" s="392">
        <v>14</v>
      </c>
      <c r="B16" s="296"/>
      <c r="C16" s="276"/>
      <c r="D16" s="525"/>
      <c r="E16" s="359"/>
      <c r="F16" s="521">
        <v>8</v>
      </c>
      <c r="G16" s="817">
        <f t="shared" si="0"/>
        <v>0</v>
      </c>
      <c r="H16" s="818"/>
      <c r="I16" s="531">
        <f t="shared" si="1"/>
        <v>0</v>
      </c>
      <c r="J16" s="817">
        <f t="shared" si="2"/>
        <v>0</v>
      </c>
      <c r="K16" s="818"/>
      <c r="L16" s="521"/>
    </row>
    <row r="17" spans="1:12" ht="16.5" customHeight="1">
      <c r="A17" s="392">
        <v>15</v>
      </c>
      <c r="B17" s="296"/>
      <c r="C17" s="276"/>
      <c r="D17" s="525"/>
      <c r="E17" s="359"/>
      <c r="F17" s="521">
        <v>9</v>
      </c>
      <c r="G17" s="817">
        <f t="shared" si="0"/>
        <v>0</v>
      </c>
      <c r="H17" s="818"/>
      <c r="I17" s="531">
        <f t="shared" si="1"/>
        <v>0</v>
      </c>
      <c r="J17" s="817">
        <f t="shared" si="2"/>
        <v>0</v>
      </c>
      <c r="K17" s="818"/>
      <c r="L17" s="521"/>
    </row>
    <row r="18" spans="1:12" ht="16.5" customHeight="1">
      <c r="A18" s="392">
        <v>16</v>
      </c>
      <c r="B18" s="296"/>
      <c r="C18" s="276"/>
      <c r="D18" s="525"/>
      <c r="E18" s="359"/>
      <c r="F18" s="521">
        <v>10</v>
      </c>
      <c r="G18" s="817">
        <f t="shared" si="0"/>
        <v>0</v>
      </c>
      <c r="H18" s="818"/>
      <c r="I18" s="531">
        <f t="shared" si="1"/>
        <v>0</v>
      </c>
      <c r="J18" s="817">
        <f t="shared" si="2"/>
        <v>0</v>
      </c>
      <c r="K18" s="818"/>
      <c r="L18" s="521"/>
    </row>
    <row r="19" spans="1:12" ht="17.25" customHeight="1">
      <c r="A19" s="392">
        <v>17</v>
      </c>
      <c r="B19" s="296"/>
      <c r="C19" s="276"/>
      <c r="D19" s="525"/>
      <c r="E19" s="359"/>
      <c r="F19" s="527"/>
      <c r="G19" s="47"/>
      <c r="H19" s="47"/>
      <c r="I19" s="47"/>
      <c r="J19" s="47"/>
      <c r="K19" s="47"/>
      <c r="L19" s="47"/>
    </row>
    <row r="20" spans="1:12" ht="17.25" customHeight="1">
      <c r="A20" s="392">
        <v>18</v>
      </c>
      <c r="B20" s="296"/>
      <c r="C20" s="276"/>
      <c r="D20" s="525"/>
      <c r="E20" s="359"/>
      <c r="F20" s="852" t="s">
        <v>1038</v>
      </c>
      <c r="G20" s="852"/>
      <c r="H20" s="852"/>
      <c r="I20" s="852"/>
      <c r="J20" s="852"/>
      <c r="K20" s="852"/>
      <c r="L20" s="852"/>
    </row>
    <row r="21" spans="1:12" ht="16.899999999999999" customHeight="1">
      <c r="A21" s="392">
        <v>19</v>
      </c>
      <c r="B21" s="296"/>
      <c r="C21" s="276"/>
      <c r="D21" s="525"/>
      <c r="E21" s="359"/>
      <c r="F21" s="533" t="s">
        <v>1039</v>
      </c>
      <c r="G21" s="533" t="s">
        <v>1040</v>
      </c>
      <c r="H21" s="538" t="s">
        <v>1041</v>
      </c>
      <c r="I21" s="853" t="s">
        <v>1042</v>
      </c>
      <c r="J21" s="853"/>
      <c r="K21" s="853"/>
      <c r="L21" s="544" t="s">
        <v>1043</v>
      </c>
    </row>
    <row r="22" spans="1:12" ht="15.4" thickBot="1">
      <c r="A22" s="392">
        <v>20</v>
      </c>
      <c r="B22" s="299"/>
      <c r="C22" s="295"/>
      <c r="D22" s="526"/>
      <c r="E22" s="359"/>
      <c r="F22" s="826">
        <v>1</v>
      </c>
      <c r="G22" s="826" t="s">
        <v>1044</v>
      </c>
      <c r="H22" s="539" t="s">
        <v>1045</v>
      </c>
      <c r="I22" s="831" t="s">
        <v>1046</v>
      </c>
      <c r="J22" s="831"/>
      <c r="K22" s="831"/>
      <c r="L22" s="854" t="s">
        <v>1047</v>
      </c>
    </row>
    <row r="23" spans="1:12" ht="13.5" customHeight="1">
      <c r="A23" s="392">
        <v>21</v>
      </c>
      <c r="F23" s="828"/>
      <c r="G23" s="828"/>
      <c r="H23" s="540" t="s">
        <v>1048</v>
      </c>
      <c r="I23" s="831"/>
      <c r="J23" s="831"/>
      <c r="K23" s="831"/>
      <c r="L23" s="855"/>
    </row>
    <row r="24" spans="1:12" ht="22.5" customHeight="1">
      <c r="A24" s="392">
        <v>22</v>
      </c>
      <c r="F24" s="826">
        <v>2</v>
      </c>
      <c r="G24" s="826" t="s">
        <v>1049</v>
      </c>
      <c r="H24" s="539" t="s">
        <v>1045</v>
      </c>
      <c r="I24" s="831" t="s">
        <v>1050</v>
      </c>
      <c r="J24" s="831"/>
      <c r="K24" s="831"/>
      <c r="L24" s="545" t="s">
        <v>1051</v>
      </c>
    </row>
    <row r="25" spans="1:12" ht="16.899999999999999" customHeight="1">
      <c r="A25" s="392">
        <v>23</v>
      </c>
      <c r="F25" s="828"/>
      <c r="G25" s="828"/>
      <c r="H25" s="540" t="s">
        <v>1048</v>
      </c>
      <c r="I25" s="831"/>
      <c r="J25" s="831"/>
      <c r="K25" s="831"/>
      <c r="L25" s="546" t="s">
        <v>1052</v>
      </c>
    </row>
    <row r="26" spans="1:12" ht="16.899999999999999" customHeight="1">
      <c r="A26" s="392">
        <v>24</v>
      </c>
      <c r="F26" s="826">
        <v>3</v>
      </c>
      <c r="G26" s="826" t="s">
        <v>1053</v>
      </c>
      <c r="H26" s="539" t="s">
        <v>1045</v>
      </c>
      <c r="I26" s="831" t="s">
        <v>1054</v>
      </c>
      <c r="J26" s="831"/>
      <c r="K26" s="831"/>
      <c r="L26" s="545" t="s">
        <v>1055</v>
      </c>
    </row>
    <row r="27" spans="1:12" ht="16.5" customHeight="1">
      <c r="A27" s="392">
        <v>25</v>
      </c>
      <c r="F27" s="827"/>
      <c r="G27" s="827"/>
      <c r="H27" s="541" t="s">
        <v>1048</v>
      </c>
      <c r="I27" s="831" t="s">
        <v>1056</v>
      </c>
      <c r="J27" s="831"/>
      <c r="K27" s="831"/>
      <c r="L27" s="547" t="s">
        <v>1057</v>
      </c>
    </row>
    <row r="28" spans="1:12" ht="16.5" customHeight="1">
      <c r="A28" s="392">
        <v>26</v>
      </c>
      <c r="F28" s="828"/>
      <c r="G28" s="828"/>
      <c r="H28" s="542"/>
      <c r="I28" s="831" t="s">
        <v>1058</v>
      </c>
      <c r="J28" s="831"/>
      <c r="K28" s="831"/>
      <c r="L28" s="548"/>
    </row>
    <row r="29" spans="1:12" ht="16.5" customHeight="1">
      <c r="A29" s="392">
        <v>27</v>
      </c>
      <c r="F29" s="826">
        <v>4</v>
      </c>
      <c r="G29" s="826" t="s">
        <v>1059</v>
      </c>
      <c r="H29" s="829" t="s">
        <v>1060</v>
      </c>
      <c r="I29" s="831" t="s">
        <v>1061</v>
      </c>
      <c r="J29" s="831"/>
      <c r="K29" s="831"/>
      <c r="L29" s="545" t="s">
        <v>1062</v>
      </c>
    </row>
    <row r="30" spans="1:12" ht="15.75" customHeight="1">
      <c r="A30" s="392">
        <v>28</v>
      </c>
      <c r="F30" s="827"/>
      <c r="G30" s="827"/>
      <c r="H30" s="830"/>
      <c r="I30" s="831"/>
      <c r="J30" s="831"/>
      <c r="K30" s="831"/>
      <c r="L30" s="546" t="s">
        <v>1063</v>
      </c>
    </row>
    <row r="31" spans="1:12" ht="16.5" customHeight="1">
      <c r="A31" s="392">
        <v>29</v>
      </c>
      <c r="F31" s="828"/>
      <c r="G31" s="828"/>
      <c r="H31" s="543" t="s">
        <v>1064</v>
      </c>
      <c r="I31" s="831" t="s">
        <v>1065</v>
      </c>
      <c r="J31" s="831"/>
      <c r="K31" s="831"/>
      <c r="L31" s="549" t="s">
        <v>1066</v>
      </c>
    </row>
    <row r="32" spans="1:12" ht="34.9" customHeight="1">
      <c r="A32" s="392">
        <v>30</v>
      </c>
      <c r="F32" s="826">
        <v>5</v>
      </c>
      <c r="G32" s="826" t="s">
        <v>1067</v>
      </c>
      <c r="H32" s="543" t="s">
        <v>1060</v>
      </c>
      <c r="I32" s="831" t="s">
        <v>1068</v>
      </c>
      <c r="J32" s="831"/>
      <c r="K32" s="831"/>
      <c r="L32" s="549" t="s">
        <v>1069</v>
      </c>
    </row>
    <row r="33" spans="1:12" ht="46.5" customHeight="1">
      <c r="A33" s="392">
        <v>31</v>
      </c>
      <c r="F33" s="827"/>
      <c r="G33" s="827"/>
      <c r="H33" s="543" t="s">
        <v>1070</v>
      </c>
      <c r="I33" s="831" t="s">
        <v>1071</v>
      </c>
      <c r="J33" s="831"/>
      <c r="K33" s="831"/>
      <c r="L33" s="549" t="s">
        <v>1066</v>
      </c>
    </row>
    <row r="34" spans="1:12" ht="23.25" customHeight="1">
      <c r="A34" s="392">
        <v>32</v>
      </c>
      <c r="F34" s="827"/>
      <c r="G34" s="827"/>
      <c r="H34" s="543" t="s">
        <v>1070</v>
      </c>
      <c r="I34" s="831" t="s">
        <v>1072</v>
      </c>
      <c r="J34" s="831"/>
      <c r="K34" s="831"/>
      <c r="L34" s="549" t="s">
        <v>1066</v>
      </c>
    </row>
    <row r="35" spans="1:12" ht="34.9" customHeight="1">
      <c r="A35" s="392">
        <v>33</v>
      </c>
      <c r="F35" s="828"/>
      <c r="G35" s="828"/>
      <c r="H35" s="543" t="s">
        <v>1064</v>
      </c>
      <c r="I35" s="831" t="s">
        <v>1073</v>
      </c>
      <c r="J35" s="831"/>
      <c r="K35" s="831"/>
      <c r="L35" s="549" t="s">
        <v>1066</v>
      </c>
    </row>
    <row r="36" spans="1:12" ht="23.25" customHeight="1">
      <c r="A36" s="392">
        <v>34</v>
      </c>
      <c r="F36" s="535">
        <v>6</v>
      </c>
      <c r="G36" s="535" t="s">
        <v>1074</v>
      </c>
      <c r="H36" s="543" t="s">
        <v>1075</v>
      </c>
      <c r="I36" s="831" t="s">
        <v>1076</v>
      </c>
      <c r="J36" s="831"/>
      <c r="K36" s="831"/>
      <c r="L36" s="549" t="s">
        <v>1066</v>
      </c>
    </row>
    <row r="37" spans="1:12" ht="13.5" customHeight="1">
      <c r="A37" s="392">
        <v>35</v>
      </c>
      <c r="F37" s="856" t="s">
        <v>1077</v>
      </c>
      <c r="G37" s="856"/>
      <c r="H37" s="856"/>
      <c r="I37" s="856"/>
      <c r="J37" s="856"/>
      <c r="K37" s="856"/>
      <c r="L37" s="856"/>
    </row>
    <row r="38" spans="1:12" ht="13.5">
      <c r="A38" s="392">
        <v>36</v>
      </c>
      <c r="F38" s="856"/>
      <c r="G38" s="856"/>
      <c r="H38" s="856"/>
      <c r="I38" s="856"/>
      <c r="J38" s="856"/>
      <c r="K38" s="856"/>
      <c r="L38" s="856"/>
    </row>
    <row r="39" spans="1:12" ht="13.5">
      <c r="A39" s="392">
        <v>37</v>
      </c>
      <c r="F39" s="537"/>
      <c r="G39" s="537"/>
      <c r="H39" s="537"/>
      <c r="I39" s="537"/>
      <c r="J39" s="537"/>
      <c r="K39" s="537"/>
    </row>
    <row r="40" spans="1:12" ht="13.5" customHeight="1">
      <c r="A40" s="392">
        <v>38</v>
      </c>
      <c r="F40" s="856" t="s">
        <v>1078</v>
      </c>
      <c r="G40" s="856"/>
      <c r="H40" s="856"/>
      <c r="I40" s="856"/>
      <c r="J40" s="856"/>
      <c r="K40" s="856"/>
      <c r="L40" s="856"/>
    </row>
    <row r="41" spans="1:12" ht="13.5">
      <c r="A41" s="392">
        <v>39</v>
      </c>
      <c r="F41" s="856"/>
      <c r="G41" s="856"/>
      <c r="H41" s="856"/>
      <c r="I41" s="856"/>
      <c r="J41" s="856"/>
      <c r="K41" s="856"/>
      <c r="L41" s="856"/>
    </row>
    <row r="42" spans="1:12" ht="19.5" customHeight="1">
      <c r="A42" s="392">
        <v>40</v>
      </c>
      <c r="F42" s="537"/>
      <c r="G42" s="537"/>
      <c r="H42" s="537"/>
      <c r="I42" s="537"/>
      <c r="J42" s="537"/>
      <c r="K42" s="537"/>
    </row>
    <row r="43" spans="1:12" ht="13.5">
      <c r="A43" s="392">
        <v>41</v>
      </c>
      <c r="F43" s="343"/>
    </row>
    <row r="44" spans="1:12" ht="13.5">
      <c r="A44" s="392">
        <v>42</v>
      </c>
    </row>
    <row r="45" spans="1:12" ht="15.75" customHeight="1">
      <c r="A45" s="392">
        <v>43</v>
      </c>
    </row>
    <row r="46" spans="1:12" ht="15.75" customHeight="1">
      <c r="A46" s="392">
        <v>44</v>
      </c>
    </row>
    <row r="47" spans="1:12" ht="15.75" customHeight="1">
      <c r="A47" s="392">
        <v>45</v>
      </c>
    </row>
    <row r="48" spans="1:12" ht="13.5">
      <c r="A48" s="392">
        <v>46</v>
      </c>
    </row>
    <row r="49" spans="1:1" ht="15.75" customHeight="1">
      <c r="A49" s="392">
        <v>47</v>
      </c>
    </row>
    <row r="50" spans="1:1" ht="13.5">
      <c r="A50" s="392">
        <v>48</v>
      </c>
    </row>
    <row r="51" spans="1:1" ht="15.75" customHeight="1">
      <c r="A51" s="392">
        <v>49</v>
      </c>
    </row>
    <row r="52" spans="1:1" ht="15.75" customHeight="1">
      <c r="A52" s="392">
        <v>50</v>
      </c>
    </row>
    <row r="53" spans="1:1" ht="16.5" customHeight="1">
      <c r="A53" s="392">
        <v>51</v>
      </c>
    </row>
    <row r="54" spans="1:1" ht="16.5" customHeight="1">
      <c r="A54" s="392">
        <v>52</v>
      </c>
    </row>
    <row r="55" spans="1:1" ht="16.5" customHeight="1">
      <c r="A55" s="392">
        <v>53</v>
      </c>
    </row>
    <row r="56" spans="1:1" ht="16.5" customHeight="1">
      <c r="A56" s="392">
        <v>54</v>
      </c>
    </row>
    <row r="57" spans="1:1" ht="16.5" customHeight="1">
      <c r="A57" s="392">
        <v>55</v>
      </c>
    </row>
    <row r="58" spans="1:1" ht="16.5" customHeight="1">
      <c r="A58" s="392">
        <v>56</v>
      </c>
    </row>
    <row r="59" spans="1:1" ht="16.5" customHeight="1">
      <c r="A59" s="392">
        <v>57</v>
      </c>
    </row>
    <row r="60" spans="1:1" ht="16.5" customHeight="1">
      <c r="A60" s="392">
        <v>58</v>
      </c>
    </row>
    <row r="61" spans="1:1" ht="19.5" customHeight="1">
      <c r="A61" s="392">
        <v>59</v>
      </c>
    </row>
    <row r="62" spans="1:1" ht="19.5" customHeight="1">
      <c r="A62" s="392">
        <v>60</v>
      </c>
    </row>
    <row r="63" spans="1:1" ht="19.5" customHeight="1">
      <c r="A63" s="392">
        <v>61</v>
      </c>
    </row>
    <row r="64" spans="1:1" ht="16.5" customHeight="1">
      <c r="A64" s="392">
        <v>62</v>
      </c>
    </row>
    <row r="65" spans="1:5" s="359" customFormat="1" ht="13.5">
      <c r="A65" s="392">
        <v>63</v>
      </c>
      <c r="B65" s="343"/>
      <c r="C65" s="343"/>
      <c r="D65" s="343"/>
      <c r="E65" s="343"/>
    </row>
    <row r="66" spans="1:5" s="359" customFormat="1" ht="15" customHeight="1">
      <c r="A66" s="392">
        <v>64</v>
      </c>
      <c r="B66" s="343"/>
      <c r="C66" s="343"/>
      <c r="D66" s="343"/>
      <c r="E66" s="343"/>
    </row>
    <row r="67" spans="1:5" s="359" customFormat="1" ht="15" customHeight="1">
      <c r="A67" s="392">
        <v>65</v>
      </c>
      <c r="B67" s="343"/>
      <c r="C67" s="343"/>
      <c r="D67" s="343"/>
      <c r="E67" s="343"/>
    </row>
    <row r="68" spans="1:5" s="359" customFormat="1" ht="15" customHeight="1">
      <c r="A68" s="392">
        <v>66</v>
      </c>
      <c r="B68" s="343"/>
      <c r="C68" s="343"/>
      <c r="D68" s="343"/>
      <c r="E68" s="343"/>
    </row>
    <row r="69" spans="1:5" s="359" customFormat="1" ht="15" customHeight="1">
      <c r="A69" s="392">
        <v>67</v>
      </c>
      <c r="B69" s="343"/>
      <c r="C69" s="343"/>
      <c r="D69" s="343"/>
      <c r="E69" s="343"/>
    </row>
    <row r="70" spans="1:5" s="359" customFormat="1" ht="15" customHeight="1">
      <c r="A70" s="392">
        <v>68</v>
      </c>
      <c r="B70" s="343"/>
      <c r="C70" s="343"/>
      <c r="D70" s="343"/>
      <c r="E70" s="343"/>
    </row>
    <row r="71" spans="1:5" s="359" customFormat="1" ht="15" customHeight="1">
      <c r="A71" s="392">
        <v>69</v>
      </c>
      <c r="B71" s="343"/>
      <c r="C71" s="343"/>
      <c r="D71" s="343"/>
      <c r="E71" s="343"/>
    </row>
    <row r="72" spans="1:5" s="359" customFormat="1" ht="15" customHeight="1">
      <c r="A72" s="392">
        <v>70</v>
      </c>
      <c r="B72" s="343"/>
      <c r="C72" s="343"/>
      <c r="D72" s="343"/>
      <c r="E72" s="343"/>
    </row>
    <row r="73" spans="1:5" s="359" customFormat="1" ht="15" customHeight="1">
      <c r="A73" s="392">
        <v>71</v>
      </c>
      <c r="B73" s="343"/>
      <c r="C73" s="343"/>
      <c r="D73" s="343"/>
      <c r="E73" s="343"/>
    </row>
    <row r="74" spans="1:5" s="359" customFormat="1" ht="15.4" customHeight="1">
      <c r="A74" s="392">
        <v>72</v>
      </c>
      <c r="B74" s="343"/>
      <c r="C74" s="343"/>
      <c r="D74" s="343"/>
      <c r="E74" s="343"/>
    </row>
    <row r="75" spans="1:5" s="359" customFormat="1" ht="13.5">
      <c r="A75" s="392">
        <v>73</v>
      </c>
      <c r="B75" s="343"/>
      <c r="C75" s="343"/>
      <c r="D75" s="343"/>
      <c r="E75" s="343"/>
    </row>
    <row r="76" spans="1:5" s="359" customFormat="1" ht="13.5">
      <c r="A76" s="392">
        <v>74</v>
      </c>
      <c r="B76" s="343"/>
      <c r="C76" s="343"/>
      <c r="D76" s="343"/>
      <c r="E76" s="343"/>
    </row>
    <row r="77" spans="1:5" s="359" customFormat="1" ht="13.5">
      <c r="A77" s="392">
        <v>75</v>
      </c>
      <c r="B77" s="343"/>
      <c r="C77" s="343"/>
      <c r="D77" s="343"/>
      <c r="E77" s="343"/>
    </row>
    <row r="78" spans="1:5" s="359" customFormat="1" ht="13.5">
      <c r="A78" s="392">
        <v>76</v>
      </c>
      <c r="B78" s="343"/>
      <c r="C78" s="343"/>
      <c r="D78" s="343"/>
      <c r="E78" s="343"/>
    </row>
    <row r="79" spans="1:5" s="359" customFormat="1" ht="13.5">
      <c r="A79" s="392">
        <v>77</v>
      </c>
      <c r="B79" s="343"/>
      <c r="C79" s="343"/>
      <c r="D79" s="343"/>
      <c r="E79" s="343"/>
    </row>
    <row r="80" spans="1:5" s="359" customFormat="1" ht="13.5">
      <c r="A80" s="392">
        <v>78</v>
      </c>
      <c r="B80" s="343"/>
      <c r="C80" s="343"/>
      <c r="D80" s="343"/>
      <c r="E80" s="343"/>
    </row>
    <row r="81" spans="1:1" ht="13.5">
      <c r="A81" s="392">
        <v>79</v>
      </c>
    </row>
    <row r="82" spans="1:1" ht="13.5">
      <c r="A82" s="392">
        <v>80</v>
      </c>
    </row>
    <row r="83" spans="1:1" ht="13.5">
      <c r="A83" s="392">
        <v>81</v>
      </c>
    </row>
    <row r="84" spans="1:1" ht="13.5">
      <c r="A84" s="392">
        <v>82</v>
      </c>
    </row>
    <row r="85" spans="1:1" ht="13.5">
      <c r="A85" s="392">
        <v>83</v>
      </c>
    </row>
    <row r="86" spans="1:1" ht="13.5">
      <c r="A86" s="392">
        <v>84</v>
      </c>
    </row>
    <row r="87" spans="1:1" ht="13.5">
      <c r="A87" s="392">
        <v>85</v>
      </c>
    </row>
    <row r="88" spans="1:1" ht="13.5">
      <c r="A88" s="392">
        <v>86</v>
      </c>
    </row>
    <row r="89" spans="1:1" ht="13.5">
      <c r="A89" s="392">
        <v>87</v>
      </c>
    </row>
    <row r="90" spans="1:1" ht="13.5">
      <c r="A90" s="392">
        <v>88</v>
      </c>
    </row>
  </sheetData>
  <mergeCells count="63">
    <mergeCell ref="I34:K34"/>
    <mergeCell ref="I35:K35"/>
    <mergeCell ref="I36:K36"/>
    <mergeCell ref="F37:L38"/>
    <mergeCell ref="F40:L41"/>
    <mergeCell ref="I29:K30"/>
    <mergeCell ref="I31:K31"/>
    <mergeCell ref="I32:K32"/>
    <mergeCell ref="I33:K33"/>
    <mergeCell ref="F20:L20"/>
    <mergeCell ref="I21:K21"/>
    <mergeCell ref="I22:K23"/>
    <mergeCell ref="I24:K25"/>
    <mergeCell ref="I26:K26"/>
    <mergeCell ref="F32:F35"/>
    <mergeCell ref="G32:G35"/>
    <mergeCell ref="L22:L23"/>
    <mergeCell ref="F24:F25"/>
    <mergeCell ref="G24:G25"/>
    <mergeCell ref="F26:F28"/>
    <mergeCell ref="G26:G28"/>
    <mergeCell ref="I27:K27"/>
    <mergeCell ref="I28:K28"/>
    <mergeCell ref="K4:L4"/>
    <mergeCell ref="F6:L6"/>
    <mergeCell ref="G7:H8"/>
    <mergeCell ref="I7:I8"/>
    <mergeCell ref="J7:K8"/>
    <mergeCell ref="G9:H9"/>
    <mergeCell ref="G17:H17"/>
    <mergeCell ref="J17:K17"/>
    <mergeCell ref="G18:H18"/>
    <mergeCell ref="J18:K18"/>
    <mergeCell ref="G14:H14"/>
    <mergeCell ref="J14:K14"/>
    <mergeCell ref="G15:H15"/>
    <mergeCell ref="J15:K15"/>
    <mergeCell ref="F29:F31"/>
    <mergeCell ref="G29:G31"/>
    <mergeCell ref="H29:H30"/>
    <mergeCell ref="F22:F23"/>
    <mergeCell ref="G22:G23"/>
    <mergeCell ref="G16:H16"/>
    <mergeCell ref="J16:K16"/>
    <mergeCell ref="G11:H11"/>
    <mergeCell ref="J11:K11"/>
    <mergeCell ref="G12:H12"/>
    <mergeCell ref="J12:K12"/>
    <mergeCell ref="G13:H13"/>
    <mergeCell ref="J13:K13"/>
    <mergeCell ref="B2:D2"/>
    <mergeCell ref="G10:H10"/>
    <mergeCell ref="J10:K10"/>
    <mergeCell ref="J9:K9"/>
    <mergeCell ref="K5:L5"/>
    <mergeCell ref="B4:B7"/>
    <mergeCell ref="B10:D11"/>
    <mergeCell ref="F3:L3"/>
    <mergeCell ref="F2:L2"/>
    <mergeCell ref="G4:H4"/>
    <mergeCell ref="G5:H5"/>
    <mergeCell ref="I4:J4"/>
    <mergeCell ref="I5:J5"/>
  </mergeCells>
  <phoneticPr fontId="11" type="noConversion"/>
  <dataValidations count="1">
    <dataValidation allowBlank="1" showInputMessage="1" showErrorMessage="1" promptTitle="연락처" prompt="직통번호만 가능합니다._x000a_예)_x000a_1866-9999 (X)_x000a_051-000-0000 (0)_x000a_" sqref="D6" xr:uid="{D3625BD2-C86A-4CEC-B85C-B900EA8259F5}"/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1AAD5-312C-4353-ADDC-7EAED3A4BCA2}">
  <sheetPr codeName="Sheet11"/>
  <dimension ref="A1:AL63"/>
  <sheetViews>
    <sheetView workbookViewId="0">
      <selection activeCell="B16" sqref="B16:F20"/>
    </sheetView>
    <sheetView workbookViewId="1"/>
  </sheetViews>
  <sheetFormatPr defaultRowHeight="12.75"/>
  <cols>
    <col min="1" max="1" width="14" style="47" customWidth="1"/>
    <col min="2" max="2" width="19.59765625" style="47" customWidth="1"/>
    <col min="3" max="3" width="25.53125" style="47" bestFit="1" customWidth="1"/>
    <col min="4" max="4" width="27.73046875" style="47" customWidth="1"/>
    <col min="5" max="5" width="13.3984375" style="47" bestFit="1" customWidth="1"/>
    <col min="6" max="6" width="21.86328125" style="47" bestFit="1" customWidth="1"/>
    <col min="7" max="7" width="9.06640625" style="47"/>
    <col min="8" max="8" width="10" style="47" customWidth="1"/>
    <col min="9" max="12" width="9.06640625" style="47"/>
    <col min="13" max="13" width="14.06640625" style="47" customWidth="1"/>
    <col min="14" max="15" width="9.06640625" style="47"/>
    <col min="16" max="16" width="12.6640625" style="47" customWidth="1"/>
    <col min="17" max="16384" width="9.06640625" style="47"/>
  </cols>
  <sheetData>
    <row r="1" spans="1:38" ht="23.25">
      <c r="A1" s="112" t="s">
        <v>134</v>
      </c>
      <c r="B1" s="113">
        <v>1</v>
      </c>
      <c r="C1" s="113">
        <v>2</v>
      </c>
      <c r="D1" s="113">
        <v>3</v>
      </c>
      <c r="E1" s="113">
        <v>4</v>
      </c>
      <c r="F1" s="113">
        <v>5</v>
      </c>
      <c r="G1" s="113">
        <v>6</v>
      </c>
      <c r="H1" s="113">
        <v>7</v>
      </c>
      <c r="I1" s="113">
        <v>8</v>
      </c>
      <c r="J1" s="113">
        <v>9</v>
      </c>
      <c r="K1" s="113">
        <v>10</v>
      </c>
      <c r="L1" s="113">
        <v>11</v>
      </c>
      <c r="M1" s="113">
        <v>12</v>
      </c>
      <c r="N1" s="113">
        <v>13</v>
      </c>
      <c r="O1" s="113">
        <v>14</v>
      </c>
      <c r="P1" s="113">
        <v>15</v>
      </c>
      <c r="Q1" s="113">
        <v>16</v>
      </c>
      <c r="R1" s="113">
        <v>17</v>
      </c>
      <c r="S1" s="113">
        <v>18</v>
      </c>
      <c r="T1" s="113">
        <v>19</v>
      </c>
      <c r="U1" s="113">
        <v>20</v>
      </c>
      <c r="V1" s="113">
        <v>21</v>
      </c>
      <c r="W1" s="113">
        <v>22</v>
      </c>
      <c r="X1" s="113">
        <v>23</v>
      </c>
      <c r="Y1" s="113">
        <v>24</v>
      </c>
      <c r="Z1" s="113">
        <v>25</v>
      </c>
      <c r="AA1" s="113">
        <v>26</v>
      </c>
      <c r="AB1" s="113">
        <v>27</v>
      </c>
      <c r="AC1" s="113">
        <v>28</v>
      </c>
      <c r="AD1" s="113">
        <v>29</v>
      </c>
      <c r="AE1" s="113">
        <v>30</v>
      </c>
      <c r="AF1" s="113">
        <v>31</v>
      </c>
      <c r="AG1" s="113">
        <v>32</v>
      </c>
      <c r="AH1" s="113">
        <v>33</v>
      </c>
      <c r="AI1" s="113">
        <v>34</v>
      </c>
      <c r="AJ1" s="113">
        <v>35</v>
      </c>
      <c r="AK1" s="113">
        <v>36</v>
      </c>
      <c r="AL1" s="113">
        <v>37</v>
      </c>
    </row>
    <row r="2" spans="1:38" ht="25.5" thickBot="1">
      <c r="A2" s="114">
        <v>0</v>
      </c>
      <c r="B2" s="1151" t="s">
        <v>1272</v>
      </c>
      <c r="C2" s="1153"/>
      <c r="D2" s="1153"/>
      <c r="E2" s="1153"/>
      <c r="F2" s="1153"/>
      <c r="H2" s="1169" t="s">
        <v>1275</v>
      </c>
      <c r="I2" s="1169"/>
      <c r="J2" s="1169"/>
      <c r="K2" s="1169"/>
      <c r="L2" s="1169"/>
      <c r="M2" s="1169"/>
      <c r="N2" s="1169"/>
      <c r="O2" s="1169"/>
      <c r="P2" s="1169"/>
    </row>
    <row r="3" spans="1:38" ht="22.9" thickBot="1">
      <c r="A3" s="115">
        <v>1</v>
      </c>
      <c r="B3" s="322" t="s">
        <v>1270</v>
      </c>
      <c r="C3" s="601" t="s">
        <v>1080</v>
      </c>
      <c r="D3" s="490" t="s">
        <v>1081</v>
      </c>
      <c r="E3" s="601" t="s">
        <v>1080</v>
      </c>
      <c r="F3" s="490" t="s">
        <v>1081</v>
      </c>
      <c r="H3" s="1205" t="s">
        <v>1276</v>
      </c>
      <c r="I3" s="1206"/>
      <c r="J3" s="1206"/>
      <c r="K3" s="1206"/>
      <c r="L3" s="1206"/>
      <c r="M3" s="1206"/>
      <c r="N3" s="1206"/>
      <c r="O3" s="1206"/>
      <c r="P3" s="1207"/>
    </row>
    <row r="4" spans="1:38" ht="17.25" thickTop="1">
      <c r="A4" s="115">
        <v>2</v>
      </c>
      <c r="B4" s="602"/>
      <c r="C4" s="286" t="s">
        <v>1271</v>
      </c>
      <c r="D4" s="270"/>
      <c r="E4" s="286"/>
      <c r="F4" s="270"/>
      <c r="H4" s="1208"/>
      <c r="I4" s="1208"/>
      <c r="J4" s="1208"/>
      <c r="K4" s="1208"/>
      <c r="L4" s="1208"/>
      <c r="M4" s="1208"/>
      <c r="N4" s="1208"/>
      <c r="O4" s="1208"/>
      <c r="P4" s="1208"/>
    </row>
    <row r="5" spans="1:38" ht="38.25">
      <c r="A5" s="115">
        <v>3</v>
      </c>
      <c r="B5" s="602"/>
      <c r="C5" s="284" t="s">
        <v>171</v>
      </c>
      <c r="D5" s="270"/>
      <c r="E5" s="286"/>
      <c r="F5" s="270"/>
      <c r="H5" s="611" t="s">
        <v>1277</v>
      </c>
      <c r="I5" s="1199" t="s">
        <v>1278</v>
      </c>
      <c r="J5" s="1200"/>
      <c r="K5" s="612" t="s">
        <v>1279</v>
      </c>
      <c r="L5" s="1199" t="s">
        <v>1280</v>
      </c>
      <c r="M5" s="1200"/>
      <c r="N5" s="1191" t="s">
        <v>1281</v>
      </c>
      <c r="O5" s="819"/>
      <c r="P5" s="819"/>
    </row>
    <row r="6" spans="1:38" ht="15">
      <c r="A6" s="115">
        <v>4</v>
      </c>
      <c r="B6" s="602"/>
      <c r="C6" s="285" t="s">
        <v>172</v>
      </c>
      <c r="D6" s="270"/>
      <c r="E6" s="286"/>
      <c r="F6" s="270"/>
      <c r="H6" s="613" t="s">
        <v>1282</v>
      </c>
      <c r="I6" s="1199" t="s">
        <v>1283</v>
      </c>
      <c r="J6" s="1200"/>
      <c r="K6" s="1191" t="s">
        <v>1284</v>
      </c>
      <c r="L6" s="819"/>
      <c r="M6" s="819"/>
      <c r="N6" s="819"/>
      <c r="O6" s="819"/>
      <c r="P6" s="819"/>
    </row>
    <row r="7" spans="1:38" ht="38.25">
      <c r="A7" s="115">
        <v>5</v>
      </c>
      <c r="B7" s="602"/>
      <c r="C7" s="284" t="s">
        <v>170</v>
      </c>
      <c r="D7" s="270"/>
      <c r="E7" s="286"/>
      <c r="F7" s="270"/>
      <c r="H7" s="614"/>
      <c r="I7" s="1199" t="s">
        <v>1285</v>
      </c>
      <c r="J7" s="1200"/>
      <c r="K7" s="612" t="s">
        <v>1286</v>
      </c>
      <c r="L7" s="1201" t="s">
        <v>1287</v>
      </c>
      <c r="M7" s="1202"/>
      <c r="N7" s="1203">
        <v>4</v>
      </c>
      <c r="O7" s="1204"/>
      <c r="P7" s="1204"/>
    </row>
    <row r="8" spans="1:38" ht="25.5">
      <c r="A8" s="115">
        <v>6</v>
      </c>
      <c r="B8" s="602"/>
      <c r="C8" s="284" t="s">
        <v>173</v>
      </c>
      <c r="D8" s="270"/>
      <c r="E8" s="286"/>
      <c r="F8" s="270"/>
      <c r="H8" s="309" t="s">
        <v>1288</v>
      </c>
      <c r="I8" s="1199" t="s">
        <v>1289</v>
      </c>
      <c r="J8" s="1200"/>
      <c r="K8" s="612" t="s">
        <v>1290</v>
      </c>
      <c r="L8" s="1199" t="s">
        <v>1291</v>
      </c>
      <c r="M8" s="1200"/>
      <c r="N8" s="1191" t="s">
        <v>1292</v>
      </c>
      <c r="O8" s="819"/>
      <c r="P8" s="819"/>
    </row>
    <row r="9" spans="1:38" ht="25.5">
      <c r="A9" s="115">
        <v>7</v>
      </c>
      <c r="B9" s="602"/>
      <c r="C9" s="284" t="s">
        <v>171</v>
      </c>
      <c r="D9" s="270"/>
      <c r="E9" s="286"/>
      <c r="F9" s="270"/>
      <c r="H9" s="615" t="s">
        <v>1293</v>
      </c>
      <c r="I9" s="1199" t="s">
        <v>1294</v>
      </c>
      <c r="J9" s="1200"/>
      <c r="K9" s="612" t="s">
        <v>819</v>
      </c>
      <c r="L9" s="1199" t="s">
        <v>1295</v>
      </c>
      <c r="M9" s="1200"/>
      <c r="N9" s="1191" t="s">
        <v>27</v>
      </c>
      <c r="O9" s="819"/>
      <c r="P9" s="819"/>
    </row>
    <row r="10" spans="1:38" ht="15">
      <c r="A10" s="115">
        <v>8</v>
      </c>
      <c r="B10" s="602"/>
      <c r="C10" s="284" t="s">
        <v>174</v>
      </c>
      <c r="D10" s="270"/>
      <c r="E10" s="286"/>
      <c r="F10" s="270"/>
      <c r="H10" s="611" t="s">
        <v>1296</v>
      </c>
      <c r="I10" s="1191" t="s">
        <v>1297</v>
      </c>
      <c r="J10" s="819"/>
      <c r="K10" s="820"/>
      <c r="L10" s="1008" t="s">
        <v>1298</v>
      </c>
      <c r="M10" s="820"/>
      <c r="N10" s="1008" t="s">
        <v>1024</v>
      </c>
      <c r="O10" s="820"/>
      <c r="P10" s="523" t="s">
        <v>1299</v>
      </c>
    </row>
    <row r="11" spans="1:38" ht="24.75" customHeight="1">
      <c r="A11" s="115">
        <v>9</v>
      </c>
      <c r="B11" s="602"/>
      <c r="C11" s="284" t="s">
        <v>175</v>
      </c>
      <c r="D11" s="270"/>
      <c r="E11" s="286"/>
      <c r="F11" s="270"/>
      <c r="H11" s="613" t="s">
        <v>1300</v>
      </c>
      <c r="I11" s="1198">
        <f>D4</f>
        <v>0</v>
      </c>
      <c r="J11" s="880"/>
      <c r="K11" s="881"/>
      <c r="L11" s="817">
        <f>D5</f>
        <v>0</v>
      </c>
      <c r="M11" s="818"/>
      <c r="N11" s="817">
        <f>D6</f>
        <v>0</v>
      </c>
      <c r="O11" s="818"/>
      <c r="P11" s="528">
        <f>D7</f>
        <v>0</v>
      </c>
    </row>
    <row r="12" spans="1:38" ht="16.899999999999999">
      <c r="A12" s="115">
        <v>10</v>
      </c>
      <c r="B12" s="602"/>
      <c r="C12" s="284" t="s">
        <v>1273</v>
      </c>
      <c r="D12" s="270"/>
      <c r="E12" s="286"/>
      <c r="F12" s="270"/>
      <c r="H12" s="613" t="s">
        <v>1301</v>
      </c>
      <c r="I12" s="1191"/>
      <c r="J12" s="819"/>
      <c r="K12" s="820"/>
      <c r="L12" s="1008"/>
      <c r="M12" s="820"/>
      <c r="N12" s="1008"/>
      <c r="O12" s="820"/>
      <c r="P12" s="523"/>
    </row>
    <row r="13" spans="1:38" ht="15">
      <c r="A13" s="115">
        <v>11</v>
      </c>
      <c r="B13" s="602"/>
      <c r="C13" s="285" t="s">
        <v>170</v>
      </c>
      <c r="D13" s="270"/>
      <c r="E13" s="286"/>
      <c r="F13" s="270"/>
      <c r="H13" s="307"/>
      <c r="I13" s="1191"/>
      <c r="J13" s="819"/>
      <c r="K13" s="820"/>
      <c r="L13" s="1008"/>
      <c r="M13" s="820"/>
      <c r="N13" s="1008"/>
      <c r="O13" s="820"/>
      <c r="P13" s="523"/>
    </row>
    <row r="14" spans="1:38" ht="15.4" thickBot="1">
      <c r="A14" s="115">
        <v>12</v>
      </c>
      <c r="B14" s="604"/>
      <c r="C14" s="287" t="s">
        <v>157</v>
      </c>
      <c r="D14" s="605"/>
      <c r="E14" s="606"/>
      <c r="F14" s="605"/>
      <c r="H14" s="307"/>
      <c r="I14" s="1191"/>
      <c r="J14" s="819"/>
      <c r="K14" s="820"/>
      <c r="L14" s="1008"/>
      <c r="M14" s="820"/>
      <c r="N14" s="1008"/>
      <c r="O14" s="820"/>
      <c r="P14" s="523"/>
    </row>
    <row r="15" spans="1:38" ht="16.899999999999999" thickBot="1">
      <c r="A15" s="115">
        <v>13</v>
      </c>
      <c r="E15" s="603"/>
      <c r="H15" s="306"/>
      <c r="I15" s="1192"/>
      <c r="J15" s="1193"/>
      <c r="K15" s="1194"/>
      <c r="L15" s="1195"/>
      <c r="M15" s="1194"/>
      <c r="N15" s="1196"/>
      <c r="O15" s="1197"/>
      <c r="P15" s="609"/>
    </row>
    <row r="16" spans="1:38" ht="13.9" thickBot="1">
      <c r="A16" s="115">
        <v>14</v>
      </c>
      <c r="B16" s="822" t="s">
        <v>630</v>
      </c>
      <c r="C16" s="823"/>
      <c r="D16" s="823"/>
      <c r="E16" s="823"/>
      <c r="F16" s="823"/>
      <c r="H16" s="616" t="s">
        <v>1277</v>
      </c>
      <c r="I16" s="1182" t="s">
        <v>1302</v>
      </c>
      <c r="J16" s="1183"/>
      <c r="K16" s="1186">
        <f>D8</f>
        <v>0</v>
      </c>
      <c r="L16" s="1187"/>
      <c r="M16" s="1189"/>
      <c r="N16" s="1184" t="s">
        <v>1298</v>
      </c>
      <c r="O16" s="1190"/>
      <c r="P16" s="617">
        <f>D9</f>
        <v>0</v>
      </c>
    </row>
    <row r="17" spans="1:16" ht="13.9" thickBot="1">
      <c r="A17" s="115">
        <v>15</v>
      </c>
      <c r="B17" s="824"/>
      <c r="C17" s="825"/>
      <c r="D17" s="825"/>
      <c r="E17" s="825"/>
      <c r="F17" s="825"/>
      <c r="H17" s="613" t="s">
        <v>1303</v>
      </c>
      <c r="I17" s="1182" t="s">
        <v>1304</v>
      </c>
      <c r="J17" s="1183"/>
      <c r="K17" s="1186">
        <f>D10</f>
        <v>0</v>
      </c>
      <c r="L17" s="1187"/>
      <c r="M17" s="1187"/>
      <c r="N17" s="1187"/>
      <c r="O17" s="1187"/>
      <c r="P17" s="1187"/>
    </row>
    <row r="18" spans="1:16" ht="17.649999999999999" thickTop="1" thickBot="1">
      <c r="A18" s="115">
        <v>16</v>
      </c>
      <c r="B18" s="491" t="s">
        <v>105</v>
      </c>
      <c r="C18" s="491" t="s">
        <v>106</v>
      </c>
      <c r="D18" s="491" t="s">
        <v>107</v>
      </c>
      <c r="E18" s="491" t="s">
        <v>108</v>
      </c>
      <c r="F18" s="607" t="s">
        <v>1274</v>
      </c>
      <c r="H18" s="307"/>
      <c r="I18" s="1182" t="s">
        <v>1026</v>
      </c>
      <c r="J18" s="1183"/>
      <c r="K18" s="1184">
        <f>D11</f>
        <v>0</v>
      </c>
      <c r="L18" s="1185"/>
      <c r="M18" s="1185"/>
      <c r="N18" s="1185"/>
      <c r="O18" s="1185"/>
      <c r="P18" s="1185"/>
    </row>
    <row r="19" spans="1:16" ht="13.9" thickBot="1">
      <c r="A19" s="115">
        <v>17</v>
      </c>
      <c r="B19" s="585" t="s">
        <v>178</v>
      </c>
      <c r="C19" s="585">
        <v>501111</v>
      </c>
      <c r="D19" s="585" t="s">
        <v>176</v>
      </c>
      <c r="E19" s="585" t="s">
        <v>64</v>
      </c>
      <c r="F19" s="585" t="s">
        <v>179</v>
      </c>
      <c r="H19" s="307"/>
      <c r="I19" s="1182" t="s">
        <v>1305</v>
      </c>
      <c r="J19" s="1183"/>
      <c r="K19" s="1186">
        <f>D12</f>
        <v>0</v>
      </c>
      <c r="L19" s="1187"/>
      <c r="M19" s="1187"/>
      <c r="N19" s="1187"/>
      <c r="O19" s="1187"/>
      <c r="P19" s="1187"/>
    </row>
    <row r="20" spans="1:16" ht="13.9" thickBot="1">
      <c r="A20" s="115">
        <v>18</v>
      </c>
      <c r="B20" s="585" t="s">
        <v>180</v>
      </c>
      <c r="C20" s="585">
        <v>111111</v>
      </c>
      <c r="D20" s="585" t="s">
        <v>138</v>
      </c>
      <c r="E20" s="585" t="s">
        <v>177</v>
      </c>
      <c r="F20" s="585" t="s">
        <v>181</v>
      </c>
      <c r="H20" s="306"/>
      <c r="I20" s="1182" t="s">
        <v>1299</v>
      </c>
      <c r="J20" s="1183"/>
      <c r="K20" s="1188" t="str">
        <f>D13&amp;"명"</f>
        <v>명</v>
      </c>
      <c r="L20" s="1185"/>
      <c r="M20" s="1185"/>
      <c r="N20" s="1185"/>
      <c r="O20" s="1185"/>
      <c r="P20" s="1185"/>
    </row>
    <row r="21" spans="1:16" ht="13.9" thickBot="1">
      <c r="A21" s="115">
        <v>19</v>
      </c>
      <c r="H21" s="1175"/>
      <c r="I21" s="1175"/>
      <c r="J21" s="1175"/>
      <c r="K21" s="1175"/>
      <c r="L21" s="1175"/>
      <c r="M21" s="1175"/>
      <c r="N21" s="1175"/>
      <c r="O21" s="1175"/>
      <c r="P21" s="1175"/>
    </row>
    <row r="22" spans="1:16" ht="13.5">
      <c r="A22" s="115">
        <v>20</v>
      </c>
      <c r="H22" s="1176" t="s">
        <v>1306</v>
      </c>
      <c r="I22" s="1178" t="s">
        <v>1307</v>
      </c>
      <c r="J22" s="1179"/>
      <c r="K22" s="1179"/>
      <c r="L22" s="1179"/>
      <c r="M22" s="1179"/>
      <c r="N22" s="1179"/>
      <c r="O22" s="1179"/>
      <c r="P22" s="1179"/>
    </row>
    <row r="23" spans="1:16" ht="13.9" thickBot="1">
      <c r="A23" s="115">
        <v>21</v>
      </c>
      <c r="H23" s="1177"/>
      <c r="I23" s="1180" t="s">
        <v>1308</v>
      </c>
      <c r="J23" s="1181"/>
      <c r="K23" s="1181"/>
      <c r="L23" s="1181"/>
      <c r="M23" s="1181"/>
      <c r="N23" s="1181"/>
      <c r="O23" s="1181"/>
      <c r="P23" s="1181"/>
    </row>
    <row r="24" spans="1:16" ht="13.5">
      <c r="A24" s="115">
        <v>22</v>
      </c>
      <c r="H24" s="1179"/>
      <c r="I24" s="1179"/>
      <c r="J24" s="1179"/>
      <c r="K24" s="1179"/>
      <c r="L24" s="1179"/>
      <c r="M24" s="1179"/>
      <c r="N24" s="1179"/>
      <c r="O24" s="1179"/>
      <c r="P24" s="1179"/>
    </row>
    <row r="25" spans="1:16" ht="13.9">
      <c r="A25" s="115">
        <v>23</v>
      </c>
      <c r="H25" s="1170" t="s">
        <v>1309</v>
      </c>
      <c r="I25" s="1170"/>
      <c r="J25" s="1170"/>
      <c r="K25" s="1170"/>
      <c r="L25" s="1170"/>
      <c r="M25" s="1170"/>
      <c r="N25" s="1170"/>
      <c r="O25" s="1170"/>
      <c r="P25" s="1170"/>
    </row>
    <row r="26" spans="1:16" ht="14.25" customHeight="1">
      <c r="A26" s="115">
        <v>24</v>
      </c>
      <c r="H26" s="1171">
        <f>D14</f>
        <v>0</v>
      </c>
      <c r="I26" s="1171"/>
      <c r="J26" s="1171"/>
      <c r="K26" s="1171"/>
      <c r="L26" s="1171"/>
      <c r="M26" s="1171"/>
      <c r="N26" s="1171"/>
      <c r="O26" s="1171"/>
      <c r="P26" s="1171"/>
    </row>
    <row r="27" spans="1:16" ht="13.5">
      <c r="A27" s="115">
        <v>25</v>
      </c>
      <c r="H27" s="1172"/>
      <c r="I27" s="1172"/>
      <c r="J27" s="1172"/>
      <c r="K27" s="1172"/>
      <c r="L27" s="1172"/>
      <c r="M27" s="584" t="s">
        <v>1310</v>
      </c>
      <c r="N27" s="1173" t="s">
        <v>1281</v>
      </c>
      <c r="O27" s="1174" t="s">
        <v>1311</v>
      </c>
      <c r="P27" s="1174"/>
    </row>
    <row r="28" spans="1:16" ht="13.5">
      <c r="A28" s="115">
        <v>26</v>
      </c>
      <c r="H28" s="1172"/>
      <c r="I28" s="1172"/>
      <c r="J28" s="1172"/>
      <c r="K28" s="1172"/>
      <c r="L28" s="1172"/>
      <c r="M28" s="584" t="s">
        <v>1312</v>
      </c>
      <c r="N28" s="1173"/>
      <c r="O28" s="1174"/>
      <c r="P28" s="1174"/>
    </row>
    <row r="29" spans="1:16" ht="14.25" thickBot="1">
      <c r="A29" s="115">
        <v>27</v>
      </c>
      <c r="H29" s="1167" t="s">
        <v>1313</v>
      </c>
      <c r="I29" s="1167"/>
      <c r="J29" s="1168" t="s">
        <v>1314</v>
      </c>
      <c r="K29" s="1168"/>
      <c r="L29" s="1168"/>
      <c r="M29" s="1168"/>
      <c r="N29" s="1168"/>
      <c r="O29" s="1168"/>
      <c r="P29" s="1168"/>
    </row>
    <row r="30" spans="1:16" ht="21.4" customHeight="1" thickTop="1">
      <c r="A30" s="115">
        <v>28</v>
      </c>
      <c r="H30" s="608"/>
    </row>
    <row r="31" spans="1:16" ht="13.5">
      <c r="A31" s="115">
        <v>29</v>
      </c>
      <c r="H31" s="610"/>
    </row>
    <row r="32" spans="1:16" ht="15.75">
      <c r="A32" s="115">
        <v>30</v>
      </c>
      <c r="H32" s="618" t="s">
        <v>1315</v>
      </c>
      <c r="I32"/>
      <c r="J32"/>
      <c r="K32"/>
      <c r="L32"/>
      <c r="M32"/>
    </row>
    <row r="33" spans="1:13" ht="14.65" thickBot="1">
      <c r="A33" s="115">
        <v>31</v>
      </c>
      <c r="H33" s="619" t="s">
        <v>113</v>
      </c>
      <c r="I33" s="619" t="s">
        <v>817</v>
      </c>
      <c r="J33" s="619" t="s">
        <v>127</v>
      </c>
      <c r="K33" s="619" t="s">
        <v>126</v>
      </c>
      <c r="L33" s="619" t="s">
        <v>8</v>
      </c>
      <c r="M33" s="619" t="s">
        <v>1316</v>
      </c>
    </row>
    <row r="34" spans="1:13" ht="28.9" thickBot="1">
      <c r="A34" s="115">
        <v>32</v>
      </c>
      <c r="H34" s="521">
        <v>1</v>
      </c>
      <c r="I34" s="620" t="str">
        <f>B19</f>
        <v>홍길동</v>
      </c>
      <c r="J34" s="620">
        <f>C19</f>
        <v>501111</v>
      </c>
      <c r="K34" s="388" t="str">
        <f>D19</f>
        <v>남</v>
      </c>
      <c r="L34" s="388" t="str">
        <f>E19</f>
        <v>010-111-2222</v>
      </c>
      <c r="M34" s="621" t="str">
        <f>F19</f>
        <v>참여 프로그램명1</v>
      </c>
    </row>
    <row r="35" spans="1:13" ht="28.9" thickBot="1">
      <c r="A35" s="115">
        <v>33</v>
      </c>
      <c r="H35" s="521">
        <v>2</v>
      </c>
      <c r="I35" s="620" t="str">
        <f t="shared" ref="I35:I63" si="0">B20</f>
        <v>수지</v>
      </c>
      <c r="J35" s="620">
        <f t="shared" ref="J35:J63" si="1">C20</f>
        <v>111111</v>
      </c>
      <c r="K35" s="388" t="str">
        <f t="shared" ref="K35:K63" si="2">D20</f>
        <v>여</v>
      </c>
      <c r="L35" s="388" t="str">
        <f t="shared" ref="L35:L63" si="3">E20</f>
        <v>010-111-2223</v>
      </c>
      <c r="M35" s="621" t="str">
        <f t="shared" ref="M35:M63" si="4">F20</f>
        <v>참여 프로그램명2</v>
      </c>
    </row>
    <row r="36" spans="1:13" ht="14.65" thickBot="1">
      <c r="A36" s="115">
        <v>34</v>
      </c>
      <c r="H36" s="521">
        <v>3</v>
      </c>
      <c r="I36" s="620">
        <f t="shared" si="0"/>
        <v>0</v>
      </c>
      <c r="J36" s="620">
        <f t="shared" si="1"/>
        <v>0</v>
      </c>
      <c r="K36" s="388">
        <f t="shared" si="2"/>
        <v>0</v>
      </c>
      <c r="L36" s="388">
        <f t="shared" si="3"/>
        <v>0</v>
      </c>
      <c r="M36" s="621">
        <f t="shared" si="4"/>
        <v>0</v>
      </c>
    </row>
    <row r="37" spans="1:13" ht="14.65" thickBot="1">
      <c r="A37" s="115">
        <v>35</v>
      </c>
      <c r="H37" s="521">
        <v>4</v>
      </c>
      <c r="I37" s="620">
        <f t="shared" si="0"/>
        <v>0</v>
      </c>
      <c r="J37" s="620">
        <f t="shared" si="1"/>
        <v>0</v>
      </c>
      <c r="K37" s="388">
        <f t="shared" si="2"/>
        <v>0</v>
      </c>
      <c r="L37" s="388">
        <f t="shared" si="3"/>
        <v>0</v>
      </c>
      <c r="M37" s="621">
        <f t="shared" si="4"/>
        <v>0</v>
      </c>
    </row>
    <row r="38" spans="1:13" ht="14.65" thickBot="1">
      <c r="A38" s="115">
        <v>36</v>
      </c>
      <c r="H38" s="521">
        <v>5</v>
      </c>
      <c r="I38" s="620">
        <f t="shared" si="0"/>
        <v>0</v>
      </c>
      <c r="J38" s="620">
        <f t="shared" si="1"/>
        <v>0</v>
      </c>
      <c r="K38" s="388">
        <f t="shared" si="2"/>
        <v>0</v>
      </c>
      <c r="L38" s="388">
        <f t="shared" si="3"/>
        <v>0</v>
      </c>
      <c r="M38" s="621">
        <f t="shared" si="4"/>
        <v>0</v>
      </c>
    </row>
    <row r="39" spans="1:13" ht="14.65" thickBot="1">
      <c r="A39" s="115">
        <v>37</v>
      </c>
      <c r="H39" s="521">
        <v>6</v>
      </c>
      <c r="I39" s="620">
        <f t="shared" si="0"/>
        <v>0</v>
      </c>
      <c r="J39" s="620">
        <f t="shared" si="1"/>
        <v>0</v>
      </c>
      <c r="K39" s="388">
        <f t="shared" si="2"/>
        <v>0</v>
      </c>
      <c r="L39" s="388">
        <f t="shared" si="3"/>
        <v>0</v>
      </c>
      <c r="M39" s="621">
        <f t="shared" si="4"/>
        <v>0</v>
      </c>
    </row>
    <row r="40" spans="1:13" ht="14.65" thickBot="1">
      <c r="A40" s="115">
        <v>38</v>
      </c>
      <c r="H40" s="521">
        <v>7</v>
      </c>
      <c r="I40" s="620">
        <f t="shared" si="0"/>
        <v>0</v>
      </c>
      <c r="J40" s="620">
        <f t="shared" si="1"/>
        <v>0</v>
      </c>
      <c r="K40" s="388">
        <f t="shared" si="2"/>
        <v>0</v>
      </c>
      <c r="L40" s="388">
        <f t="shared" si="3"/>
        <v>0</v>
      </c>
      <c r="M40" s="621">
        <f t="shared" si="4"/>
        <v>0</v>
      </c>
    </row>
    <row r="41" spans="1:13" ht="14.65" thickBot="1">
      <c r="A41" s="115">
        <v>39</v>
      </c>
      <c r="H41" s="521">
        <v>8</v>
      </c>
      <c r="I41" s="620">
        <f t="shared" si="0"/>
        <v>0</v>
      </c>
      <c r="J41" s="620">
        <f t="shared" si="1"/>
        <v>0</v>
      </c>
      <c r="K41" s="388">
        <f t="shared" si="2"/>
        <v>0</v>
      </c>
      <c r="L41" s="388">
        <f t="shared" si="3"/>
        <v>0</v>
      </c>
      <c r="M41" s="621">
        <f t="shared" si="4"/>
        <v>0</v>
      </c>
    </row>
    <row r="42" spans="1:13" ht="14.65" thickBot="1">
      <c r="A42" s="115">
        <v>40</v>
      </c>
      <c r="H42" s="521">
        <v>9</v>
      </c>
      <c r="I42" s="620">
        <f t="shared" si="0"/>
        <v>0</v>
      </c>
      <c r="J42" s="620">
        <f t="shared" si="1"/>
        <v>0</v>
      </c>
      <c r="K42" s="388">
        <f t="shared" si="2"/>
        <v>0</v>
      </c>
      <c r="L42" s="388">
        <f t="shared" si="3"/>
        <v>0</v>
      </c>
      <c r="M42" s="621">
        <f t="shared" si="4"/>
        <v>0</v>
      </c>
    </row>
    <row r="43" spans="1:13" ht="14.65" thickBot="1">
      <c r="A43" s="115">
        <v>41</v>
      </c>
      <c r="H43" s="521">
        <v>10</v>
      </c>
      <c r="I43" s="620">
        <f t="shared" si="0"/>
        <v>0</v>
      </c>
      <c r="J43" s="620">
        <f t="shared" si="1"/>
        <v>0</v>
      </c>
      <c r="K43" s="388">
        <f t="shared" si="2"/>
        <v>0</v>
      </c>
      <c r="L43" s="388">
        <f t="shared" si="3"/>
        <v>0</v>
      </c>
      <c r="M43" s="621">
        <f t="shared" si="4"/>
        <v>0</v>
      </c>
    </row>
    <row r="44" spans="1:13" ht="14.65" thickBot="1">
      <c r="A44" s="115">
        <v>42</v>
      </c>
      <c r="H44" s="521">
        <v>11</v>
      </c>
      <c r="I44" s="620">
        <f t="shared" si="0"/>
        <v>0</v>
      </c>
      <c r="J44" s="620">
        <f t="shared" si="1"/>
        <v>0</v>
      </c>
      <c r="K44" s="388">
        <f t="shared" si="2"/>
        <v>0</v>
      </c>
      <c r="L44" s="388">
        <f t="shared" si="3"/>
        <v>0</v>
      </c>
      <c r="M44" s="621">
        <f t="shared" si="4"/>
        <v>0</v>
      </c>
    </row>
    <row r="45" spans="1:13" ht="14.65" thickBot="1">
      <c r="A45" s="115">
        <v>43</v>
      </c>
      <c r="H45" s="521">
        <v>12</v>
      </c>
      <c r="I45" s="620">
        <f t="shared" si="0"/>
        <v>0</v>
      </c>
      <c r="J45" s="620">
        <f t="shared" si="1"/>
        <v>0</v>
      </c>
      <c r="K45" s="388">
        <f t="shared" si="2"/>
        <v>0</v>
      </c>
      <c r="L45" s="388">
        <f t="shared" si="3"/>
        <v>0</v>
      </c>
      <c r="M45" s="621">
        <f t="shared" si="4"/>
        <v>0</v>
      </c>
    </row>
    <row r="46" spans="1:13" ht="14.65" thickBot="1">
      <c r="A46" s="115">
        <v>44</v>
      </c>
      <c r="H46" s="521">
        <v>13</v>
      </c>
      <c r="I46" s="620">
        <f t="shared" si="0"/>
        <v>0</v>
      </c>
      <c r="J46" s="620">
        <f t="shared" si="1"/>
        <v>0</v>
      </c>
      <c r="K46" s="388">
        <f t="shared" si="2"/>
        <v>0</v>
      </c>
      <c r="L46" s="388">
        <f t="shared" si="3"/>
        <v>0</v>
      </c>
      <c r="M46" s="621">
        <f t="shared" si="4"/>
        <v>0</v>
      </c>
    </row>
    <row r="47" spans="1:13" ht="14.65" thickBot="1">
      <c r="A47" s="115">
        <v>45</v>
      </c>
      <c r="H47" s="521">
        <v>14</v>
      </c>
      <c r="I47" s="620">
        <f t="shared" si="0"/>
        <v>0</v>
      </c>
      <c r="J47" s="620">
        <f t="shared" si="1"/>
        <v>0</v>
      </c>
      <c r="K47" s="388">
        <f t="shared" si="2"/>
        <v>0</v>
      </c>
      <c r="L47" s="388">
        <f t="shared" si="3"/>
        <v>0</v>
      </c>
      <c r="M47" s="621">
        <f t="shared" si="4"/>
        <v>0</v>
      </c>
    </row>
    <row r="48" spans="1:13" ht="14.65" thickBot="1">
      <c r="A48" s="115">
        <v>46</v>
      </c>
      <c r="H48" s="521">
        <v>15</v>
      </c>
      <c r="I48" s="620">
        <f t="shared" si="0"/>
        <v>0</v>
      </c>
      <c r="J48" s="620">
        <f t="shared" si="1"/>
        <v>0</v>
      </c>
      <c r="K48" s="388">
        <f t="shared" si="2"/>
        <v>0</v>
      </c>
      <c r="L48" s="388">
        <f t="shared" si="3"/>
        <v>0</v>
      </c>
      <c r="M48" s="621">
        <f t="shared" si="4"/>
        <v>0</v>
      </c>
    </row>
    <row r="49" spans="1:13" ht="14.65" thickBot="1">
      <c r="A49" s="115">
        <v>47</v>
      </c>
      <c r="H49" s="521">
        <v>16</v>
      </c>
      <c r="I49" s="620">
        <f t="shared" si="0"/>
        <v>0</v>
      </c>
      <c r="J49" s="620">
        <f t="shared" si="1"/>
        <v>0</v>
      </c>
      <c r="K49" s="388">
        <f t="shared" si="2"/>
        <v>0</v>
      </c>
      <c r="L49" s="388">
        <f t="shared" si="3"/>
        <v>0</v>
      </c>
      <c r="M49" s="621">
        <f t="shared" si="4"/>
        <v>0</v>
      </c>
    </row>
    <row r="50" spans="1:13" ht="14.65" thickBot="1">
      <c r="A50" s="115">
        <v>48</v>
      </c>
      <c r="H50" s="521">
        <v>17</v>
      </c>
      <c r="I50" s="620">
        <f t="shared" si="0"/>
        <v>0</v>
      </c>
      <c r="J50" s="620">
        <f t="shared" si="1"/>
        <v>0</v>
      </c>
      <c r="K50" s="388">
        <f t="shared" si="2"/>
        <v>0</v>
      </c>
      <c r="L50" s="388">
        <f t="shared" si="3"/>
        <v>0</v>
      </c>
      <c r="M50" s="621">
        <f t="shared" si="4"/>
        <v>0</v>
      </c>
    </row>
    <row r="51" spans="1:13" ht="14.65" thickBot="1">
      <c r="A51" s="115">
        <v>49</v>
      </c>
      <c r="H51" s="521">
        <v>18</v>
      </c>
      <c r="I51" s="620">
        <f t="shared" si="0"/>
        <v>0</v>
      </c>
      <c r="J51" s="620">
        <f t="shared" si="1"/>
        <v>0</v>
      </c>
      <c r="K51" s="388">
        <f t="shared" si="2"/>
        <v>0</v>
      </c>
      <c r="L51" s="388">
        <f t="shared" si="3"/>
        <v>0</v>
      </c>
      <c r="M51" s="621">
        <f t="shared" si="4"/>
        <v>0</v>
      </c>
    </row>
    <row r="52" spans="1:13" ht="14.65" thickBot="1">
      <c r="A52" s="115">
        <v>50</v>
      </c>
      <c r="H52" s="521">
        <v>19</v>
      </c>
      <c r="I52" s="620">
        <f t="shared" si="0"/>
        <v>0</v>
      </c>
      <c r="J52" s="620">
        <f t="shared" si="1"/>
        <v>0</v>
      </c>
      <c r="K52" s="388">
        <f t="shared" si="2"/>
        <v>0</v>
      </c>
      <c r="L52" s="388">
        <f t="shared" si="3"/>
        <v>0</v>
      </c>
      <c r="M52" s="621">
        <f t="shared" si="4"/>
        <v>0</v>
      </c>
    </row>
    <row r="53" spans="1:13" ht="14.65" thickBot="1">
      <c r="A53" s="115">
        <v>51</v>
      </c>
      <c r="H53" s="521">
        <v>20</v>
      </c>
      <c r="I53" s="620">
        <f t="shared" si="0"/>
        <v>0</v>
      </c>
      <c r="J53" s="620">
        <f t="shared" si="1"/>
        <v>0</v>
      </c>
      <c r="K53" s="388">
        <f t="shared" si="2"/>
        <v>0</v>
      </c>
      <c r="L53" s="388">
        <f t="shared" si="3"/>
        <v>0</v>
      </c>
      <c r="M53" s="621">
        <f t="shared" si="4"/>
        <v>0</v>
      </c>
    </row>
    <row r="54" spans="1:13" ht="14.65" thickBot="1">
      <c r="A54" s="115">
        <v>52</v>
      </c>
      <c r="H54" s="521">
        <v>21</v>
      </c>
      <c r="I54" s="620">
        <f t="shared" si="0"/>
        <v>0</v>
      </c>
      <c r="J54" s="620">
        <f t="shared" si="1"/>
        <v>0</v>
      </c>
      <c r="K54" s="388">
        <f t="shared" si="2"/>
        <v>0</v>
      </c>
      <c r="L54" s="388">
        <f t="shared" si="3"/>
        <v>0</v>
      </c>
      <c r="M54" s="621">
        <f t="shared" si="4"/>
        <v>0</v>
      </c>
    </row>
    <row r="55" spans="1:13" ht="14.65" thickBot="1">
      <c r="A55" s="115">
        <v>53</v>
      </c>
      <c r="H55" s="521">
        <v>22</v>
      </c>
      <c r="I55" s="620">
        <f t="shared" si="0"/>
        <v>0</v>
      </c>
      <c r="J55" s="620">
        <f t="shared" si="1"/>
        <v>0</v>
      </c>
      <c r="K55" s="388">
        <f t="shared" si="2"/>
        <v>0</v>
      </c>
      <c r="L55" s="388">
        <f t="shared" si="3"/>
        <v>0</v>
      </c>
      <c r="M55" s="621">
        <f t="shared" si="4"/>
        <v>0</v>
      </c>
    </row>
    <row r="56" spans="1:13" ht="14.65" thickBot="1">
      <c r="A56" s="115">
        <v>54</v>
      </c>
      <c r="H56" s="521">
        <v>23</v>
      </c>
      <c r="I56" s="620">
        <f t="shared" si="0"/>
        <v>0</v>
      </c>
      <c r="J56" s="620">
        <f t="shared" si="1"/>
        <v>0</v>
      </c>
      <c r="K56" s="388">
        <f t="shared" si="2"/>
        <v>0</v>
      </c>
      <c r="L56" s="388">
        <f t="shared" si="3"/>
        <v>0</v>
      </c>
      <c r="M56" s="621">
        <f t="shared" si="4"/>
        <v>0</v>
      </c>
    </row>
    <row r="57" spans="1:13" ht="14.65" thickBot="1">
      <c r="A57" s="115">
        <v>55</v>
      </c>
      <c r="H57" s="521">
        <v>24</v>
      </c>
      <c r="I57" s="620">
        <f t="shared" si="0"/>
        <v>0</v>
      </c>
      <c r="J57" s="620">
        <f t="shared" si="1"/>
        <v>0</v>
      </c>
      <c r="K57" s="388">
        <f t="shared" si="2"/>
        <v>0</v>
      </c>
      <c r="L57" s="388">
        <f t="shared" si="3"/>
        <v>0</v>
      </c>
      <c r="M57" s="621">
        <f t="shared" si="4"/>
        <v>0</v>
      </c>
    </row>
    <row r="58" spans="1:13" ht="14.65" thickBot="1">
      <c r="A58" s="115">
        <v>56</v>
      </c>
      <c r="H58" s="521">
        <v>25</v>
      </c>
      <c r="I58" s="620">
        <f t="shared" si="0"/>
        <v>0</v>
      </c>
      <c r="J58" s="620">
        <f t="shared" si="1"/>
        <v>0</v>
      </c>
      <c r="K58" s="388">
        <f t="shared" si="2"/>
        <v>0</v>
      </c>
      <c r="L58" s="388">
        <f t="shared" si="3"/>
        <v>0</v>
      </c>
      <c r="M58" s="621">
        <f t="shared" si="4"/>
        <v>0</v>
      </c>
    </row>
    <row r="59" spans="1:13" ht="14.65" thickBot="1">
      <c r="A59" s="115">
        <v>57</v>
      </c>
      <c r="H59" s="521">
        <v>26</v>
      </c>
      <c r="I59" s="620">
        <f t="shared" si="0"/>
        <v>0</v>
      </c>
      <c r="J59" s="620">
        <f t="shared" si="1"/>
        <v>0</v>
      </c>
      <c r="K59" s="388">
        <f t="shared" si="2"/>
        <v>0</v>
      </c>
      <c r="L59" s="388">
        <f t="shared" si="3"/>
        <v>0</v>
      </c>
      <c r="M59" s="621">
        <f t="shared" si="4"/>
        <v>0</v>
      </c>
    </row>
    <row r="60" spans="1:13" ht="14.65" thickBot="1">
      <c r="A60" s="115">
        <v>58</v>
      </c>
      <c r="H60" s="521">
        <v>27</v>
      </c>
      <c r="I60" s="620">
        <f t="shared" si="0"/>
        <v>0</v>
      </c>
      <c r="J60" s="620">
        <f t="shared" si="1"/>
        <v>0</v>
      </c>
      <c r="K60" s="388">
        <f t="shared" si="2"/>
        <v>0</v>
      </c>
      <c r="L60" s="388">
        <f t="shared" si="3"/>
        <v>0</v>
      </c>
      <c r="M60" s="621">
        <f t="shared" si="4"/>
        <v>0</v>
      </c>
    </row>
    <row r="61" spans="1:13" ht="14.65" thickBot="1">
      <c r="A61" s="115">
        <v>59</v>
      </c>
      <c r="H61" s="521">
        <v>28</v>
      </c>
      <c r="I61" s="620">
        <f t="shared" si="0"/>
        <v>0</v>
      </c>
      <c r="J61" s="620">
        <f t="shared" si="1"/>
        <v>0</v>
      </c>
      <c r="K61" s="388">
        <f t="shared" si="2"/>
        <v>0</v>
      </c>
      <c r="L61" s="388">
        <f t="shared" si="3"/>
        <v>0</v>
      </c>
      <c r="M61" s="621">
        <f t="shared" si="4"/>
        <v>0</v>
      </c>
    </row>
    <row r="62" spans="1:13" ht="14.65" thickBot="1">
      <c r="A62" s="115">
        <v>60</v>
      </c>
      <c r="H62" s="521">
        <v>29</v>
      </c>
      <c r="I62" s="620">
        <f t="shared" si="0"/>
        <v>0</v>
      </c>
      <c r="J62" s="620">
        <f t="shared" si="1"/>
        <v>0</v>
      </c>
      <c r="K62" s="388">
        <f t="shared" si="2"/>
        <v>0</v>
      </c>
      <c r="L62" s="388">
        <f t="shared" si="3"/>
        <v>0</v>
      </c>
      <c r="M62" s="621">
        <f t="shared" si="4"/>
        <v>0</v>
      </c>
    </row>
    <row r="63" spans="1:13" ht="14.25">
      <c r="A63" s="115">
        <v>61</v>
      </c>
      <c r="H63" s="521">
        <v>30</v>
      </c>
      <c r="I63" s="620">
        <f t="shared" si="0"/>
        <v>0</v>
      </c>
      <c r="J63" s="620">
        <f t="shared" si="1"/>
        <v>0</v>
      </c>
      <c r="K63" s="388">
        <f t="shared" si="2"/>
        <v>0</v>
      </c>
      <c r="L63" s="388">
        <f t="shared" si="3"/>
        <v>0</v>
      </c>
      <c r="M63" s="621">
        <f t="shared" si="4"/>
        <v>0</v>
      </c>
    </row>
  </sheetData>
  <mergeCells count="60">
    <mergeCell ref="B16:F17"/>
    <mergeCell ref="B2:F2"/>
    <mergeCell ref="H3:P3"/>
    <mergeCell ref="H4:P4"/>
    <mergeCell ref="I5:J5"/>
    <mergeCell ref="L5:M5"/>
    <mergeCell ref="N5:P5"/>
    <mergeCell ref="I6:J6"/>
    <mergeCell ref="K6:P6"/>
    <mergeCell ref="I7:J7"/>
    <mergeCell ref="L7:M7"/>
    <mergeCell ref="N7:P7"/>
    <mergeCell ref="I8:J8"/>
    <mergeCell ref="L8:M8"/>
    <mergeCell ref="N8:P8"/>
    <mergeCell ref="I9:J9"/>
    <mergeCell ref="L9:M9"/>
    <mergeCell ref="N9:P9"/>
    <mergeCell ref="I10:K10"/>
    <mergeCell ref="L10:M10"/>
    <mergeCell ref="N10:O10"/>
    <mergeCell ref="I11:K11"/>
    <mergeCell ref="L11:M11"/>
    <mergeCell ref="N11:O11"/>
    <mergeCell ref="I12:K12"/>
    <mergeCell ref="L12:M12"/>
    <mergeCell ref="N12:O12"/>
    <mergeCell ref="I13:K13"/>
    <mergeCell ref="L13:M13"/>
    <mergeCell ref="N13:O13"/>
    <mergeCell ref="I14:K14"/>
    <mergeCell ref="L14:M14"/>
    <mergeCell ref="N14:O14"/>
    <mergeCell ref="I15:K15"/>
    <mergeCell ref="L15:M15"/>
    <mergeCell ref="N15:O15"/>
    <mergeCell ref="K19:P19"/>
    <mergeCell ref="I20:J20"/>
    <mergeCell ref="K20:P20"/>
    <mergeCell ref="I16:J16"/>
    <mergeCell ref="K16:M16"/>
    <mergeCell ref="N16:O16"/>
    <mergeCell ref="I17:J17"/>
    <mergeCell ref="K17:P17"/>
    <mergeCell ref="H29:I29"/>
    <mergeCell ref="J29:P29"/>
    <mergeCell ref="H2:P2"/>
    <mergeCell ref="H25:P25"/>
    <mergeCell ref="H26:P26"/>
    <mergeCell ref="H27:L28"/>
    <mergeCell ref="N27:N28"/>
    <mergeCell ref="O27:P28"/>
    <mergeCell ref="H21:P21"/>
    <mergeCell ref="H22:H23"/>
    <mergeCell ref="I22:P22"/>
    <mergeCell ref="I23:P23"/>
    <mergeCell ref="H24:P24"/>
    <mergeCell ref="I18:J18"/>
    <mergeCell ref="K18:P18"/>
    <mergeCell ref="I19:J19"/>
  </mergeCells>
  <phoneticPr fontId="11" type="noConversion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FD982-B12E-4471-A5F5-63055522EEFD}">
  <sheetPr codeName="Sheet20"/>
  <dimension ref="A1:AL69"/>
  <sheetViews>
    <sheetView topLeftCell="A13" workbookViewId="0">
      <selection activeCell="F45" sqref="F45"/>
    </sheetView>
    <sheetView workbookViewId="1"/>
  </sheetViews>
  <sheetFormatPr defaultRowHeight="12.75"/>
  <cols>
    <col min="1" max="1" width="14" style="47" customWidth="1"/>
    <col min="2" max="2" width="19.59765625" style="47" customWidth="1"/>
    <col min="3" max="3" width="25.53125" style="47" bestFit="1" customWidth="1"/>
    <col min="4" max="4" width="27.73046875" style="47" customWidth="1"/>
    <col min="5" max="5" width="13.3984375" style="47" bestFit="1" customWidth="1"/>
    <col min="6" max="6" width="21.86328125" style="47" bestFit="1" customWidth="1"/>
    <col min="7" max="7" width="9.06640625" style="47"/>
    <col min="8" max="8" width="10" style="47" customWidth="1"/>
    <col min="9" max="9" width="11.19921875" style="47" customWidth="1"/>
    <col min="10" max="10" width="9.06640625" style="47"/>
    <col min="11" max="11" width="8.265625" style="47" customWidth="1"/>
    <col min="12" max="12" width="9.06640625" style="47"/>
    <col min="13" max="13" width="14.06640625" style="47" customWidth="1"/>
    <col min="14" max="15" width="9.06640625" style="47"/>
    <col min="16" max="16" width="12.6640625" style="47" customWidth="1"/>
    <col min="17" max="16384" width="9.06640625" style="47"/>
  </cols>
  <sheetData>
    <row r="1" spans="1:38" ht="23.25">
      <c r="A1" s="112" t="s">
        <v>134</v>
      </c>
      <c r="B1" s="113">
        <v>1</v>
      </c>
      <c r="C1" s="113">
        <v>2</v>
      </c>
      <c r="D1" s="113">
        <v>3</v>
      </c>
      <c r="E1" s="113">
        <v>4</v>
      </c>
      <c r="F1" s="113">
        <v>5</v>
      </c>
      <c r="G1" s="113">
        <v>6</v>
      </c>
      <c r="H1" s="113">
        <v>7</v>
      </c>
      <c r="I1" s="113">
        <v>8</v>
      </c>
      <c r="J1" s="113">
        <v>9</v>
      </c>
      <c r="K1" s="113">
        <v>10</v>
      </c>
      <c r="L1" s="113">
        <v>11</v>
      </c>
      <c r="M1" s="113">
        <v>12</v>
      </c>
      <c r="N1" s="113">
        <v>13</v>
      </c>
      <c r="O1" s="113">
        <v>14</v>
      </c>
      <c r="P1" s="113">
        <v>15</v>
      </c>
      <c r="Q1" s="113">
        <v>16</v>
      </c>
      <c r="R1" s="113">
        <v>17</v>
      </c>
      <c r="S1" s="113">
        <v>18</v>
      </c>
      <c r="T1" s="113">
        <v>19</v>
      </c>
      <c r="U1" s="113">
        <v>20</v>
      </c>
      <c r="V1" s="113">
        <v>21</v>
      </c>
      <c r="W1" s="113">
        <v>22</v>
      </c>
      <c r="X1" s="113">
        <v>23</v>
      </c>
      <c r="Y1" s="113">
        <v>24</v>
      </c>
      <c r="Z1" s="113">
        <v>25</v>
      </c>
      <c r="AA1" s="113">
        <v>26</v>
      </c>
      <c r="AB1" s="113">
        <v>27</v>
      </c>
      <c r="AC1" s="113">
        <v>28</v>
      </c>
      <c r="AD1" s="113">
        <v>29</v>
      </c>
      <c r="AE1" s="113">
        <v>30</v>
      </c>
      <c r="AF1" s="113">
        <v>31</v>
      </c>
      <c r="AG1" s="113">
        <v>32</v>
      </c>
      <c r="AH1" s="113">
        <v>33</v>
      </c>
      <c r="AI1" s="113">
        <v>34</v>
      </c>
      <c r="AJ1" s="113">
        <v>35</v>
      </c>
      <c r="AK1" s="113">
        <v>36</v>
      </c>
      <c r="AL1" s="113">
        <v>37</v>
      </c>
    </row>
    <row r="2" spans="1:38" ht="25.15">
      <c r="A2" s="114">
        <v>0</v>
      </c>
      <c r="B2" s="1151" t="s">
        <v>1318</v>
      </c>
      <c r="C2" s="1153"/>
      <c r="D2" s="1153"/>
      <c r="E2" s="1153"/>
      <c r="F2" s="1153"/>
      <c r="I2" s="1543" t="s">
        <v>1436</v>
      </c>
      <c r="J2" s="1487"/>
      <c r="K2" s="1487"/>
      <c r="L2" s="1487"/>
      <c r="M2" s="1487"/>
      <c r="N2" s="1487"/>
      <c r="O2" s="1487"/>
      <c r="P2" s="1487"/>
      <c r="Q2" s="1487"/>
      <c r="R2" s="1487"/>
    </row>
    <row r="3" spans="1:38" ht="18" thickBot="1">
      <c r="A3" s="115">
        <v>1</v>
      </c>
      <c r="B3" s="322" t="s">
        <v>1270</v>
      </c>
      <c r="C3" s="601" t="s">
        <v>1080</v>
      </c>
      <c r="D3" s="490" t="s">
        <v>1081</v>
      </c>
      <c r="E3" s="601" t="s">
        <v>1080</v>
      </c>
      <c r="F3" s="490" t="s">
        <v>1081</v>
      </c>
      <c r="I3" s="1490" t="s">
        <v>1394</v>
      </c>
      <c r="J3" s="1490"/>
      <c r="K3" s="1490"/>
      <c r="L3" s="1490"/>
      <c r="M3" s="1490"/>
      <c r="N3" s="1490"/>
      <c r="O3" s="1490"/>
      <c r="P3" s="1490"/>
      <c r="Q3" s="1490"/>
      <c r="R3" s="1490"/>
    </row>
    <row r="4" spans="1:38" ht="26.65" customHeight="1" thickTop="1">
      <c r="A4" s="115">
        <v>2</v>
      </c>
      <c r="B4" s="602"/>
      <c r="C4" s="625" t="s">
        <v>1319</v>
      </c>
      <c r="D4" s="270"/>
      <c r="E4" s="286" t="s">
        <v>1320</v>
      </c>
      <c r="F4" s="270"/>
      <c r="I4" s="1500" t="s">
        <v>1395</v>
      </c>
      <c r="J4" s="1501">
        <f>D4</f>
        <v>0</v>
      </c>
      <c r="K4" s="1502"/>
      <c r="L4" s="1502"/>
      <c r="M4" s="1503"/>
      <c r="N4" s="1504" t="s">
        <v>1396</v>
      </c>
      <c r="O4" s="1505"/>
      <c r="P4" s="1506">
        <f>D5</f>
        <v>0</v>
      </c>
      <c r="Q4" s="1506"/>
      <c r="R4" s="1507"/>
    </row>
    <row r="5" spans="1:38" ht="31.5" customHeight="1">
      <c r="A5" s="115">
        <v>3</v>
      </c>
      <c r="B5" s="602"/>
      <c r="C5" s="284" t="s">
        <v>1321</v>
      </c>
      <c r="D5" s="270"/>
      <c r="E5" s="286" t="s">
        <v>801</v>
      </c>
      <c r="F5" s="270"/>
      <c r="I5" s="1508" t="s">
        <v>1397</v>
      </c>
      <c r="J5" s="1489">
        <f>D6</f>
        <v>0</v>
      </c>
      <c r="K5" s="1489"/>
      <c r="L5" s="1489"/>
      <c r="M5" s="1489"/>
      <c r="N5" s="1489"/>
      <c r="O5" s="1489"/>
      <c r="P5" s="1489"/>
      <c r="Q5" s="1489"/>
      <c r="R5" s="1509"/>
    </row>
    <row r="6" spans="1:38" ht="15.4" thickBot="1">
      <c r="A6" s="115">
        <v>4</v>
      </c>
      <c r="B6" s="602"/>
      <c r="C6" s="285" t="s">
        <v>1322</v>
      </c>
      <c r="D6" s="270"/>
      <c r="E6" s="286" t="s">
        <v>802</v>
      </c>
      <c r="F6" s="270"/>
      <c r="I6" s="1510" t="s">
        <v>1398</v>
      </c>
      <c r="J6" s="1511" t="s">
        <v>1399</v>
      </c>
      <c r="K6" s="1512"/>
      <c r="L6" s="1513">
        <f>D7</f>
        <v>0</v>
      </c>
      <c r="M6" s="1514"/>
      <c r="N6" s="1511" t="s">
        <v>1400</v>
      </c>
      <c r="O6" s="1512"/>
      <c r="P6" s="1515">
        <f>D8</f>
        <v>0</v>
      </c>
      <c r="Q6" s="1516"/>
      <c r="R6" s="1517"/>
    </row>
    <row r="7" spans="1:38" ht="15.4" thickBot="1">
      <c r="A7" s="115">
        <v>5</v>
      </c>
      <c r="B7" s="602"/>
      <c r="C7" s="284" t="s">
        <v>1036</v>
      </c>
      <c r="D7" s="270"/>
      <c r="E7" s="286" t="s">
        <v>1323</v>
      </c>
      <c r="F7" s="270"/>
      <c r="I7" s="1490" t="s">
        <v>1401</v>
      </c>
      <c r="J7" s="1490"/>
      <c r="K7" s="1490"/>
      <c r="L7" s="1490"/>
      <c r="M7" s="1490"/>
      <c r="N7" s="1490"/>
      <c r="O7" s="1490"/>
      <c r="P7" s="1490"/>
      <c r="Q7" s="1490"/>
      <c r="R7" s="1490"/>
    </row>
    <row r="8" spans="1:38" ht="26.65" customHeight="1" thickBot="1">
      <c r="A8" s="115">
        <v>6</v>
      </c>
      <c r="B8" s="604"/>
      <c r="C8" s="287" t="s">
        <v>1138</v>
      </c>
      <c r="D8" s="605"/>
      <c r="E8" s="606"/>
      <c r="F8" s="605"/>
      <c r="I8" s="1500" t="s">
        <v>1402</v>
      </c>
      <c r="J8" s="1518">
        <f>D10</f>
        <v>0</v>
      </c>
      <c r="K8" s="1519"/>
      <c r="L8" s="1519"/>
      <c r="M8" s="1533"/>
      <c r="N8" s="1532" t="s">
        <v>1403</v>
      </c>
      <c r="O8" s="1520">
        <f>D11</f>
        <v>0</v>
      </c>
      <c r="P8" s="1521"/>
      <c r="Q8" s="1521"/>
      <c r="R8" s="1522"/>
    </row>
    <row r="9" spans="1:38" ht="31.5" customHeight="1">
      <c r="A9" s="115">
        <v>7</v>
      </c>
      <c r="C9" s="623"/>
      <c r="D9" s="622"/>
      <c r="E9" s="623"/>
      <c r="F9" s="622"/>
      <c r="I9" s="1523" t="s">
        <v>1397</v>
      </c>
      <c r="J9" s="879">
        <f>D12</f>
        <v>0</v>
      </c>
      <c r="K9" s="880"/>
      <c r="L9" s="880"/>
      <c r="M9" s="880"/>
      <c r="N9" s="1494"/>
      <c r="O9" s="1494"/>
      <c r="P9" s="1494"/>
      <c r="Q9" s="1494"/>
      <c r="R9" s="1525"/>
    </row>
    <row r="10" spans="1:38" ht="15.4" thickBot="1">
      <c r="A10" s="115">
        <v>8</v>
      </c>
      <c r="B10" s="624"/>
      <c r="C10" s="284" t="s">
        <v>1130</v>
      </c>
      <c r="D10" s="279"/>
      <c r="E10" s="284"/>
      <c r="F10" s="279"/>
      <c r="I10" s="1524" t="s">
        <v>1398</v>
      </c>
      <c r="J10" s="1491" t="s">
        <v>1404</v>
      </c>
      <c r="K10" s="1492"/>
      <c r="L10" s="1493">
        <f>D13</f>
        <v>0</v>
      </c>
      <c r="M10" s="1534"/>
      <c r="N10" s="1541" t="s">
        <v>1405</v>
      </c>
      <c r="O10" s="1515">
        <f>D14</f>
        <v>0</v>
      </c>
      <c r="P10" s="1516"/>
      <c r="Q10" s="1516"/>
      <c r="R10" s="1517"/>
    </row>
    <row r="11" spans="1:38" ht="15" customHeight="1">
      <c r="A11" s="115">
        <v>9</v>
      </c>
      <c r="B11" s="602"/>
      <c r="C11" s="284" t="s">
        <v>1321</v>
      </c>
      <c r="D11" s="270"/>
      <c r="E11" s="286"/>
      <c r="F11" s="270"/>
      <c r="I11" s="1526" t="s">
        <v>1406</v>
      </c>
      <c r="J11" s="1475">
        <f>D15</f>
        <v>0</v>
      </c>
      <c r="K11" s="1488"/>
      <c r="L11" s="1488"/>
      <c r="M11" s="1536"/>
      <c r="N11" s="1540" t="s">
        <v>1407</v>
      </c>
      <c r="O11" s="1496">
        <f>D16</f>
        <v>0</v>
      </c>
      <c r="P11" s="1497"/>
      <c r="Q11" s="1497"/>
      <c r="R11" s="1527"/>
    </row>
    <row r="12" spans="1:38" ht="15.75" customHeight="1">
      <c r="A12" s="115">
        <v>10</v>
      </c>
      <c r="B12" s="602"/>
      <c r="C12" s="284" t="s">
        <v>1322</v>
      </c>
      <c r="D12" s="270"/>
      <c r="E12" s="286"/>
      <c r="F12" s="270"/>
      <c r="I12" s="1539" t="s">
        <v>1408</v>
      </c>
      <c r="J12" s="1476"/>
      <c r="K12" s="1495"/>
      <c r="L12" s="1495"/>
      <c r="M12" s="1537"/>
      <c r="N12" s="1535"/>
      <c r="O12" s="1498"/>
      <c r="P12" s="1499"/>
      <c r="Q12" s="1499"/>
      <c r="R12" s="1528"/>
    </row>
    <row r="13" spans="1:38" ht="26.65" customHeight="1" thickBot="1">
      <c r="A13" s="115">
        <v>11</v>
      </c>
      <c r="B13" s="602"/>
      <c r="C13" s="284" t="s">
        <v>1036</v>
      </c>
      <c r="D13" s="270"/>
      <c r="E13" s="286"/>
      <c r="F13" s="270"/>
      <c r="I13" s="1538" t="s">
        <v>1409</v>
      </c>
      <c r="J13" s="1529">
        <f>D17</f>
        <v>0</v>
      </c>
      <c r="K13" s="1530"/>
      <c r="L13" s="1530"/>
      <c r="M13" s="1530"/>
      <c r="N13" s="1530"/>
      <c r="O13" s="1530"/>
      <c r="P13" s="1530"/>
      <c r="Q13" s="1530"/>
      <c r="R13" s="1531"/>
    </row>
    <row r="14" spans="1:38" ht="31.9" customHeight="1">
      <c r="A14" s="115">
        <v>12</v>
      </c>
      <c r="B14" s="602"/>
      <c r="C14" s="284" t="s">
        <v>1138</v>
      </c>
      <c r="D14" s="270"/>
      <c r="E14" s="286"/>
      <c r="F14" s="270"/>
      <c r="I14" s="1542" t="s">
        <v>1410</v>
      </c>
      <c r="J14" s="1542"/>
      <c r="K14" s="1542"/>
      <c r="L14" s="1542"/>
      <c r="M14" s="1542"/>
      <c r="N14" s="1542"/>
      <c r="O14" s="1542"/>
      <c r="P14" s="1542"/>
      <c r="Q14" s="1542"/>
      <c r="R14" s="1542"/>
    </row>
    <row r="15" spans="1:38" ht="15.75" customHeight="1">
      <c r="A15" s="115">
        <v>13</v>
      </c>
      <c r="B15" s="602"/>
      <c r="C15" s="284" t="s">
        <v>1324</v>
      </c>
      <c r="D15" s="270"/>
      <c r="E15" s="286"/>
      <c r="F15" s="270"/>
      <c r="I15" s="1477" t="s">
        <v>1411</v>
      </c>
      <c r="J15" s="1478"/>
      <c r="K15" s="1479"/>
      <c r="L15" s="1255" t="s">
        <v>1412</v>
      </c>
      <c r="M15" s="1480"/>
      <c r="N15" s="1480" t="s">
        <v>1413</v>
      </c>
      <c r="O15" s="1480"/>
      <c r="P15" s="1480" t="s">
        <v>1414</v>
      </c>
      <c r="Q15" s="1480"/>
      <c r="R15" s="1256"/>
    </row>
    <row r="16" spans="1:38" ht="16.5" customHeight="1">
      <c r="A16" s="115">
        <v>14</v>
      </c>
      <c r="B16" s="602"/>
      <c r="C16" s="285" t="s">
        <v>1325</v>
      </c>
      <c r="D16" s="270"/>
      <c r="E16" s="286"/>
      <c r="F16" s="270"/>
      <c r="I16" s="1477" t="s">
        <v>1415</v>
      </c>
      <c r="J16" s="1478"/>
      <c r="K16" s="1479"/>
      <c r="L16" s="879">
        <f>F4</f>
        <v>0</v>
      </c>
      <c r="M16" s="880"/>
      <c r="N16" s="880"/>
      <c r="O16" s="880"/>
      <c r="P16" s="880"/>
      <c r="Q16" s="880"/>
      <c r="R16" s="881"/>
    </row>
    <row r="17" spans="1:18" ht="17.25" customHeight="1" thickBot="1">
      <c r="A17" s="115">
        <v>15</v>
      </c>
      <c r="B17" s="604"/>
      <c r="C17" s="287" t="s">
        <v>1326</v>
      </c>
      <c r="D17" s="605"/>
      <c r="E17" s="606"/>
      <c r="F17" s="605"/>
      <c r="I17" s="1477" t="s">
        <v>1416</v>
      </c>
      <c r="J17" s="1478"/>
      <c r="K17" s="1479"/>
      <c r="L17" s="879">
        <f>F5</f>
        <v>0</v>
      </c>
      <c r="M17" s="880"/>
      <c r="N17" s="880"/>
      <c r="O17" s="880"/>
      <c r="P17" s="880"/>
      <c r="Q17" s="880"/>
      <c r="R17" s="881"/>
    </row>
    <row r="18" spans="1:18" ht="16.899999999999999" customHeight="1">
      <c r="A18" s="115">
        <v>16</v>
      </c>
      <c r="E18" s="603"/>
      <c r="I18" s="1477" t="s">
        <v>1417</v>
      </c>
      <c r="J18" s="1478"/>
      <c r="K18" s="1479"/>
      <c r="L18" s="879">
        <f>F6</f>
        <v>0</v>
      </c>
      <c r="M18" s="880"/>
      <c r="N18" s="880"/>
      <c r="O18" s="880"/>
      <c r="P18" s="880"/>
      <c r="Q18" s="880"/>
      <c r="R18" s="881"/>
    </row>
    <row r="19" spans="1:18" ht="25.5" thickBot="1">
      <c r="A19" s="115">
        <v>17</v>
      </c>
      <c r="B19" s="1211" t="s">
        <v>1327</v>
      </c>
      <c r="C19" s="1212"/>
      <c r="D19" s="1212"/>
      <c r="E19" s="1212"/>
      <c r="F19" s="1212"/>
      <c r="G19" s="1212"/>
      <c r="I19" s="1477" t="s">
        <v>1418</v>
      </c>
      <c r="J19" s="1478"/>
      <c r="K19" s="1479"/>
      <c r="L19" s="817">
        <f>F7</f>
        <v>0</v>
      </c>
      <c r="M19" s="832"/>
      <c r="N19" s="832"/>
      <c r="O19" s="832"/>
      <c r="P19" s="832"/>
      <c r="Q19" s="832"/>
      <c r="R19" s="818"/>
    </row>
    <row r="20" spans="1:18" ht="13.9" customHeight="1" thickTop="1">
      <c r="A20" s="115">
        <v>18</v>
      </c>
      <c r="B20" s="626" t="s">
        <v>1328</v>
      </c>
      <c r="C20" s="626" t="s">
        <v>1329</v>
      </c>
      <c r="D20" s="627" t="s">
        <v>1330</v>
      </c>
      <c r="E20" s="626" t="s">
        <v>1331</v>
      </c>
      <c r="F20" s="626" t="s">
        <v>1332</v>
      </c>
      <c r="G20" s="628" t="s">
        <v>1333</v>
      </c>
      <c r="I20" s="819"/>
      <c r="J20" s="819"/>
      <c r="K20" s="819"/>
      <c r="L20" s="819"/>
      <c r="M20" s="819"/>
      <c r="N20" s="819"/>
      <c r="O20" s="819"/>
      <c r="P20" s="819"/>
      <c r="Q20" s="819"/>
      <c r="R20" s="819"/>
    </row>
    <row r="21" spans="1:18" ht="16.899999999999999" customHeight="1">
      <c r="A21" s="115">
        <v>19</v>
      </c>
      <c r="B21" s="47" t="s">
        <v>1334</v>
      </c>
      <c r="C21" s="588" t="s">
        <v>1335</v>
      </c>
      <c r="D21" s="553" t="s">
        <v>1208</v>
      </c>
      <c r="E21" s="588" t="s">
        <v>1336</v>
      </c>
      <c r="F21" s="588" t="s">
        <v>1337</v>
      </c>
      <c r="G21" s="553" t="s">
        <v>1338</v>
      </c>
      <c r="I21" s="1481" t="s">
        <v>1419</v>
      </c>
      <c r="J21" s="1481" t="s">
        <v>1420</v>
      </c>
      <c r="K21" s="1482" t="s">
        <v>1421</v>
      </c>
      <c r="L21" s="1483"/>
      <c r="M21" s="1482" t="s">
        <v>1422</v>
      </c>
      <c r="N21" s="1483"/>
      <c r="O21" s="1482" t="s">
        <v>1423</v>
      </c>
      <c r="P21" s="1483"/>
      <c r="Q21" s="1481" t="s">
        <v>1424</v>
      </c>
      <c r="R21" s="1481" t="s">
        <v>1425</v>
      </c>
    </row>
    <row r="22" spans="1:18" ht="25.5">
      <c r="A22" s="115">
        <v>20</v>
      </c>
      <c r="B22" s="629" t="s">
        <v>1209</v>
      </c>
      <c r="C22" s="588" t="s">
        <v>1339</v>
      </c>
      <c r="D22" s="553" t="s">
        <v>1208</v>
      </c>
      <c r="E22" s="588" t="s">
        <v>1340</v>
      </c>
      <c r="F22" s="588" t="s">
        <v>1341</v>
      </c>
      <c r="G22" s="553" t="s">
        <v>1342</v>
      </c>
      <c r="I22" s="339" t="s">
        <v>1426</v>
      </c>
      <c r="J22" s="1474" t="s">
        <v>1427</v>
      </c>
      <c r="K22" s="1008" t="s">
        <v>1393</v>
      </c>
      <c r="L22" s="820"/>
      <c r="M22" s="1008" t="s">
        <v>1393</v>
      </c>
      <c r="N22" s="820"/>
      <c r="O22" s="1008" t="s">
        <v>1393</v>
      </c>
      <c r="P22" s="820"/>
      <c r="Q22" s="521" t="s">
        <v>1393</v>
      </c>
      <c r="R22" s="521" t="s">
        <v>1393</v>
      </c>
    </row>
    <row r="23" spans="1:18" ht="13.9">
      <c r="A23" s="115">
        <v>21</v>
      </c>
      <c r="B23" s="630"/>
      <c r="C23" s="588" t="s">
        <v>1343</v>
      </c>
      <c r="D23" s="553" t="s">
        <v>1208</v>
      </c>
      <c r="E23" s="588" t="s">
        <v>1344</v>
      </c>
      <c r="F23" s="588" t="s">
        <v>1345</v>
      </c>
      <c r="G23" s="553" t="s">
        <v>1346</v>
      </c>
      <c r="I23" s="340" t="s">
        <v>1392</v>
      </c>
      <c r="J23" s="1474" t="s">
        <v>1428</v>
      </c>
      <c r="K23" s="1008"/>
      <c r="L23" s="819"/>
      <c r="M23" s="819"/>
      <c r="N23" s="819"/>
      <c r="O23" s="819"/>
      <c r="P23" s="820"/>
      <c r="Q23" s="1008"/>
      <c r="R23" s="820"/>
    </row>
    <row r="24" spans="1:18" ht="13.9">
      <c r="A24" s="115">
        <v>22</v>
      </c>
      <c r="B24" s="630"/>
      <c r="C24" s="588" t="s">
        <v>1347</v>
      </c>
      <c r="D24" s="553" t="s">
        <v>1208</v>
      </c>
      <c r="E24" s="588" t="s">
        <v>1348</v>
      </c>
      <c r="F24" s="588" t="s">
        <v>1349</v>
      </c>
      <c r="G24" s="553" t="s">
        <v>1350</v>
      </c>
      <c r="I24" s="1484"/>
      <c r="J24" s="1474" t="s">
        <v>1429</v>
      </c>
      <c r="K24" s="1005"/>
      <c r="L24" s="1006"/>
      <c r="M24" s="1005"/>
      <c r="N24" s="1006"/>
      <c r="O24" s="1005"/>
      <c r="P24" s="1006"/>
      <c r="Q24" s="597"/>
      <c r="R24" s="597"/>
    </row>
    <row r="25" spans="1:18" ht="13.9">
      <c r="A25" s="115">
        <v>23</v>
      </c>
      <c r="B25" s="631"/>
      <c r="C25" s="588" t="s">
        <v>1351</v>
      </c>
      <c r="D25" s="553" t="s">
        <v>1208</v>
      </c>
      <c r="E25" s="588" t="s">
        <v>1352</v>
      </c>
      <c r="F25" s="588" t="s">
        <v>1353</v>
      </c>
      <c r="G25" s="553" t="s">
        <v>1354</v>
      </c>
      <c r="I25" s="1485"/>
      <c r="J25" s="1474" t="s">
        <v>1430</v>
      </c>
      <c r="K25" s="1008"/>
      <c r="L25" s="820"/>
      <c r="M25" s="1008"/>
      <c r="N25" s="820"/>
      <c r="O25" s="1008"/>
      <c r="P25" s="820"/>
      <c r="Q25" s="521"/>
      <c r="R25" s="521"/>
    </row>
    <row r="26" spans="1:18" ht="15.4" customHeight="1">
      <c r="A26" s="115">
        <v>24</v>
      </c>
      <c r="B26" s="47" t="s">
        <v>1355</v>
      </c>
      <c r="C26" s="588" t="s">
        <v>1335</v>
      </c>
      <c r="D26" s="553" t="s">
        <v>1208</v>
      </c>
      <c r="E26" s="588" t="s">
        <v>1356</v>
      </c>
      <c r="F26" s="588" t="s">
        <v>1357</v>
      </c>
      <c r="G26" s="553" t="s">
        <v>1358</v>
      </c>
      <c r="I26" s="339" t="s">
        <v>1431</v>
      </c>
      <c r="J26" s="1474" t="s">
        <v>1427</v>
      </c>
      <c r="K26" s="1008" t="s">
        <v>1393</v>
      </c>
      <c r="L26" s="820"/>
      <c r="M26" s="1008" t="s">
        <v>1393</v>
      </c>
      <c r="N26" s="820"/>
      <c r="O26" s="1008" t="s">
        <v>1393</v>
      </c>
      <c r="P26" s="820"/>
      <c r="Q26" s="521" t="s">
        <v>1393</v>
      </c>
      <c r="R26" s="521" t="s">
        <v>1393</v>
      </c>
    </row>
    <row r="27" spans="1:18" ht="13.9">
      <c r="A27" s="115">
        <v>25</v>
      </c>
      <c r="B27" s="629" t="s">
        <v>1209</v>
      </c>
      <c r="C27" s="588" t="s">
        <v>1339</v>
      </c>
      <c r="D27" s="553" t="s">
        <v>1208</v>
      </c>
      <c r="E27" s="588" t="s">
        <v>1359</v>
      </c>
      <c r="F27" s="588" t="s">
        <v>1360</v>
      </c>
      <c r="G27" s="553" t="s">
        <v>1361</v>
      </c>
      <c r="I27" s="340" t="s">
        <v>1392</v>
      </c>
      <c r="J27" s="1474" t="s">
        <v>1428</v>
      </c>
      <c r="K27" s="1471"/>
      <c r="L27" s="1472"/>
      <c r="M27" s="1472"/>
      <c r="N27" s="1473"/>
      <c r="O27" s="1008"/>
      <c r="P27" s="820"/>
      <c r="Q27" s="1008"/>
      <c r="R27" s="820"/>
    </row>
    <row r="28" spans="1:18" ht="13.9">
      <c r="A28" s="115">
        <v>26</v>
      </c>
      <c r="B28" s="630"/>
      <c r="C28" s="588" t="s">
        <v>1343</v>
      </c>
      <c r="D28" s="553" t="s">
        <v>1208</v>
      </c>
      <c r="E28" s="588" t="s">
        <v>1362</v>
      </c>
      <c r="F28" s="588" t="s">
        <v>1363</v>
      </c>
      <c r="G28" s="553" t="s">
        <v>1364</v>
      </c>
      <c r="I28" s="1484"/>
      <c r="J28" s="1474" t="s">
        <v>1429</v>
      </c>
      <c r="K28" s="1005"/>
      <c r="L28" s="1006"/>
      <c r="M28" s="1005"/>
      <c r="N28" s="1006"/>
      <c r="O28" s="1005"/>
      <c r="P28" s="1006"/>
      <c r="Q28" s="597"/>
      <c r="R28" s="597"/>
    </row>
    <row r="29" spans="1:18" ht="13.9">
      <c r="A29" s="115">
        <v>27</v>
      </c>
      <c r="B29" s="630"/>
      <c r="C29" s="588" t="s">
        <v>1347</v>
      </c>
      <c r="D29" s="553" t="s">
        <v>1208</v>
      </c>
      <c r="E29" s="588" t="s">
        <v>1365</v>
      </c>
      <c r="F29" s="588" t="s">
        <v>1366</v>
      </c>
      <c r="G29" s="553" t="s">
        <v>1367</v>
      </c>
      <c r="I29" s="1485"/>
      <c r="J29" s="1474" t="s">
        <v>1430</v>
      </c>
      <c r="K29" s="1008"/>
      <c r="L29" s="820"/>
      <c r="M29" s="1008"/>
      <c r="N29" s="820"/>
      <c r="O29" s="1008"/>
      <c r="P29" s="820"/>
      <c r="Q29" s="521"/>
      <c r="R29" s="521"/>
    </row>
    <row r="30" spans="1:18" ht="21.4" customHeight="1">
      <c r="A30" s="115">
        <v>28</v>
      </c>
      <c r="B30" s="631"/>
      <c r="C30" s="588" t="s">
        <v>1351</v>
      </c>
      <c r="D30" s="553" t="s">
        <v>1208</v>
      </c>
      <c r="E30" s="588" t="s">
        <v>1368</v>
      </c>
      <c r="F30" s="588" t="s">
        <v>1369</v>
      </c>
      <c r="G30" s="553" t="s">
        <v>1370</v>
      </c>
    </row>
    <row r="31" spans="1:18" ht="13.5">
      <c r="A31" s="115">
        <v>29</v>
      </c>
      <c r="B31" s="47" t="s">
        <v>1371</v>
      </c>
      <c r="C31" s="588" t="s">
        <v>1335</v>
      </c>
      <c r="D31" s="553" t="s">
        <v>1208</v>
      </c>
      <c r="E31" s="588" t="s">
        <v>1372</v>
      </c>
      <c r="F31" s="588" t="s">
        <v>1373</v>
      </c>
      <c r="G31" s="553" t="s">
        <v>1374</v>
      </c>
    </row>
    <row r="32" spans="1:18" ht="13.5">
      <c r="A32" s="115">
        <v>30</v>
      </c>
      <c r="B32" s="629" t="s">
        <v>1209</v>
      </c>
      <c r="C32" s="588" t="s">
        <v>1339</v>
      </c>
      <c r="D32" s="553" t="s">
        <v>1208</v>
      </c>
      <c r="E32" s="588" t="s">
        <v>1375</v>
      </c>
      <c r="F32" s="588" t="s">
        <v>1376</v>
      </c>
      <c r="G32" s="553" t="s">
        <v>1377</v>
      </c>
    </row>
    <row r="33" spans="1:17" ht="13.5">
      <c r="A33" s="115">
        <v>31</v>
      </c>
      <c r="B33" s="630"/>
      <c r="C33" s="588" t="s">
        <v>1343</v>
      </c>
      <c r="D33" s="553" t="s">
        <v>1208</v>
      </c>
      <c r="E33" s="588" t="s">
        <v>1378</v>
      </c>
      <c r="F33" s="588" t="s">
        <v>1379</v>
      </c>
      <c r="G33" s="553" t="s">
        <v>1380</v>
      </c>
    </row>
    <row r="34" spans="1:17" ht="13.5">
      <c r="A34" s="115">
        <v>32</v>
      </c>
      <c r="B34" s="630"/>
      <c r="C34" s="588" t="s">
        <v>1347</v>
      </c>
      <c r="D34" s="553" t="s">
        <v>1208</v>
      </c>
      <c r="E34" s="588" t="s">
        <v>1381</v>
      </c>
      <c r="F34" s="588" t="s">
        <v>1382</v>
      </c>
      <c r="G34" s="553" t="s">
        <v>1383</v>
      </c>
    </row>
    <row r="35" spans="1:17" ht="13.5">
      <c r="A35" s="115">
        <v>33</v>
      </c>
      <c r="B35" s="631"/>
      <c r="C35" s="588" t="s">
        <v>1351</v>
      </c>
      <c r="D35" s="553" t="s">
        <v>1208</v>
      </c>
      <c r="E35" s="588" t="s">
        <v>1384</v>
      </c>
      <c r="F35" s="588" t="s">
        <v>1385</v>
      </c>
      <c r="G35" s="553" t="s">
        <v>1386</v>
      </c>
    </row>
    <row r="36" spans="1:17" ht="13.5">
      <c r="A36" s="115">
        <v>34</v>
      </c>
    </row>
    <row r="37" spans="1:17" ht="19.5" thickBot="1">
      <c r="A37" s="115">
        <v>35</v>
      </c>
      <c r="B37" s="1486" t="s">
        <v>1432</v>
      </c>
      <c r="C37" s="284" t="s">
        <v>1387</v>
      </c>
      <c r="D37" s="279"/>
      <c r="E37" s="284" t="s">
        <v>1388</v>
      </c>
      <c r="F37" s="279"/>
      <c r="I37" s="1560" t="s">
        <v>1437</v>
      </c>
      <c r="J37" s="1560"/>
      <c r="K37" s="1560"/>
      <c r="L37" s="1560"/>
      <c r="M37" s="1560"/>
      <c r="N37" s="1560"/>
      <c r="O37" s="1560"/>
      <c r="P37" s="1560"/>
      <c r="Q37" s="1560"/>
    </row>
    <row r="38" spans="1:17" ht="15.75" customHeight="1">
      <c r="A38" s="115">
        <v>36</v>
      </c>
      <c r="B38" s="1209"/>
      <c r="C38" s="285" t="s">
        <v>1389</v>
      </c>
      <c r="D38" s="270"/>
      <c r="E38" s="286"/>
      <c r="F38" s="270"/>
      <c r="I38" s="1549" t="s">
        <v>1438</v>
      </c>
      <c r="J38" s="1550"/>
      <c r="K38" s="1551" t="s">
        <v>1439</v>
      </c>
      <c r="L38" s="1550"/>
      <c r="M38" s="1551" t="s">
        <v>1440</v>
      </c>
      <c r="N38" s="1550"/>
      <c r="O38" s="1551" t="s">
        <v>1441</v>
      </c>
      <c r="P38" s="1550"/>
      <c r="Q38" s="1544" t="s">
        <v>957</v>
      </c>
    </row>
    <row r="39" spans="1:17" ht="16.149999999999999" thickBot="1">
      <c r="A39" s="115">
        <v>37</v>
      </c>
      <c r="B39" s="1209"/>
      <c r="C39" s="284" t="s">
        <v>1390</v>
      </c>
      <c r="D39" s="270"/>
      <c r="E39" s="286"/>
      <c r="F39" s="270"/>
      <c r="I39" s="1552">
        <f>D37</f>
        <v>0</v>
      </c>
      <c r="J39" s="1553"/>
      <c r="K39" s="1554">
        <f>D38</f>
        <v>0</v>
      </c>
      <c r="L39" s="1553"/>
      <c r="M39" s="1554">
        <f>D39</f>
        <v>0</v>
      </c>
      <c r="N39" s="1553"/>
      <c r="O39" s="1554">
        <f>D40</f>
        <v>0</v>
      </c>
      <c r="P39" s="1553"/>
      <c r="Q39" s="1545">
        <f>F37</f>
        <v>0</v>
      </c>
    </row>
    <row r="40" spans="1:17" ht="15.4" thickBot="1">
      <c r="A40" s="115">
        <v>38</v>
      </c>
      <c r="B40" s="1210"/>
      <c r="C40" s="287" t="s">
        <v>1391</v>
      </c>
      <c r="D40" s="605"/>
      <c r="E40" s="606"/>
      <c r="F40" s="605"/>
      <c r="I40" s="1555"/>
      <c r="J40" s="1555"/>
      <c r="K40" s="1555"/>
      <c r="L40" s="1555"/>
      <c r="M40" s="1555"/>
      <c r="N40" s="1555"/>
      <c r="O40" s="1555"/>
      <c r="P40" s="1555"/>
      <c r="Q40" s="1555"/>
    </row>
    <row r="41" spans="1:17" ht="16.149999999999999" thickBot="1">
      <c r="A41" s="115">
        <v>39</v>
      </c>
      <c r="I41" s="1546" t="s">
        <v>1442</v>
      </c>
      <c r="J41" s="1556" t="s">
        <v>817</v>
      </c>
      <c r="K41" s="1557"/>
      <c r="L41" s="1546" t="s">
        <v>127</v>
      </c>
      <c r="M41" s="1546" t="s">
        <v>1443</v>
      </c>
      <c r="N41" s="1468" t="s">
        <v>1444</v>
      </c>
      <c r="O41" s="1469"/>
      <c r="P41" s="1468" t="s">
        <v>957</v>
      </c>
      <c r="Q41" s="1469"/>
    </row>
    <row r="42" spans="1:17" ht="15.75" customHeight="1" thickBot="1">
      <c r="A42" s="115">
        <v>40</v>
      </c>
      <c r="B42" s="822" t="s">
        <v>630</v>
      </c>
      <c r="C42" s="823"/>
      <c r="D42" s="823"/>
      <c r="E42" s="823"/>
      <c r="F42" s="823"/>
      <c r="I42" s="150">
        <v>1</v>
      </c>
      <c r="J42" s="1558">
        <f>B45</f>
        <v>0</v>
      </c>
      <c r="K42" s="1559"/>
      <c r="L42" s="1547">
        <f>C45</f>
        <v>0</v>
      </c>
      <c r="M42" s="1548">
        <f>D45</f>
        <v>0</v>
      </c>
      <c r="N42" s="1073">
        <f>E45</f>
        <v>0</v>
      </c>
      <c r="O42" s="1470"/>
      <c r="P42" s="1008">
        <f>F45</f>
        <v>0</v>
      </c>
      <c r="Q42" s="820"/>
    </row>
    <row r="43" spans="1:17" ht="16.149999999999999" thickBot="1">
      <c r="A43" s="115">
        <v>41</v>
      </c>
      <c r="B43" s="824"/>
      <c r="C43" s="825"/>
      <c r="D43" s="825"/>
      <c r="E43" s="825"/>
      <c r="F43" s="825"/>
      <c r="I43" s="150">
        <v>2</v>
      </c>
      <c r="J43" s="1558">
        <f t="shared" ref="J43:J61" si="0">B46</f>
        <v>0</v>
      </c>
      <c r="K43" s="1559"/>
      <c r="L43" s="1547">
        <f t="shared" ref="L43:L61" si="1">C46</f>
        <v>0</v>
      </c>
      <c r="M43" s="1548">
        <f t="shared" ref="M43:M61" si="2">D46</f>
        <v>0</v>
      </c>
      <c r="N43" s="1073">
        <f t="shared" ref="N43:N61" si="3">E46</f>
        <v>0</v>
      </c>
      <c r="O43" s="1470"/>
      <c r="P43" s="1008">
        <f t="shared" ref="P43:P61" si="4">F46</f>
        <v>0</v>
      </c>
      <c r="Q43" s="820"/>
    </row>
    <row r="44" spans="1:17" ht="17.649999999999999" thickTop="1" thickBot="1">
      <c r="A44" s="115">
        <v>42</v>
      </c>
      <c r="B44" s="491" t="s">
        <v>105</v>
      </c>
      <c r="C44" s="491" t="s">
        <v>106</v>
      </c>
      <c r="D44" s="491" t="s">
        <v>1433</v>
      </c>
      <c r="E44" s="491" t="s">
        <v>1434</v>
      </c>
      <c r="F44" s="607" t="s">
        <v>1435</v>
      </c>
      <c r="I44" s="150">
        <v>3</v>
      </c>
      <c r="J44" s="1558">
        <f t="shared" si="0"/>
        <v>0</v>
      </c>
      <c r="K44" s="1559"/>
      <c r="L44" s="1547">
        <f t="shared" si="1"/>
        <v>0</v>
      </c>
      <c r="M44" s="1548">
        <f t="shared" si="2"/>
        <v>0</v>
      </c>
      <c r="N44" s="1073">
        <f t="shared" si="3"/>
        <v>0</v>
      </c>
      <c r="O44" s="1470"/>
      <c r="P44" s="1008">
        <f t="shared" si="4"/>
        <v>0</v>
      </c>
      <c r="Q44" s="820"/>
    </row>
    <row r="45" spans="1:17" ht="15.75" customHeight="1" thickBot="1">
      <c r="A45" s="115">
        <v>43</v>
      </c>
      <c r="B45" s="585"/>
      <c r="C45" s="585"/>
      <c r="D45" s="585"/>
      <c r="E45" s="585"/>
      <c r="F45" s="585"/>
      <c r="I45" s="150">
        <v>4</v>
      </c>
      <c r="J45" s="1558">
        <f t="shared" si="0"/>
        <v>0</v>
      </c>
      <c r="K45" s="1559"/>
      <c r="L45" s="1547">
        <f t="shared" si="1"/>
        <v>0</v>
      </c>
      <c r="M45" s="1548">
        <f t="shared" si="2"/>
        <v>0</v>
      </c>
      <c r="N45" s="1073">
        <f t="shared" si="3"/>
        <v>0</v>
      </c>
      <c r="O45" s="1470"/>
      <c r="P45" s="1008">
        <f t="shared" si="4"/>
        <v>0</v>
      </c>
      <c r="Q45" s="820"/>
    </row>
    <row r="46" spans="1:17" ht="15.75" customHeight="1" thickBot="1">
      <c r="A46" s="115">
        <v>44</v>
      </c>
      <c r="B46" s="585"/>
      <c r="C46" s="585"/>
      <c r="D46" s="585"/>
      <c r="E46" s="585"/>
      <c r="F46" s="585"/>
      <c r="I46" s="150">
        <v>5</v>
      </c>
      <c r="J46" s="1558">
        <f t="shared" si="0"/>
        <v>0</v>
      </c>
      <c r="K46" s="1559"/>
      <c r="L46" s="1547">
        <f t="shared" si="1"/>
        <v>0</v>
      </c>
      <c r="M46" s="1548">
        <f t="shared" si="2"/>
        <v>0</v>
      </c>
      <c r="N46" s="1073">
        <f t="shared" si="3"/>
        <v>0</v>
      </c>
      <c r="O46" s="1470"/>
      <c r="P46" s="1008">
        <f t="shared" si="4"/>
        <v>0</v>
      </c>
      <c r="Q46" s="820"/>
    </row>
    <row r="47" spans="1:17" ht="15.75" customHeight="1" thickBot="1">
      <c r="A47" s="115">
        <v>45</v>
      </c>
      <c r="I47" s="150">
        <v>6</v>
      </c>
      <c r="J47" s="1558">
        <f t="shared" si="0"/>
        <v>0</v>
      </c>
      <c r="K47" s="1559"/>
      <c r="L47" s="1547">
        <f t="shared" si="1"/>
        <v>0</v>
      </c>
      <c r="M47" s="1548">
        <f t="shared" si="2"/>
        <v>0</v>
      </c>
      <c r="N47" s="1073">
        <f t="shared" si="3"/>
        <v>0</v>
      </c>
      <c r="O47" s="1470"/>
      <c r="P47" s="1008">
        <f t="shared" si="4"/>
        <v>0</v>
      </c>
      <c r="Q47" s="820"/>
    </row>
    <row r="48" spans="1:17" ht="15.75" customHeight="1" thickBot="1">
      <c r="A48" s="115">
        <v>46</v>
      </c>
      <c r="I48" s="150">
        <v>7</v>
      </c>
      <c r="J48" s="1558">
        <f t="shared" si="0"/>
        <v>0</v>
      </c>
      <c r="K48" s="1559"/>
      <c r="L48" s="1547">
        <f t="shared" si="1"/>
        <v>0</v>
      </c>
      <c r="M48" s="1548">
        <f t="shared" si="2"/>
        <v>0</v>
      </c>
      <c r="N48" s="1073">
        <f t="shared" si="3"/>
        <v>0</v>
      </c>
      <c r="O48" s="1470"/>
      <c r="P48" s="1008">
        <f t="shared" si="4"/>
        <v>0</v>
      </c>
      <c r="Q48" s="820"/>
    </row>
    <row r="49" spans="1:17" ht="15.75" customHeight="1" thickBot="1">
      <c r="A49" s="115">
        <v>47</v>
      </c>
      <c r="I49" s="150">
        <v>8</v>
      </c>
      <c r="J49" s="1558">
        <f t="shared" si="0"/>
        <v>0</v>
      </c>
      <c r="K49" s="1559"/>
      <c r="L49" s="1547">
        <f t="shared" si="1"/>
        <v>0</v>
      </c>
      <c r="M49" s="1548">
        <f t="shared" si="2"/>
        <v>0</v>
      </c>
      <c r="N49" s="1073">
        <f t="shared" si="3"/>
        <v>0</v>
      </c>
      <c r="O49" s="1470"/>
      <c r="P49" s="1008">
        <f t="shared" si="4"/>
        <v>0</v>
      </c>
      <c r="Q49" s="820"/>
    </row>
    <row r="50" spans="1:17" ht="15.75" customHeight="1" thickBot="1">
      <c r="A50" s="115">
        <v>48</v>
      </c>
      <c r="I50" s="150">
        <v>9</v>
      </c>
      <c r="J50" s="1558">
        <f t="shared" si="0"/>
        <v>0</v>
      </c>
      <c r="K50" s="1559"/>
      <c r="L50" s="1547">
        <f t="shared" si="1"/>
        <v>0</v>
      </c>
      <c r="M50" s="1548">
        <f t="shared" si="2"/>
        <v>0</v>
      </c>
      <c r="N50" s="1073">
        <f t="shared" si="3"/>
        <v>0</v>
      </c>
      <c r="O50" s="1470"/>
      <c r="P50" s="1008">
        <f t="shared" si="4"/>
        <v>0</v>
      </c>
      <c r="Q50" s="820"/>
    </row>
    <row r="51" spans="1:17" ht="15.75" customHeight="1" thickBot="1">
      <c r="A51" s="115">
        <v>49</v>
      </c>
      <c r="I51" s="150">
        <v>10</v>
      </c>
      <c r="J51" s="1558">
        <f t="shared" si="0"/>
        <v>0</v>
      </c>
      <c r="K51" s="1559"/>
      <c r="L51" s="1547">
        <f t="shared" si="1"/>
        <v>0</v>
      </c>
      <c r="M51" s="1548">
        <f t="shared" si="2"/>
        <v>0</v>
      </c>
      <c r="N51" s="1073">
        <f t="shared" si="3"/>
        <v>0</v>
      </c>
      <c r="O51" s="1470"/>
      <c r="P51" s="1008">
        <f t="shared" si="4"/>
        <v>0</v>
      </c>
      <c r="Q51" s="820"/>
    </row>
    <row r="52" spans="1:17" ht="15.75" customHeight="1" thickBot="1">
      <c r="A52" s="115">
        <v>50</v>
      </c>
      <c r="I52" s="150">
        <v>11</v>
      </c>
      <c r="J52" s="1558">
        <f t="shared" si="0"/>
        <v>0</v>
      </c>
      <c r="K52" s="1559"/>
      <c r="L52" s="1547">
        <f t="shared" si="1"/>
        <v>0</v>
      </c>
      <c r="M52" s="1548">
        <f t="shared" si="2"/>
        <v>0</v>
      </c>
      <c r="N52" s="1073">
        <f t="shared" si="3"/>
        <v>0</v>
      </c>
      <c r="O52" s="1470"/>
      <c r="P52" s="1008">
        <f t="shared" si="4"/>
        <v>0</v>
      </c>
      <c r="Q52" s="820"/>
    </row>
    <row r="53" spans="1:17" ht="15.75" customHeight="1" thickBot="1">
      <c r="A53" s="115">
        <v>51</v>
      </c>
      <c r="I53" s="150">
        <v>12</v>
      </c>
      <c r="J53" s="1558">
        <f t="shared" si="0"/>
        <v>0</v>
      </c>
      <c r="K53" s="1559"/>
      <c r="L53" s="1547">
        <f t="shared" si="1"/>
        <v>0</v>
      </c>
      <c r="M53" s="1548">
        <f t="shared" si="2"/>
        <v>0</v>
      </c>
      <c r="N53" s="1073">
        <f t="shared" si="3"/>
        <v>0</v>
      </c>
      <c r="O53" s="1470"/>
      <c r="P53" s="1008">
        <f t="shared" si="4"/>
        <v>0</v>
      </c>
      <c r="Q53" s="820"/>
    </row>
    <row r="54" spans="1:17" ht="15.75" customHeight="1" thickBot="1">
      <c r="A54" s="115">
        <v>52</v>
      </c>
      <c r="I54" s="150">
        <v>13</v>
      </c>
      <c r="J54" s="1558">
        <f t="shared" si="0"/>
        <v>0</v>
      </c>
      <c r="K54" s="1559"/>
      <c r="L54" s="1547">
        <f t="shared" si="1"/>
        <v>0</v>
      </c>
      <c r="M54" s="1548">
        <f t="shared" si="2"/>
        <v>0</v>
      </c>
      <c r="N54" s="1073">
        <f t="shared" si="3"/>
        <v>0</v>
      </c>
      <c r="O54" s="1470"/>
      <c r="P54" s="1008">
        <f t="shared" si="4"/>
        <v>0</v>
      </c>
      <c r="Q54" s="820"/>
    </row>
    <row r="55" spans="1:17" ht="15.75" customHeight="1" thickBot="1">
      <c r="A55" s="115">
        <v>53</v>
      </c>
      <c r="I55" s="150">
        <v>14</v>
      </c>
      <c r="J55" s="1558">
        <f t="shared" si="0"/>
        <v>0</v>
      </c>
      <c r="K55" s="1559"/>
      <c r="L55" s="1547">
        <f t="shared" si="1"/>
        <v>0</v>
      </c>
      <c r="M55" s="1548">
        <f t="shared" si="2"/>
        <v>0</v>
      </c>
      <c r="N55" s="1073">
        <f t="shared" si="3"/>
        <v>0</v>
      </c>
      <c r="O55" s="1470"/>
      <c r="P55" s="1008">
        <f t="shared" si="4"/>
        <v>0</v>
      </c>
      <c r="Q55" s="820"/>
    </row>
    <row r="56" spans="1:17" ht="15.75" customHeight="1" thickBot="1">
      <c r="A56" s="115">
        <v>54</v>
      </c>
      <c r="I56" s="150">
        <v>15</v>
      </c>
      <c r="J56" s="1558">
        <f t="shared" si="0"/>
        <v>0</v>
      </c>
      <c r="K56" s="1559"/>
      <c r="L56" s="1547">
        <f t="shared" si="1"/>
        <v>0</v>
      </c>
      <c r="M56" s="1548">
        <f t="shared" si="2"/>
        <v>0</v>
      </c>
      <c r="N56" s="1073">
        <f t="shared" si="3"/>
        <v>0</v>
      </c>
      <c r="O56" s="1470"/>
      <c r="P56" s="1008">
        <f t="shared" si="4"/>
        <v>0</v>
      </c>
      <c r="Q56" s="820"/>
    </row>
    <row r="57" spans="1:17" ht="15.75" customHeight="1" thickBot="1">
      <c r="A57" s="115">
        <v>55</v>
      </c>
      <c r="I57" s="150">
        <v>16</v>
      </c>
      <c r="J57" s="1558">
        <f t="shared" si="0"/>
        <v>0</v>
      </c>
      <c r="K57" s="1559"/>
      <c r="L57" s="1547">
        <f t="shared" si="1"/>
        <v>0</v>
      </c>
      <c r="M57" s="1548">
        <f t="shared" si="2"/>
        <v>0</v>
      </c>
      <c r="N57" s="1073">
        <f t="shared" si="3"/>
        <v>0</v>
      </c>
      <c r="O57" s="1470"/>
      <c r="P57" s="1008">
        <f t="shared" si="4"/>
        <v>0</v>
      </c>
      <c r="Q57" s="820"/>
    </row>
    <row r="58" spans="1:17" ht="15.75" customHeight="1" thickBot="1">
      <c r="A58" s="115">
        <v>56</v>
      </c>
      <c r="I58" s="150">
        <v>17</v>
      </c>
      <c r="J58" s="1558">
        <f t="shared" si="0"/>
        <v>0</v>
      </c>
      <c r="K58" s="1559"/>
      <c r="L58" s="1547">
        <f t="shared" si="1"/>
        <v>0</v>
      </c>
      <c r="M58" s="1548">
        <f t="shared" si="2"/>
        <v>0</v>
      </c>
      <c r="N58" s="1073">
        <f t="shared" si="3"/>
        <v>0</v>
      </c>
      <c r="O58" s="1470"/>
      <c r="P58" s="1008">
        <f t="shared" si="4"/>
        <v>0</v>
      </c>
      <c r="Q58" s="820"/>
    </row>
    <row r="59" spans="1:17" ht="15.75" customHeight="1" thickBot="1">
      <c r="A59" s="115">
        <v>57</v>
      </c>
      <c r="I59" s="150">
        <v>18</v>
      </c>
      <c r="J59" s="1558">
        <f t="shared" si="0"/>
        <v>0</v>
      </c>
      <c r="K59" s="1559"/>
      <c r="L59" s="1547">
        <f t="shared" si="1"/>
        <v>0</v>
      </c>
      <c r="M59" s="1548">
        <f t="shared" si="2"/>
        <v>0</v>
      </c>
      <c r="N59" s="1073">
        <f t="shared" si="3"/>
        <v>0</v>
      </c>
      <c r="O59" s="1470"/>
      <c r="P59" s="1008">
        <f t="shared" si="4"/>
        <v>0</v>
      </c>
      <c r="Q59" s="820"/>
    </row>
    <row r="60" spans="1:17" ht="15.75" customHeight="1" thickBot="1">
      <c r="A60" s="115">
        <v>58</v>
      </c>
      <c r="I60" s="150">
        <v>19</v>
      </c>
      <c r="J60" s="1558">
        <f t="shared" si="0"/>
        <v>0</v>
      </c>
      <c r="K60" s="1559"/>
      <c r="L60" s="1547">
        <f t="shared" si="1"/>
        <v>0</v>
      </c>
      <c r="M60" s="1548">
        <f t="shared" si="2"/>
        <v>0</v>
      </c>
      <c r="N60" s="1073">
        <f t="shared" si="3"/>
        <v>0</v>
      </c>
      <c r="O60" s="1470"/>
      <c r="P60" s="1008">
        <f t="shared" si="4"/>
        <v>0</v>
      </c>
      <c r="Q60" s="820"/>
    </row>
    <row r="61" spans="1:17" ht="15.75" customHeight="1">
      <c r="A61" s="115">
        <v>59</v>
      </c>
      <c r="I61" s="150">
        <v>20</v>
      </c>
      <c r="J61" s="1558">
        <f t="shared" si="0"/>
        <v>0</v>
      </c>
      <c r="K61" s="1559"/>
      <c r="L61" s="1547">
        <f t="shared" si="1"/>
        <v>0</v>
      </c>
      <c r="M61" s="1548">
        <f t="shared" si="2"/>
        <v>0</v>
      </c>
      <c r="N61" s="1073">
        <f t="shared" si="3"/>
        <v>0</v>
      </c>
      <c r="O61" s="1470"/>
      <c r="P61" s="1008">
        <f t="shared" si="4"/>
        <v>0</v>
      </c>
      <c r="Q61" s="820"/>
    </row>
    <row r="62" spans="1:17" ht="13.5">
      <c r="A62" s="115">
        <v>60</v>
      </c>
    </row>
    <row r="63" spans="1:17" ht="13.5">
      <c r="A63" s="115">
        <v>61</v>
      </c>
    </row>
    <row r="64" spans="1:17" ht="13.5">
      <c r="A64" s="115">
        <v>62</v>
      </c>
    </row>
    <row r="65" spans="1:1" ht="13.5">
      <c r="A65" s="115">
        <v>63</v>
      </c>
    </row>
    <row r="66" spans="1:1" ht="13.5">
      <c r="A66" s="115">
        <v>64</v>
      </c>
    </row>
    <row r="67" spans="1:1" ht="13.5">
      <c r="A67" s="115">
        <v>65</v>
      </c>
    </row>
    <row r="68" spans="1:1" ht="13.5">
      <c r="A68" s="115">
        <v>66</v>
      </c>
    </row>
    <row r="69" spans="1:1" ht="13.5">
      <c r="A69" s="115">
        <v>67</v>
      </c>
    </row>
  </sheetData>
  <mergeCells count="138">
    <mergeCell ref="J61:K61"/>
    <mergeCell ref="N61:O61"/>
    <mergeCell ref="P61:Q61"/>
    <mergeCell ref="I37:Q37"/>
    <mergeCell ref="J59:K59"/>
    <mergeCell ref="N59:O59"/>
    <mergeCell ref="P59:Q59"/>
    <mergeCell ref="J60:K60"/>
    <mergeCell ref="N60:O60"/>
    <mergeCell ref="P60:Q60"/>
    <mergeCell ref="J57:K57"/>
    <mergeCell ref="N57:O57"/>
    <mergeCell ref="P57:Q57"/>
    <mergeCell ref="J58:K58"/>
    <mergeCell ref="N58:O58"/>
    <mergeCell ref="P58:Q58"/>
    <mergeCell ref="J55:K55"/>
    <mergeCell ref="N55:O55"/>
    <mergeCell ref="P55:Q55"/>
    <mergeCell ref="J56:K56"/>
    <mergeCell ref="N56:O56"/>
    <mergeCell ref="P56:Q56"/>
    <mergeCell ref="J53:K53"/>
    <mergeCell ref="N53:O53"/>
    <mergeCell ref="P53:Q53"/>
    <mergeCell ref="J54:K54"/>
    <mergeCell ref="N54:O54"/>
    <mergeCell ref="P54:Q54"/>
    <mergeCell ref="J51:K51"/>
    <mergeCell ref="N51:O51"/>
    <mergeCell ref="P51:Q51"/>
    <mergeCell ref="J52:K52"/>
    <mergeCell ref="N52:O52"/>
    <mergeCell ref="P52:Q52"/>
    <mergeCell ref="J49:K49"/>
    <mergeCell ref="N49:O49"/>
    <mergeCell ref="P49:Q49"/>
    <mergeCell ref="J50:K50"/>
    <mergeCell ref="N50:O50"/>
    <mergeCell ref="P50:Q50"/>
    <mergeCell ref="J47:K47"/>
    <mergeCell ref="N47:O47"/>
    <mergeCell ref="P47:Q47"/>
    <mergeCell ref="J48:K48"/>
    <mergeCell ref="N48:O48"/>
    <mergeCell ref="P48:Q48"/>
    <mergeCell ref="J45:K45"/>
    <mergeCell ref="N45:O45"/>
    <mergeCell ref="P45:Q45"/>
    <mergeCell ref="J46:K46"/>
    <mergeCell ref="N46:O46"/>
    <mergeCell ref="P46:Q46"/>
    <mergeCell ref="J43:K43"/>
    <mergeCell ref="N43:O43"/>
    <mergeCell ref="P43:Q43"/>
    <mergeCell ref="J44:K44"/>
    <mergeCell ref="N44:O44"/>
    <mergeCell ref="P44:Q44"/>
    <mergeCell ref="I40:Q40"/>
    <mergeCell ref="J41:K41"/>
    <mergeCell ref="N41:O41"/>
    <mergeCell ref="P41:Q41"/>
    <mergeCell ref="J42:K42"/>
    <mergeCell ref="N42:O42"/>
    <mergeCell ref="P42:Q42"/>
    <mergeCell ref="I38:J38"/>
    <mergeCell ref="K38:L38"/>
    <mergeCell ref="M38:N38"/>
    <mergeCell ref="O38:P38"/>
    <mergeCell ref="I39:J39"/>
    <mergeCell ref="K39:L39"/>
    <mergeCell ref="M39:N39"/>
    <mergeCell ref="O39:P39"/>
    <mergeCell ref="O8:R8"/>
    <mergeCell ref="J9:R9"/>
    <mergeCell ref="J10:K10"/>
    <mergeCell ref="L10:M10"/>
    <mergeCell ref="O10:R10"/>
    <mergeCell ref="I2:R2"/>
    <mergeCell ref="N4:O4"/>
    <mergeCell ref="J4:M4"/>
    <mergeCell ref="P4:R4"/>
    <mergeCell ref="J5:R5"/>
    <mergeCell ref="J6:K6"/>
    <mergeCell ref="L6:M6"/>
    <mergeCell ref="N6:O6"/>
    <mergeCell ref="P6:R6"/>
    <mergeCell ref="I3:R3"/>
    <mergeCell ref="I7:R7"/>
    <mergeCell ref="Q27:R27"/>
    <mergeCell ref="K28:L28"/>
    <mergeCell ref="M28:N28"/>
    <mergeCell ref="J11:M12"/>
    <mergeCell ref="N11:N12"/>
    <mergeCell ref="O11:R12"/>
    <mergeCell ref="J13:R13"/>
    <mergeCell ref="I14:R14"/>
    <mergeCell ref="I15:K15"/>
    <mergeCell ref="L15:M15"/>
    <mergeCell ref="N15:O15"/>
    <mergeCell ref="P15:R15"/>
    <mergeCell ref="J8:M8"/>
    <mergeCell ref="K29:L29"/>
    <mergeCell ref="M29:N29"/>
    <mergeCell ref="O29:P29"/>
    <mergeCell ref="O27:P27"/>
    <mergeCell ref="O28:P28"/>
    <mergeCell ref="K27:N27"/>
    <mergeCell ref="K25:L25"/>
    <mergeCell ref="M25:N25"/>
    <mergeCell ref="O25:P25"/>
    <mergeCell ref="K26:L26"/>
    <mergeCell ref="M26:N26"/>
    <mergeCell ref="O26:P26"/>
    <mergeCell ref="K23:P23"/>
    <mergeCell ref="Q23:R23"/>
    <mergeCell ref="K24:L24"/>
    <mergeCell ref="M24:N24"/>
    <mergeCell ref="O24:P24"/>
    <mergeCell ref="K22:L22"/>
    <mergeCell ref="M22:N22"/>
    <mergeCell ref="O22:P22"/>
    <mergeCell ref="I20:R20"/>
    <mergeCell ref="K21:L21"/>
    <mergeCell ref="M21:N21"/>
    <mergeCell ref="O21:P21"/>
    <mergeCell ref="I17:K17"/>
    <mergeCell ref="L17:R17"/>
    <mergeCell ref="I18:K18"/>
    <mergeCell ref="L18:R18"/>
    <mergeCell ref="L16:R16"/>
    <mergeCell ref="B37:B40"/>
    <mergeCell ref="B42:F43"/>
    <mergeCell ref="B19:G19"/>
    <mergeCell ref="B2:F2"/>
    <mergeCell ref="I16:K16"/>
    <mergeCell ref="I19:K19"/>
    <mergeCell ref="L19:R19"/>
  </mergeCells>
  <phoneticPr fontId="1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9DB0A-A2E8-48D0-985A-C949590BC4F7}">
  <sheetPr codeName="Sheet12"/>
  <dimension ref="A1:AL68"/>
  <sheetViews>
    <sheetView topLeftCell="A2" workbookViewId="0"/>
    <sheetView workbookViewId="1"/>
  </sheetViews>
  <sheetFormatPr defaultColWidth="8.73046875" defaultRowHeight="12.75"/>
  <cols>
    <col min="1" max="1" width="14" style="47" customWidth="1"/>
    <col min="2" max="2" width="27.59765625" style="47" customWidth="1"/>
    <col min="3" max="4" width="13.1328125" style="47" customWidth="1"/>
    <col min="5" max="5" width="18" style="47" customWidth="1"/>
    <col min="6" max="6" width="13.1328125" style="47" customWidth="1"/>
    <col min="7" max="8" width="8.73046875" style="47"/>
    <col min="9" max="9" width="8.46484375" style="47" bestFit="1" customWidth="1"/>
    <col min="10" max="10" width="12.86328125" style="47" bestFit="1" customWidth="1"/>
    <col min="11" max="11" width="8.46484375" style="47" bestFit="1" customWidth="1"/>
    <col min="12" max="14" width="3.265625" style="47" bestFit="1" customWidth="1"/>
    <col min="15" max="16" width="6.33203125" style="47" customWidth="1"/>
    <col min="17" max="19" width="3.265625" style="47" bestFit="1" customWidth="1"/>
    <col min="20" max="20" width="12.46484375" style="47" bestFit="1" customWidth="1"/>
    <col min="21" max="16384" width="8.73046875" style="47"/>
  </cols>
  <sheetData>
    <row r="1" spans="1:38" ht="23.25">
      <c r="A1" s="112" t="s">
        <v>134</v>
      </c>
      <c r="B1" s="113">
        <v>1</v>
      </c>
      <c r="C1" s="113">
        <v>2</v>
      </c>
      <c r="D1" s="113">
        <v>3</v>
      </c>
      <c r="E1" s="113">
        <v>4</v>
      </c>
      <c r="F1" s="113">
        <v>5</v>
      </c>
      <c r="G1" s="113">
        <v>6</v>
      </c>
      <c r="H1" s="113">
        <v>7</v>
      </c>
      <c r="I1" s="113">
        <v>8</v>
      </c>
      <c r="J1" s="113">
        <v>9</v>
      </c>
      <c r="K1" s="113">
        <v>10</v>
      </c>
      <c r="L1" s="113">
        <v>11</v>
      </c>
      <c r="M1" s="113">
        <v>12</v>
      </c>
      <c r="N1" s="113">
        <v>13</v>
      </c>
      <c r="O1" s="113">
        <v>14</v>
      </c>
      <c r="P1" s="113">
        <v>15</v>
      </c>
      <c r="Q1" s="113">
        <v>16</v>
      </c>
      <c r="R1" s="113">
        <v>17</v>
      </c>
      <c r="S1" s="113">
        <v>18</v>
      </c>
      <c r="T1" s="113">
        <v>19</v>
      </c>
      <c r="U1" s="113">
        <v>20</v>
      </c>
      <c r="V1" s="113">
        <v>21</v>
      </c>
      <c r="W1" s="113">
        <v>22</v>
      </c>
      <c r="X1" s="113">
        <v>23</v>
      </c>
      <c r="Y1" s="113">
        <v>24</v>
      </c>
      <c r="Z1" s="113">
        <v>25</v>
      </c>
      <c r="AA1" s="113">
        <v>26</v>
      </c>
      <c r="AB1" s="113">
        <v>27</v>
      </c>
      <c r="AC1" s="113">
        <v>28</v>
      </c>
      <c r="AD1" s="113">
        <v>29</v>
      </c>
      <c r="AE1" s="113">
        <v>30</v>
      </c>
      <c r="AF1" s="113">
        <v>31</v>
      </c>
      <c r="AG1" s="113">
        <v>32</v>
      </c>
      <c r="AH1" s="113">
        <v>33</v>
      </c>
      <c r="AI1" s="113">
        <v>34</v>
      </c>
      <c r="AJ1" s="113">
        <v>35</v>
      </c>
      <c r="AK1" s="113">
        <v>36</v>
      </c>
      <c r="AL1" s="113">
        <v>37</v>
      </c>
    </row>
    <row r="2" spans="1:38" ht="28.5">
      <c r="A2" s="114">
        <v>0</v>
      </c>
      <c r="B2" s="865" t="s">
        <v>762</v>
      </c>
      <c r="C2" s="866"/>
      <c r="D2" s="866"/>
      <c r="E2" s="866"/>
      <c r="F2" s="866"/>
      <c r="I2" s="1246" t="s">
        <v>786</v>
      </c>
      <c r="J2" s="1247"/>
      <c r="K2" s="1247"/>
      <c r="L2" s="1247"/>
      <c r="M2" s="1247"/>
      <c r="N2" s="1247"/>
      <c r="O2" s="1247"/>
      <c r="P2" s="1247"/>
      <c r="Q2" s="1247"/>
      <c r="R2" s="1247"/>
      <c r="S2" s="1247"/>
      <c r="T2" s="1247"/>
    </row>
    <row r="3" spans="1:38" ht="18" thickBot="1">
      <c r="A3" s="115">
        <v>1</v>
      </c>
      <c r="B3" s="308" t="s">
        <v>641</v>
      </c>
      <c r="C3" s="1279" t="s">
        <v>642</v>
      </c>
      <c r="D3" s="1279"/>
      <c r="E3" s="1279" t="s">
        <v>643</v>
      </c>
      <c r="F3" s="1280"/>
      <c r="I3" s="309" t="s">
        <v>644</v>
      </c>
      <c r="J3" s="310" t="s">
        <v>645</v>
      </c>
      <c r="K3" s="1248" t="e">
        <f>E4</f>
        <v>#REF!</v>
      </c>
      <c r="L3" s="1249"/>
      <c r="M3" s="1249"/>
      <c r="N3" s="1250"/>
      <c r="O3" s="1199" t="s">
        <v>646</v>
      </c>
      <c r="P3" s="1200"/>
      <c r="Q3" s="1251" t="e">
        <f>E5</f>
        <v>#REF!</v>
      </c>
      <c r="R3" s="1249"/>
      <c r="S3" s="1249"/>
      <c r="T3" s="1249"/>
    </row>
    <row r="4" spans="1:38" ht="17.649999999999999" customHeight="1" thickTop="1">
      <c r="A4" s="115">
        <v>2</v>
      </c>
      <c r="B4" s="1281" t="s">
        <v>592</v>
      </c>
      <c r="C4" s="1275" t="s">
        <v>584</v>
      </c>
      <c r="D4" s="1275"/>
      <c r="E4" s="1282" t="e">
        <f>#REF!</f>
        <v>#REF!</v>
      </c>
      <c r="F4" s="1283"/>
      <c r="I4" s="311" t="s">
        <v>647</v>
      </c>
      <c r="J4" s="312" t="s">
        <v>648</v>
      </c>
      <c r="K4" s="1252" t="e">
        <f>E6</f>
        <v>#REF!</v>
      </c>
      <c r="L4" s="1253"/>
      <c r="M4" s="1253"/>
      <c r="N4" s="1253"/>
      <c r="O4" s="1253"/>
      <c r="P4" s="1253"/>
      <c r="Q4" s="1253"/>
      <c r="R4" s="1253"/>
      <c r="S4" s="1253"/>
      <c r="T4" s="1253"/>
    </row>
    <row r="5" spans="1:38" ht="16.899999999999999" customHeight="1" thickBot="1">
      <c r="A5" s="115">
        <v>3</v>
      </c>
      <c r="B5" s="873"/>
      <c r="C5" s="1272" t="s">
        <v>585</v>
      </c>
      <c r="D5" s="1272"/>
      <c r="E5" s="1273" t="e">
        <f>#REF!</f>
        <v>#REF!</v>
      </c>
      <c r="F5" s="1274"/>
      <c r="I5" s="306"/>
      <c r="J5" s="313" t="s">
        <v>649</v>
      </c>
      <c r="K5" s="1248" t="e">
        <f>E7</f>
        <v>#REF!</v>
      </c>
      <c r="L5" s="1249"/>
      <c r="M5" s="1249"/>
      <c r="N5" s="1254"/>
      <c r="O5" s="1255" t="s">
        <v>650</v>
      </c>
      <c r="P5" s="1256"/>
      <c r="Q5" s="1248" t="e">
        <f>E8</f>
        <v>#REF!</v>
      </c>
      <c r="R5" s="1249"/>
      <c r="S5" s="1249"/>
      <c r="T5" s="1249"/>
    </row>
    <row r="6" spans="1:38" ht="16.899999999999999" customHeight="1">
      <c r="A6" s="115">
        <v>4</v>
      </c>
      <c r="B6" s="873"/>
      <c r="C6" s="1272" t="s">
        <v>586</v>
      </c>
      <c r="D6" s="1272"/>
      <c r="E6" s="1273" t="e">
        <f>#REF!</f>
        <v>#REF!</v>
      </c>
      <c r="F6" s="1274"/>
      <c r="I6" s="314" t="s">
        <v>651</v>
      </c>
      <c r="J6" s="315" t="s">
        <v>652</v>
      </c>
      <c r="K6" s="1248" t="e">
        <f>E10</f>
        <v>#REF!</v>
      </c>
      <c r="L6" s="1249"/>
      <c r="M6" s="1249"/>
      <c r="N6" s="1254"/>
      <c r="O6" s="1255" t="s">
        <v>653</v>
      </c>
      <c r="P6" s="1256"/>
      <c r="Q6" s="1248" t="e">
        <f>E9</f>
        <v>#REF!</v>
      </c>
      <c r="R6" s="1249"/>
      <c r="S6" s="1249"/>
      <c r="T6" s="1249"/>
    </row>
    <row r="7" spans="1:38" ht="16.899999999999999">
      <c r="A7" s="115">
        <v>5</v>
      </c>
      <c r="B7" s="873"/>
      <c r="C7" s="1272" t="s">
        <v>587</v>
      </c>
      <c r="D7" s="1272"/>
      <c r="E7" s="1273" t="e">
        <f>#REF!</f>
        <v>#REF!</v>
      </c>
      <c r="F7" s="1274"/>
      <c r="I7" s="311" t="s">
        <v>654</v>
      </c>
      <c r="J7" s="316" t="s">
        <v>655</v>
      </c>
      <c r="K7" s="1257" t="e">
        <f>E11</f>
        <v>#REF!</v>
      </c>
      <c r="L7" s="1258"/>
      <c r="M7" s="1258"/>
      <c r="N7" s="1259"/>
      <c r="O7" s="1263" t="s">
        <v>656</v>
      </c>
      <c r="P7" s="1264"/>
      <c r="Q7" s="1266" t="e">
        <f>E12</f>
        <v>#REF!</v>
      </c>
      <c r="R7" s="1258"/>
      <c r="S7" s="1258"/>
      <c r="T7" s="1258"/>
    </row>
    <row r="8" spans="1:38" ht="16.899999999999999" customHeight="1" thickBot="1">
      <c r="A8" s="115">
        <v>6</v>
      </c>
      <c r="B8" s="873"/>
      <c r="C8" s="1272" t="s">
        <v>588</v>
      </c>
      <c r="D8" s="1272"/>
      <c r="E8" s="1273" t="e">
        <f>#REF!</f>
        <v>#REF!</v>
      </c>
      <c r="F8" s="1274"/>
      <c r="I8" s="306"/>
      <c r="J8" s="304" t="s">
        <v>657</v>
      </c>
      <c r="K8" s="1260"/>
      <c r="L8" s="1261"/>
      <c r="M8" s="1261"/>
      <c r="N8" s="1262"/>
      <c r="O8" s="1180"/>
      <c r="P8" s="1265"/>
      <c r="Q8" s="1260"/>
      <c r="R8" s="1261"/>
      <c r="S8" s="1261"/>
      <c r="T8" s="1261"/>
    </row>
    <row r="9" spans="1:38" ht="17.25" customHeight="1">
      <c r="A9" s="115">
        <v>7</v>
      </c>
      <c r="B9" s="873"/>
      <c r="C9" s="1284" t="s">
        <v>765</v>
      </c>
      <c r="D9" s="1272"/>
      <c r="E9" s="1273" t="e">
        <f>#REF!</f>
        <v>#REF!</v>
      </c>
      <c r="F9" s="1274"/>
      <c r="I9" s="1179" t="s">
        <v>783</v>
      </c>
      <c r="J9" s="1179"/>
      <c r="K9" s="1179"/>
      <c r="L9" s="1179"/>
      <c r="M9" s="1179"/>
      <c r="N9" s="1179"/>
      <c r="O9" s="1179"/>
      <c r="P9" s="1179"/>
      <c r="Q9" s="1179"/>
      <c r="R9" s="1179"/>
      <c r="S9" s="1179"/>
      <c r="T9" s="1179"/>
    </row>
    <row r="10" spans="1:38" ht="17.25" customHeight="1" thickBot="1">
      <c r="A10" s="115">
        <v>8</v>
      </c>
      <c r="B10" s="873"/>
      <c r="C10" s="1284" t="s">
        <v>437</v>
      </c>
      <c r="D10" s="1272"/>
      <c r="E10" s="1273" t="e">
        <f>#REF!</f>
        <v>#REF!</v>
      </c>
      <c r="F10" s="1274"/>
      <c r="I10" s="1181" t="s">
        <v>658</v>
      </c>
      <c r="J10" s="1181"/>
      <c r="K10" s="1181"/>
      <c r="L10" s="1181"/>
      <c r="M10" s="1181"/>
      <c r="N10" s="1181"/>
      <c r="O10" s="1181"/>
      <c r="P10" s="1181"/>
      <c r="Q10" s="1181"/>
      <c r="R10" s="1181"/>
      <c r="S10" s="1181"/>
      <c r="T10" s="1181"/>
    </row>
    <row r="11" spans="1:38" ht="19.899999999999999" thickBot="1">
      <c r="A11" s="115">
        <v>9</v>
      </c>
      <c r="B11" s="873"/>
      <c r="C11" s="1286" t="s">
        <v>784</v>
      </c>
      <c r="D11" s="1272"/>
      <c r="E11" s="1273" t="e">
        <f>#REF! &amp; "(" &amp;#REF!&amp; ")"</f>
        <v>#REF!</v>
      </c>
      <c r="F11" s="1274"/>
      <c r="I11" s="1267" t="s">
        <v>659</v>
      </c>
      <c r="J11" s="317" t="s">
        <v>660</v>
      </c>
      <c r="K11" s="1229">
        <f>E15</f>
        <v>0</v>
      </c>
      <c r="L11" s="1230"/>
      <c r="M11" s="1230"/>
      <c r="N11" s="1270"/>
      <c r="O11" s="1184" t="s">
        <v>661</v>
      </c>
      <c r="P11" s="1190"/>
      <c r="Q11" s="1229">
        <f>E16</f>
        <v>0</v>
      </c>
      <c r="R11" s="1230"/>
      <c r="S11" s="1230"/>
      <c r="T11" s="1230"/>
    </row>
    <row r="12" spans="1:38" ht="17.25" thickBot="1">
      <c r="A12" s="115">
        <v>10</v>
      </c>
      <c r="B12" s="873"/>
      <c r="C12" s="1272" t="s">
        <v>590</v>
      </c>
      <c r="D12" s="1272"/>
      <c r="E12" s="1273" t="e">
        <f>#REF!</f>
        <v>#REF!</v>
      </c>
      <c r="F12" s="1274"/>
      <c r="I12" s="1268"/>
      <c r="J12" s="317" t="s">
        <v>662</v>
      </c>
      <c r="K12" s="1229">
        <f>E17</f>
        <v>0</v>
      </c>
      <c r="L12" s="1230"/>
      <c r="M12" s="1230"/>
      <c r="N12" s="1230"/>
      <c r="O12" s="1230"/>
      <c r="P12" s="1230"/>
      <c r="Q12" s="1230"/>
      <c r="R12" s="1230"/>
      <c r="S12" s="1230"/>
      <c r="T12" s="1230"/>
    </row>
    <row r="13" spans="1:38" ht="17.25" thickBot="1">
      <c r="A13" s="115">
        <v>11</v>
      </c>
      <c r="B13" s="874"/>
      <c r="C13" s="1276" t="s">
        <v>591</v>
      </c>
      <c r="D13" s="1276"/>
      <c r="E13" s="1285"/>
      <c r="F13" s="1278"/>
      <c r="I13" s="1268"/>
      <c r="J13" s="317" t="s">
        <v>663</v>
      </c>
      <c r="K13" s="1229">
        <f>E18</f>
        <v>0</v>
      </c>
      <c r="L13" s="1230"/>
      <c r="M13" s="1230"/>
      <c r="N13" s="1230"/>
      <c r="O13" s="1230"/>
      <c r="P13" s="1230"/>
      <c r="Q13" s="1230"/>
      <c r="R13" s="1230"/>
      <c r="S13" s="1230"/>
      <c r="T13" s="1230"/>
    </row>
    <row r="14" spans="1:38" ht="13.9" customHeight="1" thickBot="1">
      <c r="A14" s="115">
        <v>12</v>
      </c>
      <c r="I14" s="1268"/>
      <c r="J14" s="317" t="s">
        <v>664</v>
      </c>
      <c r="K14" s="1271">
        <f>E19</f>
        <v>0</v>
      </c>
      <c r="L14" s="1230"/>
      <c r="M14" s="1230"/>
      <c r="N14" s="1230"/>
      <c r="O14" s="1230"/>
      <c r="P14" s="1230"/>
      <c r="Q14" s="1230"/>
      <c r="R14" s="1230"/>
      <c r="S14" s="1230"/>
      <c r="T14" s="1230"/>
    </row>
    <row r="15" spans="1:38" ht="17.25" customHeight="1" thickBot="1">
      <c r="A15" s="115">
        <v>13</v>
      </c>
      <c r="B15" s="872" t="s">
        <v>593</v>
      </c>
      <c r="C15" s="1272" t="s">
        <v>594</v>
      </c>
      <c r="D15" s="1272"/>
      <c r="E15" s="1273"/>
      <c r="F15" s="1274"/>
      <c r="I15" s="1269"/>
      <c r="J15" s="317" t="s">
        <v>665</v>
      </c>
      <c r="K15" s="1229">
        <f>E20</f>
        <v>55555555</v>
      </c>
      <c r="L15" s="1230"/>
      <c r="M15" s="1230"/>
      <c r="N15" s="1230"/>
      <c r="O15" s="1230"/>
      <c r="P15" s="1230"/>
      <c r="Q15" s="1230"/>
      <c r="R15" s="1230"/>
      <c r="S15" s="1230"/>
      <c r="T15" s="1230"/>
    </row>
    <row r="16" spans="1:38" ht="17.25" thickBot="1">
      <c r="A16" s="115">
        <v>14</v>
      </c>
      <c r="B16" s="873"/>
      <c r="C16" s="1275" t="s">
        <v>595</v>
      </c>
      <c r="D16" s="1275"/>
      <c r="E16" s="1273"/>
      <c r="F16" s="1274"/>
      <c r="I16" s="1231"/>
      <c r="J16" s="1231"/>
      <c r="K16" s="1231"/>
      <c r="L16" s="1231"/>
      <c r="M16" s="1231"/>
      <c r="N16" s="1231"/>
      <c r="O16" s="1231"/>
      <c r="P16" s="1231"/>
      <c r="Q16" s="1231"/>
      <c r="R16" s="1231"/>
      <c r="S16" s="1231"/>
      <c r="T16" s="1231"/>
    </row>
    <row r="17" spans="1:20" ht="16.899999999999999">
      <c r="A17" s="115">
        <v>15</v>
      </c>
      <c r="B17" s="873"/>
      <c r="C17" s="1275" t="s">
        <v>596</v>
      </c>
      <c r="D17" s="1275"/>
      <c r="E17" s="1273"/>
      <c r="F17" s="1274"/>
      <c r="I17" s="318" t="s">
        <v>666</v>
      </c>
      <c r="J17" s="1232" t="s">
        <v>667</v>
      </c>
      <c r="K17" s="1232" t="s">
        <v>668</v>
      </c>
      <c r="L17" s="1234" t="s">
        <v>669</v>
      </c>
      <c r="M17" s="1235"/>
      <c r="N17" s="1234" t="s">
        <v>670</v>
      </c>
      <c r="O17" s="1238"/>
      <c r="P17" s="1238"/>
      <c r="Q17" s="1235"/>
      <c r="R17" s="1234" t="s">
        <v>671</v>
      </c>
      <c r="S17" s="1238"/>
      <c r="T17" s="1238"/>
    </row>
    <row r="18" spans="1:20" ht="16.899999999999999">
      <c r="A18" s="115">
        <v>16</v>
      </c>
      <c r="B18" s="873"/>
      <c r="C18" s="1275" t="s">
        <v>597</v>
      </c>
      <c r="D18" s="1275"/>
      <c r="E18" s="1273"/>
      <c r="F18" s="1274"/>
      <c r="I18" s="319" t="s">
        <v>672</v>
      </c>
      <c r="J18" s="1233"/>
      <c r="K18" s="1233"/>
      <c r="L18" s="1236"/>
      <c r="M18" s="1237"/>
      <c r="N18" s="1240" t="s">
        <v>673</v>
      </c>
      <c r="O18" s="1241"/>
      <c r="P18" s="1241"/>
      <c r="Q18" s="1242"/>
      <c r="R18" s="1236"/>
      <c r="S18" s="1239"/>
      <c r="T18" s="1239"/>
    </row>
    <row r="19" spans="1:20" ht="16.899999999999999">
      <c r="A19" s="115">
        <v>17</v>
      </c>
      <c r="B19" s="873"/>
      <c r="C19" s="1275" t="s">
        <v>598</v>
      </c>
      <c r="D19" s="1275"/>
      <c r="E19" s="1273"/>
      <c r="F19" s="1274"/>
      <c r="I19" s="307"/>
      <c r="J19" s="333" t="str">
        <f>B24</f>
        <v>이민수</v>
      </c>
      <c r="K19" s="320" t="str">
        <f>C24</f>
        <v>900699</v>
      </c>
      <c r="L19" s="1222" t="str">
        <f>D24</f>
        <v>남</v>
      </c>
      <c r="M19" s="1223"/>
      <c r="N19" s="1243" t="s">
        <v>785</v>
      </c>
      <c r="O19" s="1224"/>
      <c r="P19" s="1224"/>
      <c r="Q19" s="1223"/>
      <c r="R19" s="1225" t="str">
        <f>F24</f>
        <v>010-1234-5678</v>
      </c>
      <c r="S19" s="1224"/>
      <c r="T19" s="1224"/>
    </row>
    <row r="20" spans="1:20" ht="17.25" thickBot="1">
      <c r="A20" s="115">
        <v>18</v>
      </c>
      <c r="B20" s="874"/>
      <c r="C20" s="1276" t="s">
        <v>599</v>
      </c>
      <c r="D20" s="1276"/>
      <c r="E20" s="1277">
        <v>55555555</v>
      </c>
      <c r="F20" s="1278"/>
      <c r="I20" s="307"/>
      <c r="J20" s="333" t="str">
        <f t="shared" ref="J20:J28" si="0">B25</f>
        <v>정지우</v>
      </c>
      <c r="K20" s="320" t="str">
        <f t="shared" ref="K20:K28" si="1">C25</f>
        <v>950499</v>
      </c>
      <c r="L20" s="1222" t="str">
        <f t="shared" ref="L20:L28" si="2">D25</f>
        <v>여</v>
      </c>
      <c r="M20" s="1223"/>
      <c r="N20" s="1222" t="s">
        <v>674</v>
      </c>
      <c r="O20" s="1224"/>
      <c r="P20" s="1224"/>
      <c r="Q20" s="1223"/>
      <c r="R20" s="1225" t="str">
        <f t="shared" ref="R20:R28" si="3">F25</f>
        <v>010-1234-5678</v>
      </c>
      <c r="S20" s="1224"/>
      <c r="T20" s="1224"/>
    </row>
    <row r="21" spans="1:20" ht="13.5">
      <c r="A21" s="115">
        <v>19</v>
      </c>
      <c r="I21" s="307"/>
      <c r="J21" s="333" t="str">
        <f t="shared" si="0"/>
        <v>박지우</v>
      </c>
      <c r="K21" s="320" t="str">
        <f t="shared" si="1"/>
        <v>960399</v>
      </c>
      <c r="L21" s="1222" t="str">
        <f t="shared" si="2"/>
        <v>여</v>
      </c>
      <c r="M21" s="1223"/>
      <c r="N21" s="1222" t="s">
        <v>674</v>
      </c>
      <c r="O21" s="1224"/>
      <c r="P21" s="1224"/>
      <c r="Q21" s="1223"/>
      <c r="R21" s="1225" t="str">
        <f t="shared" si="3"/>
        <v>010-1234-5678</v>
      </c>
      <c r="S21" s="1224"/>
      <c r="T21" s="1224"/>
    </row>
    <row r="22" spans="1:20" ht="25.15" thickBot="1">
      <c r="A22" s="115">
        <v>20</v>
      </c>
      <c r="B22" s="1244" t="s">
        <v>600</v>
      </c>
      <c r="C22" s="1245"/>
      <c r="D22" s="1245"/>
      <c r="E22" s="1245"/>
      <c r="F22" s="1245"/>
      <c r="I22" s="307"/>
      <c r="J22" s="333" t="str">
        <f t="shared" si="0"/>
        <v>김예은</v>
      </c>
      <c r="K22" s="320" t="str">
        <f t="shared" si="1"/>
        <v>930699</v>
      </c>
      <c r="L22" s="1222" t="str">
        <f t="shared" si="2"/>
        <v>남</v>
      </c>
      <c r="M22" s="1223"/>
      <c r="N22" s="1222" t="s">
        <v>674</v>
      </c>
      <c r="O22" s="1224"/>
      <c r="P22" s="1224"/>
      <c r="Q22" s="1223"/>
      <c r="R22" s="1225" t="str">
        <f t="shared" si="3"/>
        <v>010-1234-5678</v>
      </c>
      <c r="S22" s="1224"/>
      <c r="T22" s="1224"/>
    </row>
    <row r="23" spans="1:20" ht="16.899999999999999" thickTop="1">
      <c r="A23" s="115">
        <v>21</v>
      </c>
      <c r="B23" s="302" t="s">
        <v>136</v>
      </c>
      <c r="C23" s="302" t="s">
        <v>106</v>
      </c>
      <c r="D23" s="302" t="s">
        <v>107</v>
      </c>
      <c r="E23" s="302" t="s">
        <v>137</v>
      </c>
      <c r="F23" s="303" t="s">
        <v>109</v>
      </c>
      <c r="I23" s="307"/>
      <c r="J23" s="333" t="str">
        <f t="shared" si="0"/>
        <v>이민수</v>
      </c>
      <c r="K23" s="320" t="str">
        <f t="shared" si="1"/>
        <v>020699</v>
      </c>
      <c r="L23" s="1222" t="str">
        <f t="shared" si="2"/>
        <v>남</v>
      </c>
      <c r="M23" s="1223"/>
      <c r="N23" s="1222" t="s">
        <v>674</v>
      </c>
      <c r="O23" s="1224"/>
      <c r="P23" s="1224"/>
      <c r="Q23" s="1223"/>
      <c r="R23" s="1225" t="str">
        <f t="shared" si="3"/>
        <v>010-1234-5678</v>
      </c>
      <c r="S23" s="1224"/>
      <c r="T23" s="1224"/>
    </row>
    <row r="24" spans="1:20" ht="13.5">
      <c r="A24" s="115">
        <v>22</v>
      </c>
      <c r="B24" s="330" t="str">
        <f>참여자명단!F3</f>
        <v>이민수</v>
      </c>
      <c r="C24" s="47" t="str">
        <f>참여자명단!T3</f>
        <v>900699</v>
      </c>
      <c r="D24" s="47" t="str">
        <f>참여자명단!S3</f>
        <v>남</v>
      </c>
      <c r="F24" s="330" t="str">
        <f>참여자명단!H3</f>
        <v>010-1234-5678</v>
      </c>
      <c r="I24" s="307"/>
      <c r="J24" s="333" t="str">
        <f t="shared" si="0"/>
        <v>박현우</v>
      </c>
      <c r="K24" s="320" t="str">
        <f t="shared" si="1"/>
        <v>930899</v>
      </c>
      <c r="L24" s="1222" t="str">
        <f t="shared" si="2"/>
        <v>남</v>
      </c>
      <c r="M24" s="1223"/>
      <c r="N24" s="1222" t="s">
        <v>674</v>
      </c>
      <c r="O24" s="1224"/>
      <c r="P24" s="1224"/>
      <c r="Q24" s="1223"/>
      <c r="R24" s="1225" t="str">
        <f t="shared" si="3"/>
        <v>010-1234-5678</v>
      </c>
      <c r="S24" s="1224"/>
      <c r="T24" s="1224"/>
    </row>
    <row r="25" spans="1:20" ht="13.5">
      <c r="A25" s="115">
        <v>23</v>
      </c>
      <c r="B25" s="330" t="str">
        <f>참여자명단!F4</f>
        <v>정지우</v>
      </c>
      <c r="C25" s="47" t="str">
        <f>참여자명단!T4</f>
        <v>950499</v>
      </c>
      <c r="D25" s="47" t="str">
        <f>참여자명단!S4</f>
        <v>여</v>
      </c>
      <c r="F25" s="330" t="str">
        <f>참여자명단!H4</f>
        <v>010-1234-5678</v>
      </c>
      <c r="I25" s="307"/>
      <c r="J25" s="333" t="str">
        <f t="shared" si="0"/>
        <v>이현우</v>
      </c>
      <c r="K25" s="320" t="str">
        <f t="shared" si="1"/>
        <v>001199</v>
      </c>
      <c r="L25" s="1222" t="str">
        <f t="shared" si="2"/>
        <v>남</v>
      </c>
      <c r="M25" s="1223"/>
      <c r="N25" s="1222" t="s">
        <v>674</v>
      </c>
      <c r="O25" s="1224"/>
      <c r="P25" s="1224"/>
      <c r="Q25" s="1223"/>
      <c r="R25" s="1225" t="str">
        <f t="shared" si="3"/>
        <v>010-1234-5678</v>
      </c>
      <c r="S25" s="1224"/>
      <c r="T25" s="1224"/>
    </row>
    <row r="26" spans="1:20" ht="13.5">
      <c r="A26" s="115">
        <v>24</v>
      </c>
      <c r="B26" s="330" t="str">
        <f>참여자명단!F5</f>
        <v>박지우</v>
      </c>
      <c r="C26" s="47" t="str">
        <f>참여자명단!T5</f>
        <v>960399</v>
      </c>
      <c r="D26" s="47" t="str">
        <f>참여자명단!S5</f>
        <v>여</v>
      </c>
      <c r="F26" s="330" t="str">
        <f>참여자명단!H5</f>
        <v>010-1234-5678</v>
      </c>
      <c r="I26" s="307"/>
      <c r="J26" s="333" t="str">
        <f t="shared" si="0"/>
        <v>김지우</v>
      </c>
      <c r="K26" s="320" t="str">
        <f t="shared" si="1"/>
        <v>920699</v>
      </c>
      <c r="L26" s="1222" t="str">
        <f t="shared" si="2"/>
        <v>남</v>
      </c>
      <c r="M26" s="1223"/>
      <c r="N26" s="1222" t="s">
        <v>674</v>
      </c>
      <c r="O26" s="1224"/>
      <c r="P26" s="1224"/>
      <c r="Q26" s="1223"/>
      <c r="R26" s="1225" t="str">
        <f t="shared" si="3"/>
        <v>010-1234-5678</v>
      </c>
      <c r="S26" s="1224"/>
      <c r="T26" s="1224"/>
    </row>
    <row r="27" spans="1:20" ht="13.5">
      <c r="A27" s="115">
        <v>25</v>
      </c>
      <c r="B27" s="330" t="str">
        <f>참여자명단!F6</f>
        <v>김예은</v>
      </c>
      <c r="C27" s="47" t="str">
        <f>참여자명단!T6</f>
        <v>930699</v>
      </c>
      <c r="D27" s="47" t="str">
        <f>참여자명단!S6</f>
        <v>남</v>
      </c>
      <c r="F27" s="330" t="str">
        <f>참여자명단!H6</f>
        <v>010-1234-5678</v>
      </c>
      <c r="I27" s="307"/>
      <c r="J27" s="333" t="str">
        <f t="shared" si="0"/>
        <v>박현우</v>
      </c>
      <c r="K27" s="320" t="str">
        <f t="shared" si="1"/>
        <v>900699</v>
      </c>
      <c r="L27" s="1222" t="str">
        <f t="shared" si="2"/>
        <v>여</v>
      </c>
      <c r="M27" s="1223"/>
      <c r="N27" s="1222" t="s">
        <v>674</v>
      </c>
      <c r="O27" s="1224"/>
      <c r="P27" s="1224"/>
      <c r="Q27" s="1223"/>
      <c r="R27" s="1225" t="str">
        <f t="shared" si="3"/>
        <v>010-1234-5678</v>
      </c>
      <c r="S27" s="1224"/>
      <c r="T27" s="1224"/>
    </row>
    <row r="28" spans="1:20" ht="13.9" thickBot="1">
      <c r="A28" s="115">
        <v>26</v>
      </c>
      <c r="B28" s="330" t="str">
        <f>참여자명단!F7</f>
        <v>이민수</v>
      </c>
      <c r="C28" s="47" t="str">
        <f>참여자명단!T7</f>
        <v>020699</v>
      </c>
      <c r="D28" s="47" t="str">
        <f>참여자명단!S7</f>
        <v>남</v>
      </c>
      <c r="F28" s="330" t="str">
        <f>참여자명단!H7</f>
        <v>010-1234-5678</v>
      </c>
      <c r="I28" s="306"/>
      <c r="J28" s="333" t="str">
        <f t="shared" si="0"/>
        <v>김현우</v>
      </c>
      <c r="K28" s="320" t="str">
        <f t="shared" si="1"/>
        <v>900799</v>
      </c>
      <c r="L28" s="1222" t="str">
        <f t="shared" si="2"/>
        <v>남</v>
      </c>
      <c r="M28" s="1223"/>
      <c r="N28" s="1226" t="s">
        <v>674</v>
      </c>
      <c r="O28" s="1227"/>
      <c r="P28" s="1227"/>
      <c r="Q28" s="1228"/>
      <c r="R28" s="1225" t="str">
        <f t="shared" si="3"/>
        <v>010-1234-5678</v>
      </c>
      <c r="S28" s="1224"/>
      <c r="T28" s="1224"/>
    </row>
    <row r="29" spans="1:20" ht="13.5">
      <c r="A29" s="115">
        <v>27</v>
      </c>
      <c r="B29" s="330" t="str">
        <f>참여자명단!F8</f>
        <v>박현우</v>
      </c>
      <c r="C29" s="47" t="str">
        <f>참여자명단!T8</f>
        <v>930899</v>
      </c>
      <c r="D29" s="47" t="str">
        <f>참여자명단!S8</f>
        <v>남</v>
      </c>
      <c r="F29" s="330" t="str">
        <f>참여자명단!H8</f>
        <v>010-1234-5678</v>
      </c>
      <c r="I29" s="1214"/>
      <c r="J29" s="1214"/>
      <c r="K29" s="1214"/>
      <c r="L29" s="1214"/>
      <c r="M29" s="1214"/>
      <c r="N29" s="1214"/>
      <c r="O29" s="1214"/>
      <c r="P29" s="1214"/>
      <c r="Q29" s="1214"/>
      <c r="R29" s="1214"/>
      <c r="S29" s="1214"/>
      <c r="T29" s="1214"/>
    </row>
    <row r="30" spans="1:20" ht="13.5">
      <c r="A30" s="115">
        <v>28</v>
      </c>
      <c r="B30" s="330" t="str">
        <f>참여자명단!F9</f>
        <v>이현우</v>
      </c>
      <c r="C30" s="47" t="str">
        <f>참여자명단!T9</f>
        <v>001199</v>
      </c>
      <c r="D30" s="47" t="str">
        <f>참여자명단!S9</f>
        <v>남</v>
      </c>
      <c r="F30" s="330" t="str">
        <f>참여자명단!H9</f>
        <v>010-1234-5678</v>
      </c>
      <c r="I30" s="1215" t="s">
        <v>675</v>
      </c>
      <c r="J30" s="1215"/>
      <c r="K30" s="1215"/>
      <c r="L30" s="1215"/>
      <c r="M30" s="1215"/>
      <c r="N30" s="1215"/>
      <c r="O30" s="1215"/>
      <c r="P30" s="1215"/>
      <c r="Q30" s="1215"/>
      <c r="R30" s="1215"/>
      <c r="S30" s="1215"/>
      <c r="T30" s="1215"/>
    </row>
    <row r="31" spans="1:20" ht="13.5">
      <c r="A31" s="115">
        <v>29</v>
      </c>
      <c r="B31" s="330" t="str">
        <f>참여자명단!F10</f>
        <v>김지우</v>
      </c>
      <c r="C31" s="47" t="str">
        <f>참여자명단!T10</f>
        <v>920699</v>
      </c>
      <c r="D31" s="47" t="str">
        <f>참여자명단!S10</f>
        <v>남</v>
      </c>
      <c r="F31" s="330" t="str">
        <f>참여자명단!H10</f>
        <v>010-1234-5678</v>
      </c>
      <c r="I31" s="1216" t="s">
        <v>676</v>
      </c>
      <c r="J31" s="1216"/>
      <c r="K31" s="1216"/>
      <c r="L31" s="1216"/>
      <c r="M31" s="1216"/>
      <c r="N31" s="1216"/>
      <c r="O31" s="1216"/>
      <c r="P31" s="1216"/>
      <c r="Q31" s="1216"/>
      <c r="R31" s="1216"/>
      <c r="S31" s="1216"/>
      <c r="T31" s="1216"/>
    </row>
    <row r="32" spans="1:20" ht="13.9" customHeight="1">
      <c r="A32" s="115">
        <v>30</v>
      </c>
      <c r="B32" s="330" t="str">
        <f>참여자명단!F11</f>
        <v>박현우</v>
      </c>
      <c r="C32" s="47" t="str">
        <f>참여자명단!T11</f>
        <v>900699</v>
      </c>
      <c r="D32" s="47" t="str">
        <f>참여자명단!S11</f>
        <v>여</v>
      </c>
      <c r="F32" s="330" t="str">
        <f>참여자명단!H11</f>
        <v>010-1234-5678</v>
      </c>
      <c r="I32" s="1217"/>
      <c r="J32" s="1217"/>
      <c r="K32" s="1217"/>
      <c r="L32" s="1217"/>
      <c r="M32" s="1218" t="s">
        <v>677</v>
      </c>
      <c r="N32" s="1218"/>
      <c r="O32" s="1218"/>
      <c r="P32" s="1219" t="e">
        <f>E5</f>
        <v>#REF!</v>
      </c>
      <c r="Q32" s="1219"/>
      <c r="R32" s="1219"/>
      <c r="S32" s="1219"/>
      <c r="T32" s="321" t="s">
        <v>678</v>
      </c>
    </row>
    <row r="33" spans="1:20" ht="13.9" customHeight="1" thickBot="1">
      <c r="A33" s="115">
        <v>31</v>
      </c>
      <c r="B33" s="330" t="str">
        <f>참여자명단!F12</f>
        <v>김현우</v>
      </c>
      <c r="C33" s="47" t="str">
        <f>참여자명단!T12</f>
        <v>900799</v>
      </c>
      <c r="D33" s="47" t="str">
        <f>참여자명단!S12</f>
        <v>남</v>
      </c>
      <c r="F33" s="330" t="str">
        <f>참여자명단!H12</f>
        <v>010-1234-5678</v>
      </c>
      <c r="I33" s="1220" t="s">
        <v>601</v>
      </c>
      <c r="J33" s="1220"/>
      <c r="K33" s="1220"/>
      <c r="L33" s="1220"/>
      <c r="M33" s="1220"/>
      <c r="N33" s="1220"/>
      <c r="O33" s="1220"/>
      <c r="P33" s="1220"/>
      <c r="Q33" s="1220"/>
      <c r="R33" s="1220"/>
      <c r="S33" s="1221" t="s">
        <v>679</v>
      </c>
      <c r="T33" s="1221"/>
    </row>
    <row r="34" spans="1:20" ht="13.9" thickTop="1">
      <c r="A34" s="115">
        <v>32</v>
      </c>
      <c r="B34" s="330"/>
      <c r="I34" s="334"/>
      <c r="J34" s="334"/>
      <c r="K34" s="334"/>
      <c r="L34" s="334"/>
      <c r="M34" s="334"/>
      <c r="N34" s="334"/>
      <c r="O34" s="334"/>
      <c r="P34" s="334"/>
      <c r="Q34" s="334"/>
      <c r="R34" s="334"/>
      <c r="S34" s="334"/>
      <c r="T34" s="334"/>
    </row>
    <row r="35" spans="1:20" ht="13.5">
      <c r="A35" s="115">
        <v>33</v>
      </c>
      <c r="B35" s="330"/>
    </row>
    <row r="36" spans="1:20" ht="28.5">
      <c r="A36" s="115">
        <v>34</v>
      </c>
      <c r="B36" s="865" t="s">
        <v>782</v>
      </c>
      <c r="C36" s="866"/>
      <c r="D36" s="866"/>
      <c r="E36" s="866"/>
      <c r="F36" s="866"/>
      <c r="I36" s="1246" t="s">
        <v>787</v>
      </c>
      <c r="J36" s="1247"/>
      <c r="K36" s="1247"/>
      <c r="L36" s="1247"/>
      <c r="M36" s="1247"/>
      <c r="N36" s="1247"/>
      <c r="O36" s="1247"/>
      <c r="P36" s="1247"/>
      <c r="Q36" s="1247"/>
      <c r="R36" s="1247"/>
      <c r="S36" s="1247"/>
      <c r="T36" s="1247"/>
    </row>
    <row r="37" spans="1:20" ht="18" thickBot="1">
      <c r="A37" s="115">
        <v>35</v>
      </c>
      <c r="B37" s="308" t="s">
        <v>641</v>
      </c>
      <c r="C37" s="1279" t="s">
        <v>642</v>
      </c>
      <c r="D37" s="1279"/>
      <c r="E37" s="1279" t="s">
        <v>643</v>
      </c>
      <c r="F37" s="1280"/>
      <c r="I37" s="309" t="s">
        <v>644</v>
      </c>
      <c r="J37" s="310" t="s">
        <v>645</v>
      </c>
      <c r="K37" s="1248" t="e">
        <f>E38</f>
        <v>#REF!</v>
      </c>
      <c r="L37" s="1249"/>
      <c r="M37" s="1249"/>
      <c r="N37" s="1250"/>
      <c r="O37" s="1199" t="s">
        <v>646</v>
      </c>
      <c r="P37" s="1200"/>
      <c r="Q37" s="1251" t="e">
        <f>E39</f>
        <v>#REF!</v>
      </c>
      <c r="R37" s="1249"/>
      <c r="S37" s="1249"/>
      <c r="T37" s="1249"/>
    </row>
    <row r="38" spans="1:20" ht="17.25" thickTop="1">
      <c r="A38" s="115">
        <v>36</v>
      </c>
      <c r="B38" s="1281" t="s">
        <v>592</v>
      </c>
      <c r="C38" s="1275" t="s">
        <v>584</v>
      </c>
      <c r="D38" s="1275"/>
      <c r="E38" s="1282" t="e">
        <f>#REF!</f>
        <v>#REF!</v>
      </c>
      <c r="F38" s="1283"/>
      <c r="I38" s="311" t="s">
        <v>647</v>
      </c>
      <c r="J38" s="312" t="s">
        <v>648</v>
      </c>
      <c r="K38" s="1252" t="e">
        <f>E40</f>
        <v>#REF!</v>
      </c>
      <c r="L38" s="1253"/>
      <c r="M38" s="1253"/>
      <c r="N38" s="1253"/>
      <c r="O38" s="1253"/>
      <c r="P38" s="1253"/>
      <c r="Q38" s="1253"/>
      <c r="R38" s="1253"/>
      <c r="S38" s="1253"/>
      <c r="T38" s="1253"/>
    </row>
    <row r="39" spans="1:20" ht="17.25" thickBot="1">
      <c r="A39" s="115">
        <v>37</v>
      </c>
      <c r="B39" s="873"/>
      <c r="C39" s="1272" t="s">
        <v>585</v>
      </c>
      <c r="D39" s="1272"/>
      <c r="E39" s="1273" t="e">
        <f>#REF!</f>
        <v>#REF!</v>
      </c>
      <c r="F39" s="1274"/>
      <c r="I39" s="306"/>
      <c r="J39" s="313" t="s">
        <v>649</v>
      </c>
      <c r="K39" s="1248" t="e">
        <f>E41</f>
        <v>#REF!</v>
      </c>
      <c r="L39" s="1249"/>
      <c r="M39" s="1249"/>
      <c r="N39" s="1254"/>
      <c r="O39" s="1255" t="s">
        <v>650</v>
      </c>
      <c r="P39" s="1256"/>
      <c r="Q39" s="1248" t="e">
        <f>E42</f>
        <v>#REF!</v>
      </c>
      <c r="R39" s="1249"/>
      <c r="S39" s="1249"/>
      <c r="T39" s="1249"/>
    </row>
    <row r="40" spans="1:20" ht="16.899999999999999">
      <c r="A40" s="115">
        <v>38</v>
      </c>
      <c r="B40" s="873"/>
      <c r="C40" s="1272" t="s">
        <v>586</v>
      </c>
      <c r="D40" s="1272"/>
      <c r="E40" s="1273" t="e">
        <f>#REF!</f>
        <v>#REF!</v>
      </c>
      <c r="F40" s="1274"/>
      <c r="I40" s="314" t="s">
        <v>651</v>
      </c>
      <c r="J40" s="315" t="s">
        <v>652</v>
      </c>
      <c r="K40" s="1248" t="e">
        <f>E44</f>
        <v>#REF!</v>
      </c>
      <c r="L40" s="1249"/>
      <c r="M40" s="1249"/>
      <c r="N40" s="1254"/>
      <c r="O40" s="1255" t="s">
        <v>653</v>
      </c>
      <c r="P40" s="1256"/>
      <c r="Q40" s="1248" t="e">
        <f>E43</f>
        <v>#REF!</v>
      </c>
      <c r="R40" s="1249"/>
      <c r="S40" s="1249"/>
      <c r="T40" s="1249"/>
    </row>
    <row r="41" spans="1:20" ht="16.899999999999999">
      <c r="A41" s="115">
        <v>39</v>
      </c>
      <c r="B41" s="873"/>
      <c r="C41" s="1272" t="s">
        <v>587</v>
      </c>
      <c r="D41" s="1272"/>
      <c r="E41" s="1273" t="e">
        <f>#REF!</f>
        <v>#REF!</v>
      </c>
      <c r="F41" s="1274"/>
      <c r="I41" s="311" t="s">
        <v>654</v>
      </c>
      <c r="J41" s="316" t="s">
        <v>655</v>
      </c>
      <c r="K41" s="1257" t="e">
        <f>E45</f>
        <v>#REF!</v>
      </c>
      <c r="L41" s="1258"/>
      <c r="M41" s="1258"/>
      <c r="N41" s="1259"/>
      <c r="O41" s="1263" t="s">
        <v>656</v>
      </c>
      <c r="P41" s="1264"/>
      <c r="Q41" s="1266" t="e">
        <f>E46</f>
        <v>#REF!</v>
      </c>
      <c r="R41" s="1258"/>
      <c r="S41" s="1258"/>
      <c r="T41" s="1258"/>
    </row>
    <row r="42" spans="1:20" ht="17.25" thickBot="1">
      <c r="A42" s="115">
        <v>40</v>
      </c>
      <c r="B42" s="873"/>
      <c r="C42" s="1272" t="s">
        <v>588</v>
      </c>
      <c r="D42" s="1272"/>
      <c r="E42" s="1273" t="e">
        <f>#REF!</f>
        <v>#REF!</v>
      </c>
      <c r="F42" s="1274"/>
      <c r="I42" s="306"/>
      <c r="J42" s="304" t="s">
        <v>657</v>
      </c>
      <c r="K42" s="1260"/>
      <c r="L42" s="1261"/>
      <c r="M42" s="1261"/>
      <c r="N42" s="1262"/>
      <c r="O42" s="1180"/>
      <c r="P42" s="1265"/>
      <c r="Q42" s="1260"/>
      <c r="R42" s="1261"/>
      <c r="S42" s="1261"/>
      <c r="T42" s="1261"/>
    </row>
    <row r="43" spans="1:20" ht="19.5">
      <c r="A43" s="115">
        <v>41</v>
      </c>
      <c r="B43" s="873"/>
      <c r="C43" s="1284" t="s">
        <v>765</v>
      </c>
      <c r="D43" s="1272"/>
      <c r="E43" s="1273" t="e">
        <f>#REF!</f>
        <v>#REF!</v>
      </c>
      <c r="F43" s="1274"/>
      <c r="I43" s="1179" t="s">
        <v>783</v>
      </c>
      <c r="J43" s="1179"/>
      <c r="K43" s="1179"/>
      <c r="L43" s="1179"/>
      <c r="M43" s="1179"/>
      <c r="N43" s="1179"/>
      <c r="O43" s="1179"/>
      <c r="P43" s="1179"/>
      <c r="Q43" s="1179"/>
      <c r="R43" s="1179"/>
      <c r="S43" s="1179"/>
      <c r="T43" s="1179"/>
    </row>
    <row r="44" spans="1:20" ht="19.899999999999999" thickBot="1">
      <c r="A44" s="115">
        <v>42</v>
      </c>
      <c r="B44" s="873"/>
      <c r="C44" s="1284" t="s">
        <v>437</v>
      </c>
      <c r="D44" s="1272"/>
      <c r="E44" s="1273" t="e">
        <f>#REF!</f>
        <v>#REF!</v>
      </c>
      <c r="F44" s="1274"/>
      <c r="I44" s="1181" t="s">
        <v>658</v>
      </c>
      <c r="J44" s="1181"/>
      <c r="K44" s="1181"/>
      <c r="L44" s="1181"/>
      <c r="M44" s="1181"/>
      <c r="N44" s="1181"/>
      <c r="O44" s="1181"/>
      <c r="P44" s="1181"/>
      <c r="Q44" s="1181"/>
      <c r="R44" s="1181"/>
      <c r="S44" s="1181"/>
      <c r="T44" s="1181"/>
    </row>
    <row r="45" spans="1:20" ht="17.25" thickBot="1">
      <c r="A45" s="115">
        <v>43</v>
      </c>
      <c r="B45" s="873"/>
      <c r="C45" s="1272" t="s">
        <v>589</v>
      </c>
      <c r="D45" s="1272"/>
      <c r="E45" s="1273" t="e">
        <f>#REF!</f>
        <v>#REF!</v>
      </c>
      <c r="F45" s="1274"/>
      <c r="I45" s="1267" t="s">
        <v>659</v>
      </c>
      <c r="J45" s="317" t="s">
        <v>660</v>
      </c>
      <c r="K45" s="1229">
        <f>E49</f>
        <v>0</v>
      </c>
      <c r="L45" s="1230"/>
      <c r="M45" s="1230"/>
      <c r="N45" s="1270"/>
      <c r="O45" s="1184" t="s">
        <v>661</v>
      </c>
      <c r="P45" s="1190"/>
      <c r="Q45" s="1229">
        <f>E50</f>
        <v>0</v>
      </c>
      <c r="R45" s="1230"/>
      <c r="S45" s="1230"/>
      <c r="T45" s="1230"/>
    </row>
    <row r="46" spans="1:20" ht="17.25" thickBot="1">
      <c r="A46" s="115">
        <v>44</v>
      </c>
      <c r="B46" s="873"/>
      <c r="C46" s="1272" t="s">
        <v>590</v>
      </c>
      <c r="D46" s="1272"/>
      <c r="E46" s="1273" t="e">
        <f>#REF!</f>
        <v>#REF!</v>
      </c>
      <c r="F46" s="1274"/>
      <c r="I46" s="1268"/>
      <c r="J46" s="317" t="s">
        <v>662</v>
      </c>
      <c r="K46" s="1229">
        <f>E51</f>
        <v>0</v>
      </c>
      <c r="L46" s="1230"/>
      <c r="M46" s="1230"/>
      <c r="N46" s="1230"/>
      <c r="O46" s="1230"/>
      <c r="P46" s="1230"/>
      <c r="Q46" s="1230"/>
      <c r="R46" s="1230"/>
      <c r="S46" s="1230"/>
      <c r="T46" s="1230"/>
    </row>
    <row r="47" spans="1:20" ht="17.25" thickBot="1">
      <c r="A47" s="115">
        <v>45</v>
      </c>
      <c r="B47" s="874"/>
      <c r="C47" s="1276" t="s">
        <v>591</v>
      </c>
      <c r="D47" s="1276"/>
      <c r="E47" s="1285"/>
      <c r="F47" s="1278"/>
      <c r="I47" s="1268"/>
      <c r="J47" s="317" t="s">
        <v>663</v>
      </c>
      <c r="K47" s="1229">
        <f>E52</f>
        <v>0</v>
      </c>
      <c r="L47" s="1230"/>
      <c r="M47" s="1230"/>
      <c r="N47" s="1230"/>
      <c r="O47" s="1230"/>
      <c r="P47" s="1230"/>
      <c r="Q47" s="1230"/>
      <c r="R47" s="1230"/>
      <c r="S47" s="1230"/>
      <c r="T47" s="1230"/>
    </row>
    <row r="48" spans="1:20" ht="13.9" thickBot="1">
      <c r="A48" s="115">
        <v>46</v>
      </c>
      <c r="I48" s="1268"/>
      <c r="J48" s="317" t="s">
        <v>664</v>
      </c>
      <c r="K48" s="1271">
        <f>E53</f>
        <v>0</v>
      </c>
      <c r="L48" s="1230"/>
      <c r="M48" s="1230"/>
      <c r="N48" s="1230"/>
      <c r="O48" s="1230"/>
      <c r="P48" s="1230"/>
      <c r="Q48" s="1230"/>
      <c r="R48" s="1230"/>
      <c r="S48" s="1230"/>
      <c r="T48" s="1230"/>
    </row>
    <row r="49" spans="1:20" ht="17.25" thickBot="1">
      <c r="A49" s="115">
        <v>47</v>
      </c>
      <c r="B49" s="872" t="s">
        <v>593</v>
      </c>
      <c r="C49" s="1272" t="s">
        <v>594</v>
      </c>
      <c r="D49" s="1272"/>
      <c r="E49" s="1273"/>
      <c r="F49" s="1274"/>
      <c r="I49" s="1269"/>
      <c r="J49" s="317" t="s">
        <v>665</v>
      </c>
      <c r="K49" s="1229">
        <f>E54</f>
        <v>0</v>
      </c>
      <c r="L49" s="1230"/>
      <c r="M49" s="1230"/>
      <c r="N49" s="1230"/>
      <c r="O49" s="1230"/>
      <c r="P49" s="1230"/>
      <c r="Q49" s="1230"/>
      <c r="R49" s="1230"/>
      <c r="S49" s="1230"/>
      <c r="T49" s="1230"/>
    </row>
    <row r="50" spans="1:20" ht="17.25" thickBot="1">
      <c r="A50" s="115">
        <v>48</v>
      </c>
      <c r="B50" s="873"/>
      <c r="C50" s="1275" t="s">
        <v>595</v>
      </c>
      <c r="D50" s="1275"/>
      <c r="E50" s="1273"/>
      <c r="F50" s="1274"/>
      <c r="I50" s="1231"/>
      <c r="J50" s="1231"/>
      <c r="K50" s="1231"/>
      <c r="L50" s="1231"/>
      <c r="M50" s="1231"/>
      <c r="N50" s="1231"/>
      <c r="O50" s="1231"/>
      <c r="P50" s="1231"/>
      <c r="Q50" s="1231"/>
      <c r="R50" s="1231"/>
      <c r="S50" s="1231"/>
      <c r="T50" s="1231"/>
    </row>
    <row r="51" spans="1:20" ht="16.899999999999999">
      <c r="A51" s="115">
        <v>49</v>
      </c>
      <c r="B51" s="873"/>
      <c r="C51" s="1275" t="s">
        <v>596</v>
      </c>
      <c r="D51" s="1275"/>
      <c r="E51" s="1273"/>
      <c r="F51" s="1274"/>
      <c r="I51" s="318" t="s">
        <v>666</v>
      </c>
      <c r="J51" s="1232" t="s">
        <v>667</v>
      </c>
      <c r="K51" s="1232" t="s">
        <v>668</v>
      </c>
      <c r="L51" s="1234" t="s">
        <v>669</v>
      </c>
      <c r="M51" s="1235"/>
      <c r="N51" s="1234" t="s">
        <v>670</v>
      </c>
      <c r="O51" s="1238"/>
      <c r="P51" s="1238"/>
      <c r="Q51" s="1235"/>
      <c r="R51" s="1234" t="s">
        <v>671</v>
      </c>
      <c r="S51" s="1238"/>
      <c r="T51" s="1238"/>
    </row>
    <row r="52" spans="1:20" ht="16.899999999999999">
      <c r="A52" s="115">
        <v>50</v>
      </c>
      <c r="B52" s="873"/>
      <c r="C52" s="1275" t="s">
        <v>597</v>
      </c>
      <c r="D52" s="1275"/>
      <c r="E52" s="1273"/>
      <c r="F52" s="1274"/>
      <c r="I52" s="319" t="s">
        <v>672</v>
      </c>
      <c r="J52" s="1233"/>
      <c r="K52" s="1233"/>
      <c r="L52" s="1236"/>
      <c r="M52" s="1237"/>
      <c r="N52" s="1240" t="s">
        <v>673</v>
      </c>
      <c r="O52" s="1241"/>
      <c r="P52" s="1241"/>
      <c r="Q52" s="1242"/>
      <c r="R52" s="1236"/>
      <c r="S52" s="1239"/>
      <c r="T52" s="1239"/>
    </row>
    <row r="53" spans="1:20" ht="16.899999999999999">
      <c r="A53" s="115">
        <v>51</v>
      </c>
      <c r="B53" s="873"/>
      <c r="C53" s="1275" t="s">
        <v>598</v>
      </c>
      <c r="D53" s="1275"/>
      <c r="E53" s="1273"/>
      <c r="F53" s="1274"/>
      <c r="I53" s="307"/>
      <c r="J53" s="333" t="str">
        <f>B58</f>
        <v>정지우</v>
      </c>
      <c r="K53" s="320" t="str">
        <f>C58</f>
        <v>910699</v>
      </c>
      <c r="L53" s="1222" t="str">
        <f>D58</f>
        <v>남</v>
      </c>
      <c r="M53" s="1223"/>
      <c r="N53" s="1243" t="s">
        <v>785</v>
      </c>
      <c r="O53" s="1224"/>
      <c r="P53" s="1224"/>
      <c r="Q53" s="1223"/>
      <c r="R53" s="1225" t="str">
        <f>F58</f>
        <v>010-1234-5678</v>
      </c>
      <c r="S53" s="1224"/>
      <c r="T53" s="1224"/>
    </row>
    <row r="54" spans="1:20" ht="17.25" thickBot="1">
      <c r="A54" s="115">
        <v>52</v>
      </c>
      <c r="B54" s="874"/>
      <c r="C54" s="1276" t="s">
        <v>599</v>
      </c>
      <c r="D54" s="1276"/>
      <c r="E54" s="1277"/>
      <c r="F54" s="1278"/>
      <c r="I54" s="307"/>
      <c r="J54" s="333" t="str">
        <f t="shared" ref="J54:J62" si="4">B59</f>
        <v>박예은</v>
      </c>
      <c r="K54" s="320" t="str">
        <f t="shared" ref="K54:K62" si="5">C59</f>
        <v>000899</v>
      </c>
      <c r="L54" s="1222" t="str">
        <f t="shared" ref="L54:L62" si="6">D59</f>
        <v>여</v>
      </c>
      <c r="M54" s="1223"/>
      <c r="N54" s="1222" t="s">
        <v>674</v>
      </c>
      <c r="O54" s="1224"/>
      <c r="P54" s="1224"/>
      <c r="Q54" s="1223"/>
      <c r="R54" s="1225" t="str">
        <f t="shared" ref="R54:R62" si="7">F59</f>
        <v>010-1234-5678</v>
      </c>
      <c r="S54" s="1224"/>
      <c r="T54" s="1224"/>
    </row>
    <row r="55" spans="1:20" ht="13.5">
      <c r="A55" s="115">
        <v>53</v>
      </c>
      <c r="I55" s="307"/>
      <c r="J55" s="333" t="str">
        <f t="shared" si="4"/>
        <v>최현우</v>
      </c>
      <c r="K55" s="320" t="str">
        <f t="shared" si="5"/>
        <v>921299</v>
      </c>
      <c r="L55" s="1222" t="str">
        <f t="shared" si="6"/>
        <v>여</v>
      </c>
      <c r="M55" s="1223"/>
      <c r="N55" s="1222" t="s">
        <v>674</v>
      </c>
      <c r="O55" s="1224"/>
      <c r="P55" s="1224"/>
      <c r="Q55" s="1223"/>
      <c r="R55" s="1225" t="str">
        <f t="shared" si="7"/>
        <v>010-1234-5678</v>
      </c>
      <c r="S55" s="1224"/>
      <c r="T55" s="1224"/>
    </row>
    <row r="56" spans="1:20" ht="25.15" thickBot="1">
      <c r="A56" s="115">
        <v>54</v>
      </c>
      <c r="B56" s="1244" t="s">
        <v>600</v>
      </c>
      <c r="C56" s="1245"/>
      <c r="D56" s="1245"/>
      <c r="E56" s="1245"/>
      <c r="F56" s="1245"/>
      <c r="I56" s="307"/>
      <c r="J56" s="333" t="str">
        <f t="shared" si="4"/>
        <v>이현우</v>
      </c>
      <c r="K56" s="320" t="str">
        <f t="shared" si="5"/>
        <v>901199</v>
      </c>
      <c r="L56" s="1222" t="str">
        <f t="shared" si="6"/>
        <v>남</v>
      </c>
      <c r="M56" s="1223"/>
      <c r="N56" s="1222" t="s">
        <v>674</v>
      </c>
      <c r="O56" s="1224"/>
      <c r="P56" s="1224"/>
      <c r="Q56" s="1223"/>
      <c r="R56" s="1225" t="str">
        <f t="shared" si="7"/>
        <v>010-1234-5678</v>
      </c>
      <c r="S56" s="1224"/>
      <c r="T56" s="1224"/>
    </row>
    <row r="57" spans="1:20" ht="16.899999999999999" thickTop="1">
      <c r="A57" s="115">
        <v>55</v>
      </c>
      <c r="B57" s="302" t="s">
        <v>136</v>
      </c>
      <c r="C57" s="302" t="s">
        <v>106</v>
      </c>
      <c r="D57" s="302" t="s">
        <v>107</v>
      </c>
      <c r="E57" s="302" t="s">
        <v>137</v>
      </c>
      <c r="F57" s="303" t="s">
        <v>109</v>
      </c>
      <c r="I57" s="307"/>
      <c r="J57" s="333" t="str">
        <f t="shared" si="4"/>
        <v>최예은</v>
      </c>
      <c r="K57" s="320" t="str">
        <f t="shared" si="5"/>
        <v>941099</v>
      </c>
      <c r="L57" s="1222" t="str">
        <f t="shared" si="6"/>
        <v>남</v>
      </c>
      <c r="M57" s="1223"/>
      <c r="N57" s="1222" t="s">
        <v>674</v>
      </c>
      <c r="O57" s="1224"/>
      <c r="P57" s="1224"/>
      <c r="Q57" s="1223"/>
      <c r="R57" s="1225" t="str">
        <f t="shared" si="7"/>
        <v>010-1234-5678</v>
      </c>
      <c r="S57" s="1224"/>
      <c r="T57" s="1224"/>
    </row>
    <row r="58" spans="1:20" ht="13.5">
      <c r="A58" s="115">
        <v>56</v>
      </c>
      <c r="B58" s="331" t="str">
        <f>참여자명단!F13</f>
        <v>정지우</v>
      </c>
      <c r="C58" t="str">
        <f>참여자명단!T13</f>
        <v>910699</v>
      </c>
      <c r="D58" t="str">
        <f>참여자명단!S13</f>
        <v>남</v>
      </c>
      <c r="E58"/>
      <c r="F58" s="331" t="str">
        <f>참여자명단!H13</f>
        <v>010-1234-5678</v>
      </c>
      <c r="I58" s="307"/>
      <c r="J58" s="333">
        <f t="shared" si="4"/>
        <v>0</v>
      </c>
      <c r="K58" s="320">
        <f t="shared" si="5"/>
        <v>0</v>
      </c>
      <c r="L58" s="1222">
        <f t="shared" si="6"/>
        <v>0</v>
      </c>
      <c r="M58" s="1223"/>
      <c r="N58" s="1222" t="s">
        <v>674</v>
      </c>
      <c r="O58" s="1224"/>
      <c r="P58" s="1224"/>
      <c r="Q58" s="1223"/>
      <c r="R58" s="1225">
        <f t="shared" si="7"/>
        <v>0</v>
      </c>
      <c r="S58" s="1224"/>
      <c r="T58" s="1224"/>
    </row>
    <row r="59" spans="1:20" ht="13.5">
      <c r="A59" s="115">
        <v>57</v>
      </c>
      <c r="B59" s="331" t="str">
        <f>참여자명단!F14</f>
        <v>박예은</v>
      </c>
      <c r="C59" t="str">
        <f>참여자명단!T14</f>
        <v>000899</v>
      </c>
      <c r="D59" t="str">
        <f>참여자명단!S14</f>
        <v>여</v>
      </c>
      <c r="E59"/>
      <c r="F59" s="331" t="str">
        <f>참여자명단!H14</f>
        <v>010-1234-5678</v>
      </c>
      <c r="I59" s="307"/>
      <c r="J59" s="333">
        <f t="shared" si="4"/>
        <v>0</v>
      </c>
      <c r="K59" s="320">
        <f t="shared" si="5"/>
        <v>0</v>
      </c>
      <c r="L59" s="1222">
        <f t="shared" si="6"/>
        <v>0</v>
      </c>
      <c r="M59" s="1223"/>
      <c r="N59" s="1222" t="s">
        <v>674</v>
      </c>
      <c r="O59" s="1224"/>
      <c r="P59" s="1224"/>
      <c r="Q59" s="1223"/>
      <c r="R59" s="1225">
        <f t="shared" si="7"/>
        <v>0</v>
      </c>
      <c r="S59" s="1224"/>
      <c r="T59" s="1224"/>
    </row>
    <row r="60" spans="1:20" ht="13.5">
      <c r="A60" s="115">
        <v>58</v>
      </c>
      <c r="B60" s="331" t="str">
        <f>참여자명단!F15</f>
        <v>최현우</v>
      </c>
      <c r="C60" t="str">
        <f>참여자명단!T15</f>
        <v>921299</v>
      </c>
      <c r="D60" t="str">
        <f>참여자명단!S15</f>
        <v>여</v>
      </c>
      <c r="E60"/>
      <c r="F60" s="331" t="str">
        <f>참여자명단!H15</f>
        <v>010-1234-5678</v>
      </c>
      <c r="I60" s="307"/>
      <c r="J60" s="333">
        <f t="shared" si="4"/>
        <v>0</v>
      </c>
      <c r="K60" s="320">
        <f t="shared" si="5"/>
        <v>0</v>
      </c>
      <c r="L60" s="1222">
        <f t="shared" si="6"/>
        <v>0</v>
      </c>
      <c r="M60" s="1223"/>
      <c r="N60" s="1222" t="s">
        <v>674</v>
      </c>
      <c r="O60" s="1224"/>
      <c r="P60" s="1224"/>
      <c r="Q60" s="1223"/>
      <c r="R60" s="1225">
        <f t="shared" si="7"/>
        <v>0</v>
      </c>
      <c r="S60" s="1224"/>
      <c r="T60" s="1224"/>
    </row>
    <row r="61" spans="1:20" ht="13.5">
      <c r="A61" s="115">
        <v>59</v>
      </c>
      <c r="B61" s="331" t="str">
        <f>참여자명단!F16</f>
        <v>이현우</v>
      </c>
      <c r="C61" t="str">
        <f>참여자명단!T16</f>
        <v>901199</v>
      </c>
      <c r="D61" t="str">
        <f>참여자명단!S16</f>
        <v>남</v>
      </c>
      <c r="E61"/>
      <c r="F61" s="331" t="str">
        <f>참여자명단!H16</f>
        <v>010-1234-5678</v>
      </c>
      <c r="I61" s="307"/>
      <c r="J61" s="333">
        <f t="shared" si="4"/>
        <v>0</v>
      </c>
      <c r="K61" s="320">
        <f t="shared" si="5"/>
        <v>0</v>
      </c>
      <c r="L61" s="1222">
        <f t="shared" si="6"/>
        <v>0</v>
      </c>
      <c r="M61" s="1223"/>
      <c r="N61" s="1222" t="s">
        <v>674</v>
      </c>
      <c r="O61" s="1224"/>
      <c r="P61" s="1224"/>
      <c r="Q61" s="1223"/>
      <c r="R61" s="1225">
        <f t="shared" si="7"/>
        <v>0</v>
      </c>
      <c r="S61" s="1224"/>
      <c r="T61" s="1224"/>
    </row>
    <row r="62" spans="1:20" ht="13.9" thickBot="1">
      <c r="A62" s="115">
        <v>60</v>
      </c>
      <c r="B62" s="331" t="str">
        <f>참여자명단!F17</f>
        <v>최예은</v>
      </c>
      <c r="C62" t="str">
        <f>참여자명단!T17</f>
        <v>941099</v>
      </c>
      <c r="D62" t="str">
        <f>참여자명단!S17</f>
        <v>남</v>
      </c>
      <c r="E62"/>
      <c r="F62" s="331" t="str">
        <f>참여자명단!H17</f>
        <v>010-1234-5678</v>
      </c>
      <c r="I62" s="306"/>
      <c r="J62" s="333">
        <f t="shared" si="4"/>
        <v>0</v>
      </c>
      <c r="K62" s="320">
        <f t="shared" si="5"/>
        <v>0</v>
      </c>
      <c r="L62" s="1222">
        <f t="shared" si="6"/>
        <v>0</v>
      </c>
      <c r="M62" s="1223"/>
      <c r="N62" s="1226" t="s">
        <v>674</v>
      </c>
      <c r="O62" s="1227"/>
      <c r="P62" s="1227"/>
      <c r="Q62" s="1228"/>
      <c r="R62" s="1225">
        <f t="shared" si="7"/>
        <v>0</v>
      </c>
      <c r="S62" s="1224"/>
      <c r="T62" s="1224"/>
    </row>
    <row r="63" spans="1:20" ht="13.5">
      <c r="A63" s="115">
        <v>61</v>
      </c>
      <c r="B63"/>
      <c r="C63"/>
      <c r="D63"/>
      <c r="E63"/>
      <c r="F63"/>
      <c r="I63" s="1214"/>
      <c r="J63" s="1214"/>
      <c r="K63" s="1214"/>
      <c r="L63" s="1214"/>
      <c r="M63" s="1214"/>
      <c r="N63" s="1214"/>
      <c r="O63" s="1214"/>
      <c r="P63" s="1214"/>
      <c r="Q63" s="1214"/>
      <c r="R63" s="1214"/>
      <c r="S63" s="1214"/>
      <c r="T63" s="1214"/>
    </row>
    <row r="64" spans="1:20" ht="13.15">
      <c r="B64"/>
      <c r="C64"/>
      <c r="D64"/>
      <c r="E64"/>
      <c r="F64"/>
      <c r="I64" s="1215" t="s">
        <v>675</v>
      </c>
      <c r="J64" s="1215"/>
      <c r="K64" s="1215"/>
      <c r="L64" s="1215"/>
      <c r="M64" s="1215"/>
      <c r="N64" s="1215"/>
      <c r="O64" s="1215"/>
      <c r="P64" s="1215"/>
      <c r="Q64" s="1215"/>
      <c r="R64" s="1215"/>
      <c r="S64" s="1215"/>
      <c r="T64" s="1215"/>
    </row>
    <row r="65" spans="2:20">
      <c r="B65"/>
      <c r="C65"/>
      <c r="D65"/>
      <c r="E65"/>
      <c r="F65"/>
      <c r="I65" s="1216" t="s">
        <v>676</v>
      </c>
      <c r="J65" s="1216"/>
      <c r="K65" s="1216"/>
      <c r="L65" s="1216"/>
      <c r="M65" s="1216"/>
      <c r="N65" s="1216"/>
      <c r="O65" s="1216"/>
      <c r="P65" s="1216"/>
      <c r="Q65" s="1216"/>
      <c r="R65" s="1216"/>
      <c r="S65" s="1216"/>
      <c r="T65" s="1216"/>
    </row>
    <row r="66" spans="2:20">
      <c r="B66"/>
      <c r="C66"/>
      <c r="D66"/>
      <c r="E66"/>
      <c r="F66"/>
      <c r="I66" s="1217"/>
      <c r="J66" s="1217"/>
      <c r="K66" s="1217"/>
      <c r="L66" s="1217"/>
      <c r="M66" s="1218" t="s">
        <v>677</v>
      </c>
      <c r="N66" s="1218"/>
      <c r="O66" s="1218"/>
      <c r="P66" s="1219" t="e">
        <f>E39</f>
        <v>#REF!</v>
      </c>
      <c r="Q66" s="1219"/>
      <c r="R66" s="1219"/>
      <c r="S66" s="1219"/>
      <c r="T66" s="321" t="s">
        <v>678</v>
      </c>
    </row>
    <row r="67" spans="2:20" ht="13.15" thickBot="1">
      <c r="B67"/>
      <c r="C67"/>
      <c r="D67"/>
      <c r="E67"/>
      <c r="F67"/>
      <c r="I67" s="1220" t="s">
        <v>601</v>
      </c>
      <c r="J67" s="1220"/>
      <c r="K67" s="1220"/>
      <c r="L67" s="1220"/>
      <c r="M67" s="1220"/>
      <c r="N67" s="1220"/>
      <c r="O67" s="1220"/>
      <c r="P67" s="1220"/>
      <c r="Q67" s="1220"/>
      <c r="R67" s="1220"/>
      <c r="S67" s="1221" t="s">
        <v>679</v>
      </c>
      <c r="T67" s="1221"/>
    </row>
    <row r="68" spans="2:20" ht="13.15" thickTop="1"/>
  </sheetData>
  <mergeCells count="214">
    <mergeCell ref="I2:T2"/>
    <mergeCell ref="K15:T15"/>
    <mergeCell ref="I16:T16"/>
    <mergeCell ref="K17:K18"/>
    <mergeCell ref="L17:M18"/>
    <mergeCell ref="N17:Q17"/>
    <mergeCell ref="N18:Q18"/>
    <mergeCell ref="R17:T18"/>
    <mergeCell ref="K3:N3"/>
    <mergeCell ref="O3:P3"/>
    <mergeCell ref="Q3:T3"/>
    <mergeCell ref="K4:T4"/>
    <mergeCell ref="K5:N5"/>
    <mergeCell ref="O5:P5"/>
    <mergeCell ref="Q5:T5"/>
    <mergeCell ref="K6:N6"/>
    <mergeCell ref="O6:P6"/>
    <mergeCell ref="Q6:T6"/>
    <mergeCell ref="K7:N8"/>
    <mergeCell ref="O7:P8"/>
    <mergeCell ref="Q7:T8"/>
    <mergeCell ref="I9:T9"/>
    <mergeCell ref="I10:T10"/>
    <mergeCell ref="I32:L32"/>
    <mergeCell ref="M32:O32"/>
    <mergeCell ref="P32:S32"/>
    <mergeCell ref="I33:R33"/>
    <mergeCell ref="S33:T33"/>
    <mergeCell ref="L28:M28"/>
    <mergeCell ref="N28:Q28"/>
    <mergeCell ref="R28:T28"/>
    <mergeCell ref="I29:T29"/>
    <mergeCell ref="I30:T30"/>
    <mergeCell ref="I31:T31"/>
    <mergeCell ref="L26:M26"/>
    <mergeCell ref="N26:Q26"/>
    <mergeCell ref="R26:T26"/>
    <mergeCell ref="L27:M27"/>
    <mergeCell ref="N27:Q27"/>
    <mergeCell ref="R27:T27"/>
    <mergeCell ref="L24:M24"/>
    <mergeCell ref="N24:Q24"/>
    <mergeCell ref="R24:T24"/>
    <mergeCell ref="L25:M25"/>
    <mergeCell ref="N25:Q25"/>
    <mergeCell ref="R25:T25"/>
    <mergeCell ref="L22:M22"/>
    <mergeCell ref="N22:Q22"/>
    <mergeCell ref="R22:T22"/>
    <mergeCell ref="L23:M23"/>
    <mergeCell ref="N23:Q23"/>
    <mergeCell ref="R23:T23"/>
    <mergeCell ref="L20:M20"/>
    <mergeCell ref="N20:Q20"/>
    <mergeCell ref="R20:T20"/>
    <mergeCell ref="L21:M21"/>
    <mergeCell ref="N21:Q21"/>
    <mergeCell ref="R21:T21"/>
    <mergeCell ref="L19:M19"/>
    <mergeCell ref="N19:Q19"/>
    <mergeCell ref="R19:T19"/>
    <mergeCell ref="J17:J18"/>
    <mergeCell ref="I11:I15"/>
    <mergeCell ref="K11:N11"/>
    <mergeCell ref="O11:P11"/>
    <mergeCell ref="Q11:T11"/>
    <mergeCell ref="K12:T12"/>
    <mergeCell ref="K13:T13"/>
    <mergeCell ref="K14:T14"/>
    <mergeCell ref="B2:F2"/>
    <mergeCell ref="C15:D15"/>
    <mergeCell ref="C16:D16"/>
    <mergeCell ref="C17:D17"/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B4:B13"/>
    <mergeCell ref="B15:B20"/>
    <mergeCell ref="C18:D18"/>
    <mergeCell ref="C19:D19"/>
    <mergeCell ref="C20:D20"/>
    <mergeCell ref="E15:F15"/>
    <mergeCell ref="E16:F16"/>
    <mergeCell ref="E17:F17"/>
    <mergeCell ref="E18:F18"/>
    <mergeCell ref="E19:F19"/>
    <mergeCell ref="B22:F22"/>
    <mergeCell ref="C3:D3"/>
    <mergeCell ref="C4:D4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E13:F13"/>
    <mergeCell ref="E20:F20"/>
    <mergeCell ref="B36:F36"/>
    <mergeCell ref="C37:D37"/>
    <mergeCell ref="E37:F37"/>
    <mergeCell ref="B38:B47"/>
    <mergeCell ref="C38:D38"/>
    <mergeCell ref="E38:F38"/>
    <mergeCell ref="C39:D39"/>
    <mergeCell ref="E39:F39"/>
    <mergeCell ref="C40:D40"/>
    <mergeCell ref="E40:F40"/>
    <mergeCell ref="C41:D41"/>
    <mergeCell ref="E41:F41"/>
    <mergeCell ref="C42:D42"/>
    <mergeCell ref="E42:F42"/>
    <mergeCell ref="C43:D43"/>
    <mergeCell ref="E43:F43"/>
    <mergeCell ref="C44:D44"/>
    <mergeCell ref="E44:F44"/>
    <mergeCell ref="C45:D45"/>
    <mergeCell ref="E45:F45"/>
    <mergeCell ref="C46:D46"/>
    <mergeCell ref="E46:F46"/>
    <mergeCell ref="C47:D47"/>
    <mergeCell ref="E47:F47"/>
    <mergeCell ref="B49:B54"/>
    <mergeCell ref="C49:D49"/>
    <mergeCell ref="E49:F49"/>
    <mergeCell ref="C50:D50"/>
    <mergeCell ref="E50:F50"/>
    <mergeCell ref="C51:D51"/>
    <mergeCell ref="E51:F51"/>
    <mergeCell ref="C52:D52"/>
    <mergeCell ref="E52:F52"/>
    <mergeCell ref="C53:D53"/>
    <mergeCell ref="E53:F53"/>
    <mergeCell ref="C54:D54"/>
    <mergeCell ref="E54:F54"/>
    <mergeCell ref="B56:F56"/>
    <mergeCell ref="I36:T36"/>
    <mergeCell ref="K37:N37"/>
    <mergeCell ref="O37:P37"/>
    <mergeCell ref="Q37:T37"/>
    <mergeCell ref="K38:T38"/>
    <mergeCell ref="K39:N39"/>
    <mergeCell ref="O39:P39"/>
    <mergeCell ref="Q39:T39"/>
    <mergeCell ref="K40:N40"/>
    <mergeCell ref="O40:P40"/>
    <mergeCell ref="Q40:T40"/>
    <mergeCell ref="K41:N42"/>
    <mergeCell ref="O41:P42"/>
    <mergeCell ref="Q41:T42"/>
    <mergeCell ref="I43:T43"/>
    <mergeCell ref="I44:T44"/>
    <mergeCell ref="I45:I49"/>
    <mergeCell ref="K45:N45"/>
    <mergeCell ref="O45:P45"/>
    <mergeCell ref="Q45:T45"/>
    <mergeCell ref="K46:T46"/>
    <mergeCell ref="K47:T47"/>
    <mergeCell ref="K48:T48"/>
    <mergeCell ref="K49:T49"/>
    <mergeCell ref="I50:T50"/>
    <mergeCell ref="J51:J52"/>
    <mergeCell ref="K51:K52"/>
    <mergeCell ref="L51:M52"/>
    <mergeCell ref="N51:Q51"/>
    <mergeCell ref="R51:T52"/>
    <mergeCell ref="N52:Q52"/>
    <mergeCell ref="L53:M53"/>
    <mergeCell ref="N53:Q53"/>
    <mergeCell ref="R53:T53"/>
    <mergeCell ref="L54:M54"/>
    <mergeCell ref="N54:Q54"/>
    <mergeCell ref="R54:T54"/>
    <mergeCell ref="L55:M55"/>
    <mergeCell ref="N55:Q55"/>
    <mergeCell ref="R55:T55"/>
    <mergeCell ref="L56:M56"/>
    <mergeCell ref="N56:Q56"/>
    <mergeCell ref="R56:T56"/>
    <mergeCell ref="L57:M57"/>
    <mergeCell ref="N57:Q57"/>
    <mergeCell ref="R57:T57"/>
    <mergeCell ref="L58:M58"/>
    <mergeCell ref="N58:Q58"/>
    <mergeCell ref="R58:T58"/>
    <mergeCell ref="L59:M59"/>
    <mergeCell ref="N59:Q59"/>
    <mergeCell ref="R59:T59"/>
    <mergeCell ref="I63:T63"/>
    <mergeCell ref="I64:T64"/>
    <mergeCell ref="I65:T65"/>
    <mergeCell ref="I66:L66"/>
    <mergeCell ref="M66:O66"/>
    <mergeCell ref="P66:S66"/>
    <mergeCell ref="I67:R67"/>
    <mergeCell ref="S67:T67"/>
    <mergeCell ref="L60:M60"/>
    <mergeCell ref="N60:Q60"/>
    <mergeCell ref="R60:T60"/>
    <mergeCell ref="L61:M61"/>
    <mergeCell ref="N61:Q61"/>
    <mergeCell ref="R61:T61"/>
    <mergeCell ref="L62:M62"/>
    <mergeCell ref="N62:Q62"/>
    <mergeCell ref="R62:T62"/>
  </mergeCells>
  <phoneticPr fontId="11" type="noConversion"/>
  <hyperlinks>
    <hyperlink ref="E12" r:id="rId1" display="asd@asd.net" xr:uid="{694FA870-8D8E-4790-B77E-F471C440482C}"/>
    <hyperlink ref="E46" r:id="rId2" display="asd@asd.net" xr:uid="{4EACE0EE-2D3A-4858-A8B6-A699AFBB0B36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5" name="Drop Down 1">
              <controlPr defaultSize="0" autoLine="0" autoPict="0" macro="[0]!목차드롭다운">
                <anchor moveWithCells="1">
                  <from>
                    <xdr:col>20</xdr:col>
                    <xdr:colOff>361950</xdr:colOff>
                    <xdr:row>2</xdr:row>
                    <xdr:rowOff>9525</xdr:rowOff>
                  </from>
                  <to>
                    <xdr:col>24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940FF-A388-47C3-ACB9-35E43920EAEA}">
  <sheetPr codeName="Sheet18"/>
  <dimension ref="A1:AL63"/>
  <sheetViews>
    <sheetView topLeftCell="A12" workbookViewId="0"/>
    <sheetView workbookViewId="1"/>
  </sheetViews>
  <sheetFormatPr defaultColWidth="8.73046875" defaultRowHeight="12.75"/>
  <cols>
    <col min="1" max="1" width="14" style="47" customWidth="1"/>
    <col min="2" max="2" width="27.59765625" style="47" customWidth="1"/>
    <col min="3" max="3" width="37" style="47" customWidth="1"/>
    <col min="4" max="4" width="7.73046875" style="47" customWidth="1"/>
    <col min="5" max="5" width="18" style="47" customWidth="1"/>
    <col min="6" max="6" width="13.1328125" style="47" customWidth="1"/>
    <col min="7" max="16384" width="8.73046875" style="47"/>
  </cols>
  <sheetData>
    <row r="1" spans="1:38" ht="23.25">
      <c r="A1" s="112" t="s">
        <v>134</v>
      </c>
      <c r="B1" s="113">
        <v>1</v>
      </c>
      <c r="C1" s="113">
        <v>2</v>
      </c>
      <c r="D1" s="113">
        <v>3</v>
      </c>
      <c r="E1" s="113">
        <v>4</v>
      </c>
      <c r="F1" s="113">
        <v>5</v>
      </c>
      <c r="G1" s="113">
        <v>6</v>
      </c>
      <c r="H1" s="113">
        <v>7</v>
      </c>
      <c r="I1" s="113">
        <v>8</v>
      </c>
      <c r="J1" s="113">
        <v>9</v>
      </c>
      <c r="K1" s="113">
        <v>10</v>
      </c>
      <c r="L1" s="113">
        <v>11</v>
      </c>
      <c r="M1" s="113">
        <v>12</v>
      </c>
      <c r="N1" s="113">
        <v>13</v>
      </c>
      <c r="O1" s="113">
        <v>14</v>
      </c>
      <c r="P1" s="113">
        <v>15</v>
      </c>
      <c r="Q1" s="113">
        <v>16</v>
      </c>
      <c r="R1" s="113">
        <v>17</v>
      </c>
      <c r="S1" s="113">
        <v>18</v>
      </c>
      <c r="T1" s="113">
        <v>19</v>
      </c>
      <c r="U1" s="113">
        <v>20</v>
      </c>
      <c r="V1" s="113">
        <v>21</v>
      </c>
      <c r="W1" s="113">
        <v>22</v>
      </c>
      <c r="X1" s="113">
        <v>23</v>
      </c>
      <c r="Y1" s="113">
        <v>24</v>
      </c>
      <c r="Z1" s="113">
        <v>25</v>
      </c>
      <c r="AA1" s="113">
        <v>26</v>
      </c>
      <c r="AB1" s="113">
        <v>27</v>
      </c>
      <c r="AC1" s="113">
        <v>28</v>
      </c>
      <c r="AD1" s="113">
        <v>29</v>
      </c>
      <c r="AE1" s="113">
        <v>30</v>
      </c>
      <c r="AF1" s="113">
        <v>31</v>
      </c>
      <c r="AG1" s="113">
        <v>32</v>
      </c>
      <c r="AH1" s="113">
        <v>33</v>
      </c>
      <c r="AI1" s="113">
        <v>34</v>
      </c>
      <c r="AJ1" s="113">
        <v>35</v>
      </c>
      <c r="AK1" s="113">
        <v>36</v>
      </c>
      <c r="AL1" s="113">
        <v>37</v>
      </c>
    </row>
    <row r="2" spans="1:38" ht="28.5">
      <c r="A2" s="114">
        <v>0</v>
      </c>
      <c r="B2" s="1213" t="s">
        <v>160</v>
      </c>
      <c r="C2" s="1152"/>
    </row>
    <row r="3" spans="1:38" ht="19.5">
      <c r="A3" s="115">
        <v>1</v>
      </c>
      <c r="B3" s="117" t="s">
        <v>140</v>
      </c>
      <c r="C3" s="122"/>
    </row>
    <row r="4" spans="1:38" ht="19.5">
      <c r="A4" s="115">
        <v>2</v>
      </c>
      <c r="B4" s="117" t="s">
        <v>106</v>
      </c>
      <c r="C4" s="123"/>
    </row>
    <row r="5" spans="1:38" ht="13.5">
      <c r="A5" s="115">
        <v>3</v>
      </c>
    </row>
    <row r="6" spans="1:38" ht="19.5">
      <c r="A6" s="115">
        <v>4</v>
      </c>
      <c r="B6" s="117" t="s">
        <v>161</v>
      </c>
      <c r="C6" s="101" t="s">
        <v>168</v>
      </c>
    </row>
    <row r="7" spans="1:38" ht="19.5">
      <c r="A7" s="115">
        <v>5</v>
      </c>
      <c r="B7" s="117" t="s">
        <v>162</v>
      </c>
      <c r="C7" s="101" t="s">
        <v>169</v>
      </c>
    </row>
    <row r="8" spans="1:38" ht="19.5">
      <c r="A8" s="115">
        <v>6</v>
      </c>
      <c r="B8" s="117" t="s">
        <v>163</v>
      </c>
      <c r="C8" s="124" t="s">
        <v>164</v>
      </c>
    </row>
    <row r="9" spans="1:38" ht="19.5">
      <c r="A9" s="115">
        <v>7</v>
      </c>
      <c r="B9" s="117" t="s">
        <v>142</v>
      </c>
      <c r="C9" s="124" t="s">
        <v>165</v>
      </c>
    </row>
    <row r="10" spans="1:38" ht="19.5">
      <c r="A10" s="115">
        <v>8</v>
      </c>
      <c r="B10" s="117" t="s">
        <v>166</v>
      </c>
      <c r="C10" s="7" t="s">
        <v>167</v>
      </c>
    </row>
    <row r="11" spans="1:38" ht="13.5">
      <c r="A11" s="115">
        <v>9</v>
      </c>
    </row>
    <row r="12" spans="1:38" ht="15.75">
      <c r="A12" s="115">
        <v>10</v>
      </c>
      <c r="B12" s="120"/>
      <c r="D12" s="119"/>
      <c r="E12" s="102"/>
      <c r="F12" s="121"/>
    </row>
    <row r="13" spans="1:38" ht="13.5">
      <c r="A13" s="115">
        <v>11</v>
      </c>
    </row>
    <row r="14" spans="1:38" ht="13.5">
      <c r="A14" s="115">
        <v>12</v>
      </c>
    </row>
    <row r="15" spans="1:38" ht="13.5">
      <c r="A15" s="115">
        <v>13</v>
      </c>
    </row>
    <row r="16" spans="1:38" ht="13.5">
      <c r="A16" s="115">
        <v>14</v>
      </c>
    </row>
    <row r="17" spans="1:1" ht="13.5">
      <c r="A17" s="115">
        <v>15</v>
      </c>
    </row>
    <row r="18" spans="1:1" ht="13.5">
      <c r="A18" s="115">
        <v>16</v>
      </c>
    </row>
    <row r="19" spans="1:1" ht="13.5">
      <c r="A19" s="115">
        <v>17</v>
      </c>
    </row>
    <row r="20" spans="1:1" ht="13.5">
      <c r="A20" s="115">
        <v>18</v>
      </c>
    </row>
    <row r="21" spans="1:1" ht="13.5">
      <c r="A21" s="115">
        <v>19</v>
      </c>
    </row>
    <row r="22" spans="1:1" ht="13.5">
      <c r="A22" s="115">
        <v>20</v>
      </c>
    </row>
    <row r="23" spans="1:1" ht="13.5">
      <c r="A23" s="115">
        <v>21</v>
      </c>
    </row>
    <row r="24" spans="1:1" ht="13.5">
      <c r="A24" s="115">
        <v>22</v>
      </c>
    </row>
    <row r="25" spans="1:1" ht="13.5">
      <c r="A25" s="115">
        <v>23</v>
      </c>
    </row>
    <row r="26" spans="1:1" ht="13.5">
      <c r="A26" s="115">
        <v>24</v>
      </c>
    </row>
    <row r="27" spans="1:1" ht="13.5">
      <c r="A27" s="115">
        <v>25</v>
      </c>
    </row>
    <row r="28" spans="1:1" ht="13.5">
      <c r="A28" s="115">
        <v>26</v>
      </c>
    </row>
    <row r="29" spans="1:1" ht="13.5">
      <c r="A29" s="115">
        <v>27</v>
      </c>
    </row>
    <row r="30" spans="1:1" ht="13.5">
      <c r="A30" s="115">
        <v>28</v>
      </c>
    </row>
    <row r="31" spans="1:1" ht="13.5">
      <c r="A31" s="115">
        <v>29</v>
      </c>
    </row>
    <row r="32" spans="1:1" ht="13.5">
      <c r="A32" s="115">
        <v>30</v>
      </c>
    </row>
    <row r="33" spans="1:1" ht="13.5">
      <c r="A33" s="115">
        <v>31</v>
      </c>
    </row>
    <row r="34" spans="1:1" ht="13.5">
      <c r="A34" s="115">
        <v>32</v>
      </c>
    </row>
    <row r="35" spans="1:1" ht="13.5">
      <c r="A35" s="115">
        <v>33</v>
      </c>
    </row>
    <row r="36" spans="1:1" ht="13.5">
      <c r="A36" s="115">
        <v>34</v>
      </c>
    </row>
    <row r="37" spans="1:1" ht="13.5">
      <c r="A37" s="115">
        <v>35</v>
      </c>
    </row>
    <row r="38" spans="1:1" ht="13.5">
      <c r="A38" s="115">
        <v>36</v>
      </c>
    </row>
    <row r="39" spans="1:1" ht="13.5">
      <c r="A39" s="115">
        <v>37</v>
      </c>
    </row>
    <row r="40" spans="1:1" ht="13.5">
      <c r="A40" s="115">
        <v>38</v>
      </c>
    </row>
    <row r="41" spans="1:1" ht="13.5">
      <c r="A41" s="115">
        <v>39</v>
      </c>
    </row>
    <row r="42" spans="1:1" ht="13.5">
      <c r="A42" s="115">
        <v>40</v>
      </c>
    </row>
    <row r="43" spans="1:1" ht="13.5">
      <c r="A43" s="115">
        <v>41</v>
      </c>
    </row>
    <row r="44" spans="1:1" ht="13.5">
      <c r="A44" s="115">
        <v>42</v>
      </c>
    </row>
    <row r="45" spans="1:1" ht="13.5">
      <c r="A45" s="115">
        <v>43</v>
      </c>
    </row>
    <row r="46" spans="1:1" ht="13.5">
      <c r="A46" s="115">
        <v>44</v>
      </c>
    </row>
    <row r="47" spans="1:1" ht="13.5">
      <c r="A47" s="115">
        <v>45</v>
      </c>
    </row>
    <row r="48" spans="1:1" ht="13.5">
      <c r="A48" s="115">
        <v>46</v>
      </c>
    </row>
    <row r="49" spans="1:1" ht="13.5">
      <c r="A49" s="115">
        <v>47</v>
      </c>
    </row>
    <row r="50" spans="1:1" ht="13.5">
      <c r="A50" s="115">
        <v>48</v>
      </c>
    </row>
    <row r="51" spans="1:1" ht="13.5">
      <c r="A51" s="115">
        <v>49</v>
      </c>
    </row>
    <row r="52" spans="1:1" ht="13.5">
      <c r="A52" s="115">
        <v>50</v>
      </c>
    </row>
    <row r="53" spans="1:1" ht="13.5">
      <c r="A53" s="115">
        <v>51</v>
      </c>
    </row>
    <row r="54" spans="1:1" ht="13.5">
      <c r="A54" s="115">
        <v>52</v>
      </c>
    </row>
    <row r="55" spans="1:1" ht="13.5">
      <c r="A55" s="115">
        <v>53</v>
      </c>
    </row>
    <row r="56" spans="1:1" ht="13.5">
      <c r="A56" s="115">
        <v>54</v>
      </c>
    </row>
    <row r="57" spans="1:1" ht="13.5">
      <c r="A57" s="115">
        <v>55</v>
      </c>
    </row>
    <row r="58" spans="1:1" ht="13.5">
      <c r="A58" s="115">
        <v>56</v>
      </c>
    </row>
    <row r="59" spans="1:1" ht="13.5">
      <c r="A59" s="115">
        <v>57</v>
      </c>
    </row>
    <row r="60" spans="1:1" ht="13.5">
      <c r="A60" s="115">
        <v>58</v>
      </c>
    </row>
    <row r="61" spans="1:1" ht="13.5">
      <c r="A61" s="115">
        <v>59</v>
      </c>
    </row>
    <row r="62" spans="1:1" ht="13.5">
      <c r="A62" s="115">
        <v>60</v>
      </c>
    </row>
    <row r="63" spans="1:1" ht="13.5">
      <c r="A63" s="115">
        <v>61</v>
      </c>
    </row>
  </sheetData>
  <mergeCells count="1">
    <mergeCell ref="B2:C2"/>
  </mergeCells>
  <phoneticPr fontId="1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7415E-B3C5-4A7B-A13A-EDF2E4982C02}">
  <sheetPr codeName="Sheet25">
    <tabColor theme="5" tint="0.79998168889431442"/>
  </sheetPr>
  <dimension ref="A1:AL63"/>
  <sheetViews>
    <sheetView workbookViewId="0"/>
    <sheetView workbookViewId="1"/>
  </sheetViews>
  <sheetFormatPr defaultRowHeight="12.75"/>
  <cols>
    <col min="1" max="1" width="14" style="47" customWidth="1"/>
    <col min="2" max="2" width="19.59765625" style="47" customWidth="1"/>
    <col min="3" max="3" width="19.53125" style="47" bestFit="1" customWidth="1"/>
    <col min="4" max="4" width="38.19921875" style="47" bestFit="1" customWidth="1"/>
    <col min="5" max="5" width="9.06640625" style="47"/>
    <col min="6" max="6" width="14.796875" style="47" customWidth="1"/>
    <col min="7" max="7" width="13.53125" style="47" customWidth="1"/>
    <col min="8" max="8" width="14.06640625" style="47" customWidth="1"/>
    <col min="9" max="9" width="11.6640625" style="47" customWidth="1"/>
    <col min="10" max="19" width="6.3984375" style="47" customWidth="1"/>
    <col min="20" max="20" width="11.86328125" style="47" customWidth="1"/>
    <col min="21" max="27" width="9.06640625" style="47"/>
    <col min="28" max="29" width="9.06640625" style="47" customWidth="1"/>
    <col min="30" max="16384" width="9.06640625" style="47"/>
  </cols>
  <sheetData>
    <row r="1" spans="1:38" ht="23.25">
      <c r="A1" s="112" t="s">
        <v>134</v>
      </c>
      <c r="B1" s="113">
        <v>1</v>
      </c>
      <c r="C1" s="113">
        <v>2</v>
      </c>
      <c r="D1" s="113">
        <v>3</v>
      </c>
      <c r="E1" s="113">
        <v>4</v>
      </c>
      <c r="F1" s="113">
        <v>5</v>
      </c>
      <c r="G1" s="113">
        <v>6</v>
      </c>
      <c r="H1" s="113">
        <v>7</v>
      </c>
      <c r="I1" s="113">
        <v>8</v>
      </c>
      <c r="J1" s="113">
        <v>9</v>
      </c>
      <c r="K1" s="113">
        <v>10</v>
      </c>
      <c r="L1" s="113">
        <v>11</v>
      </c>
      <c r="M1" s="113">
        <v>12</v>
      </c>
      <c r="N1" s="113">
        <v>13</v>
      </c>
      <c r="O1" s="113">
        <v>14</v>
      </c>
      <c r="P1" s="113">
        <v>15</v>
      </c>
      <c r="Q1" s="113">
        <v>16</v>
      </c>
      <c r="R1" s="113">
        <v>17</v>
      </c>
      <c r="S1" s="113">
        <v>18</v>
      </c>
      <c r="T1" s="113">
        <v>19</v>
      </c>
      <c r="U1" s="113">
        <v>20</v>
      </c>
      <c r="V1" s="113">
        <v>21</v>
      </c>
      <c r="W1" s="113">
        <v>22</v>
      </c>
      <c r="X1" s="113">
        <v>23</v>
      </c>
      <c r="Y1" s="113">
        <v>24</v>
      </c>
      <c r="Z1" s="113">
        <v>25</v>
      </c>
      <c r="AA1" s="113">
        <v>26</v>
      </c>
      <c r="AB1" s="113">
        <v>27</v>
      </c>
      <c r="AC1" s="113">
        <v>28</v>
      </c>
      <c r="AD1" s="113">
        <v>29</v>
      </c>
      <c r="AE1" s="113">
        <v>30</v>
      </c>
      <c r="AF1" s="113">
        <v>31</v>
      </c>
      <c r="AG1" s="113">
        <v>32</v>
      </c>
      <c r="AH1" s="113">
        <v>33</v>
      </c>
      <c r="AI1" s="113">
        <v>34</v>
      </c>
      <c r="AJ1" s="113">
        <v>35</v>
      </c>
      <c r="AK1" s="113">
        <v>36</v>
      </c>
      <c r="AL1" s="113">
        <v>37</v>
      </c>
    </row>
    <row r="2" spans="1:38" ht="27" customHeight="1">
      <c r="A2" s="114">
        <v>0</v>
      </c>
      <c r="B2" s="865" t="s">
        <v>1158</v>
      </c>
      <c r="C2" s="866"/>
      <c r="D2" s="866"/>
      <c r="E2" s="40"/>
      <c r="F2" s="867" t="s">
        <v>1159</v>
      </c>
      <c r="G2" s="868"/>
      <c r="H2" s="868"/>
      <c r="I2" s="868"/>
    </row>
    <row r="3" spans="1:38" ht="22.5" thickBot="1">
      <c r="A3" s="115">
        <v>1</v>
      </c>
      <c r="B3" s="329" t="s">
        <v>788</v>
      </c>
      <c r="C3" s="329" t="s">
        <v>792</v>
      </c>
      <c r="D3" s="329" t="s">
        <v>793</v>
      </c>
      <c r="E3" s="12"/>
      <c r="F3" s="876" t="s">
        <v>1142</v>
      </c>
      <c r="G3" s="877"/>
      <c r="H3" s="877"/>
      <c r="I3" s="878"/>
    </row>
    <row r="4" spans="1:38" ht="19.5" customHeight="1" thickTop="1">
      <c r="A4" s="115">
        <v>2</v>
      </c>
      <c r="B4" s="869"/>
      <c r="C4" s="277" t="s">
        <v>1130</v>
      </c>
      <c r="D4" s="328"/>
      <c r="E4" s="35"/>
      <c r="F4" s="857"/>
      <c r="G4" s="857"/>
      <c r="H4" s="857"/>
      <c r="I4" s="857"/>
    </row>
    <row r="5" spans="1:38" ht="19.149999999999999" customHeight="1">
      <c r="A5" s="115">
        <v>3</v>
      </c>
      <c r="B5" s="870"/>
      <c r="C5" s="280" t="s">
        <v>1131</v>
      </c>
      <c r="D5" s="337"/>
      <c r="E5" s="36"/>
      <c r="F5" s="564" t="s">
        <v>1143</v>
      </c>
      <c r="G5" s="879">
        <f>D4</f>
        <v>0</v>
      </c>
      <c r="H5" s="880"/>
      <c r="I5" s="881"/>
    </row>
    <row r="6" spans="1:38" ht="19.149999999999999" customHeight="1">
      <c r="A6" s="115">
        <v>4</v>
      </c>
      <c r="B6" s="870"/>
      <c r="C6" s="280" t="s">
        <v>1132</v>
      </c>
      <c r="D6" s="337"/>
      <c r="E6" s="36"/>
      <c r="F6" s="882"/>
      <c r="G6" s="857"/>
      <c r="H6" s="857"/>
      <c r="I6" s="857"/>
    </row>
    <row r="7" spans="1:38" ht="19.149999999999999" customHeight="1">
      <c r="A7" s="115">
        <v>5</v>
      </c>
      <c r="B7" s="870"/>
      <c r="C7" s="280" t="s">
        <v>1133</v>
      </c>
      <c r="D7" s="337"/>
      <c r="E7" s="12"/>
      <c r="F7" s="564" t="s">
        <v>1144</v>
      </c>
      <c r="G7" s="879">
        <f>D5</f>
        <v>0</v>
      </c>
      <c r="H7" s="880"/>
      <c r="I7" s="881"/>
    </row>
    <row r="8" spans="1:38" ht="19.5" customHeight="1">
      <c r="A8" s="335">
        <v>6</v>
      </c>
      <c r="B8" s="870"/>
      <c r="C8" s="280" t="s">
        <v>1134</v>
      </c>
      <c r="D8" s="337"/>
      <c r="E8" s="35"/>
      <c r="F8" s="564" t="s">
        <v>1145</v>
      </c>
      <c r="G8" s="879">
        <f>D6</f>
        <v>0</v>
      </c>
      <c r="H8" s="880"/>
      <c r="I8" s="881"/>
    </row>
    <row r="9" spans="1:38" ht="15">
      <c r="A9" s="115">
        <v>7</v>
      </c>
      <c r="B9" s="870"/>
      <c r="C9" s="278" t="s">
        <v>1135</v>
      </c>
      <c r="D9" s="6"/>
      <c r="E9" s="9"/>
      <c r="F9" s="857"/>
      <c r="G9" s="857"/>
      <c r="H9" s="857"/>
      <c r="I9" s="857"/>
    </row>
    <row r="10" spans="1:38" ht="19.149999999999999" customHeight="1" thickBot="1">
      <c r="A10" s="335">
        <v>8</v>
      </c>
      <c r="B10" s="871"/>
      <c r="C10" s="281" t="s">
        <v>1136</v>
      </c>
      <c r="D10" s="336"/>
      <c r="E10" s="39"/>
      <c r="F10" s="565" t="s">
        <v>1146</v>
      </c>
      <c r="G10" s="864">
        <f>D7</f>
        <v>0</v>
      </c>
      <c r="H10" s="859"/>
      <c r="I10" s="860"/>
    </row>
    <row r="11" spans="1:38" ht="13.5">
      <c r="A11" s="115">
        <v>9</v>
      </c>
      <c r="B11" s="560"/>
      <c r="F11" s="566" t="s">
        <v>1147</v>
      </c>
      <c r="G11" s="861"/>
      <c r="H11" s="862"/>
      <c r="I11" s="863"/>
    </row>
    <row r="12" spans="1:38" ht="13.5">
      <c r="A12" s="115">
        <v>10</v>
      </c>
      <c r="B12" s="560"/>
      <c r="D12" s="561"/>
      <c r="F12" s="565" t="s">
        <v>1148</v>
      </c>
      <c r="G12" s="858">
        <f>D8</f>
        <v>0</v>
      </c>
      <c r="H12" s="859"/>
      <c r="I12" s="860"/>
    </row>
    <row r="13" spans="1:38" ht="27" customHeight="1">
      <c r="A13" s="115">
        <v>11</v>
      </c>
      <c r="B13" s="872" t="s">
        <v>1141</v>
      </c>
      <c r="C13" s="278" t="s">
        <v>1036</v>
      </c>
      <c r="D13" s="6">
        <v>111</v>
      </c>
      <c r="F13" s="566" t="s">
        <v>1149</v>
      </c>
      <c r="G13" s="861"/>
      <c r="H13" s="862"/>
      <c r="I13" s="863"/>
    </row>
    <row r="14" spans="1:38" ht="15">
      <c r="A14" s="115">
        <v>12</v>
      </c>
      <c r="B14" s="873"/>
      <c r="C14" s="280" t="s">
        <v>1137</v>
      </c>
      <c r="D14" s="337"/>
      <c r="F14" s="564" t="s">
        <v>1150</v>
      </c>
      <c r="G14" s="883">
        <f>D9</f>
        <v>0</v>
      </c>
      <c r="H14" s="884"/>
      <c r="I14" s="885"/>
    </row>
    <row r="15" spans="1:38" ht="15">
      <c r="A15" s="115">
        <v>13</v>
      </c>
      <c r="B15" s="873"/>
      <c r="C15" s="280" t="s">
        <v>1138</v>
      </c>
      <c r="D15" s="337"/>
      <c r="F15" s="857"/>
      <c r="G15" s="857"/>
      <c r="H15" s="857"/>
      <c r="I15" s="857"/>
    </row>
    <row r="16" spans="1:38" ht="19.149999999999999" customHeight="1">
      <c r="A16" s="115">
        <v>14</v>
      </c>
      <c r="B16" s="873"/>
      <c r="C16" s="280" t="s">
        <v>1139</v>
      </c>
      <c r="D16" s="337"/>
      <c r="F16" s="564" t="s">
        <v>1151</v>
      </c>
      <c r="G16" s="817">
        <f>D10</f>
        <v>0</v>
      </c>
      <c r="H16" s="832"/>
      <c r="I16" s="818"/>
    </row>
    <row r="17" spans="1:9" ht="19.149999999999999" customHeight="1" thickBot="1">
      <c r="A17" s="115">
        <v>15</v>
      </c>
      <c r="B17" s="874"/>
      <c r="C17" s="562" t="s">
        <v>1140</v>
      </c>
      <c r="D17" s="563"/>
      <c r="F17" s="564" t="s">
        <v>1152</v>
      </c>
      <c r="G17" s="531">
        <f>D13</f>
        <v>111</v>
      </c>
      <c r="H17" s="564" t="s">
        <v>1153</v>
      </c>
      <c r="I17" s="567">
        <f>D14</f>
        <v>0</v>
      </c>
    </row>
    <row r="18" spans="1:9" ht="19.149999999999999" customHeight="1">
      <c r="A18" s="115">
        <v>16</v>
      </c>
      <c r="F18" s="564" t="s">
        <v>1154</v>
      </c>
      <c r="G18" s="531">
        <f>D15</f>
        <v>0</v>
      </c>
      <c r="H18" s="564" t="s">
        <v>1155</v>
      </c>
      <c r="I18" s="568">
        <f>D16</f>
        <v>0</v>
      </c>
    </row>
    <row r="19" spans="1:9" ht="13.9">
      <c r="A19" s="115">
        <v>17</v>
      </c>
      <c r="F19" s="569" t="s">
        <v>1156</v>
      </c>
      <c r="G19" s="570">
        <f>D17</f>
        <v>0</v>
      </c>
      <c r="H19" s="569" t="s">
        <v>1157</v>
      </c>
      <c r="I19" s="571" t="str">
        <f>D13&amp;" (인)"</f>
        <v>111 (인)</v>
      </c>
    </row>
    <row r="20" spans="1:9" ht="16.899999999999999" customHeight="1">
      <c r="A20" s="115">
        <v>18</v>
      </c>
    </row>
    <row r="21" spans="1:9" ht="16.899999999999999" customHeight="1">
      <c r="A21" s="115">
        <v>19</v>
      </c>
    </row>
    <row r="22" spans="1:9" ht="28.5">
      <c r="A22" s="115">
        <v>20</v>
      </c>
      <c r="B22" s="865" t="s">
        <v>1160</v>
      </c>
      <c r="C22" s="866"/>
      <c r="D22" s="866"/>
      <c r="F22" s="886" t="s">
        <v>1161</v>
      </c>
      <c r="G22" s="887"/>
      <c r="H22" s="887"/>
      <c r="I22" s="887"/>
    </row>
    <row r="23" spans="1:9" ht="22.5" thickBot="1">
      <c r="A23" s="115">
        <v>21</v>
      </c>
      <c r="B23" s="329" t="s">
        <v>788</v>
      </c>
      <c r="C23" s="329" t="s">
        <v>792</v>
      </c>
      <c r="D23" s="329" t="s">
        <v>793</v>
      </c>
      <c r="F23" s="843" t="s">
        <v>1142</v>
      </c>
      <c r="G23" s="845"/>
      <c r="H23" s="845"/>
      <c r="I23" s="875"/>
    </row>
    <row r="24" spans="1:9" ht="16.899999999999999" customHeight="1" thickTop="1">
      <c r="A24" s="115">
        <v>22</v>
      </c>
      <c r="B24" s="869"/>
      <c r="C24" s="277" t="s">
        <v>1130</v>
      </c>
      <c r="D24" s="328"/>
      <c r="F24" s="857"/>
      <c r="G24" s="857"/>
      <c r="H24" s="857"/>
      <c r="I24" s="857"/>
    </row>
    <row r="25" spans="1:9" ht="16.899999999999999" customHeight="1">
      <c r="A25" s="115">
        <v>23</v>
      </c>
      <c r="B25" s="870"/>
      <c r="C25" s="280" t="s">
        <v>1131</v>
      </c>
      <c r="D25" s="337"/>
      <c r="F25" s="564" t="s">
        <v>1143</v>
      </c>
      <c r="G25" s="879">
        <f>D24</f>
        <v>0</v>
      </c>
      <c r="H25" s="880"/>
      <c r="I25" s="881"/>
    </row>
    <row r="26" spans="1:9" ht="16.899999999999999" customHeight="1">
      <c r="A26" s="115">
        <v>24</v>
      </c>
      <c r="B26" s="870"/>
      <c r="C26" s="280" t="s">
        <v>1132</v>
      </c>
      <c r="D26" s="337"/>
      <c r="F26" s="882"/>
      <c r="G26" s="857"/>
      <c r="H26" s="857"/>
      <c r="I26" s="857"/>
    </row>
    <row r="27" spans="1:9" ht="16.899999999999999" customHeight="1">
      <c r="A27" s="115">
        <v>25</v>
      </c>
      <c r="B27" s="870"/>
      <c r="C27" s="280" t="s">
        <v>1133</v>
      </c>
      <c r="D27" s="337"/>
      <c r="F27" s="564" t="s">
        <v>1144</v>
      </c>
      <c r="G27" s="879">
        <f>D25</f>
        <v>0</v>
      </c>
      <c r="H27" s="880"/>
      <c r="I27" s="881"/>
    </row>
    <row r="28" spans="1:9" ht="16.899999999999999" customHeight="1">
      <c r="A28" s="115">
        <v>26</v>
      </c>
      <c r="B28" s="870"/>
      <c r="C28" s="280" t="s">
        <v>1134</v>
      </c>
      <c r="D28" s="337"/>
      <c r="F28" s="564" t="s">
        <v>1145</v>
      </c>
      <c r="G28" s="879">
        <f>D26</f>
        <v>0</v>
      </c>
      <c r="H28" s="880"/>
      <c r="I28" s="881"/>
    </row>
    <row r="29" spans="1:9" ht="16.899999999999999" customHeight="1">
      <c r="A29" s="115">
        <v>27</v>
      </c>
      <c r="B29" s="870"/>
      <c r="C29" s="278" t="s">
        <v>1135</v>
      </c>
      <c r="D29" s="6"/>
      <c r="F29" s="857"/>
      <c r="G29" s="857"/>
      <c r="H29" s="857"/>
      <c r="I29" s="857"/>
    </row>
    <row r="30" spans="1:9" ht="16.899999999999999" customHeight="1" thickBot="1">
      <c r="A30" s="115">
        <v>28</v>
      </c>
      <c r="B30" s="871"/>
      <c r="C30" s="281" t="s">
        <v>1136</v>
      </c>
      <c r="D30" s="336"/>
      <c r="F30" s="565" t="s">
        <v>1146</v>
      </c>
      <c r="G30" s="864">
        <f>D27</f>
        <v>0</v>
      </c>
      <c r="H30" s="859"/>
      <c r="I30" s="860"/>
    </row>
    <row r="31" spans="1:9" ht="16.899999999999999" customHeight="1">
      <c r="A31" s="115">
        <v>29</v>
      </c>
      <c r="B31" s="560"/>
      <c r="F31" s="566" t="s">
        <v>1147</v>
      </c>
      <c r="G31" s="861"/>
      <c r="H31" s="862"/>
      <c r="I31" s="863"/>
    </row>
    <row r="32" spans="1:9" ht="16.899999999999999" customHeight="1">
      <c r="A32" s="115">
        <v>30</v>
      </c>
      <c r="B32" s="560"/>
      <c r="D32" s="561"/>
      <c r="F32" s="565" t="s">
        <v>1148</v>
      </c>
      <c r="G32" s="858">
        <f>D28</f>
        <v>0</v>
      </c>
      <c r="H32" s="859"/>
      <c r="I32" s="860"/>
    </row>
    <row r="33" spans="1:9" ht="15" customHeight="1">
      <c r="A33" s="115">
        <v>31</v>
      </c>
      <c r="B33" s="872" t="s">
        <v>1141</v>
      </c>
      <c r="C33" s="278" t="s">
        <v>1036</v>
      </c>
      <c r="D33" s="6">
        <v>333</v>
      </c>
      <c r="F33" s="566" t="s">
        <v>1149</v>
      </c>
      <c r="G33" s="861"/>
      <c r="H33" s="862"/>
      <c r="I33" s="863"/>
    </row>
    <row r="34" spans="1:9" ht="15">
      <c r="A34" s="115">
        <v>32</v>
      </c>
      <c r="B34" s="873"/>
      <c r="C34" s="280" t="s">
        <v>1137</v>
      </c>
      <c r="D34" s="337"/>
      <c r="F34" s="564" t="s">
        <v>1150</v>
      </c>
      <c r="G34" s="883">
        <f>D29</f>
        <v>0</v>
      </c>
      <c r="H34" s="884"/>
      <c r="I34" s="885"/>
    </row>
    <row r="35" spans="1:9" ht="15">
      <c r="A35" s="115">
        <v>33</v>
      </c>
      <c r="B35" s="873"/>
      <c r="C35" s="280" t="s">
        <v>1138</v>
      </c>
      <c r="D35" s="337"/>
      <c r="F35" s="857"/>
      <c r="G35" s="857"/>
      <c r="H35" s="857"/>
      <c r="I35" s="857"/>
    </row>
    <row r="36" spans="1:9" ht="15">
      <c r="A36" s="115">
        <v>34</v>
      </c>
      <c r="B36" s="873"/>
      <c r="C36" s="280" t="s">
        <v>1139</v>
      </c>
      <c r="D36" s="337"/>
      <c r="F36" s="564" t="s">
        <v>1151</v>
      </c>
      <c r="G36" s="817">
        <f>D30</f>
        <v>0</v>
      </c>
      <c r="H36" s="832"/>
      <c r="I36" s="818"/>
    </row>
    <row r="37" spans="1:9" ht="15.4" thickBot="1">
      <c r="A37" s="115">
        <v>35</v>
      </c>
      <c r="B37" s="874"/>
      <c r="C37" s="562" t="s">
        <v>1140</v>
      </c>
      <c r="D37" s="563"/>
      <c r="F37" s="564" t="s">
        <v>1152</v>
      </c>
      <c r="G37" s="531">
        <f>D33</f>
        <v>333</v>
      </c>
      <c r="H37" s="564" t="s">
        <v>1153</v>
      </c>
      <c r="I37" s="567">
        <f>D34</f>
        <v>0</v>
      </c>
    </row>
    <row r="38" spans="1:9" ht="13.5">
      <c r="A38" s="115">
        <v>36</v>
      </c>
      <c r="F38" s="564" t="s">
        <v>1154</v>
      </c>
      <c r="G38" s="531">
        <f>D35</f>
        <v>0</v>
      </c>
      <c r="H38" s="564" t="s">
        <v>1155</v>
      </c>
      <c r="I38" s="568">
        <f>D36</f>
        <v>0</v>
      </c>
    </row>
    <row r="39" spans="1:9" ht="13.9">
      <c r="A39" s="115">
        <v>37</v>
      </c>
      <c r="F39" s="569" t="s">
        <v>1156</v>
      </c>
      <c r="G39" s="570">
        <f>D37</f>
        <v>0</v>
      </c>
      <c r="H39" s="569" t="s">
        <v>1157</v>
      </c>
      <c r="I39" s="571" t="str">
        <f>D33&amp;" (인)"</f>
        <v>333 (인)</v>
      </c>
    </row>
    <row r="40" spans="1:9" ht="13.5">
      <c r="A40" s="115">
        <v>38</v>
      </c>
    </row>
    <row r="41" spans="1:9" ht="13.5">
      <c r="A41" s="115">
        <v>39</v>
      </c>
    </row>
    <row r="42" spans="1:9" ht="13.5">
      <c r="A42" s="115">
        <v>40</v>
      </c>
    </row>
    <row r="43" spans="1:9" ht="13.5">
      <c r="A43" s="115">
        <v>41</v>
      </c>
    </row>
    <row r="44" spans="1:9" ht="13.5">
      <c r="A44" s="115">
        <v>42</v>
      </c>
    </row>
    <row r="45" spans="1:9" ht="13.5">
      <c r="A45" s="115">
        <v>43</v>
      </c>
    </row>
    <row r="46" spans="1:9" ht="13.5">
      <c r="A46" s="115">
        <v>44</v>
      </c>
    </row>
    <row r="47" spans="1:9" ht="13.5">
      <c r="A47" s="115">
        <v>45</v>
      </c>
    </row>
    <row r="48" spans="1:9" ht="13.5">
      <c r="A48" s="115">
        <v>46</v>
      </c>
    </row>
    <row r="49" spans="1:1" ht="13.5">
      <c r="A49" s="115">
        <v>47</v>
      </c>
    </row>
    <row r="50" spans="1:1" ht="13.5">
      <c r="A50" s="115">
        <v>48</v>
      </c>
    </row>
    <row r="51" spans="1:1" ht="13.5">
      <c r="A51" s="115">
        <v>49</v>
      </c>
    </row>
    <row r="52" spans="1:1" ht="13.5">
      <c r="A52" s="115">
        <v>50</v>
      </c>
    </row>
    <row r="53" spans="1:1" ht="13.5">
      <c r="A53" s="115">
        <v>51</v>
      </c>
    </row>
    <row r="54" spans="1:1" ht="13.5">
      <c r="A54" s="115">
        <v>52</v>
      </c>
    </row>
    <row r="55" spans="1:1" ht="13.5">
      <c r="A55" s="115">
        <v>53</v>
      </c>
    </row>
    <row r="56" spans="1:1" ht="13.5">
      <c r="A56" s="115">
        <v>54</v>
      </c>
    </row>
    <row r="57" spans="1:1" ht="13.5">
      <c r="A57" s="115">
        <v>55</v>
      </c>
    </row>
    <row r="58" spans="1:1" ht="13.5">
      <c r="A58" s="115">
        <v>56</v>
      </c>
    </row>
    <row r="59" spans="1:1" ht="13.5">
      <c r="A59" s="115">
        <v>57</v>
      </c>
    </row>
    <row r="60" spans="1:1" ht="13.5">
      <c r="A60" s="115">
        <v>58</v>
      </c>
    </row>
    <row r="61" spans="1:1" ht="13.5">
      <c r="A61" s="115">
        <v>59</v>
      </c>
    </row>
    <row r="62" spans="1:1" ht="13.5">
      <c r="A62" s="115">
        <v>60</v>
      </c>
    </row>
    <row r="63" spans="1:1" ht="13.5">
      <c r="A63" s="115">
        <v>61</v>
      </c>
    </row>
  </sheetData>
  <mergeCells count="32">
    <mergeCell ref="B22:D22"/>
    <mergeCell ref="B24:B30"/>
    <mergeCell ref="B33:B37"/>
    <mergeCell ref="F23:I23"/>
    <mergeCell ref="F24:I24"/>
    <mergeCell ref="G36:I36"/>
    <mergeCell ref="F22:I22"/>
    <mergeCell ref="G25:I25"/>
    <mergeCell ref="F26:I26"/>
    <mergeCell ref="G27:I27"/>
    <mergeCell ref="F29:I29"/>
    <mergeCell ref="G30:I31"/>
    <mergeCell ref="G32:I33"/>
    <mergeCell ref="G34:I34"/>
    <mergeCell ref="G28:I28"/>
    <mergeCell ref="F35:I35"/>
    <mergeCell ref="F15:I15"/>
    <mergeCell ref="G16:I16"/>
    <mergeCell ref="G12:I13"/>
    <mergeCell ref="G10:I11"/>
    <mergeCell ref="B2:D2"/>
    <mergeCell ref="F2:I2"/>
    <mergeCell ref="B4:B10"/>
    <mergeCell ref="B13:B17"/>
    <mergeCell ref="F3:I3"/>
    <mergeCell ref="F4:I4"/>
    <mergeCell ref="G5:I5"/>
    <mergeCell ref="F6:I6"/>
    <mergeCell ref="G7:I7"/>
    <mergeCell ref="G8:I8"/>
    <mergeCell ref="F9:I9"/>
    <mergeCell ref="G14:I14"/>
  </mergeCells>
  <phoneticPr fontId="1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82FC3-56CB-49A6-91C4-D84D970E7E52}">
  <sheetPr codeName="Sheet26">
    <tabColor theme="5" tint="0.79998168889431442"/>
  </sheetPr>
  <dimension ref="A1:AL63"/>
  <sheetViews>
    <sheetView workbookViewId="0"/>
    <sheetView workbookViewId="1"/>
  </sheetViews>
  <sheetFormatPr defaultRowHeight="12.75"/>
  <cols>
    <col min="1" max="1" width="14" style="581" customWidth="1"/>
    <col min="2" max="2" width="19.59765625" style="581" customWidth="1"/>
    <col min="3" max="3" width="19.53125" style="581" bestFit="1" customWidth="1"/>
    <col min="4" max="4" width="23.1328125" style="581" customWidth="1"/>
    <col min="5" max="5" width="9.06640625" style="581"/>
    <col min="6" max="6" width="14.796875" style="581" customWidth="1"/>
    <col min="7" max="8" width="14.06640625" style="581" customWidth="1"/>
    <col min="9" max="9" width="13.6640625" style="581" customWidth="1"/>
    <col min="10" max="10" width="39.53125" style="581" customWidth="1"/>
    <col min="11" max="17" width="31.6640625" style="581" customWidth="1"/>
    <col min="18" max="18" width="17.9296875" style="581" bestFit="1" customWidth="1"/>
    <col min="19" max="19" width="6.3984375" style="581" customWidth="1"/>
    <col min="20" max="20" width="11.86328125" style="581" customWidth="1"/>
    <col min="21" max="27" width="9.06640625" style="581"/>
    <col min="28" max="29" width="9.06640625" style="581" customWidth="1"/>
    <col min="30" max="16384" width="9.06640625" style="581"/>
  </cols>
  <sheetData>
    <row r="1" spans="1:38" ht="23.25">
      <c r="A1" s="112" t="s">
        <v>134</v>
      </c>
      <c r="B1" s="580">
        <v>1</v>
      </c>
      <c r="C1" s="580">
        <v>2</v>
      </c>
      <c r="D1" s="580">
        <v>3</v>
      </c>
      <c r="E1" s="580">
        <v>4</v>
      </c>
      <c r="F1" s="580">
        <v>5</v>
      </c>
      <c r="G1" s="580">
        <v>6</v>
      </c>
      <c r="H1" s="580">
        <v>7</v>
      </c>
      <c r="I1" s="580">
        <v>8</v>
      </c>
      <c r="J1" s="580">
        <v>9</v>
      </c>
      <c r="K1" s="580">
        <v>10</v>
      </c>
      <c r="L1" s="580">
        <v>11</v>
      </c>
      <c r="M1" s="580">
        <v>12</v>
      </c>
      <c r="N1" s="580">
        <v>13</v>
      </c>
      <c r="O1" s="580">
        <v>14</v>
      </c>
      <c r="P1" s="580">
        <v>15</v>
      </c>
      <c r="Q1" s="580">
        <v>16</v>
      </c>
      <c r="R1" s="580">
        <v>17</v>
      </c>
      <c r="S1" s="580">
        <v>18</v>
      </c>
      <c r="T1" s="580">
        <v>19</v>
      </c>
      <c r="U1" s="580">
        <v>20</v>
      </c>
      <c r="V1" s="580">
        <v>21</v>
      </c>
      <c r="W1" s="580">
        <v>22</v>
      </c>
      <c r="X1" s="580">
        <v>23</v>
      </c>
      <c r="Y1" s="580">
        <v>24</v>
      </c>
      <c r="Z1" s="580">
        <v>25</v>
      </c>
      <c r="AA1" s="580">
        <v>26</v>
      </c>
      <c r="AB1" s="580">
        <v>27</v>
      </c>
      <c r="AC1" s="580">
        <v>28</v>
      </c>
      <c r="AD1" s="580">
        <v>29</v>
      </c>
      <c r="AE1" s="580">
        <v>30</v>
      </c>
      <c r="AF1" s="580">
        <v>31</v>
      </c>
      <c r="AG1" s="580">
        <v>32</v>
      </c>
      <c r="AH1" s="580">
        <v>33</v>
      </c>
      <c r="AI1" s="580">
        <v>34</v>
      </c>
      <c r="AJ1" s="580">
        <v>35</v>
      </c>
      <c r="AK1" s="580">
        <v>36</v>
      </c>
      <c r="AL1" s="580">
        <v>37</v>
      </c>
    </row>
    <row r="2" spans="1:38" ht="13.5">
      <c r="A2" s="582">
        <v>0</v>
      </c>
      <c r="B2" s="583" t="s">
        <v>1163</v>
      </c>
      <c r="C2" s="583" t="s">
        <v>1164</v>
      </c>
      <c r="D2" s="583" t="s">
        <v>1165</v>
      </c>
      <c r="E2" s="583" t="s">
        <v>1166</v>
      </c>
      <c r="F2" s="583" t="s">
        <v>1167</v>
      </c>
      <c r="G2" s="583" t="s">
        <v>1168</v>
      </c>
      <c r="H2" s="583" t="s">
        <v>1169</v>
      </c>
      <c r="I2" s="583" t="s">
        <v>1170</v>
      </c>
      <c r="J2" s="583" t="s">
        <v>1171</v>
      </c>
      <c r="K2" s="583" t="s">
        <v>1172</v>
      </c>
      <c r="L2" s="583" t="s">
        <v>1173</v>
      </c>
      <c r="M2" s="583" t="s">
        <v>1174</v>
      </c>
      <c r="N2" s="583" t="s">
        <v>1175</v>
      </c>
      <c r="O2" s="583" t="s">
        <v>1176</v>
      </c>
      <c r="P2" s="583" t="s">
        <v>1177</v>
      </c>
      <c r="Q2" s="583" t="s">
        <v>1178</v>
      </c>
      <c r="R2" s="583" t="s">
        <v>1179</v>
      </c>
    </row>
    <row r="3" spans="1:38" ht="13.5">
      <c r="A3" s="582">
        <v>1</v>
      </c>
    </row>
    <row r="4" spans="1:38" ht="13.5">
      <c r="A4" s="582">
        <v>2</v>
      </c>
    </row>
    <row r="5" spans="1:38" ht="13.5">
      <c r="A5" s="582">
        <v>3</v>
      </c>
    </row>
    <row r="6" spans="1:38" ht="13.5">
      <c r="A6" s="582">
        <v>4</v>
      </c>
    </row>
    <row r="7" spans="1:38" ht="13.5">
      <c r="A7" s="582">
        <v>5</v>
      </c>
    </row>
    <row r="8" spans="1:38" ht="13.5">
      <c r="A8" s="582">
        <v>6</v>
      </c>
    </row>
    <row r="9" spans="1:38" ht="13.5">
      <c r="A9" s="582">
        <v>7</v>
      </c>
    </row>
    <row r="10" spans="1:38" ht="13.5">
      <c r="A10" s="582">
        <v>8</v>
      </c>
    </row>
    <row r="11" spans="1:38" ht="13.5">
      <c r="A11" s="582">
        <v>9</v>
      </c>
    </row>
    <row r="12" spans="1:38" ht="13.5">
      <c r="A12" s="582">
        <v>10</v>
      </c>
    </row>
    <row r="13" spans="1:38" ht="13.5">
      <c r="A13" s="582">
        <v>11</v>
      </c>
    </row>
    <row r="14" spans="1:38" ht="13.5">
      <c r="A14" s="582">
        <v>12</v>
      </c>
    </row>
    <row r="15" spans="1:38" ht="13.5">
      <c r="A15" s="582">
        <v>13</v>
      </c>
    </row>
    <row r="16" spans="1:38" ht="13.5">
      <c r="A16" s="582">
        <v>14</v>
      </c>
    </row>
    <row r="17" spans="1:1" ht="19.149999999999999" customHeight="1">
      <c r="A17" s="582">
        <v>15</v>
      </c>
    </row>
    <row r="18" spans="1:1" ht="19.149999999999999" customHeight="1">
      <c r="A18" s="582">
        <v>16</v>
      </c>
    </row>
    <row r="19" spans="1:1" ht="15" customHeight="1">
      <c r="A19" s="582">
        <v>17</v>
      </c>
    </row>
    <row r="20" spans="1:1" ht="16.899999999999999" customHeight="1">
      <c r="A20" s="582">
        <v>18</v>
      </c>
    </row>
    <row r="21" spans="1:1" ht="16.899999999999999" customHeight="1">
      <c r="A21" s="582">
        <v>19</v>
      </c>
    </row>
    <row r="22" spans="1:1" ht="13.5">
      <c r="A22" s="582">
        <v>20</v>
      </c>
    </row>
    <row r="23" spans="1:1" ht="13.5">
      <c r="A23" s="582">
        <v>21</v>
      </c>
    </row>
    <row r="24" spans="1:1" ht="16.899999999999999" customHeight="1">
      <c r="A24" s="582">
        <v>22</v>
      </c>
    </row>
    <row r="25" spans="1:1" ht="16.899999999999999" customHeight="1">
      <c r="A25" s="582">
        <v>23</v>
      </c>
    </row>
    <row r="26" spans="1:1" ht="16.899999999999999" customHeight="1">
      <c r="A26" s="582">
        <v>24</v>
      </c>
    </row>
    <row r="27" spans="1:1" ht="16.899999999999999" customHeight="1">
      <c r="A27" s="582">
        <v>25</v>
      </c>
    </row>
    <row r="28" spans="1:1" ht="16.899999999999999" customHeight="1">
      <c r="A28" s="582">
        <v>26</v>
      </c>
    </row>
    <row r="29" spans="1:1" ht="16.899999999999999" customHeight="1">
      <c r="A29" s="582">
        <v>27</v>
      </c>
    </row>
    <row r="30" spans="1:1" ht="16.899999999999999" customHeight="1">
      <c r="A30" s="582">
        <v>28</v>
      </c>
    </row>
    <row r="31" spans="1:1" ht="16.899999999999999" customHeight="1">
      <c r="A31" s="582">
        <v>29</v>
      </c>
    </row>
    <row r="32" spans="1:1" ht="16.899999999999999" customHeight="1">
      <c r="A32" s="582">
        <v>30</v>
      </c>
    </row>
    <row r="33" spans="1:1" ht="15" customHeight="1">
      <c r="A33" s="582">
        <v>31</v>
      </c>
    </row>
    <row r="34" spans="1:1" ht="13.5">
      <c r="A34" s="582">
        <v>32</v>
      </c>
    </row>
    <row r="35" spans="1:1" ht="13.5">
      <c r="A35" s="582">
        <v>33</v>
      </c>
    </row>
    <row r="36" spans="1:1" ht="13.5">
      <c r="A36" s="582">
        <v>34</v>
      </c>
    </row>
    <row r="37" spans="1:1" ht="13.5">
      <c r="A37" s="582">
        <v>35</v>
      </c>
    </row>
    <row r="38" spans="1:1" ht="13.5">
      <c r="A38" s="582">
        <v>36</v>
      </c>
    </row>
    <row r="39" spans="1:1" ht="13.5">
      <c r="A39" s="582">
        <v>37</v>
      </c>
    </row>
    <row r="40" spans="1:1" ht="13.5">
      <c r="A40" s="582">
        <v>38</v>
      </c>
    </row>
    <row r="41" spans="1:1" ht="13.5">
      <c r="A41" s="582">
        <v>39</v>
      </c>
    </row>
    <row r="42" spans="1:1" ht="13.5">
      <c r="A42" s="582">
        <v>40</v>
      </c>
    </row>
    <row r="43" spans="1:1" ht="13.5">
      <c r="A43" s="582">
        <v>41</v>
      </c>
    </row>
    <row r="44" spans="1:1" ht="13.5">
      <c r="A44" s="582">
        <v>42</v>
      </c>
    </row>
    <row r="45" spans="1:1" ht="13.5">
      <c r="A45" s="582">
        <v>43</v>
      </c>
    </row>
    <row r="46" spans="1:1" ht="13.5">
      <c r="A46" s="582">
        <v>44</v>
      </c>
    </row>
    <row r="47" spans="1:1" ht="13.5">
      <c r="A47" s="582">
        <v>45</v>
      </c>
    </row>
    <row r="48" spans="1:1" ht="13.5">
      <c r="A48" s="582">
        <v>46</v>
      </c>
    </row>
    <row r="49" spans="1:1" ht="13.5">
      <c r="A49" s="582">
        <v>47</v>
      </c>
    </row>
    <row r="50" spans="1:1" ht="13.5">
      <c r="A50" s="582">
        <v>48</v>
      </c>
    </row>
    <row r="51" spans="1:1" ht="13.5">
      <c r="A51" s="582">
        <v>49</v>
      </c>
    </row>
    <row r="52" spans="1:1" ht="13.5">
      <c r="A52" s="582">
        <v>50</v>
      </c>
    </row>
    <row r="53" spans="1:1" ht="13.5">
      <c r="A53" s="582">
        <v>51</v>
      </c>
    </row>
    <row r="54" spans="1:1" ht="13.5">
      <c r="A54" s="582">
        <v>52</v>
      </c>
    </row>
    <row r="55" spans="1:1" ht="13.5">
      <c r="A55" s="582">
        <v>53</v>
      </c>
    </row>
    <row r="56" spans="1:1" ht="13.5">
      <c r="A56" s="582">
        <v>54</v>
      </c>
    </row>
    <row r="57" spans="1:1" ht="13.5">
      <c r="A57" s="582">
        <v>55</v>
      </c>
    </row>
    <row r="58" spans="1:1" ht="13.5">
      <c r="A58" s="582">
        <v>56</v>
      </c>
    </row>
    <row r="59" spans="1:1" ht="13.5">
      <c r="A59" s="582">
        <v>57</v>
      </c>
    </row>
    <row r="60" spans="1:1" ht="13.5">
      <c r="A60" s="582">
        <v>58</v>
      </c>
    </row>
    <row r="61" spans="1:1" ht="13.5">
      <c r="A61" s="582">
        <v>59</v>
      </c>
    </row>
    <row r="62" spans="1:1" ht="13.5">
      <c r="A62" s="582">
        <v>60</v>
      </c>
    </row>
    <row r="63" spans="1:1" ht="13.5">
      <c r="A63" s="582">
        <v>61</v>
      </c>
    </row>
  </sheetData>
  <phoneticPr fontId="1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5E2C6-CD93-4725-A9C6-1E8282E22F41}">
  <sheetPr codeName="Sheet28"/>
  <dimension ref="A1:AL63"/>
  <sheetViews>
    <sheetView topLeftCell="A3" workbookViewId="0"/>
    <sheetView workbookViewId="1"/>
  </sheetViews>
  <sheetFormatPr defaultRowHeight="12.75"/>
  <cols>
    <col min="1" max="1" width="14" style="47" customWidth="1"/>
    <col min="2" max="21" width="14.1328125" style="47" customWidth="1"/>
    <col min="22" max="27" width="9.06640625" style="47"/>
    <col min="28" max="29" width="9.06640625" style="47" customWidth="1"/>
    <col min="30" max="16384" width="9.06640625" style="47"/>
  </cols>
  <sheetData>
    <row r="1" spans="1:38" ht="23.25">
      <c r="A1" s="112" t="s">
        <v>134</v>
      </c>
      <c r="B1" s="113">
        <v>1</v>
      </c>
      <c r="C1" s="113">
        <v>2</v>
      </c>
      <c r="D1" s="113">
        <v>3</v>
      </c>
      <c r="E1" s="113">
        <v>4</v>
      </c>
      <c r="F1" s="113">
        <v>5</v>
      </c>
      <c r="G1" s="113">
        <v>6</v>
      </c>
      <c r="H1" s="113">
        <v>7</v>
      </c>
      <c r="I1" s="113">
        <v>8</v>
      </c>
      <c r="J1" s="113">
        <v>9</v>
      </c>
      <c r="K1" s="113">
        <v>10</v>
      </c>
      <c r="L1" s="113">
        <v>11</v>
      </c>
      <c r="M1" s="113">
        <v>12</v>
      </c>
      <c r="N1" s="113">
        <v>13</v>
      </c>
      <c r="O1" s="113">
        <v>14</v>
      </c>
      <c r="P1" s="113">
        <v>15</v>
      </c>
      <c r="Q1" s="113">
        <v>16</v>
      </c>
      <c r="R1" s="113">
        <v>17</v>
      </c>
      <c r="S1" s="113">
        <v>18</v>
      </c>
      <c r="T1" s="113">
        <v>19</v>
      </c>
      <c r="U1" s="113">
        <v>20</v>
      </c>
      <c r="V1" s="113">
        <v>21</v>
      </c>
      <c r="W1" s="113">
        <v>22</v>
      </c>
      <c r="X1" s="113">
        <v>23</v>
      </c>
      <c r="Y1" s="113">
        <v>24</v>
      </c>
      <c r="Z1" s="113">
        <v>25</v>
      </c>
      <c r="AA1" s="113">
        <v>26</v>
      </c>
      <c r="AB1" s="113">
        <v>27</v>
      </c>
      <c r="AC1" s="113">
        <v>28</v>
      </c>
      <c r="AD1" s="113">
        <v>29</v>
      </c>
      <c r="AE1" s="113">
        <v>30</v>
      </c>
      <c r="AF1" s="113">
        <v>31</v>
      </c>
      <c r="AG1" s="113">
        <v>32</v>
      </c>
      <c r="AH1" s="113">
        <v>33</v>
      </c>
      <c r="AI1" s="113">
        <v>34</v>
      </c>
      <c r="AJ1" s="113">
        <v>35</v>
      </c>
      <c r="AK1" s="113">
        <v>36</v>
      </c>
      <c r="AL1" s="113">
        <v>37</v>
      </c>
    </row>
    <row r="2" spans="1:38" ht="13.5">
      <c r="A2" s="114">
        <v>0</v>
      </c>
      <c r="B2" s="600" t="s">
        <v>1255</v>
      </c>
      <c r="C2" s="600" t="s">
        <v>1261</v>
      </c>
      <c r="D2" s="600" t="s">
        <v>411</v>
      </c>
      <c r="E2" s="600" t="s">
        <v>1256</v>
      </c>
      <c r="F2" s="600" t="s">
        <v>412</v>
      </c>
      <c r="G2" s="600" t="s">
        <v>1207</v>
      </c>
      <c r="H2" s="600" t="s">
        <v>140</v>
      </c>
      <c r="I2" s="600" t="s">
        <v>1257</v>
      </c>
      <c r="J2" s="600" t="s">
        <v>429</v>
      </c>
      <c r="K2" s="600" t="s">
        <v>1259</v>
      </c>
      <c r="L2" s="600" t="s">
        <v>1260</v>
      </c>
      <c r="M2" s="600" t="s">
        <v>1258</v>
      </c>
      <c r="N2" s="600" t="s">
        <v>1263</v>
      </c>
      <c r="O2" s="600" t="s">
        <v>1264</v>
      </c>
      <c r="P2" s="600" t="s">
        <v>1265</v>
      </c>
      <c r="Q2" s="600" t="s">
        <v>1266</v>
      </c>
      <c r="R2" s="600" t="s">
        <v>1262</v>
      </c>
      <c r="S2" s="600" t="s">
        <v>1267</v>
      </c>
      <c r="T2" s="600" t="s">
        <v>1268</v>
      </c>
      <c r="U2" s="600" t="s">
        <v>1269</v>
      </c>
    </row>
    <row r="3" spans="1:38" ht="13.5">
      <c r="A3" s="115">
        <v>1</v>
      </c>
    </row>
    <row r="4" spans="1:38" ht="13.5">
      <c r="A4" s="115">
        <v>2</v>
      </c>
    </row>
    <row r="5" spans="1:38" ht="13.5">
      <c r="A5" s="115">
        <v>3</v>
      </c>
    </row>
    <row r="6" spans="1:38" ht="13.5">
      <c r="A6" s="115">
        <v>4</v>
      </c>
    </row>
    <row r="7" spans="1:38" ht="13.5">
      <c r="A7" s="115">
        <v>5</v>
      </c>
    </row>
    <row r="8" spans="1:38" ht="13.5">
      <c r="A8" s="115">
        <v>6</v>
      </c>
    </row>
    <row r="9" spans="1:38" ht="13.5">
      <c r="A9" s="115">
        <v>7</v>
      </c>
    </row>
    <row r="10" spans="1:38" ht="15" customHeight="1">
      <c r="A10" s="115">
        <v>8</v>
      </c>
    </row>
    <row r="11" spans="1:38" ht="19.149999999999999" customHeight="1">
      <c r="A11" s="115">
        <v>9</v>
      </c>
    </row>
    <row r="12" spans="1:38" ht="13.5">
      <c r="A12" s="115">
        <v>10</v>
      </c>
    </row>
    <row r="13" spans="1:38" ht="19.149999999999999" customHeight="1">
      <c r="A13" s="115">
        <v>11</v>
      </c>
    </row>
    <row r="14" spans="1:38" ht="13.5">
      <c r="A14" s="115">
        <v>12</v>
      </c>
    </row>
    <row r="15" spans="1:38" ht="13.5">
      <c r="A15" s="115">
        <v>13</v>
      </c>
    </row>
    <row r="16" spans="1:38" ht="19.149999999999999" customHeight="1">
      <c r="A16" s="115">
        <v>14</v>
      </c>
    </row>
    <row r="17" spans="1:1" ht="19.149999999999999" customHeight="1">
      <c r="A17" s="115">
        <v>15</v>
      </c>
    </row>
    <row r="18" spans="1:1" ht="19.149999999999999" customHeight="1">
      <c r="A18" s="115">
        <v>16</v>
      </c>
    </row>
    <row r="19" spans="1:1" ht="19.149999999999999" customHeight="1">
      <c r="A19" s="115">
        <v>17</v>
      </c>
    </row>
    <row r="20" spans="1:1" ht="16.899999999999999" customHeight="1">
      <c r="A20" s="115">
        <v>18</v>
      </c>
    </row>
    <row r="21" spans="1:1" ht="16.899999999999999" customHeight="1">
      <c r="A21" s="115">
        <v>19</v>
      </c>
    </row>
    <row r="22" spans="1:1" ht="16.899999999999999" customHeight="1">
      <c r="A22" s="115">
        <v>20</v>
      </c>
    </row>
    <row r="23" spans="1:1" ht="16.899999999999999" customHeight="1">
      <c r="A23" s="115">
        <v>21</v>
      </c>
    </row>
    <row r="24" spans="1:1" ht="16.899999999999999" customHeight="1">
      <c r="A24" s="115">
        <v>22</v>
      </c>
    </row>
    <row r="25" spans="1:1" ht="16.899999999999999" customHeight="1">
      <c r="A25" s="115">
        <v>23</v>
      </c>
    </row>
    <row r="26" spans="1:1" ht="16.899999999999999" customHeight="1">
      <c r="A26" s="115">
        <v>24</v>
      </c>
    </row>
    <row r="27" spans="1:1" ht="16.899999999999999" customHeight="1">
      <c r="A27" s="115">
        <v>25</v>
      </c>
    </row>
    <row r="28" spans="1:1" ht="16.899999999999999" customHeight="1">
      <c r="A28" s="115">
        <v>26</v>
      </c>
    </row>
    <row r="29" spans="1:1" ht="16.899999999999999" customHeight="1">
      <c r="A29" s="115">
        <v>27</v>
      </c>
    </row>
    <row r="30" spans="1:1" ht="16.899999999999999" customHeight="1">
      <c r="A30" s="115">
        <v>28</v>
      </c>
    </row>
    <row r="31" spans="1:1" ht="16.899999999999999" customHeight="1">
      <c r="A31" s="115">
        <v>29</v>
      </c>
    </row>
    <row r="32" spans="1:1" ht="16.899999999999999" customHeight="1">
      <c r="A32" s="115">
        <v>30</v>
      </c>
    </row>
    <row r="33" spans="1:1" ht="16.899999999999999" customHeight="1">
      <c r="A33" s="115">
        <v>31</v>
      </c>
    </row>
    <row r="34" spans="1:1" ht="13.5">
      <c r="A34" s="115">
        <v>32</v>
      </c>
    </row>
    <row r="35" spans="1:1" ht="13.5">
      <c r="A35" s="115">
        <v>33</v>
      </c>
    </row>
    <row r="36" spans="1:1" ht="13.5">
      <c r="A36" s="115">
        <v>34</v>
      </c>
    </row>
    <row r="37" spans="1:1" ht="13.5">
      <c r="A37" s="115">
        <v>35</v>
      </c>
    </row>
    <row r="38" spans="1:1" ht="13.5">
      <c r="A38" s="115">
        <v>36</v>
      </c>
    </row>
    <row r="39" spans="1:1" ht="13.5">
      <c r="A39" s="115">
        <v>37</v>
      </c>
    </row>
    <row r="40" spans="1:1" ht="13.5">
      <c r="A40" s="115">
        <v>38</v>
      </c>
    </row>
    <row r="41" spans="1:1" ht="13.5">
      <c r="A41" s="115">
        <v>39</v>
      </c>
    </row>
    <row r="42" spans="1:1" ht="13.5">
      <c r="A42" s="115">
        <v>40</v>
      </c>
    </row>
    <row r="43" spans="1:1" ht="13.5">
      <c r="A43" s="115">
        <v>41</v>
      </c>
    </row>
    <row r="44" spans="1:1" ht="13.5">
      <c r="A44" s="115">
        <v>42</v>
      </c>
    </row>
    <row r="45" spans="1:1" ht="13.5">
      <c r="A45" s="115">
        <v>43</v>
      </c>
    </row>
    <row r="46" spans="1:1" ht="13.5">
      <c r="A46" s="115">
        <v>44</v>
      </c>
    </row>
    <row r="47" spans="1:1" ht="13.5">
      <c r="A47" s="115">
        <v>45</v>
      </c>
    </row>
    <row r="48" spans="1:1" ht="13.5">
      <c r="A48" s="115">
        <v>46</v>
      </c>
    </row>
    <row r="49" spans="1:1" ht="13.5">
      <c r="A49" s="115">
        <v>47</v>
      </c>
    </row>
    <row r="50" spans="1:1" ht="13.5">
      <c r="A50" s="115">
        <v>48</v>
      </c>
    </row>
    <row r="51" spans="1:1" ht="13.5">
      <c r="A51" s="115">
        <v>49</v>
      </c>
    </row>
    <row r="52" spans="1:1" ht="13.5">
      <c r="A52" s="115">
        <v>50</v>
      </c>
    </row>
    <row r="53" spans="1:1" ht="13.5">
      <c r="A53" s="115">
        <v>51</v>
      </c>
    </row>
    <row r="54" spans="1:1" ht="13.5">
      <c r="A54" s="115">
        <v>52</v>
      </c>
    </row>
    <row r="55" spans="1:1" ht="13.5">
      <c r="A55" s="115">
        <v>53</v>
      </c>
    </row>
    <row r="56" spans="1:1" ht="13.5">
      <c r="A56" s="115">
        <v>54</v>
      </c>
    </row>
    <row r="57" spans="1:1" ht="13.5">
      <c r="A57" s="115">
        <v>55</v>
      </c>
    </row>
    <row r="58" spans="1:1" ht="13.5">
      <c r="A58" s="115">
        <v>56</v>
      </c>
    </row>
    <row r="59" spans="1:1" ht="13.5">
      <c r="A59" s="115">
        <v>57</v>
      </c>
    </row>
    <row r="60" spans="1:1" ht="13.5">
      <c r="A60" s="115">
        <v>58</v>
      </c>
    </row>
    <row r="61" spans="1:1" ht="13.5">
      <c r="A61" s="115">
        <v>59</v>
      </c>
    </row>
    <row r="62" spans="1:1" ht="13.5">
      <c r="A62" s="115">
        <v>60</v>
      </c>
    </row>
    <row r="63" spans="1:1" ht="13.5">
      <c r="A63" s="115">
        <v>61</v>
      </c>
    </row>
  </sheetData>
  <phoneticPr fontId="1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675CE-F5FD-41E5-9701-D433FA254F64}">
  <sheetPr codeName="Sheet19"/>
  <dimension ref="A1:AL83"/>
  <sheetViews>
    <sheetView topLeftCell="A6" workbookViewId="0"/>
    <sheetView workbookViewId="1"/>
  </sheetViews>
  <sheetFormatPr defaultColWidth="9" defaultRowHeight="16.5" customHeight="1"/>
  <cols>
    <col min="1" max="1" width="14" style="266" customWidth="1"/>
    <col min="2" max="2" width="38.1328125" style="266" bestFit="1" customWidth="1"/>
    <col min="3" max="3" width="32.59765625" style="266" bestFit="1" customWidth="1"/>
    <col min="4" max="4" width="49" style="266" bestFit="1" customWidth="1"/>
    <col min="5" max="5" width="18.1328125" style="266" bestFit="1" customWidth="1"/>
    <col min="6" max="6" width="4" style="266" customWidth="1"/>
    <col min="7" max="7" width="2.73046875" style="266" customWidth="1"/>
    <col min="8" max="12" width="5.1328125" style="266" customWidth="1"/>
    <col min="13" max="16" width="4.73046875" style="266" customWidth="1"/>
    <col min="17" max="25" width="2.86328125" style="266" customWidth="1"/>
    <col min="26" max="30" width="3.3984375" style="266" bestFit="1" customWidth="1"/>
    <col min="31" max="31" width="16.3984375" style="266" bestFit="1" customWidth="1"/>
    <col min="32" max="16384" width="9" style="266"/>
  </cols>
  <sheetData>
    <row r="1" spans="1:38" ht="16.5" customHeight="1">
      <c r="A1" s="112" t="s">
        <v>134</v>
      </c>
      <c r="B1" s="272">
        <v>1</v>
      </c>
      <c r="C1" s="272">
        <v>2</v>
      </c>
      <c r="D1" s="272">
        <v>3</v>
      </c>
      <c r="E1" s="272">
        <v>4</v>
      </c>
      <c r="F1" s="272">
        <v>5</v>
      </c>
      <c r="G1" s="272">
        <v>6</v>
      </c>
      <c r="H1" s="272">
        <v>7</v>
      </c>
      <c r="I1" s="272">
        <v>8</v>
      </c>
      <c r="J1" s="272">
        <v>9</v>
      </c>
      <c r="K1" s="272">
        <v>10</v>
      </c>
      <c r="L1" s="272">
        <v>11</v>
      </c>
      <c r="M1" s="272">
        <v>12</v>
      </c>
      <c r="N1" s="272">
        <v>13</v>
      </c>
      <c r="O1" s="272">
        <v>14</v>
      </c>
      <c r="P1" s="272">
        <v>15</v>
      </c>
      <c r="Q1" s="272">
        <v>16</v>
      </c>
      <c r="R1" s="272">
        <v>17</v>
      </c>
      <c r="S1" s="272">
        <v>18</v>
      </c>
      <c r="T1" s="272">
        <v>19</v>
      </c>
      <c r="U1" s="272">
        <v>20</v>
      </c>
      <c r="V1" s="272">
        <v>21</v>
      </c>
      <c r="W1" s="272">
        <v>22</v>
      </c>
      <c r="X1" s="272">
        <v>23</v>
      </c>
      <c r="Y1" s="272">
        <v>24</v>
      </c>
      <c r="Z1" s="272">
        <v>25</v>
      </c>
      <c r="AA1" s="272">
        <v>26</v>
      </c>
      <c r="AB1" s="272">
        <v>27</v>
      </c>
      <c r="AC1" s="272">
        <v>28</v>
      </c>
      <c r="AD1" s="272">
        <v>29</v>
      </c>
      <c r="AE1" s="272">
        <v>30</v>
      </c>
      <c r="AF1" s="272">
        <v>31</v>
      </c>
      <c r="AG1" s="272">
        <v>32</v>
      </c>
      <c r="AH1" s="272">
        <v>33</v>
      </c>
      <c r="AI1" s="272">
        <v>34</v>
      </c>
      <c r="AJ1" s="272">
        <v>35</v>
      </c>
      <c r="AK1" s="272">
        <v>36</v>
      </c>
      <c r="AL1" s="272">
        <v>37</v>
      </c>
    </row>
    <row r="2" spans="1:38" ht="25.5" customHeight="1">
      <c r="A2" s="114">
        <v>0</v>
      </c>
      <c r="B2" s="981" t="s">
        <v>680</v>
      </c>
      <c r="C2" s="982"/>
      <c r="D2" s="982"/>
      <c r="E2" s="982"/>
      <c r="H2" s="951" t="s">
        <v>681</v>
      </c>
      <c r="I2" s="951"/>
      <c r="J2" s="951"/>
      <c r="K2" s="951"/>
      <c r="L2" s="951"/>
      <c r="M2" s="951"/>
      <c r="N2" s="951"/>
      <c r="O2" s="951"/>
      <c r="P2" s="951"/>
      <c r="Q2" s="951"/>
      <c r="R2" s="951"/>
      <c r="S2" s="951"/>
      <c r="T2" s="951"/>
      <c r="U2" s="951"/>
      <c r="V2" s="951"/>
      <c r="W2" s="951"/>
      <c r="X2" s="951"/>
      <c r="Y2" s="951"/>
      <c r="Z2" s="951"/>
      <c r="AA2" s="951"/>
      <c r="AB2" s="951"/>
      <c r="AC2" s="951"/>
      <c r="AD2" s="951"/>
      <c r="AE2" s="951"/>
    </row>
    <row r="3" spans="1:38" ht="16.5" customHeight="1" thickBot="1">
      <c r="A3" s="115">
        <v>1</v>
      </c>
      <c r="B3" s="322" t="s">
        <v>682</v>
      </c>
      <c r="C3" s="322" t="s">
        <v>683</v>
      </c>
      <c r="D3" s="1001" t="s">
        <v>684</v>
      </c>
      <c r="E3" s="1002"/>
      <c r="H3" s="952" t="s">
        <v>685</v>
      </c>
      <c r="I3" s="952"/>
      <c r="J3" s="952"/>
      <c r="K3" s="952"/>
      <c r="L3" s="952"/>
      <c r="M3" s="952"/>
      <c r="N3" s="952"/>
      <c r="O3" s="952"/>
      <c r="P3" s="952"/>
      <c r="Q3" s="952"/>
      <c r="R3" s="952"/>
      <c r="S3" s="952"/>
      <c r="T3" s="953"/>
      <c r="U3" s="954" t="s">
        <v>686</v>
      </c>
      <c r="V3" s="955"/>
      <c r="W3" s="955"/>
      <c r="X3" s="955"/>
      <c r="Y3" s="955"/>
      <c r="Z3" s="955"/>
      <c r="AA3" s="955"/>
      <c r="AB3" s="956"/>
      <c r="AC3" s="956"/>
      <c r="AD3" s="956"/>
      <c r="AE3" s="956"/>
    </row>
    <row r="4" spans="1:38" ht="16.5" customHeight="1" thickTop="1">
      <c r="A4" s="115">
        <v>2</v>
      </c>
      <c r="B4" s="948" t="s">
        <v>687</v>
      </c>
      <c r="C4" s="283" t="s">
        <v>541</v>
      </c>
      <c r="D4" s="270" t="e">
        <f>#REF!</f>
        <v>#REF!</v>
      </c>
      <c r="E4" s="267"/>
      <c r="H4" s="957"/>
      <c r="I4" s="957"/>
      <c r="J4" s="957"/>
      <c r="K4" s="957"/>
      <c r="L4" s="957"/>
      <c r="M4" s="957"/>
      <c r="N4" s="957"/>
      <c r="O4" s="957"/>
      <c r="P4" s="957"/>
      <c r="Q4" s="957"/>
      <c r="R4" s="957"/>
      <c r="S4" s="957"/>
      <c r="T4" s="957"/>
      <c r="U4" s="957"/>
      <c r="V4" s="957"/>
      <c r="W4" s="957"/>
      <c r="X4" s="957"/>
      <c r="Y4" s="957"/>
      <c r="Z4" s="957"/>
      <c r="AA4" s="957"/>
      <c r="AB4" s="957"/>
      <c r="AC4" s="957"/>
      <c r="AD4" s="957"/>
      <c r="AE4" s="957"/>
    </row>
    <row r="5" spans="1:38" ht="16.5" customHeight="1">
      <c r="A5" s="115">
        <v>3</v>
      </c>
      <c r="B5" s="949"/>
      <c r="C5" s="284" t="s">
        <v>542</v>
      </c>
      <c r="D5" s="270" t="e">
        <f>#REF!</f>
        <v>#REF!</v>
      </c>
      <c r="E5" s="267"/>
      <c r="H5" s="958" t="s">
        <v>688</v>
      </c>
      <c r="I5" s="958"/>
      <c r="J5" s="958"/>
      <c r="K5" s="958"/>
      <c r="L5" s="959"/>
      <c r="M5" s="960" t="e">
        <f>D4</f>
        <v>#REF!</v>
      </c>
      <c r="N5" s="961"/>
      <c r="O5" s="961"/>
      <c r="P5" s="961"/>
      <c r="Q5" s="961"/>
      <c r="R5" s="961"/>
      <c r="S5" s="961"/>
      <c r="T5" s="962"/>
      <c r="U5" s="963" t="s">
        <v>689</v>
      </c>
      <c r="V5" s="958"/>
      <c r="W5" s="958"/>
      <c r="X5" s="958"/>
      <c r="Y5" s="958"/>
      <c r="Z5" s="958"/>
      <c r="AA5" s="959"/>
      <c r="AB5" s="960" t="e">
        <f>D5</f>
        <v>#REF!</v>
      </c>
      <c r="AC5" s="961"/>
      <c r="AD5" s="961"/>
      <c r="AE5" s="961"/>
    </row>
    <row r="6" spans="1:38" ht="30">
      <c r="A6" s="115">
        <v>4</v>
      </c>
      <c r="B6" s="949"/>
      <c r="C6" s="285" t="s">
        <v>543</v>
      </c>
      <c r="D6" s="270" t="e">
        <f>#REF! &amp; "(" &amp;#REF! &amp; ")"</f>
        <v>#REF!</v>
      </c>
      <c r="E6" s="267"/>
      <c r="H6" s="964" t="s">
        <v>690</v>
      </c>
      <c r="I6" s="964"/>
      <c r="J6" s="964"/>
      <c r="K6" s="964"/>
      <c r="L6" s="965"/>
      <c r="M6" s="966" t="e">
        <f>D6</f>
        <v>#REF!</v>
      </c>
      <c r="N6" s="967"/>
      <c r="O6" s="967"/>
      <c r="P6" s="967"/>
      <c r="Q6" s="967"/>
      <c r="R6" s="967"/>
      <c r="S6" s="967"/>
      <c r="T6" s="968"/>
      <c r="U6" s="972" t="s">
        <v>691</v>
      </c>
      <c r="V6" s="964"/>
      <c r="W6" s="964"/>
      <c r="X6" s="964"/>
      <c r="Y6" s="964"/>
      <c r="Z6" s="964"/>
      <c r="AA6" s="965"/>
      <c r="AB6" s="966" t="e">
        <f>D7</f>
        <v>#REF!</v>
      </c>
      <c r="AC6" s="967"/>
      <c r="AD6" s="967"/>
      <c r="AE6" s="967"/>
    </row>
    <row r="7" spans="1:38" ht="16.5" customHeight="1">
      <c r="A7" s="115">
        <v>5</v>
      </c>
      <c r="B7" s="949"/>
      <c r="C7" s="284" t="s">
        <v>544</v>
      </c>
      <c r="D7" s="270" t="e">
        <f>#REF!</f>
        <v>#REF!</v>
      </c>
      <c r="E7" s="267"/>
      <c r="H7" s="973" t="s">
        <v>692</v>
      </c>
      <c r="I7" s="973"/>
      <c r="J7" s="973"/>
      <c r="K7" s="973"/>
      <c r="L7" s="974"/>
      <c r="M7" s="969"/>
      <c r="N7" s="970"/>
      <c r="O7" s="970"/>
      <c r="P7" s="970"/>
      <c r="Q7" s="970"/>
      <c r="R7" s="970"/>
      <c r="S7" s="970"/>
      <c r="T7" s="971"/>
      <c r="U7" s="975" t="s">
        <v>693</v>
      </c>
      <c r="V7" s="973"/>
      <c r="W7" s="973"/>
      <c r="X7" s="973"/>
      <c r="Y7" s="973"/>
      <c r="Z7" s="973"/>
      <c r="AA7" s="974"/>
      <c r="AB7" s="969"/>
      <c r="AC7" s="970"/>
      <c r="AD7" s="970"/>
      <c r="AE7" s="970"/>
    </row>
    <row r="8" spans="1:38" ht="16.5" customHeight="1">
      <c r="A8" s="115">
        <v>6</v>
      </c>
      <c r="B8" s="949"/>
      <c r="C8" s="284" t="s">
        <v>545</v>
      </c>
      <c r="D8" s="270" t="e">
        <f>#REF!</f>
        <v>#REF!</v>
      </c>
      <c r="E8" s="267"/>
      <c r="H8" s="976" t="s">
        <v>694</v>
      </c>
      <c r="I8" s="976"/>
      <c r="J8" s="976"/>
      <c r="K8" s="976"/>
      <c r="L8" s="977"/>
      <c r="M8" s="936" t="e">
        <f>D8</f>
        <v>#REF!</v>
      </c>
      <c r="N8" s="933"/>
      <c r="O8" s="933"/>
      <c r="P8" s="933"/>
      <c r="Q8" s="933"/>
      <c r="R8" s="933"/>
      <c r="S8" s="933"/>
      <c r="T8" s="933"/>
      <c r="U8" s="933"/>
      <c r="V8" s="933"/>
      <c r="W8" s="933"/>
      <c r="X8" s="933"/>
      <c r="Y8" s="933"/>
      <c r="Z8" s="933"/>
      <c r="AA8" s="933"/>
      <c r="AB8" s="933"/>
      <c r="AC8" s="933"/>
      <c r="AD8" s="933"/>
      <c r="AE8" s="933"/>
      <c r="AF8" s="265" t="s">
        <v>695</v>
      </c>
    </row>
    <row r="9" spans="1:38" ht="16.5" customHeight="1">
      <c r="A9" s="115">
        <v>7</v>
      </c>
      <c r="B9" s="949"/>
      <c r="C9" s="284" t="s">
        <v>546</v>
      </c>
      <c r="D9" s="270" t="e">
        <f>#REF!</f>
        <v>#REF!</v>
      </c>
      <c r="E9" s="267"/>
      <c r="H9" s="964" t="s">
        <v>696</v>
      </c>
      <c r="I9" s="964"/>
      <c r="J9" s="964"/>
      <c r="K9" s="964"/>
      <c r="L9" s="965"/>
      <c r="M9" s="980" t="s">
        <v>697</v>
      </c>
      <c r="N9" s="977"/>
      <c r="O9" s="936" t="e">
        <f>D9</f>
        <v>#REF!</v>
      </c>
      <c r="P9" s="933"/>
      <c r="Q9" s="933"/>
      <c r="R9" s="933"/>
      <c r="S9" s="933"/>
      <c r="T9" s="933"/>
      <c r="U9" s="933"/>
      <c r="V9" s="933"/>
      <c r="W9" s="934"/>
      <c r="X9" s="980" t="s">
        <v>698</v>
      </c>
      <c r="Y9" s="976"/>
      <c r="Z9" s="976"/>
      <c r="AA9" s="976"/>
      <c r="AB9" s="977"/>
      <c r="AC9" s="936" t="e">
        <f>D10</f>
        <v>#REF!</v>
      </c>
      <c r="AD9" s="933"/>
      <c r="AE9" s="933"/>
    </row>
    <row r="10" spans="1:38" ht="16.5" customHeight="1">
      <c r="A10" s="115">
        <v>8</v>
      </c>
      <c r="B10" s="949"/>
      <c r="C10" s="284" t="s">
        <v>547</v>
      </c>
      <c r="D10" s="270" t="e">
        <f>#REF!</f>
        <v>#REF!</v>
      </c>
      <c r="E10" s="267"/>
      <c r="F10" s="265"/>
      <c r="H10" s="978"/>
      <c r="I10" s="978"/>
      <c r="J10" s="978"/>
      <c r="K10" s="978"/>
      <c r="L10" s="979"/>
      <c r="M10" s="985" t="s">
        <v>699</v>
      </c>
      <c r="N10" s="986"/>
      <c r="O10" s="987" t="e">
        <f>D11</f>
        <v>#REF!</v>
      </c>
      <c r="P10" s="988"/>
      <c r="Q10" s="988"/>
      <c r="R10" s="988"/>
      <c r="S10" s="988"/>
      <c r="T10" s="988"/>
      <c r="U10" s="988"/>
      <c r="V10" s="988"/>
      <c r="W10" s="989"/>
      <c r="X10" s="985" t="s">
        <v>700</v>
      </c>
      <c r="Y10" s="990"/>
      <c r="Z10" s="990"/>
      <c r="AA10" s="990"/>
      <c r="AB10" s="986"/>
      <c r="AC10" s="991" t="e">
        <f>D12</f>
        <v>#REF!</v>
      </c>
      <c r="AD10" s="992"/>
      <c r="AE10" s="992"/>
    </row>
    <row r="11" spans="1:38" ht="16.5" customHeight="1">
      <c r="A11" s="115">
        <v>9</v>
      </c>
      <c r="B11" s="949"/>
      <c r="C11" s="284" t="s">
        <v>548</v>
      </c>
      <c r="D11" s="270" t="e">
        <f>#REF!</f>
        <v>#REF!</v>
      </c>
      <c r="E11" s="267"/>
      <c r="H11" s="993"/>
      <c r="I11" s="993"/>
      <c r="J11" s="993"/>
      <c r="K11" s="993"/>
      <c r="L11" s="993"/>
      <c r="M11" s="993"/>
      <c r="N11" s="993"/>
      <c r="O11" s="993"/>
      <c r="P11" s="993"/>
      <c r="Q11" s="993"/>
      <c r="R11" s="993"/>
      <c r="S11" s="993"/>
      <c r="T11" s="993"/>
      <c r="U11" s="993"/>
      <c r="V11" s="993"/>
      <c r="W11" s="993"/>
      <c r="X11" s="993"/>
      <c r="Y11" s="993"/>
      <c r="Z11" s="993"/>
      <c r="AA11" s="993"/>
      <c r="AB11" s="993"/>
      <c r="AC11" s="993"/>
      <c r="AD11" s="993"/>
      <c r="AE11" s="993"/>
    </row>
    <row r="12" spans="1:38" ht="16.5" customHeight="1">
      <c r="A12" s="115">
        <v>10</v>
      </c>
      <c r="B12" s="949"/>
      <c r="C12" s="284" t="s">
        <v>549</v>
      </c>
      <c r="D12" s="270" t="e">
        <f>#REF!</f>
        <v>#REF!</v>
      </c>
      <c r="E12" s="267"/>
      <c r="H12" s="994" t="s">
        <v>701</v>
      </c>
      <c r="I12" s="994"/>
      <c r="J12" s="994"/>
      <c r="K12" s="994"/>
      <c r="L12" s="995"/>
      <c r="M12" s="996"/>
      <c r="N12" s="997"/>
      <c r="O12" s="997"/>
      <c r="P12" s="997"/>
      <c r="Q12" s="997"/>
      <c r="R12" s="997"/>
      <c r="S12" s="997"/>
      <c r="T12" s="997"/>
      <c r="U12" s="997"/>
      <c r="V12" s="997"/>
      <c r="W12" s="997"/>
      <c r="X12" s="997"/>
      <c r="Y12" s="997"/>
      <c r="Z12" s="997"/>
      <c r="AA12" s="997"/>
      <c r="AB12" s="997"/>
      <c r="AC12" s="997"/>
      <c r="AD12" s="997"/>
      <c r="AE12" s="997"/>
    </row>
    <row r="13" spans="1:38" ht="16.5" customHeight="1">
      <c r="A13" s="115">
        <v>11</v>
      </c>
      <c r="B13" s="949"/>
      <c r="C13" s="284" t="s">
        <v>550</v>
      </c>
      <c r="D13" s="263" t="e">
        <f>#REF!</f>
        <v>#REF!</v>
      </c>
      <c r="E13" s="269"/>
      <c r="H13" s="998" t="s">
        <v>702</v>
      </c>
      <c r="I13" s="998"/>
      <c r="J13" s="998"/>
      <c r="K13" s="998"/>
      <c r="L13" s="999"/>
      <c r="M13" s="1000" t="s">
        <v>703</v>
      </c>
      <c r="N13" s="998"/>
      <c r="O13" s="998"/>
      <c r="P13" s="999"/>
      <c r="Q13" s="1000" t="s">
        <v>704</v>
      </c>
      <c r="R13" s="998"/>
      <c r="S13" s="998"/>
      <c r="T13" s="998"/>
      <c r="U13" s="998"/>
      <c r="V13" s="998"/>
      <c r="W13" s="998"/>
      <c r="X13" s="998"/>
      <c r="Y13" s="998"/>
      <c r="Z13" s="998"/>
      <c r="AA13" s="998"/>
      <c r="AB13" s="998"/>
      <c r="AC13" s="998"/>
      <c r="AD13" s="999"/>
      <c r="AE13" s="323" t="s">
        <v>705</v>
      </c>
    </row>
    <row r="14" spans="1:38" ht="16.5" customHeight="1">
      <c r="A14" s="115">
        <v>12</v>
      </c>
      <c r="B14" s="949"/>
      <c r="C14" s="286" t="s">
        <v>551</v>
      </c>
      <c r="D14" s="270" t="e">
        <f>#REF!</f>
        <v>#REF!</v>
      </c>
      <c r="E14" s="267"/>
      <c r="H14" s="946" t="s">
        <v>706</v>
      </c>
      <c r="I14" s="946"/>
      <c r="J14" s="946"/>
      <c r="K14" s="946"/>
      <c r="L14" s="947"/>
      <c r="M14" s="945" t="s">
        <v>707</v>
      </c>
      <c r="N14" s="946"/>
      <c r="O14" s="946"/>
      <c r="P14" s="947"/>
      <c r="Q14" s="945" t="s">
        <v>708</v>
      </c>
      <c r="R14" s="946"/>
      <c r="S14" s="946"/>
      <c r="T14" s="946"/>
      <c r="U14" s="946"/>
      <c r="V14" s="946"/>
      <c r="W14" s="946"/>
      <c r="X14" s="946"/>
      <c r="Y14" s="946"/>
      <c r="Z14" s="946"/>
      <c r="AA14" s="946"/>
      <c r="AB14" s="946"/>
      <c r="AC14" s="946"/>
      <c r="AD14" s="947"/>
      <c r="AE14" s="324" t="s">
        <v>709</v>
      </c>
    </row>
    <row r="15" spans="1:38" ht="16.5" customHeight="1">
      <c r="A15" s="115">
        <v>13</v>
      </c>
      <c r="B15" s="949"/>
      <c r="C15" s="284" t="s">
        <v>552</v>
      </c>
      <c r="D15" s="270" t="e">
        <f>#REF!</f>
        <v>#REF!</v>
      </c>
      <c r="E15" s="267"/>
      <c r="H15" s="933" t="str">
        <f>B21</f>
        <v>이민수(900699-1254973)</v>
      </c>
      <c r="I15" s="933"/>
      <c r="J15" s="933"/>
      <c r="K15" s="933"/>
      <c r="L15" s="934"/>
      <c r="M15" s="935" t="e">
        <f>C21</f>
        <v>#REF!</v>
      </c>
      <c r="N15" s="933"/>
      <c r="O15" s="933"/>
      <c r="P15" s="934"/>
      <c r="Q15" s="936" t="e">
        <f>D21</f>
        <v>#REF!</v>
      </c>
      <c r="R15" s="933"/>
      <c r="S15" s="933"/>
      <c r="T15" s="933"/>
      <c r="U15" s="933"/>
      <c r="V15" s="933"/>
      <c r="W15" s="933"/>
      <c r="X15" s="933"/>
      <c r="Y15" s="933"/>
      <c r="Z15" s="933"/>
      <c r="AA15" s="933"/>
      <c r="AB15" s="933"/>
      <c r="AC15" s="933"/>
      <c r="AD15" s="934"/>
      <c r="AE15" s="305" t="str">
        <f>E21</f>
        <v>기입</v>
      </c>
      <c r="AH15" s="266" t="s">
        <v>536</v>
      </c>
    </row>
    <row r="16" spans="1:38" ht="16.5" customHeight="1" thickBot="1">
      <c r="A16" s="115">
        <v>14</v>
      </c>
      <c r="B16" s="950"/>
      <c r="C16" s="287" t="s">
        <v>553</v>
      </c>
      <c r="D16" s="271" t="e">
        <f>#REF!</f>
        <v>#REF!</v>
      </c>
      <c r="E16" s="268"/>
      <c r="H16" s="933" t="str">
        <f t="shared" ref="H16:H24" si="0">B22</f>
        <v>정지우(950499-2978157)</v>
      </c>
      <c r="I16" s="933"/>
      <c r="J16" s="933"/>
      <c r="K16" s="933"/>
      <c r="L16" s="934"/>
      <c r="M16" s="935" t="e">
        <f t="shared" ref="M16:M24" si="1">C22</f>
        <v>#REF!</v>
      </c>
      <c r="N16" s="933"/>
      <c r="O16" s="933"/>
      <c r="P16" s="934"/>
      <c r="Q16" s="936" t="e">
        <f t="shared" ref="Q16:Q24" si="2">D22</f>
        <v>#REF!</v>
      </c>
      <c r="R16" s="933"/>
      <c r="S16" s="933"/>
      <c r="T16" s="933"/>
      <c r="U16" s="933"/>
      <c r="V16" s="933"/>
      <c r="W16" s="933"/>
      <c r="X16" s="933"/>
      <c r="Y16" s="933"/>
      <c r="Z16" s="933"/>
      <c r="AA16" s="933"/>
      <c r="AB16" s="933"/>
      <c r="AC16" s="933"/>
      <c r="AD16" s="934"/>
      <c r="AE16" s="305" t="str">
        <f t="shared" ref="AE16:AE24" si="3">E22</f>
        <v>기입</v>
      </c>
    </row>
    <row r="17" spans="1:31" ht="16.5" customHeight="1">
      <c r="A17" s="115">
        <v>15</v>
      </c>
      <c r="H17" s="933" t="str">
        <f t="shared" si="0"/>
        <v>박지우(960399-2963832)</v>
      </c>
      <c r="I17" s="933"/>
      <c r="J17" s="933"/>
      <c r="K17" s="933"/>
      <c r="L17" s="934"/>
      <c r="M17" s="935" t="e">
        <f t="shared" si="1"/>
        <v>#REF!</v>
      </c>
      <c r="N17" s="933"/>
      <c r="O17" s="933"/>
      <c r="P17" s="934"/>
      <c r="Q17" s="936" t="e">
        <f t="shared" si="2"/>
        <v>#REF!</v>
      </c>
      <c r="R17" s="933"/>
      <c r="S17" s="933"/>
      <c r="T17" s="933"/>
      <c r="U17" s="933"/>
      <c r="V17" s="933"/>
      <c r="W17" s="933"/>
      <c r="X17" s="933"/>
      <c r="Y17" s="933"/>
      <c r="Z17" s="933"/>
      <c r="AA17" s="933"/>
      <c r="AB17" s="933"/>
      <c r="AC17" s="933"/>
      <c r="AD17" s="934"/>
      <c r="AE17" s="305" t="str">
        <f t="shared" si="3"/>
        <v>기입</v>
      </c>
    </row>
    <row r="18" spans="1:31" ht="16.5" customHeight="1">
      <c r="A18" s="115">
        <v>16</v>
      </c>
      <c r="B18" s="822" t="s">
        <v>630</v>
      </c>
      <c r="C18" s="823"/>
      <c r="D18" s="823"/>
      <c r="E18" s="823"/>
      <c r="H18" s="933" t="str">
        <f t="shared" si="0"/>
        <v>김예은(930699-1258129)</v>
      </c>
      <c r="I18" s="933"/>
      <c r="J18" s="933"/>
      <c r="K18" s="933"/>
      <c r="L18" s="934"/>
      <c r="M18" s="935" t="e">
        <f t="shared" si="1"/>
        <v>#REF!</v>
      </c>
      <c r="N18" s="933"/>
      <c r="O18" s="933"/>
      <c r="P18" s="934"/>
      <c r="Q18" s="936" t="e">
        <f t="shared" si="2"/>
        <v>#REF!</v>
      </c>
      <c r="R18" s="933"/>
      <c r="S18" s="933"/>
      <c r="T18" s="933"/>
      <c r="U18" s="933"/>
      <c r="V18" s="933"/>
      <c r="W18" s="933"/>
      <c r="X18" s="933"/>
      <c r="Y18" s="933"/>
      <c r="Z18" s="933"/>
      <c r="AA18" s="933"/>
      <c r="AB18" s="933"/>
      <c r="AC18" s="933"/>
      <c r="AD18" s="934"/>
      <c r="AE18" s="305" t="str">
        <f t="shared" si="3"/>
        <v>기입</v>
      </c>
    </row>
    <row r="19" spans="1:31" ht="16.5" customHeight="1" thickBot="1">
      <c r="A19" s="115">
        <v>17</v>
      </c>
      <c r="B19" s="824"/>
      <c r="C19" s="825"/>
      <c r="D19" s="825"/>
      <c r="E19" s="825"/>
      <c r="H19" s="933" t="str">
        <f t="shared" si="0"/>
        <v>이민수(020699-3626178)</v>
      </c>
      <c r="I19" s="933"/>
      <c r="J19" s="933"/>
      <c r="K19" s="933"/>
      <c r="L19" s="934"/>
      <c r="M19" s="935" t="e">
        <f t="shared" si="1"/>
        <v>#REF!</v>
      </c>
      <c r="N19" s="933"/>
      <c r="O19" s="933"/>
      <c r="P19" s="934"/>
      <c r="Q19" s="936" t="e">
        <f t="shared" si="2"/>
        <v>#REF!</v>
      </c>
      <c r="R19" s="933"/>
      <c r="S19" s="933"/>
      <c r="T19" s="933"/>
      <c r="U19" s="933"/>
      <c r="V19" s="933"/>
      <c r="W19" s="933"/>
      <c r="X19" s="933"/>
      <c r="Y19" s="933"/>
      <c r="Z19" s="933"/>
      <c r="AA19" s="933"/>
      <c r="AB19" s="933"/>
      <c r="AC19" s="933"/>
      <c r="AD19" s="934"/>
      <c r="AE19" s="305" t="str">
        <f t="shared" si="3"/>
        <v>기입</v>
      </c>
    </row>
    <row r="20" spans="1:31" ht="16.5" customHeight="1" thickTop="1">
      <c r="A20" s="115">
        <v>18</v>
      </c>
      <c r="B20" s="273" t="s">
        <v>554</v>
      </c>
      <c r="C20" s="273" t="s">
        <v>555</v>
      </c>
      <c r="D20" s="273" t="s">
        <v>556</v>
      </c>
      <c r="E20" s="274" t="s">
        <v>557</v>
      </c>
      <c r="H20" s="933" t="str">
        <f t="shared" si="0"/>
        <v>박현우(930899-1736570)</v>
      </c>
      <c r="I20" s="933"/>
      <c r="J20" s="933"/>
      <c r="K20" s="933"/>
      <c r="L20" s="934"/>
      <c r="M20" s="935" t="e">
        <f t="shared" si="1"/>
        <v>#REF!</v>
      </c>
      <c r="N20" s="933"/>
      <c r="O20" s="933"/>
      <c r="P20" s="934"/>
      <c r="Q20" s="936" t="e">
        <f t="shared" si="2"/>
        <v>#REF!</v>
      </c>
      <c r="R20" s="933"/>
      <c r="S20" s="933"/>
      <c r="T20" s="933"/>
      <c r="U20" s="933"/>
      <c r="V20" s="933"/>
      <c r="W20" s="933"/>
      <c r="X20" s="933"/>
      <c r="Y20" s="933"/>
      <c r="Z20" s="933"/>
      <c r="AA20" s="933"/>
      <c r="AB20" s="933"/>
      <c r="AC20" s="933"/>
      <c r="AD20" s="934"/>
      <c r="AE20" s="305" t="str">
        <f t="shared" si="3"/>
        <v>기입</v>
      </c>
    </row>
    <row r="21" spans="1:31" ht="16.5" customHeight="1">
      <c r="A21" s="115">
        <v>19</v>
      </c>
      <c r="B21" s="297" t="str">
        <f>참여자명단!F3 &amp; "(" &amp;참여자명단!G3 &amp; ")"</f>
        <v>이민수(900699-1254973)</v>
      </c>
      <c r="C21" s="300" t="e">
        <f>TEXT(LEFT(#REF!, 4), "0000") &amp; "년 " &amp; TEXT(MID(#REF!, 6, 2), "0") &amp; "월 " &amp; TEXT(RIGHT(#REF!, 2), "0") &amp; "일"</f>
        <v>#REF!</v>
      </c>
      <c r="D21" s="297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1" s="325" t="s">
        <v>710</v>
      </c>
      <c r="H21" s="933" t="str">
        <f t="shared" si="0"/>
        <v>이현우(001199-3301932)</v>
      </c>
      <c r="I21" s="933"/>
      <c r="J21" s="933"/>
      <c r="K21" s="933"/>
      <c r="L21" s="934"/>
      <c r="M21" s="935" t="e">
        <f t="shared" si="1"/>
        <v>#REF!</v>
      </c>
      <c r="N21" s="933"/>
      <c r="O21" s="933"/>
      <c r="P21" s="934"/>
      <c r="Q21" s="936" t="e">
        <f t="shared" si="2"/>
        <v>#REF!</v>
      </c>
      <c r="R21" s="933"/>
      <c r="S21" s="933"/>
      <c r="T21" s="933"/>
      <c r="U21" s="933"/>
      <c r="V21" s="933"/>
      <c r="W21" s="933"/>
      <c r="X21" s="933"/>
      <c r="Y21" s="933"/>
      <c r="Z21" s="933"/>
      <c r="AA21" s="933"/>
      <c r="AB21" s="933"/>
      <c r="AC21" s="933"/>
      <c r="AD21" s="934"/>
      <c r="AE21" s="305" t="str">
        <f t="shared" si="3"/>
        <v>기입</v>
      </c>
    </row>
    <row r="22" spans="1:31" ht="16.5" customHeight="1">
      <c r="A22" s="115">
        <v>20</v>
      </c>
      <c r="B22" s="297" t="str">
        <f>참여자명단!F4 &amp; "(" &amp;참여자명단!G4 &amp; ")"</f>
        <v>정지우(950499-2978157)</v>
      </c>
      <c r="C22" s="300" t="e">
        <f>TEXT(LEFT(#REF!, 4), "0000") &amp; "년 " &amp; TEXT(MID(#REF!, 6, 2), "0") &amp; "월 " &amp; TEXT(RIGHT(#REF!, 2), "0") &amp; "일"</f>
        <v>#REF!</v>
      </c>
      <c r="D22" s="297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2" s="325" t="s">
        <v>710</v>
      </c>
      <c r="H22" s="933" t="str">
        <f t="shared" si="0"/>
        <v>김지우(920699-1184953)</v>
      </c>
      <c r="I22" s="933"/>
      <c r="J22" s="933"/>
      <c r="K22" s="933"/>
      <c r="L22" s="934"/>
      <c r="M22" s="935" t="e">
        <f t="shared" si="1"/>
        <v>#REF!</v>
      </c>
      <c r="N22" s="933"/>
      <c r="O22" s="933"/>
      <c r="P22" s="934"/>
      <c r="Q22" s="936" t="e">
        <f t="shared" si="2"/>
        <v>#REF!</v>
      </c>
      <c r="R22" s="933"/>
      <c r="S22" s="933"/>
      <c r="T22" s="933"/>
      <c r="U22" s="933"/>
      <c r="V22" s="933"/>
      <c r="W22" s="933"/>
      <c r="X22" s="933"/>
      <c r="Y22" s="933"/>
      <c r="Z22" s="933"/>
      <c r="AA22" s="933"/>
      <c r="AB22" s="933"/>
      <c r="AC22" s="933"/>
      <c r="AD22" s="934"/>
      <c r="AE22" s="305" t="str">
        <f t="shared" si="3"/>
        <v>기입</v>
      </c>
    </row>
    <row r="23" spans="1:31" ht="16.5" customHeight="1">
      <c r="A23" s="115">
        <v>21</v>
      </c>
      <c r="B23" s="297" t="str">
        <f>참여자명단!F5 &amp; "(" &amp;참여자명단!G5 &amp; ")"</f>
        <v>박지우(960399-2963832)</v>
      </c>
      <c r="C23" s="300" t="e">
        <f>TEXT(LEFT(#REF!, 4), "0000") &amp; "년 " &amp; TEXT(MID(#REF!, 6, 2), "0") &amp; "월 " &amp; TEXT(RIGHT(#REF!, 2), "0") &amp; "일"</f>
        <v>#REF!</v>
      </c>
      <c r="D23" s="297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3" s="325" t="s">
        <v>710</v>
      </c>
      <c r="H23" s="933" t="str">
        <f t="shared" si="0"/>
        <v>박현우(900699-2193659)</v>
      </c>
      <c r="I23" s="933"/>
      <c r="J23" s="933"/>
      <c r="K23" s="933"/>
      <c r="L23" s="934"/>
      <c r="M23" s="935" t="e">
        <f t="shared" si="1"/>
        <v>#REF!</v>
      </c>
      <c r="N23" s="933"/>
      <c r="O23" s="933"/>
      <c r="P23" s="934"/>
      <c r="Q23" s="936" t="e">
        <f t="shared" si="2"/>
        <v>#REF!</v>
      </c>
      <c r="R23" s="933"/>
      <c r="S23" s="933"/>
      <c r="T23" s="933"/>
      <c r="U23" s="933"/>
      <c r="V23" s="933"/>
      <c r="W23" s="933"/>
      <c r="X23" s="933"/>
      <c r="Y23" s="933"/>
      <c r="Z23" s="933"/>
      <c r="AA23" s="933"/>
      <c r="AB23" s="933"/>
      <c r="AC23" s="933"/>
      <c r="AD23" s="934"/>
      <c r="AE23" s="305" t="str">
        <f t="shared" si="3"/>
        <v>기입</v>
      </c>
    </row>
    <row r="24" spans="1:31" ht="16.5" customHeight="1">
      <c r="A24" s="115">
        <v>22</v>
      </c>
      <c r="B24" s="297" t="str">
        <f>참여자명단!F6 &amp; "(" &amp;참여자명단!G6 &amp; ")"</f>
        <v>김예은(930699-1258129)</v>
      </c>
      <c r="C24" s="300" t="e">
        <f>TEXT(LEFT(#REF!, 4), "0000") &amp; "년 " &amp; TEXT(MID(#REF!, 6, 2), "0") &amp; "월 " &amp; TEXT(RIGHT(#REF!, 2), "0") &amp; "일"</f>
        <v>#REF!</v>
      </c>
      <c r="D24" s="297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4" s="325" t="s">
        <v>710</v>
      </c>
      <c r="H24" s="933" t="str">
        <f t="shared" si="0"/>
        <v>김현우(900799-1246303)</v>
      </c>
      <c r="I24" s="933"/>
      <c r="J24" s="933"/>
      <c r="K24" s="933"/>
      <c r="L24" s="934"/>
      <c r="M24" s="935" t="e">
        <f t="shared" si="1"/>
        <v>#REF!</v>
      </c>
      <c r="N24" s="933"/>
      <c r="O24" s="933"/>
      <c r="P24" s="934"/>
      <c r="Q24" s="936" t="e">
        <f t="shared" si="2"/>
        <v>#REF!</v>
      </c>
      <c r="R24" s="933"/>
      <c r="S24" s="933"/>
      <c r="T24" s="933"/>
      <c r="U24" s="933"/>
      <c r="V24" s="933"/>
      <c r="W24" s="933"/>
      <c r="X24" s="933"/>
      <c r="Y24" s="933"/>
      <c r="Z24" s="933"/>
      <c r="AA24" s="933"/>
      <c r="AB24" s="933"/>
      <c r="AC24" s="933"/>
      <c r="AD24" s="934"/>
      <c r="AE24" s="305" t="str">
        <f t="shared" si="3"/>
        <v>기입</v>
      </c>
    </row>
    <row r="25" spans="1:31" ht="16.5" customHeight="1">
      <c r="A25" s="115">
        <v>23</v>
      </c>
      <c r="B25" s="297" t="str">
        <f>참여자명단!F7 &amp; "(" &amp;참여자명단!G7 &amp; ")"</f>
        <v>이민수(020699-3626178)</v>
      </c>
      <c r="C25" s="300" t="e">
        <f>TEXT(LEFT(#REF!, 4), "0000") &amp; "년 " &amp; TEXT(MID(#REF!, 6, 2), "0") &amp; "월 " &amp; TEXT(RIGHT(#REF!, 2), "0") &amp; "일"</f>
        <v>#REF!</v>
      </c>
      <c r="D25" s="297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5" s="325" t="s">
        <v>710</v>
      </c>
      <c r="H25" s="937" t="s">
        <v>711</v>
      </c>
      <c r="I25" s="937"/>
      <c r="J25" s="937"/>
      <c r="K25" s="937"/>
      <c r="L25" s="937"/>
      <c r="M25" s="937"/>
      <c r="N25" s="937"/>
      <c r="O25" s="937"/>
      <c r="P25" s="937" t="s">
        <v>712</v>
      </c>
      <c r="Q25" s="937"/>
      <c r="R25" s="937"/>
      <c r="S25" s="937"/>
      <c r="T25" s="937"/>
      <c r="U25" s="937"/>
      <c r="V25" s="937"/>
      <c r="W25" s="937" t="s">
        <v>713</v>
      </c>
      <c r="X25" s="937"/>
      <c r="Y25" s="937"/>
      <c r="Z25" s="937"/>
      <c r="AA25" s="937" t="s">
        <v>714</v>
      </c>
      <c r="AB25" s="937"/>
      <c r="AC25" s="937"/>
      <c r="AD25" s="937"/>
      <c r="AE25" s="937"/>
    </row>
    <row r="26" spans="1:31" ht="16.5" customHeight="1">
      <c r="A26" s="115">
        <v>24</v>
      </c>
      <c r="B26" s="297" t="str">
        <f>참여자명단!F8 &amp; "(" &amp;참여자명단!G8 &amp; ")"</f>
        <v>박현우(930899-1736570)</v>
      </c>
      <c r="C26" s="300" t="e">
        <f>TEXT(LEFT(#REF!, 4), "0000") &amp; "년 " &amp; TEXT(MID(#REF!, 6, 2), "0") &amp; "월 " &amp; TEXT(RIGHT(#REF!, 2), "0") &amp; "일"</f>
        <v>#REF!</v>
      </c>
      <c r="D26" s="297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6" s="325" t="s">
        <v>710</v>
      </c>
      <c r="H26" s="938"/>
      <c r="I26" s="938"/>
      <c r="J26" s="938"/>
      <c r="K26" s="938"/>
      <c r="L26" s="938"/>
      <c r="M26" s="938"/>
      <c r="N26" s="938"/>
      <c r="O26" s="938"/>
      <c r="P26" s="938"/>
      <c r="Q26" s="938"/>
      <c r="R26" s="938"/>
      <c r="S26" s="938"/>
      <c r="T26" s="938"/>
      <c r="U26" s="938"/>
      <c r="V26" s="938"/>
      <c r="W26" s="938"/>
      <c r="X26" s="938"/>
      <c r="Y26" s="938"/>
      <c r="Z26" s="938"/>
      <c r="AA26" s="938"/>
      <c r="AB26" s="938"/>
      <c r="AC26" s="938"/>
      <c r="AD26" s="938"/>
      <c r="AE26" s="938"/>
    </row>
    <row r="27" spans="1:31" ht="16.5" customHeight="1">
      <c r="A27" s="115">
        <v>25</v>
      </c>
      <c r="B27" s="297" t="str">
        <f>참여자명단!F9 &amp; "(" &amp;참여자명단!G9 &amp; ")"</f>
        <v>이현우(001199-3301932)</v>
      </c>
      <c r="C27" s="300" t="e">
        <f>TEXT(LEFT(#REF!, 4), "0000") &amp; "년 " &amp; TEXT(MID(#REF!, 6, 2), "0") &amp; "월 " &amp; TEXT(RIGHT(#REF!, 2), "0") &amp; "일"</f>
        <v>#REF!</v>
      </c>
      <c r="D27" s="297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7" s="325" t="s">
        <v>710</v>
      </c>
      <c r="H27" s="939" t="s">
        <v>715</v>
      </c>
      <c r="I27" s="939"/>
      <c r="J27" s="939"/>
      <c r="K27" s="939"/>
      <c r="L27" s="940"/>
      <c r="M27" s="941" t="e">
        <f>"(" &amp; D56 &amp; ")" &amp; "은행"</f>
        <v>#REF!</v>
      </c>
      <c r="N27" s="942"/>
      <c r="O27" s="942"/>
      <c r="P27" s="942"/>
      <c r="Q27" s="942"/>
      <c r="R27" s="942"/>
      <c r="S27" s="943" t="e">
        <f>D15</f>
        <v>#REF!</v>
      </c>
      <c r="T27" s="943"/>
      <c r="U27" s="943"/>
      <c r="V27" s="943"/>
      <c r="W27" s="943"/>
      <c r="X27" s="943"/>
      <c r="Y27" s="943"/>
      <c r="Z27" s="943"/>
      <c r="AA27" s="943"/>
      <c r="AB27" s="943"/>
      <c r="AC27" s="944" t="e">
        <f xml:space="preserve"> "(예금주 :" &amp; D58 &amp; ")"</f>
        <v>#REF!</v>
      </c>
      <c r="AD27" s="944"/>
      <c r="AE27" s="944"/>
    </row>
    <row r="28" spans="1:31" ht="16.5" customHeight="1">
      <c r="A28" s="115">
        <v>26</v>
      </c>
      <c r="B28" s="297" t="str">
        <f>참여자명단!F10 &amp; "(" &amp;참여자명단!G10 &amp; ")"</f>
        <v>김지우(920699-1184953)</v>
      </c>
      <c r="C28" s="300" t="e">
        <f>TEXT(LEFT(#REF!, 4), "0000") &amp; "년 " &amp; TEXT(MID(#REF!, 6, 2), "0") &amp; "월 " &amp; TEXT(RIGHT(#REF!, 2), "0") &amp; "일"</f>
        <v>#REF!</v>
      </c>
      <c r="D28" s="297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8" s="325" t="s">
        <v>710</v>
      </c>
      <c r="H28" s="924"/>
      <c r="I28" s="924"/>
      <c r="J28" s="924"/>
      <c r="K28" s="924"/>
      <c r="L28" s="924"/>
      <c r="M28" s="924"/>
      <c r="N28" s="924"/>
      <c r="O28" s="924"/>
      <c r="P28" s="924"/>
      <c r="Q28" s="924"/>
      <c r="R28" s="924"/>
      <c r="S28" s="924"/>
      <c r="T28" s="924"/>
      <c r="U28" s="924"/>
      <c r="V28" s="924"/>
      <c r="W28" s="924"/>
      <c r="X28" s="924"/>
      <c r="Y28" s="924"/>
      <c r="Z28" s="924"/>
      <c r="AA28" s="924"/>
      <c r="AB28" s="924"/>
      <c r="AC28" s="924"/>
      <c r="AD28" s="924"/>
      <c r="AE28" s="924"/>
    </row>
    <row r="29" spans="1:31" ht="16.5" customHeight="1">
      <c r="A29" s="115">
        <v>27</v>
      </c>
      <c r="B29" s="297" t="str">
        <f>참여자명단!F11 &amp; "(" &amp;참여자명단!G11 &amp; ")"</f>
        <v>박현우(900699-2193659)</v>
      </c>
      <c r="C29" s="300" t="e">
        <f>TEXT(LEFT(#REF!, 4), "0000") &amp; "년 " &amp; TEXT(MID(#REF!, 6, 2), "0") &amp; "월 " &amp; TEXT(RIGHT(#REF!, 2), "0") &amp; "일"</f>
        <v>#REF!</v>
      </c>
      <c r="D29" s="297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9" s="325" t="s">
        <v>710</v>
      </c>
      <c r="H29" s="925" t="s">
        <v>716</v>
      </c>
      <c r="I29" s="925"/>
      <c r="J29" s="925"/>
      <c r="K29" s="925"/>
      <c r="L29" s="925"/>
      <c r="M29" s="925"/>
      <c r="N29" s="925"/>
      <c r="O29" s="925"/>
      <c r="P29" s="925"/>
      <c r="Q29" s="925"/>
      <c r="R29" s="925"/>
      <c r="S29" s="925"/>
      <c r="T29" s="925"/>
      <c r="U29" s="925"/>
      <c r="V29" s="925"/>
      <c r="W29" s="925"/>
      <c r="X29" s="925"/>
      <c r="Y29" s="925"/>
      <c r="Z29" s="925"/>
      <c r="AA29" s="925"/>
      <c r="AB29" s="925"/>
      <c r="AC29" s="925"/>
      <c r="AD29" s="925"/>
      <c r="AE29" s="925"/>
    </row>
    <row r="30" spans="1:31" ht="16.5" customHeight="1" thickBot="1">
      <c r="A30" s="115">
        <v>28</v>
      </c>
      <c r="B30" s="298" t="str">
        <f>참여자명단!F12 &amp; "(" &amp;참여자명단!G12 &amp; ")"</f>
        <v>김현우(900799-1246303)</v>
      </c>
      <c r="C30" s="301" t="e">
        <f>TEXT(LEFT(#REF!, 4), "0000") &amp; "년 " &amp; TEXT(MID(#REF!, 6, 2), "0") &amp; "월 " &amp; TEXT(RIGHT(#REF!, 2), "0") &amp; "일"</f>
        <v>#REF!</v>
      </c>
      <c r="D30" s="298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30" s="326" t="s">
        <v>710</v>
      </c>
      <c r="H30" s="926" t="s">
        <v>717</v>
      </c>
      <c r="I30" s="926"/>
      <c r="J30" s="926"/>
      <c r="K30" s="926"/>
      <c r="L30" s="926"/>
      <c r="M30" s="926"/>
      <c r="N30" s="926"/>
      <c r="O30" s="926"/>
      <c r="P30" s="926"/>
      <c r="Q30" s="926"/>
      <c r="R30" s="926"/>
      <c r="S30" s="926"/>
      <c r="T30" s="926"/>
      <c r="U30" s="926"/>
      <c r="V30" s="926"/>
      <c r="W30" s="926"/>
      <c r="X30" s="926"/>
      <c r="Y30" s="926"/>
      <c r="Z30" s="926"/>
      <c r="AA30" s="926"/>
      <c r="AB30" s="926"/>
      <c r="AC30" s="926"/>
      <c r="AD30" s="926"/>
      <c r="AE30" s="926"/>
    </row>
    <row r="31" spans="1:31" ht="16.5" customHeight="1">
      <c r="A31" s="115">
        <v>29</v>
      </c>
      <c r="B31" s="47"/>
      <c r="C31" s="47"/>
      <c r="D31" s="47"/>
      <c r="E31" s="47"/>
      <c r="H31" s="927"/>
      <c r="I31" s="927"/>
      <c r="J31" s="927"/>
      <c r="K31" s="927"/>
      <c r="L31" s="927"/>
      <c r="M31" s="927"/>
      <c r="N31" s="927"/>
      <c r="O31" s="927"/>
      <c r="P31" s="927"/>
      <c r="Q31" s="927"/>
      <c r="R31" s="927"/>
      <c r="S31" s="927"/>
      <c r="T31" s="928" t="s">
        <v>718</v>
      </c>
      <c r="U31" s="928"/>
      <c r="V31" s="928"/>
      <c r="W31" s="928"/>
      <c r="X31" s="928"/>
      <c r="Y31" s="928"/>
      <c r="Z31" s="929" t="e">
        <f>D5</f>
        <v>#REF!</v>
      </c>
      <c r="AA31" s="929"/>
      <c r="AB31" s="929"/>
      <c r="AC31" s="929"/>
      <c r="AD31" s="929"/>
      <c r="AE31" s="327" t="s">
        <v>719</v>
      </c>
    </row>
    <row r="32" spans="1:31" ht="16.5" customHeight="1" thickBot="1">
      <c r="A32" s="115">
        <v>30</v>
      </c>
      <c r="B32" s="47"/>
      <c r="C32" s="47"/>
      <c r="D32" s="47"/>
      <c r="E32" s="47"/>
      <c r="H32" s="930" t="s">
        <v>720</v>
      </c>
      <c r="I32" s="930"/>
      <c r="J32" s="930"/>
      <c r="K32" s="930"/>
      <c r="L32" s="930"/>
      <c r="M32" s="930"/>
      <c r="N32" s="930"/>
      <c r="O32" s="930"/>
      <c r="P32" s="930"/>
      <c r="Q32" s="930"/>
      <c r="R32" s="930"/>
      <c r="S32" s="930"/>
      <c r="T32" s="930"/>
      <c r="U32" s="930"/>
      <c r="V32" s="930"/>
      <c r="W32" s="930"/>
      <c r="X32" s="930"/>
      <c r="Y32" s="930"/>
      <c r="Z32" s="930"/>
      <c r="AA32" s="931" t="s">
        <v>721</v>
      </c>
      <c r="AB32" s="931"/>
      <c r="AC32" s="931"/>
      <c r="AD32" s="931"/>
      <c r="AE32" s="931"/>
    </row>
    <row r="33" spans="1:31" ht="16.5" customHeight="1" thickTop="1">
      <c r="A33" s="115">
        <v>31</v>
      </c>
      <c r="B33" s="47"/>
      <c r="C33" s="47"/>
      <c r="D33" s="47"/>
      <c r="E33" s="47"/>
      <c r="H33" s="932"/>
      <c r="I33" s="932"/>
      <c r="J33" s="932"/>
      <c r="K33" s="932"/>
      <c r="L33" s="932"/>
      <c r="M33" s="932"/>
      <c r="N33" s="932"/>
      <c r="O33" s="932"/>
      <c r="P33" s="932"/>
      <c r="Q33" s="932"/>
      <c r="R33" s="932"/>
      <c r="S33" s="932"/>
      <c r="T33" s="932"/>
      <c r="U33" s="932"/>
      <c r="V33" s="932"/>
      <c r="W33" s="932"/>
      <c r="X33" s="932"/>
      <c r="Y33" s="932"/>
      <c r="Z33" s="932"/>
      <c r="AA33" s="932"/>
      <c r="AB33" s="932"/>
      <c r="AC33" s="932"/>
      <c r="AD33" s="932"/>
      <c r="AE33" s="932"/>
    </row>
    <row r="34" spans="1:31" ht="16.5" customHeight="1">
      <c r="A34" s="115">
        <v>32</v>
      </c>
      <c r="B34" s="47"/>
      <c r="C34" s="47"/>
      <c r="D34" s="47"/>
      <c r="E34" s="47"/>
      <c r="H34" s="906" t="s">
        <v>722</v>
      </c>
      <c r="I34" s="906"/>
      <c r="J34" s="907"/>
      <c r="K34" s="910" t="s">
        <v>723</v>
      </c>
      <c r="L34" s="911"/>
      <c r="M34" s="911"/>
      <c r="N34" s="911"/>
      <c r="O34" s="911"/>
      <c r="P34" s="911"/>
      <c r="Q34" s="911"/>
      <c r="R34" s="911"/>
      <c r="S34" s="911"/>
      <c r="T34" s="911"/>
      <c r="U34" s="911"/>
      <c r="V34" s="911"/>
      <c r="W34" s="911"/>
      <c r="X34" s="911"/>
      <c r="Y34" s="911"/>
      <c r="Z34" s="911"/>
      <c r="AA34" s="911"/>
      <c r="AB34" s="911"/>
      <c r="AC34" s="911"/>
      <c r="AD34" s="911"/>
      <c r="AE34" s="911"/>
    </row>
    <row r="35" spans="1:31" ht="16.5" customHeight="1" thickBot="1">
      <c r="A35" s="115">
        <v>33</v>
      </c>
      <c r="B35" s="47"/>
      <c r="C35" s="47"/>
      <c r="D35" s="47"/>
      <c r="E35" s="47"/>
      <c r="H35" s="908"/>
      <c r="I35" s="908"/>
      <c r="J35" s="909"/>
      <c r="K35" s="912" t="s">
        <v>724</v>
      </c>
      <c r="L35" s="913"/>
      <c r="M35" s="913"/>
      <c r="N35" s="913"/>
      <c r="O35" s="913"/>
      <c r="P35" s="913"/>
      <c r="Q35" s="913"/>
      <c r="R35" s="913"/>
      <c r="S35" s="913"/>
      <c r="T35" s="913"/>
      <c r="U35" s="913"/>
      <c r="V35" s="913"/>
      <c r="W35" s="913"/>
      <c r="X35" s="913"/>
      <c r="Y35" s="913"/>
      <c r="Z35" s="913"/>
      <c r="AA35" s="913"/>
      <c r="AB35" s="913"/>
      <c r="AC35" s="913"/>
      <c r="AD35" s="913"/>
      <c r="AE35" s="913"/>
    </row>
    <row r="36" spans="1:31" ht="16.5" customHeight="1" thickBot="1">
      <c r="A36" s="115">
        <v>34</v>
      </c>
      <c r="H36" s="914" t="s">
        <v>725</v>
      </c>
      <c r="I36" s="914"/>
      <c r="J36" s="914"/>
      <c r="K36" s="914"/>
      <c r="L36" s="914"/>
      <c r="M36" s="914"/>
      <c r="N36" s="914"/>
      <c r="O36" s="914"/>
      <c r="P36" s="914"/>
      <c r="Q36" s="914"/>
      <c r="R36" s="914"/>
      <c r="S36" s="914"/>
      <c r="T36" s="914"/>
      <c r="U36" s="914"/>
      <c r="V36" s="914"/>
      <c r="W36" s="914"/>
      <c r="X36" s="914"/>
      <c r="Y36" s="914"/>
      <c r="Z36" s="914"/>
      <c r="AA36" s="914"/>
      <c r="AB36" s="914"/>
      <c r="AC36" s="914"/>
      <c r="AD36" s="914"/>
      <c r="AE36" s="914"/>
    </row>
    <row r="37" spans="1:31" ht="16.5" customHeight="1">
      <c r="A37" s="115">
        <v>35</v>
      </c>
      <c r="H37" s="915" t="s">
        <v>726</v>
      </c>
      <c r="I37" s="917" t="s">
        <v>727</v>
      </c>
      <c r="J37" s="918"/>
      <c r="K37" s="918"/>
      <c r="L37" s="918"/>
      <c r="M37" s="918"/>
      <c r="N37" s="918"/>
      <c r="O37" s="918"/>
      <c r="P37" s="918"/>
      <c r="Q37" s="919"/>
      <c r="R37" s="917" t="s">
        <v>685</v>
      </c>
      <c r="S37" s="918"/>
      <c r="T37" s="918"/>
      <c r="U37" s="918"/>
      <c r="V37" s="918"/>
      <c r="W37" s="918"/>
      <c r="X37" s="919"/>
      <c r="Y37" s="917" t="s">
        <v>728</v>
      </c>
      <c r="Z37" s="918"/>
      <c r="AA37" s="918"/>
      <c r="AB37" s="918"/>
      <c r="AC37" s="918"/>
      <c r="AD37" s="918"/>
      <c r="AE37" s="918"/>
    </row>
    <row r="38" spans="1:31" ht="16.5" customHeight="1">
      <c r="A38" s="115">
        <v>36</v>
      </c>
      <c r="H38" s="916"/>
      <c r="I38" s="902"/>
      <c r="J38" s="903"/>
      <c r="K38" s="903"/>
      <c r="L38" s="903"/>
      <c r="M38" s="903"/>
      <c r="N38" s="903"/>
      <c r="O38" s="903"/>
      <c r="P38" s="903"/>
      <c r="Q38" s="920"/>
      <c r="R38" s="921"/>
      <c r="S38" s="922"/>
      <c r="T38" s="922"/>
      <c r="U38" s="922"/>
      <c r="V38" s="922"/>
      <c r="W38" s="922"/>
      <c r="X38" s="923"/>
      <c r="Y38" s="902"/>
      <c r="Z38" s="903"/>
      <c r="AA38" s="903"/>
      <c r="AB38" s="903"/>
      <c r="AC38" s="903"/>
      <c r="AD38" s="903"/>
      <c r="AE38" s="903"/>
    </row>
    <row r="39" spans="1:31" ht="16.5" customHeight="1">
      <c r="A39" s="115">
        <v>37</v>
      </c>
      <c r="F39" s="264"/>
      <c r="H39" s="888" t="s">
        <v>729</v>
      </c>
      <c r="I39" s="890" t="s">
        <v>730</v>
      </c>
      <c r="J39" s="891"/>
      <c r="K39" s="892"/>
      <c r="L39" s="890"/>
      <c r="M39" s="892"/>
      <c r="N39" s="890" t="s">
        <v>731</v>
      </c>
      <c r="O39" s="891"/>
      <c r="P39" s="891"/>
      <c r="Q39" s="892"/>
      <c r="R39" s="890"/>
      <c r="S39" s="891"/>
      <c r="T39" s="891"/>
      <c r="U39" s="892"/>
      <c r="V39" s="890" t="s">
        <v>732</v>
      </c>
      <c r="W39" s="891"/>
      <c r="X39" s="892"/>
      <c r="Y39" s="896"/>
      <c r="Z39" s="897"/>
      <c r="AA39" s="897"/>
      <c r="AB39" s="897"/>
      <c r="AC39" s="898"/>
      <c r="AD39" s="902" t="s">
        <v>733</v>
      </c>
      <c r="AE39" s="903"/>
    </row>
    <row r="40" spans="1:31" ht="16.5" customHeight="1" thickBot="1">
      <c r="A40" s="115">
        <v>38</v>
      </c>
      <c r="F40" s="264"/>
      <c r="H40" s="889"/>
      <c r="I40" s="893"/>
      <c r="J40" s="894"/>
      <c r="K40" s="895"/>
      <c r="L40" s="893"/>
      <c r="M40" s="895"/>
      <c r="N40" s="893"/>
      <c r="O40" s="894"/>
      <c r="P40" s="894"/>
      <c r="Q40" s="895"/>
      <c r="R40" s="893"/>
      <c r="S40" s="894"/>
      <c r="T40" s="894"/>
      <c r="U40" s="895"/>
      <c r="V40" s="893"/>
      <c r="W40" s="894"/>
      <c r="X40" s="895"/>
      <c r="Y40" s="899"/>
      <c r="Z40" s="900"/>
      <c r="AA40" s="900"/>
      <c r="AB40" s="900"/>
      <c r="AC40" s="901"/>
      <c r="AD40" s="904" t="s">
        <v>286</v>
      </c>
      <c r="AE40" s="905"/>
    </row>
    <row r="41" spans="1:31" ht="16.5" customHeight="1">
      <c r="A41" s="115">
        <v>39</v>
      </c>
      <c r="F41" s="264"/>
    </row>
    <row r="42" spans="1:31" ht="16.5" customHeight="1">
      <c r="A42" s="115">
        <v>40</v>
      </c>
      <c r="F42" s="264"/>
    </row>
    <row r="43" spans="1:31" ht="16.5" customHeight="1">
      <c r="A43" s="115">
        <v>41</v>
      </c>
    </row>
    <row r="44" spans="1:31" ht="25.15">
      <c r="A44" s="115">
        <v>42</v>
      </c>
      <c r="B44" s="981" t="s">
        <v>734</v>
      </c>
      <c r="C44" s="982"/>
      <c r="D44" s="982"/>
      <c r="E44" s="982"/>
      <c r="H44" s="951" t="s">
        <v>735</v>
      </c>
      <c r="I44" s="951"/>
      <c r="J44" s="951"/>
      <c r="K44" s="951"/>
      <c r="L44" s="951"/>
      <c r="M44" s="951"/>
      <c r="N44" s="951"/>
      <c r="O44" s="951"/>
      <c r="P44" s="951"/>
      <c r="Q44" s="951"/>
      <c r="R44" s="951"/>
      <c r="S44" s="951"/>
      <c r="T44" s="951"/>
      <c r="U44" s="951"/>
      <c r="V44" s="951"/>
      <c r="W44" s="951"/>
      <c r="X44" s="951"/>
      <c r="Y44" s="951"/>
      <c r="Z44" s="951"/>
      <c r="AA44" s="951"/>
      <c r="AB44" s="951"/>
      <c r="AC44" s="951"/>
      <c r="AD44" s="951"/>
      <c r="AE44" s="951"/>
    </row>
    <row r="45" spans="1:31" ht="16.5" customHeight="1" thickBot="1">
      <c r="A45" s="115">
        <v>43</v>
      </c>
      <c r="B45" s="322" t="s">
        <v>682</v>
      </c>
      <c r="C45" s="322" t="s">
        <v>683</v>
      </c>
      <c r="D45" s="983" t="s">
        <v>684</v>
      </c>
      <c r="E45" s="984"/>
      <c r="H45" s="952" t="s">
        <v>685</v>
      </c>
      <c r="I45" s="952"/>
      <c r="J45" s="952"/>
      <c r="K45" s="952"/>
      <c r="L45" s="952"/>
      <c r="M45" s="952"/>
      <c r="N45" s="952"/>
      <c r="O45" s="952"/>
      <c r="P45" s="952"/>
      <c r="Q45" s="952"/>
      <c r="R45" s="952"/>
      <c r="S45" s="952"/>
      <c r="T45" s="953"/>
      <c r="U45" s="954" t="s">
        <v>686</v>
      </c>
      <c r="V45" s="955"/>
      <c r="W45" s="955"/>
      <c r="X45" s="955"/>
      <c r="Y45" s="955"/>
      <c r="Z45" s="955"/>
      <c r="AA45" s="955"/>
      <c r="AB45" s="956"/>
      <c r="AC45" s="956"/>
      <c r="AD45" s="956"/>
      <c r="AE45" s="956"/>
    </row>
    <row r="46" spans="1:31" ht="16.5" customHeight="1" thickTop="1">
      <c r="A46" s="115">
        <v>44</v>
      </c>
      <c r="B46" s="948" t="s">
        <v>687</v>
      </c>
      <c r="C46" s="288" t="s">
        <v>541</v>
      </c>
      <c r="D46" s="270" t="e">
        <f>#REF!</f>
        <v>#REF!</v>
      </c>
      <c r="E46" s="267"/>
      <c r="H46" s="957"/>
      <c r="I46" s="957"/>
      <c r="J46" s="957"/>
      <c r="K46" s="957"/>
      <c r="L46" s="957"/>
      <c r="M46" s="957"/>
      <c r="N46" s="957"/>
      <c r="O46" s="957"/>
      <c r="P46" s="957"/>
      <c r="Q46" s="957"/>
      <c r="R46" s="957"/>
      <c r="S46" s="957"/>
      <c r="T46" s="957"/>
      <c r="U46" s="957"/>
      <c r="V46" s="957"/>
      <c r="W46" s="957"/>
      <c r="X46" s="957"/>
      <c r="Y46" s="957"/>
      <c r="Z46" s="957"/>
      <c r="AA46" s="957"/>
      <c r="AB46" s="957"/>
      <c r="AC46" s="957"/>
      <c r="AD46" s="957"/>
      <c r="AE46" s="957"/>
    </row>
    <row r="47" spans="1:31" ht="16.5" customHeight="1">
      <c r="A47" s="115">
        <v>45</v>
      </c>
      <c r="B47" s="949"/>
      <c r="C47" s="289" t="s">
        <v>542</v>
      </c>
      <c r="D47" s="270" t="e">
        <f>#REF!</f>
        <v>#REF!</v>
      </c>
      <c r="E47" s="267"/>
      <c r="H47" s="958" t="s">
        <v>688</v>
      </c>
      <c r="I47" s="958"/>
      <c r="J47" s="958"/>
      <c r="K47" s="958"/>
      <c r="L47" s="959"/>
      <c r="M47" s="960" t="e">
        <f>D46</f>
        <v>#REF!</v>
      </c>
      <c r="N47" s="961"/>
      <c r="O47" s="961"/>
      <c r="P47" s="961"/>
      <c r="Q47" s="961"/>
      <c r="R47" s="961"/>
      <c r="S47" s="961"/>
      <c r="T47" s="962"/>
      <c r="U47" s="963" t="s">
        <v>689</v>
      </c>
      <c r="V47" s="958"/>
      <c r="W47" s="958"/>
      <c r="X47" s="958"/>
      <c r="Y47" s="958"/>
      <c r="Z47" s="958"/>
      <c r="AA47" s="959"/>
      <c r="AB47" s="960" t="e">
        <f>D47</f>
        <v>#REF!</v>
      </c>
      <c r="AC47" s="961"/>
      <c r="AD47" s="961"/>
      <c r="AE47" s="961"/>
    </row>
    <row r="48" spans="1:31" ht="30">
      <c r="A48" s="115">
        <v>46</v>
      </c>
      <c r="B48" s="949"/>
      <c r="C48" s="290" t="s">
        <v>543</v>
      </c>
      <c r="D48" s="270" t="e">
        <f>#REF! &amp; "(" &amp;#REF! &amp; ")"</f>
        <v>#REF!</v>
      </c>
      <c r="E48" s="267"/>
      <c r="H48" s="964" t="s">
        <v>690</v>
      </c>
      <c r="I48" s="964"/>
      <c r="J48" s="964"/>
      <c r="K48" s="964"/>
      <c r="L48" s="965"/>
      <c r="M48" s="966" t="e">
        <f>D48</f>
        <v>#REF!</v>
      </c>
      <c r="N48" s="967"/>
      <c r="O48" s="967"/>
      <c r="P48" s="967"/>
      <c r="Q48" s="967"/>
      <c r="R48" s="967"/>
      <c r="S48" s="967"/>
      <c r="T48" s="968"/>
      <c r="U48" s="972" t="s">
        <v>691</v>
      </c>
      <c r="V48" s="964"/>
      <c r="W48" s="964"/>
      <c r="X48" s="964"/>
      <c r="Y48" s="964"/>
      <c r="Z48" s="964"/>
      <c r="AA48" s="965"/>
      <c r="AB48" s="966" t="e">
        <f>D49</f>
        <v>#REF!</v>
      </c>
      <c r="AC48" s="967"/>
      <c r="AD48" s="967"/>
      <c r="AE48" s="967"/>
    </row>
    <row r="49" spans="1:31" ht="16.5" customHeight="1">
      <c r="A49" s="115">
        <v>47</v>
      </c>
      <c r="B49" s="949"/>
      <c r="C49" s="289" t="s">
        <v>544</v>
      </c>
      <c r="D49" s="270" t="e">
        <f>#REF!</f>
        <v>#REF!</v>
      </c>
      <c r="E49" s="267"/>
      <c r="H49" s="973" t="s">
        <v>692</v>
      </c>
      <c r="I49" s="973"/>
      <c r="J49" s="973"/>
      <c r="K49" s="973"/>
      <c r="L49" s="974"/>
      <c r="M49" s="969"/>
      <c r="N49" s="970"/>
      <c r="O49" s="970"/>
      <c r="P49" s="970"/>
      <c r="Q49" s="970"/>
      <c r="R49" s="970"/>
      <c r="S49" s="970"/>
      <c r="T49" s="971"/>
      <c r="U49" s="975" t="s">
        <v>693</v>
      </c>
      <c r="V49" s="973"/>
      <c r="W49" s="973"/>
      <c r="X49" s="973"/>
      <c r="Y49" s="973"/>
      <c r="Z49" s="973"/>
      <c r="AA49" s="974"/>
      <c r="AB49" s="969"/>
      <c r="AC49" s="970"/>
      <c r="AD49" s="970"/>
      <c r="AE49" s="970"/>
    </row>
    <row r="50" spans="1:31" ht="16.5" customHeight="1">
      <c r="A50" s="115">
        <v>48</v>
      </c>
      <c r="B50" s="949"/>
      <c r="C50" s="289" t="s">
        <v>545</v>
      </c>
      <c r="D50" s="270" t="e">
        <f>#REF!</f>
        <v>#REF!</v>
      </c>
      <c r="E50" s="267"/>
      <c r="H50" s="976" t="s">
        <v>694</v>
      </c>
      <c r="I50" s="976"/>
      <c r="J50" s="976"/>
      <c r="K50" s="976"/>
      <c r="L50" s="977"/>
      <c r="M50" s="936" t="e">
        <f>D50</f>
        <v>#REF!</v>
      </c>
      <c r="N50" s="933"/>
      <c r="O50" s="933"/>
      <c r="P50" s="933"/>
      <c r="Q50" s="933"/>
      <c r="R50" s="933"/>
      <c r="S50" s="933"/>
      <c r="T50" s="933"/>
      <c r="U50" s="933"/>
      <c r="V50" s="933"/>
      <c r="W50" s="933"/>
      <c r="X50" s="933"/>
      <c r="Y50" s="933"/>
      <c r="Z50" s="933"/>
      <c r="AA50" s="933"/>
      <c r="AB50" s="933"/>
      <c r="AC50" s="933"/>
      <c r="AD50" s="933"/>
      <c r="AE50" s="933"/>
    </row>
    <row r="51" spans="1:31" ht="16.5" customHeight="1">
      <c r="A51" s="115">
        <v>49</v>
      </c>
      <c r="B51" s="949"/>
      <c r="C51" s="289" t="s">
        <v>546</v>
      </c>
      <c r="D51" s="270" t="e">
        <f>#REF!</f>
        <v>#REF!</v>
      </c>
      <c r="E51" s="267"/>
      <c r="H51" s="964" t="s">
        <v>696</v>
      </c>
      <c r="I51" s="964"/>
      <c r="J51" s="964"/>
      <c r="K51" s="964"/>
      <c r="L51" s="965"/>
      <c r="M51" s="980" t="s">
        <v>697</v>
      </c>
      <c r="N51" s="977"/>
      <c r="O51" s="936" t="e">
        <f>D51</f>
        <v>#REF!</v>
      </c>
      <c r="P51" s="933"/>
      <c r="Q51" s="933"/>
      <c r="R51" s="933"/>
      <c r="S51" s="933"/>
      <c r="T51" s="933"/>
      <c r="U51" s="933"/>
      <c r="V51" s="933"/>
      <c r="W51" s="934"/>
      <c r="X51" s="980" t="s">
        <v>698</v>
      </c>
      <c r="Y51" s="976"/>
      <c r="Z51" s="976"/>
      <c r="AA51" s="976"/>
      <c r="AB51" s="977"/>
      <c r="AC51" s="936" t="e">
        <f>D52</f>
        <v>#REF!</v>
      </c>
      <c r="AD51" s="933"/>
      <c r="AE51" s="933"/>
    </row>
    <row r="52" spans="1:31" ht="16.5" customHeight="1">
      <c r="A52" s="115">
        <v>50</v>
      </c>
      <c r="B52" s="949"/>
      <c r="C52" s="289" t="s">
        <v>547</v>
      </c>
      <c r="D52" s="270" t="e">
        <f>#REF!</f>
        <v>#REF!</v>
      </c>
      <c r="E52" s="267"/>
      <c r="H52" s="978"/>
      <c r="I52" s="978"/>
      <c r="J52" s="978"/>
      <c r="K52" s="978"/>
      <c r="L52" s="979"/>
      <c r="M52" s="985" t="s">
        <v>699</v>
      </c>
      <c r="N52" s="986"/>
      <c r="O52" s="987" t="e">
        <f>D53</f>
        <v>#REF!</v>
      </c>
      <c r="P52" s="988"/>
      <c r="Q52" s="988"/>
      <c r="R52" s="988"/>
      <c r="S52" s="988"/>
      <c r="T52" s="988"/>
      <c r="U52" s="988"/>
      <c r="V52" s="988"/>
      <c r="W52" s="989"/>
      <c r="X52" s="985" t="s">
        <v>700</v>
      </c>
      <c r="Y52" s="990"/>
      <c r="Z52" s="990"/>
      <c r="AA52" s="990"/>
      <c r="AB52" s="986"/>
      <c r="AC52" s="991" t="e">
        <f>D54</f>
        <v>#REF!</v>
      </c>
      <c r="AD52" s="992"/>
      <c r="AE52" s="992"/>
    </row>
    <row r="53" spans="1:31" ht="16.5" customHeight="1">
      <c r="A53" s="115">
        <v>51</v>
      </c>
      <c r="B53" s="949"/>
      <c r="C53" s="289" t="s">
        <v>548</v>
      </c>
      <c r="D53" s="270" t="e">
        <f>#REF!</f>
        <v>#REF!</v>
      </c>
      <c r="E53" s="267"/>
      <c r="H53" s="993"/>
      <c r="I53" s="993"/>
      <c r="J53" s="993"/>
      <c r="K53" s="993"/>
      <c r="L53" s="993"/>
      <c r="M53" s="993"/>
      <c r="N53" s="993"/>
      <c r="O53" s="993"/>
      <c r="P53" s="993"/>
      <c r="Q53" s="993"/>
      <c r="R53" s="993"/>
      <c r="S53" s="993"/>
      <c r="T53" s="993"/>
      <c r="U53" s="993"/>
      <c r="V53" s="993"/>
      <c r="W53" s="993"/>
      <c r="X53" s="993"/>
      <c r="Y53" s="993"/>
      <c r="Z53" s="993"/>
      <c r="AA53" s="993"/>
      <c r="AB53" s="993"/>
      <c r="AC53" s="993"/>
      <c r="AD53" s="993"/>
      <c r="AE53" s="993"/>
    </row>
    <row r="54" spans="1:31" ht="16.5" customHeight="1">
      <c r="A54" s="115">
        <v>52</v>
      </c>
      <c r="B54" s="949"/>
      <c r="C54" s="289" t="s">
        <v>549</v>
      </c>
      <c r="D54" s="270" t="e">
        <f>#REF!</f>
        <v>#REF!</v>
      </c>
      <c r="E54" s="267"/>
      <c r="H54" s="994" t="s">
        <v>701</v>
      </c>
      <c r="I54" s="994"/>
      <c r="J54" s="994"/>
      <c r="K54" s="994"/>
      <c r="L54" s="995"/>
      <c r="M54" s="996"/>
      <c r="N54" s="997"/>
      <c r="O54" s="997"/>
      <c r="P54" s="997"/>
      <c r="Q54" s="997"/>
      <c r="R54" s="997"/>
      <c r="S54" s="997"/>
      <c r="T54" s="997"/>
      <c r="U54" s="997"/>
      <c r="V54" s="997"/>
      <c r="W54" s="997"/>
      <c r="X54" s="997"/>
      <c r="Y54" s="997"/>
      <c r="Z54" s="997"/>
      <c r="AA54" s="997"/>
      <c r="AB54" s="997"/>
      <c r="AC54" s="997"/>
      <c r="AD54" s="997"/>
      <c r="AE54" s="997"/>
    </row>
    <row r="55" spans="1:31" ht="16.5" customHeight="1">
      <c r="A55" s="115">
        <v>53</v>
      </c>
      <c r="B55" s="949"/>
      <c r="C55" s="289" t="s">
        <v>550</v>
      </c>
      <c r="D55" s="291" t="e">
        <f>#REF!</f>
        <v>#REF!</v>
      </c>
      <c r="E55" s="267"/>
      <c r="H55" s="998" t="s">
        <v>702</v>
      </c>
      <c r="I55" s="998"/>
      <c r="J55" s="998"/>
      <c r="K55" s="998"/>
      <c r="L55" s="999"/>
      <c r="M55" s="1000" t="s">
        <v>703</v>
      </c>
      <c r="N55" s="998"/>
      <c r="O55" s="998"/>
      <c r="P55" s="999"/>
      <c r="Q55" s="1000" t="s">
        <v>704</v>
      </c>
      <c r="R55" s="998"/>
      <c r="S55" s="998"/>
      <c r="T55" s="998"/>
      <c r="U55" s="998"/>
      <c r="V55" s="998"/>
      <c r="W55" s="998"/>
      <c r="X55" s="998"/>
      <c r="Y55" s="998"/>
      <c r="Z55" s="998"/>
      <c r="AA55" s="998"/>
      <c r="AB55" s="998"/>
      <c r="AC55" s="998"/>
      <c r="AD55" s="999"/>
      <c r="AE55" s="323" t="s">
        <v>705</v>
      </c>
    </row>
    <row r="56" spans="1:31" ht="16.5" customHeight="1">
      <c r="A56" s="115">
        <v>54</v>
      </c>
      <c r="B56" s="949"/>
      <c r="C56" s="292" t="s">
        <v>551</v>
      </c>
      <c r="D56" s="279" t="e">
        <f>#REF!</f>
        <v>#REF!</v>
      </c>
      <c r="E56" s="269"/>
      <c r="H56" s="946" t="s">
        <v>706</v>
      </c>
      <c r="I56" s="946"/>
      <c r="J56" s="946"/>
      <c r="K56" s="946"/>
      <c r="L56" s="947"/>
      <c r="M56" s="945" t="s">
        <v>707</v>
      </c>
      <c r="N56" s="946"/>
      <c r="O56" s="946"/>
      <c r="P56" s="947"/>
      <c r="Q56" s="945" t="s">
        <v>708</v>
      </c>
      <c r="R56" s="946"/>
      <c r="S56" s="946"/>
      <c r="T56" s="946"/>
      <c r="U56" s="946"/>
      <c r="V56" s="946"/>
      <c r="W56" s="946"/>
      <c r="X56" s="946"/>
      <c r="Y56" s="946"/>
      <c r="Z56" s="946"/>
      <c r="AA56" s="946"/>
      <c r="AB56" s="946"/>
      <c r="AC56" s="946"/>
      <c r="AD56" s="947"/>
      <c r="AE56" s="324" t="s">
        <v>709</v>
      </c>
    </row>
    <row r="57" spans="1:31" ht="16.5" customHeight="1">
      <c r="A57" s="115">
        <v>55</v>
      </c>
      <c r="B57" s="949"/>
      <c r="C57" s="289" t="s">
        <v>552</v>
      </c>
      <c r="D57" s="279" t="e">
        <f>#REF!</f>
        <v>#REF!</v>
      </c>
      <c r="E57" s="269"/>
      <c r="H57" s="933" t="str">
        <f t="shared" ref="H57:H66" si="4">B63</f>
        <v>정지우(910699-1891360)</v>
      </c>
      <c r="I57" s="933"/>
      <c r="J57" s="933"/>
      <c r="K57" s="933"/>
      <c r="L57" s="934"/>
      <c r="M57" s="935" t="e">
        <f>C63</f>
        <v>#REF!</v>
      </c>
      <c r="N57" s="933"/>
      <c r="O57" s="933"/>
      <c r="P57" s="934"/>
      <c r="Q57" s="936" t="e">
        <f>D63</f>
        <v>#REF!</v>
      </c>
      <c r="R57" s="933"/>
      <c r="S57" s="933"/>
      <c r="T57" s="933"/>
      <c r="U57" s="933"/>
      <c r="V57" s="933"/>
      <c r="W57" s="933"/>
      <c r="X57" s="933"/>
      <c r="Y57" s="933"/>
      <c r="Z57" s="933"/>
      <c r="AA57" s="933"/>
      <c r="AB57" s="933"/>
      <c r="AC57" s="933"/>
      <c r="AD57" s="934"/>
      <c r="AE57" s="305"/>
    </row>
    <row r="58" spans="1:31" ht="16.5" customHeight="1" thickBot="1">
      <c r="A58" s="115">
        <v>56</v>
      </c>
      <c r="B58" s="950"/>
      <c r="C58" s="293" t="s">
        <v>553</v>
      </c>
      <c r="D58" s="271" t="e">
        <f>#REF!</f>
        <v>#REF!</v>
      </c>
      <c r="E58" s="268"/>
      <c r="H58" s="933" t="str">
        <f t="shared" si="4"/>
        <v>박예은(000899-4865061)</v>
      </c>
      <c r="I58" s="933"/>
      <c r="J58" s="933"/>
      <c r="K58" s="933"/>
      <c r="L58" s="934"/>
      <c r="M58" s="935" t="e">
        <f t="shared" ref="M58:M66" si="5">C64</f>
        <v>#REF!</v>
      </c>
      <c r="N58" s="933"/>
      <c r="O58" s="933"/>
      <c r="P58" s="934"/>
      <c r="Q58" s="936" t="e">
        <f t="shared" ref="Q58:Q66" si="6">D64</f>
        <v>#REF!</v>
      </c>
      <c r="R58" s="933"/>
      <c r="S58" s="933"/>
      <c r="T58" s="933"/>
      <c r="U58" s="933"/>
      <c r="V58" s="933"/>
      <c r="W58" s="933"/>
      <c r="X58" s="933"/>
      <c r="Y58" s="933"/>
      <c r="Z58" s="933"/>
      <c r="AA58" s="933"/>
      <c r="AB58" s="933"/>
      <c r="AC58" s="933"/>
      <c r="AD58" s="934"/>
      <c r="AE58" s="305"/>
    </row>
    <row r="59" spans="1:31" ht="16.5" customHeight="1">
      <c r="A59" s="115">
        <v>57</v>
      </c>
      <c r="H59" s="933" t="str">
        <f t="shared" si="4"/>
        <v>최현우(921299-2639872)</v>
      </c>
      <c r="I59" s="933"/>
      <c r="J59" s="933"/>
      <c r="K59" s="933"/>
      <c r="L59" s="934"/>
      <c r="M59" s="935" t="e">
        <f t="shared" si="5"/>
        <v>#REF!</v>
      </c>
      <c r="N59" s="933"/>
      <c r="O59" s="933"/>
      <c r="P59" s="934"/>
      <c r="Q59" s="936" t="e">
        <f t="shared" si="6"/>
        <v>#REF!</v>
      </c>
      <c r="R59" s="933"/>
      <c r="S59" s="933"/>
      <c r="T59" s="933"/>
      <c r="U59" s="933"/>
      <c r="V59" s="933"/>
      <c r="W59" s="933"/>
      <c r="X59" s="933"/>
      <c r="Y59" s="933"/>
      <c r="Z59" s="933"/>
      <c r="AA59" s="933"/>
      <c r="AB59" s="933"/>
      <c r="AC59" s="933"/>
      <c r="AD59" s="934"/>
      <c r="AE59" s="305"/>
    </row>
    <row r="60" spans="1:31" ht="16.5" customHeight="1">
      <c r="A60" s="115">
        <v>58</v>
      </c>
      <c r="B60" s="822" t="s">
        <v>630</v>
      </c>
      <c r="C60" s="823"/>
      <c r="D60" s="823"/>
      <c r="E60" s="823"/>
      <c r="H60" s="933" t="str">
        <f t="shared" si="4"/>
        <v>이현우(901199-1109002)</v>
      </c>
      <c r="I60" s="933"/>
      <c r="J60" s="933"/>
      <c r="K60" s="933"/>
      <c r="L60" s="934"/>
      <c r="M60" s="935" t="e">
        <f t="shared" si="5"/>
        <v>#REF!</v>
      </c>
      <c r="N60" s="933"/>
      <c r="O60" s="933"/>
      <c r="P60" s="934"/>
      <c r="Q60" s="936" t="e">
        <f t="shared" si="6"/>
        <v>#REF!</v>
      </c>
      <c r="R60" s="933"/>
      <c r="S60" s="933"/>
      <c r="T60" s="933"/>
      <c r="U60" s="933"/>
      <c r="V60" s="933"/>
      <c r="W60" s="933"/>
      <c r="X60" s="933"/>
      <c r="Y60" s="933"/>
      <c r="Z60" s="933"/>
      <c r="AA60" s="933"/>
      <c r="AB60" s="933"/>
      <c r="AC60" s="933"/>
      <c r="AD60" s="934"/>
      <c r="AE60" s="305"/>
    </row>
    <row r="61" spans="1:31" ht="16.5" customHeight="1" thickBot="1">
      <c r="A61" s="115">
        <v>59</v>
      </c>
      <c r="B61" s="824"/>
      <c r="C61" s="825"/>
      <c r="D61" s="825"/>
      <c r="E61" s="825"/>
      <c r="H61" s="933" t="str">
        <f t="shared" si="4"/>
        <v>최예은(941099-1190164)</v>
      </c>
      <c r="I61" s="933"/>
      <c r="J61" s="933"/>
      <c r="K61" s="933"/>
      <c r="L61" s="934"/>
      <c r="M61" s="935" t="e">
        <f t="shared" si="5"/>
        <v>#REF!</v>
      </c>
      <c r="N61" s="933"/>
      <c r="O61" s="933"/>
      <c r="P61" s="934"/>
      <c r="Q61" s="936" t="e">
        <f t="shared" si="6"/>
        <v>#REF!</v>
      </c>
      <c r="R61" s="933"/>
      <c r="S61" s="933"/>
      <c r="T61" s="933"/>
      <c r="U61" s="933"/>
      <c r="V61" s="933"/>
      <c r="W61" s="933"/>
      <c r="X61" s="933"/>
      <c r="Y61" s="933"/>
      <c r="Z61" s="933"/>
      <c r="AA61" s="933"/>
      <c r="AB61" s="933"/>
      <c r="AC61" s="933"/>
      <c r="AD61" s="934"/>
      <c r="AE61" s="305"/>
    </row>
    <row r="62" spans="1:31" ht="16.5" customHeight="1" thickTop="1">
      <c r="A62" s="115">
        <v>60</v>
      </c>
      <c r="B62" s="273" t="s">
        <v>554</v>
      </c>
      <c r="C62" s="273" t="s">
        <v>555</v>
      </c>
      <c r="D62" s="273" t="s">
        <v>556</v>
      </c>
      <c r="E62" s="274" t="s">
        <v>557</v>
      </c>
      <c r="H62" s="933" t="str">
        <f t="shared" si="4"/>
        <v>()</v>
      </c>
      <c r="I62" s="933"/>
      <c r="J62" s="933"/>
      <c r="K62" s="933"/>
      <c r="L62" s="934"/>
      <c r="M62" s="935" t="e">
        <f t="shared" si="5"/>
        <v>#REF!</v>
      </c>
      <c r="N62" s="933"/>
      <c r="O62" s="933"/>
      <c r="P62" s="934"/>
      <c r="Q62" s="936" t="e">
        <f t="shared" si="6"/>
        <v>#REF!</v>
      </c>
      <c r="R62" s="933"/>
      <c r="S62" s="933"/>
      <c r="T62" s="933"/>
      <c r="U62" s="933"/>
      <c r="V62" s="933"/>
      <c r="W62" s="933"/>
      <c r="X62" s="933"/>
      <c r="Y62" s="933"/>
      <c r="Z62" s="933"/>
      <c r="AA62" s="933"/>
      <c r="AB62" s="933"/>
      <c r="AC62" s="933"/>
      <c r="AD62" s="934"/>
      <c r="AE62" s="305"/>
    </row>
    <row r="63" spans="1:31" ht="16.5" customHeight="1">
      <c r="A63" s="115">
        <v>61</v>
      </c>
      <c r="B63" s="296" t="str">
        <f>참여자명단!F13 &amp;"(" &amp; 참여자명단!G13 &amp; ")"</f>
        <v>정지우(910699-1891360)</v>
      </c>
      <c r="C63" s="275" t="e">
        <f>TEXT(LEFT(#REF!, 4), "0000") &amp; "년 " &amp; TEXT(MID(#REF!, 6, 2), "0") &amp; "월 " &amp; TEXT(RIGHT(#REF!, 2), "0") &amp; "일"</f>
        <v>#REF!</v>
      </c>
      <c r="D63" s="297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63" s="276"/>
      <c r="H63" s="933" t="str">
        <f t="shared" si="4"/>
        <v>()</v>
      </c>
      <c r="I63" s="933"/>
      <c r="J63" s="933"/>
      <c r="K63" s="933"/>
      <c r="L63" s="934"/>
      <c r="M63" s="935" t="e">
        <f t="shared" si="5"/>
        <v>#REF!</v>
      </c>
      <c r="N63" s="933"/>
      <c r="O63" s="933"/>
      <c r="P63" s="934"/>
      <c r="Q63" s="936" t="e">
        <f t="shared" si="6"/>
        <v>#REF!</v>
      </c>
      <c r="R63" s="933"/>
      <c r="S63" s="933"/>
      <c r="T63" s="933"/>
      <c r="U63" s="933"/>
      <c r="V63" s="933"/>
      <c r="W63" s="933"/>
      <c r="X63" s="933"/>
      <c r="Y63" s="933"/>
      <c r="Z63" s="933"/>
      <c r="AA63" s="933"/>
      <c r="AB63" s="933"/>
      <c r="AC63" s="933"/>
      <c r="AD63" s="934"/>
      <c r="AE63" s="305"/>
    </row>
    <row r="64" spans="1:31" ht="16.5" customHeight="1">
      <c r="A64" s="115">
        <v>62</v>
      </c>
      <c r="B64" s="296" t="str">
        <f>참여자명단!F14 &amp;"(" &amp; 참여자명단!G14 &amp; ")"</f>
        <v>박예은(000899-4865061)</v>
      </c>
      <c r="C64" s="275" t="e">
        <f>TEXT(LEFT(#REF!, 4), "0000") &amp; "년 " &amp; TEXT(MID(#REF!, 6, 2), "0") &amp; "월 " &amp; TEXT(RIGHT(#REF!, 2), "0") &amp; "일"</f>
        <v>#REF!</v>
      </c>
      <c r="D64" s="297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64" s="276"/>
      <c r="H64" s="933" t="str">
        <f t="shared" si="4"/>
        <v>()</v>
      </c>
      <c r="I64" s="933"/>
      <c r="J64" s="933"/>
      <c r="K64" s="933"/>
      <c r="L64" s="934"/>
      <c r="M64" s="935" t="e">
        <f t="shared" si="5"/>
        <v>#REF!</v>
      </c>
      <c r="N64" s="933"/>
      <c r="O64" s="933"/>
      <c r="P64" s="934"/>
      <c r="Q64" s="936" t="e">
        <f t="shared" si="6"/>
        <v>#REF!</v>
      </c>
      <c r="R64" s="933"/>
      <c r="S64" s="933"/>
      <c r="T64" s="933"/>
      <c r="U64" s="933"/>
      <c r="V64" s="933"/>
      <c r="W64" s="933"/>
      <c r="X64" s="933"/>
      <c r="Y64" s="933"/>
      <c r="Z64" s="933"/>
      <c r="AA64" s="933"/>
      <c r="AB64" s="933"/>
      <c r="AC64" s="933"/>
      <c r="AD64" s="934"/>
      <c r="AE64" s="305"/>
    </row>
    <row r="65" spans="1:31" ht="16.5" customHeight="1">
      <c r="A65" s="115">
        <v>63</v>
      </c>
      <c r="B65" s="296" t="str">
        <f>참여자명단!F15 &amp;"(" &amp; 참여자명단!G15 &amp; ")"</f>
        <v>최현우(921299-2639872)</v>
      </c>
      <c r="C65" s="275" t="e">
        <f>TEXT(LEFT(#REF!, 4), "0000") &amp; "년 " &amp; TEXT(MID(#REF!, 6, 2), "0") &amp; "월 " &amp; TEXT(RIGHT(#REF!, 2), "0") &amp; "일"</f>
        <v>#REF!</v>
      </c>
      <c r="D65" s="297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65" s="276"/>
      <c r="H65" s="933" t="str">
        <f t="shared" si="4"/>
        <v>()</v>
      </c>
      <c r="I65" s="933"/>
      <c r="J65" s="933"/>
      <c r="K65" s="933"/>
      <c r="L65" s="934"/>
      <c r="M65" s="935" t="e">
        <f t="shared" si="5"/>
        <v>#REF!</v>
      </c>
      <c r="N65" s="933"/>
      <c r="O65" s="933"/>
      <c r="P65" s="934"/>
      <c r="Q65" s="936" t="e">
        <f t="shared" si="6"/>
        <v>#REF!</v>
      </c>
      <c r="R65" s="933"/>
      <c r="S65" s="933"/>
      <c r="T65" s="933"/>
      <c r="U65" s="933"/>
      <c r="V65" s="933"/>
      <c r="W65" s="933"/>
      <c r="X65" s="933"/>
      <c r="Y65" s="933"/>
      <c r="Z65" s="933"/>
      <c r="AA65" s="933"/>
      <c r="AB65" s="933"/>
      <c r="AC65" s="933"/>
      <c r="AD65" s="934"/>
      <c r="AE65" s="305"/>
    </row>
    <row r="66" spans="1:31" ht="16.5" customHeight="1">
      <c r="A66" s="115">
        <v>64</v>
      </c>
      <c r="B66" s="296" t="str">
        <f>참여자명단!F16 &amp;"(" &amp; 참여자명단!G16 &amp; ")"</f>
        <v>이현우(901199-1109002)</v>
      </c>
      <c r="C66" s="275" t="e">
        <f>TEXT(LEFT(#REF!, 4), "0000") &amp; "년 " &amp; TEXT(MID(#REF!, 6, 2), "0") &amp; "월 " &amp; TEXT(RIGHT(#REF!, 2), "0") &amp; "일"</f>
        <v>#REF!</v>
      </c>
      <c r="D66" s="297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66" s="276"/>
      <c r="H66" s="933" t="str">
        <f t="shared" si="4"/>
        <v>()</v>
      </c>
      <c r="I66" s="933"/>
      <c r="J66" s="933"/>
      <c r="K66" s="933"/>
      <c r="L66" s="934"/>
      <c r="M66" s="935" t="e">
        <f t="shared" si="5"/>
        <v>#REF!</v>
      </c>
      <c r="N66" s="933"/>
      <c r="O66" s="933"/>
      <c r="P66" s="934"/>
      <c r="Q66" s="936" t="e">
        <f t="shared" si="6"/>
        <v>#REF!</v>
      </c>
      <c r="R66" s="933"/>
      <c r="S66" s="933"/>
      <c r="T66" s="933"/>
      <c r="U66" s="933"/>
      <c r="V66" s="933"/>
      <c r="W66" s="933"/>
      <c r="X66" s="933"/>
      <c r="Y66" s="933"/>
      <c r="Z66" s="933"/>
      <c r="AA66" s="933"/>
      <c r="AB66" s="933"/>
      <c r="AC66" s="933"/>
      <c r="AD66" s="934"/>
      <c r="AE66" s="305"/>
    </row>
    <row r="67" spans="1:31" ht="16.5" customHeight="1">
      <c r="A67" s="115">
        <v>65</v>
      </c>
      <c r="B67" s="296" t="str">
        <f>참여자명단!F17 &amp;"(" &amp; 참여자명단!G17 &amp; ")"</f>
        <v>최예은(941099-1190164)</v>
      </c>
      <c r="C67" s="275" t="e">
        <f>TEXT(LEFT(#REF!, 4), "0000") &amp; "년 " &amp; TEXT(MID(#REF!, 6, 2), "0") &amp; "월 " &amp; TEXT(RIGHT(#REF!, 2), "0") &amp; "일"</f>
        <v>#REF!</v>
      </c>
      <c r="D67" s="297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67" s="276"/>
      <c r="H67" s="937" t="s">
        <v>711</v>
      </c>
      <c r="I67" s="937"/>
      <c r="J67" s="937"/>
      <c r="K67" s="937"/>
      <c r="L67" s="937"/>
      <c r="M67" s="937"/>
      <c r="N67" s="937"/>
      <c r="O67" s="937"/>
      <c r="P67" s="937" t="s">
        <v>736</v>
      </c>
      <c r="Q67" s="937"/>
      <c r="R67" s="937"/>
      <c r="S67" s="937"/>
      <c r="T67" s="937"/>
      <c r="U67" s="937"/>
      <c r="V67" s="937"/>
      <c r="W67" s="937" t="s">
        <v>713</v>
      </c>
      <c r="X67" s="937"/>
      <c r="Y67" s="937"/>
      <c r="Z67" s="937"/>
      <c r="AA67" s="937" t="s">
        <v>737</v>
      </c>
      <c r="AB67" s="937"/>
      <c r="AC67" s="937"/>
      <c r="AD67" s="937"/>
      <c r="AE67" s="937"/>
    </row>
    <row r="68" spans="1:31" ht="16.5" customHeight="1">
      <c r="A68" s="115">
        <v>66</v>
      </c>
      <c r="B68" s="296" t="str">
        <f>참여자명단!F18 &amp;"(" &amp; 참여자명단!G18 &amp; ")"</f>
        <v>()</v>
      </c>
      <c r="C68" s="275" t="e">
        <f>TEXT(LEFT(#REF!, 4), "0000") &amp; "년 " &amp; TEXT(MID(#REF!, 6, 2), "0") &amp; "월 " &amp; TEXT(RIGHT(#REF!, 2), "0") &amp; "일"</f>
        <v>#REF!</v>
      </c>
      <c r="D68" s="297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68" s="276"/>
      <c r="H68" s="938"/>
      <c r="I68" s="938"/>
      <c r="J68" s="938"/>
      <c r="K68" s="938"/>
      <c r="L68" s="938"/>
      <c r="M68" s="938"/>
      <c r="N68" s="938"/>
      <c r="O68" s="938"/>
      <c r="P68" s="938"/>
      <c r="Q68" s="938"/>
      <c r="R68" s="938"/>
      <c r="S68" s="938"/>
      <c r="T68" s="938"/>
      <c r="U68" s="938"/>
      <c r="V68" s="938"/>
      <c r="W68" s="938"/>
      <c r="X68" s="938"/>
      <c r="Y68" s="938"/>
      <c r="Z68" s="938"/>
      <c r="AA68" s="938"/>
      <c r="AB68" s="938"/>
      <c r="AC68" s="938"/>
      <c r="AD68" s="938"/>
      <c r="AE68" s="938"/>
    </row>
    <row r="69" spans="1:31" ht="16.5" customHeight="1">
      <c r="A69" s="115">
        <v>67</v>
      </c>
      <c r="B69" s="296" t="str">
        <f>참여자명단!F19 &amp;"(" &amp; 참여자명단!G19 &amp; ")"</f>
        <v>()</v>
      </c>
      <c r="C69" s="275" t="e">
        <f>TEXT(LEFT(#REF!, 4), "0000") &amp; "년 " &amp; TEXT(MID(#REF!, 6, 2), "0") &amp; "월 " &amp; TEXT(RIGHT(#REF!, 2), "0") &amp; "일"</f>
        <v>#REF!</v>
      </c>
      <c r="D69" s="297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69" s="276"/>
      <c r="H69" s="939" t="s">
        <v>715</v>
      </c>
      <c r="I69" s="939"/>
      <c r="J69" s="939"/>
      <c r="K69" s="939"/>
      <c r="L69" s="940"/>
      <c r="M69" s="941" t="e">
        <f>"(" &amp; D56 &amp; ")" &amp; "은행"</f>
        <v>#REF!</v>
      </c>
      <c r="N69" s="942"/>
      <c r="O69" s="942"/>
      <c r="P69" s="942"/>
      <c r="Q69" s="942"/>
      <c r="R69" s="942"/>
      <c r="S69" s="943" t="e">
        <f>D57</f>
        <v>#REF!</v>
      </c>
      <c r="T69" s="943"/>
      <c r="U69" s="943"/>
      <c r="V69" s="943"/>
      <c r="W69" s="943"/>
      <c r="X69" s="943"/>
      <c r="Y69" s="943"/>
      <c r="Z69" s="943"/>
      <c r="AA69" s="943"/>
      <c r="AB69" s="943"/>
      <c r="AC69" s="944" t="e">
        <f xml:space="preserve"> "(예금주 :" &amp; D58 &amp; ")"</f>
        <v>#REF!</v>
      </c>
      <c r="AD69" s="944"/>
      <c r="AE69" s="944"/>
    </row>
    <row r="70" spans="1:31" ht="16.5" customHeight="1">
      <c r="A70" s="115">
        <v>68</v>
      </c>
      <c r="B70" s="296" t="str">
        <f>참여자명단!F20 &amp;"(" &amp; 참여자명단!G20 &amp; ")"</f>
        <v>()</v>
      </c>
      <c r="C70" s="275" t="e">
        <f>TEXT(LEFT(#REF!, 4), "0000") &amp; "년 " &amp; TEXT(MID(#REF!, 6, 2), "0") &amp; "월 " &amp; TEXT(RIGHT(#REF!, 2), "0") &amp; "일"</f>
        <v>#REF!</v>
      </c>
      <c r="D70" s="297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70" s="276"/>
      <c r="H70" s="924"/>
      <c r="I70" s="924"/>
      <c r="J70" s="924"/>
      <c r="K70" s="924"/>
      <c r="L70" s="924"/>
      <c r="M70" s="924"/>
      <c r="N70" s="924"/>
      <c r="O70" s="924"/>
      <c r="P70" s="924"/>
      <c r="Q70" s="924"/>
      <c r="R70" s="924"/>
      <c r="S70" s="924"/>
      <c r="T70" s="924"/>
      <c r="U70" s="924"/>
      <c r="V70" s="924"/>
      <c r="W70" s="924"/>
      <c r="X70" s="924"/>
      <c r="Y70" s="924"/>
      <c r="Z70" s="924"/>
      <c r="AA70" s="924"/>
      <c r="AB70" s="924"/>
      <c r="AC70" s="924"/>
      <c r="AD70" s="924"/>
      <c r="AE70" s="924"/>
    </row>
    <row r="71" spans="1:31" ht="16.5" customHeight="1">
      <c r="A71" s="115">
        <v>69</v>
      </c>
      <c r="B71" s="296" t="str">
        <f>참여자명단!F21 &amp;"(" &amp; 참여자명단!G21 &amp; ")"</f>
        <v>()</v>
      </c>
      <c r="C71" s="275" t="e">
        <f>TEXT(LEFT(#REF!, 4), "0000") &amp; "년 " &amp; TEXT(MID(#REF!, 6, 2), "0") &amp; "월 " &amp; TEXT(RIGHT(#REF!, 2), "0") &amp; "일"</f>
        <v>#REF!</v>
      </c>
      <c r="D71" s="297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71" s="276"/>
      <c r="H71" s="925" t="s">
        <v>716</v>
      </c>
      <c r="I71" s="925"/>
      <c r="J71" s="925"/>
      <c r="K71" s="925"/>
      <c r="L71" s="925"/>
      <c r="M71" s="925"/>
      <c r="N71" s="925"/>
      <c r="O71" s="925"/>
      <c r="P71" s="925"/>
      <c r="Q71" s="925"/>
      <c r="R71" s="925"/>
      <c r="S71" s="925"/>
      <c r="T71" s="925"/>
      <c r="U71" s="925"/>
      <c r="V71" s="925"/>
      <c r="W71" s="925"/>
      <c r="X71" s="925"/>
      <c r="Y71" s="925"/>
      <c r="Z71" s="925"/>
      <c r="AA71" s="925"/>
      <c r="AB71" s="925"/>
      <c r="AC71" s="925"/>
      <c r="AD71" s="925"/>
      <c r="AE71" s="925"/>
    </row>
    <row r="72" spans="1:31" ht="15.4" thickBot="1">
      <c r="A72" s="115">
        <v>70</v>
      </c>
      <c r="B72" s="299" t="str">
        <f>참여자명단!F22 &amp;"(" &amp; 참여자명단!G22 &amp; ")"</f>
        <v>()</v>
      </c>
      <c r="C72" s="294" t="e">
        <f>TEXT(LEFT(#REF!, 4), "0000") &amp; "년 " &amp; TEXT(MID(#REF!, 6, 2), "0") &amp; "월 " &amp; TEXT(RIGHT(#REF!, 2), "0") &amp; "일"</f>
        <v>#REF!</v>
      </c>
      <c r="D72" s="298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72" s="295"/>
      <c r="H72" s="926" t="s">
        <v>717</v>
      </c>
      <c r="I72" s="926"/>
      <c r="J72" s="926"/>
      <c r="K72" s="926"/>
      <c r="L72" s="926"/>
      <c r="M72" s="926"/>
      <c r="N72" s="926"/>
      <c r="O72" s="926"/>
      <c r="P72" s="926"/>
      <c r="Q72" s="926"/>
      <c r="R72" s="926"/>
      <c r="S72" s="926"/>
      <c r="T72" s="926"/>
      <c r="U72" s="926"/>
      <c r="V72" s="926"/>
      <c r="W72" s="926"/>
      <c r="X72" s="926"/>
      <c r="Y72" s="926"/>
      <c r="Z72" s="926"/>
      <c r="AA72" s="926"/>
      <c r="AB72" s="926"/>
      <c r="AC72" s="926"/>
      <c r="AD72" s="926"/>
      <c r="AE72" s="926"/>
    </row>
    <row r="73" spans="1:31" ht="15">
      <c r="A73" s="115">
        <v>71</v>
      </c>
      <c r="B73" s="47"/>
      <c r="C73" s="47"/>
      <c r="D73" s="47"/>
      <c r="E73" s="47"/>
      <c r="H73" s="927"/>
      <c r="I73" s="927"/>
      <c r="J73" s="927"/>
      <c r="K73" s="927"/>
      <c r="L73" s="927"/>
      <c r="M73" s="927"/>
      <c r="N73" s="927"/>
      <c r="O73" s="927"/>
      <c r="P73" s="927"/>
      <c r="Q73" s="927"/>
      <c r="R73" s="927"/>
      <c r="S73" s="927"/>
      <c r="T73" s="928" t="s">
        <v>718</v>
      </c>
      <c r="U73" s="928"/>
      <c r="V73" s="928"/>
      <c r="W73" s="928"/>
      <c r="X73" s="928"/>
      <c r="Y73" s="928"/>
      <c r="Z73" s="929" t="e">
        <f>D48</f>
        <v>#REF!</v>
      </c>
      <c r="AA73" s="929"/>
      <c r="AB73" s="929"/>
      <c r="AC73" s="929"/>
      <c r="AD73" s="929"/>
      <c r="AE73" s="327" t="s">
        <v>719</v>
      </c>
    </row>
    <row r="74" spans="1:31" ht="16.5" customHeight="1" thickBot="1">
      <c r="A74" s="115">
        <v>72</v>
      </c>
      <c r="B74" s="47"/>
      <c r="C74" s="47"/>
      <c r="D74" s="47"/>
      <c r="E74" s="47"/>
      <c r="H74" s="930" t="s">
        <v>720</v>
      </c>
      <c r="I74" s="930"/>
      <c r="J74" s="930"/>
      <c r="K74" s="930"/>
      <c r="L74" s="930"/>
      <c r="M74" s="930"/>
      <c r="N74" s="930"/>
      <c r="O74" s="930"/>
      <c r="P74" s="930"/>
      <c r="Q74" s="930"/>
      <c r="R74" s="930"/>
      <c r="S74" s="930"/>
      <c r="T74" s="930"/>
      <c r="U74" s="930"/>
      <c r="V74" s="930"/>
      <c r="W74" s="930"/>
      <c r="X74" s="930"/>
      <c r="Y74" s="930"/>
      <c r="Z74" s="930"/>
      <c r="AA74" s="931" t="s">
        <v>721</v>
      </c>
      <c r="AB74" s="931"/>
      <c r="AC74" s="931"/>
      <c r="AD74" s="931"/>
      <c r="AE74" s="931"/>
    </row>
    <row r="75" spans="1:31" ht="16.5" customHeight="1" thickTop="1">
      <c r="A75" s="115">
        <v>73</v>
      </c>
      <c r="B75" s="47"/>
      <c r="C75" s="47"/>
      <c r="D75" s="47"/>
      <c r="E75" s="47"/>
      <c r="H75" s="932"/>
      <c r="I75" s="932"/>
      <c r="J75" s="932"/>
      <c r="K75" s="932"/>
      <c r="L75" s="932"/>
      <c r="M75" s="932"/>
      <c r="N75" s="932"/>
      <c r="O75" s="932"/>
      <c r="P75" s="932"/>
      <c r="Q75" s="932"/>
      <c r="R75" s="932"/>
      <c r="S75" s="932"/>
      <c r="T75" s="932"/>
      <c r="U75" s="932"/>
      <c r="V75" s="932"/>
      <c r="W75" s="932"/>
      <c r="X75" s="932"/>
      <c r="Y75" s="932"/>
      <c r="Z75" s="932"/>
      <c r="AA75" s="932"/>
      <c r="AB75" s="932"/>
      <c r="AC75" s="932"/>
      <c r="AD75" s="932"/>
      <c r="AE75" s="932"/>
    </row>
    <row r="76" spans="1:31" ht="16.5" customHeight="1">
      <c r="A76" s="115">
        <v>74</v>
      </c>
      <c r="B76" s="47"/>
      <c r="C76" s="47"/>
      <c r="D76" s="47"/>
      <c r="E76" s="47"/>
      <c r="H76" s="906" t="s">
        <v>722</v>
      </c>
      <c r="I76" s="906"/>
      <c r="J76" s="907"/>
      <c r="K76" s="910" t="s">
        <v>723</v>
      </c>
      <c r="L76" s="911"/>
      <c r="M76" s="911"/>
      <c r="N76" s="911"/>
      <c r="O76" s="911"/>
      <c r="P76" s="911"/>
      <c r="Q76" s="911"/>
      <c r="R76" s="911"/>
      <c r="S76" s="911"/>
      <c r="T76" s="911"/>
      <c r="U76" s="911"/>
      <c r="V76" s="911"/>
      <c r="W76" s="911"/>
      <c r="X76" s="911"/>
      <c r="Y76" s="911"/>
      <c r="Z76" s="911"/>
      <c r="AA76" s="911"/>
      <c r="AB76" s="911"/>
      <c r="AC76" s="911"/>
      <c r="AD76" s="911"/>
      <c r="AE76" s="911"/>
    </row>
    <row r="77" spans="1:31" ht="16.5" customHeight="1" thickBot="1">
      <c r="A77" s="115">
        <v>75</v>
      </c>
      <c r="B77" s="47"/>
      <c r="C77" s="47"/>
      <c r="D77" s="47"/>
      <c r="E77" s="47"/>
      <c r="H77" s="908"/>
      <c r="I77" s="908"/>
      <c r="J77" s="909"/>
      <c r="K77" s="912" t="s">
        <v>724</v>
      </c>
      <c r="L77" s="913"/>
      <c r="M77" s="913"/>
      <c r="N77" s="913"/>
      <c r="O77" s="913"/>
      <c r="P77" s="913"/>
      <c r="Q77" s="913"/>
      <c r="R77" s="913"/>
      <c r="S77" s="913"/>
      <c r="T77" s="913"/>
      <c r="U77" s="913"/>
      <c r="V77" s="913"/>
      <c r="W77" s="913"/>
      <c r="X77" s="913"/>
      <c r="Y77" s="913"/>
      <c r="Z77" s="913"/>
      <c r="AA77" s="913"/>
      <c r="AB77" s="913"/>
      <c r="AC77" s="913"/>
      <c r="AD77" s="913"/>
      <c r="AE77" s="913"/>
    </row>
    <row r="78" spans="1:31" ht="16.5" customHeight="1" thickBot="1">
      <c r="A78" s="115">
        <v>76</v>
      </c>
      <c r="H78" s="914" t="s">
        <v>725</v>
      </c>
      <c r="I78" s="914"/>
      <c r="J78" s="914"/>
      <c r="K78" s="914"/>
      <c r="L78" s="914"/>
      <c r="M78" s="914"/>
      <c r="N78" s="914"/>
      <c r="O78" s="914"/>
      <c r="P78" s="914"/>
      <c r="Q78" s="914"/>
      <c r="R78" s="914"/>
      <c r="S78" s="914"/>
      <c r="T78" s="914"/>
      <c r="U78" s="914"/>
      <c r="V78" s="914"/>
      <c r="W78" s="914"/>
      <c r="X78" s="914"/>
      <c r="Y78" s="914"/>
      <c r="Z78" s="914"/>
      <c r="AA78" s="914"/>
      <c r="AB78" s="914"/>
      <c r="AC78" s="914"/>
      <c r="AD78" s="914"/>
      <c r="AE78" s="914"/>
    </row>
    <row r="79" spans="1:31" ht="16.5" customHeight="1">
      <c r="A79" s="115">
        <v>77</v>
      </c>
      <c r="H79" s="915" t="s">
        <v>726</v>
      </c>
      <c r="I79" s="917" t="s">
        <v>727</v>
      </c>
      <c r="J79" s="918"/>
      <c r="K79" s="918"/>
      <c r="L79" s="918"/>
      <c r="M79" s="918"/>
      <c r="N79" s="918"/>
      <c r="O79" s="918"/>
      <c r="P79" s="918"/>
      <c r="Q79" s="919"/>
      <c r="R79" s="917" t="s">
        <v>685</v>
      </c>
      <c r="S79" s="918"/>
      <c r="T79" s="918"/>
      <c r="U79" s="918"/>
      <c r="V79" s="918"/>
      <c r="W79" s="918"/>
      <c r="X79" s="919"/>
      <c r="Y79" s="917" t="s">
        <v>728</v>
      </c>
      <c r="Z79" s="918"/>
      <c r="AA79" s="918"/>
      <c r="AB79" s="918"/>
      <c r="AC79" s="918"/>
      <c r="AD79" s="918"/>
      <c r="AE79" s="918"/>
    </row>
    <row r="80" spans="1:31" ht="16.5" customHeight="1">
      <c r="A80" s="115">
        <v>78</v>
      </c>
      <c r="H80" s="916"/>
      <c r="I80" s="902"/>
      <c r="J80" s="903"/>
      <c r="K80" s="903"/>
      <c r="L80" s="903"/>
      <c r="M80" s="903"/>
      <c r="N80" s="903"/>
      <c r="O80" s="903"/>
      <c r="P80" s="903"/>
      <c r="Q80" s="920"/>
      <c r="R80" s="921"/>
      <c r="S80" s="922"/>
      <c r="T80" s="922"/>
      <c r="U80" s="922"/>
      <c r="V80" s="922"/>
      <c r="W80" s="922"/>
      <c r="X80" s="923"/>
      <c r="Y80" s="902"/>
      <c r="Z80" s="903"/>
      <c r="AA80" s="903"/>
      <c r="AB80" s="903"/>
      <c r="AC80" s="903"/>
      <c r="AD80" s="903"/>
      <c r="AE80" s="903"/>
    </row>
    <row r="81" spans="1:31" ht="16.5" customHeight="1">
      <c r="A81" s="115">
        <v>79</v>
      </c>
      <c r="H81" s="888" t="s">
        <v>729</v>
      </c>
      <c r="I81" s="890" t="s">
        <v>730</v>
      </c>
      <c r="J81" s="891"/>
      <c r="K81" s="892"/>
      <c r="L81" s="890"/>
      <c r="M81" s="892"/>
      <c r="N81" s="890" t="s">
        <v>731</v>
      </c>
      <c r="O81" s="891"/>
      <c r="P81" s="891"/>
      <c r="Q81" s="892"/>
      <c r="R81" s="890"/>
      <c r="S81" s="891"/>
      <c r="T81" s="891"/>
      <c r="U81" s="892"/>
      <c r="V81" s="890" t="s">
        <v>732</v>
      </c>
      <c r="W81" s="891"/>
      <c r="X81" s="892"/>
      <c r="Y81" s="896"/>
      <c r="Z81" s="897"/>
      <c r="AA81" s="897"/>
      <c r="AB81" s="897"/>
      <c r="AC81" s="898"/>
      <c r="AD81" s="902" t="s">
        <v>733</v>
      </c>
      <c r="AE81" s="903"/>
    </row>
    <row r="82" spans="1:31" ht="16.5" customHeight="1" thickBot="1">
      <c r="A82" s="115">
        <v>80</v>
      </c>
      <c r="H82" s="889"/>
      <c r="I82" s="893"/>
      <c r="J82" s="894"/>
      <c r="K82" s="895"/>
      <c r="L82" s="893"/>
      <c r="M82" s="895"/>
      <c r="N82" s="893"/>
      <c r="O82" s="894"/>
      <c r="P82" s="894"/>
      <c r="Q82" s="895"/>
      <c r="R82" s="893"/>
      <c r="S82" s="894"/>
      <c r="T82" s="894"/>
      <c r="U82" s="895"/>
      <c r="V82" s="893"/>
      <c r="W82" s="894"/>
      <c r="X82" s="895"/>
      <c r="Y82" s="899"/>
      <c r="Z82" s="900"/>
      <c r="AA82" s="900"/>
      <c r="AB82" s="900"/>
      <c r="AC82" s="901"/>
      <c r="AD82" s="904" t="s">
        <v>286</v>
      </c>
      <c r="AE82" s="905"/>
    </row>
    <row r="83" spans="1:31" ht="16.5" customHeight="1">
      <c r="A83" s="115">
        <v>81</v>
      </c>
    </row>
  </sheetData>
  <sheetProtection algorithmName="SHA-512" hashValue="qHoEC+VBAJHtum6iYEi8P1q2hjSR8itYMqkR3QOZIbeHQZP0uGleEKxSGmMUVykCB6kDf/5Nf2yMRHh+/Z+ifQ==" saltValue="IRea8NO3Oe3G7moqPnf/vA==" spinCount="100000" sheet="1" objects="1" scenarios="1"/>
  <mergeCells count="214">
    <mergeCell ref="H14:L14"/>
    <mergeCell ref="M13:P13"/>
    <mergeCell ref="M14:P14"/>
    <mergeCell ref="Q13:AD13"/>
    <mergeCell ref="Q14:AD14"/>
    <mergeCell ref="AB3:AE3"/>
    <mergeCell ref="M10:N10"/>
    <mergeCell ref="O10:W10"/>
    <mergeCell ref="X10:AB10"/>
    <mergeCell ref="AC10:AE10"/>
    <mergeCell ref="H11:AE11"/>
    <mergeCell ref="H12:L12"/>
    <mergeCell ref="M12:AE12"/>
    <mergeCell ref="H13:L13"/>
    <mergeCell ref="B18:E19"/>
    <mergeCell ref="B2:E2"/>
    <mergeCell ref="D3:E3"/>
    <mergeCell ref="U7:AA7"/>
    <mergeCell ref="H4:AE4"/>
    <mergeCell ref="H5:L5"/>
    <mergeCell ref="M5:T5"/>
    <mergeCell ref="U5:AA5"/>
    <mergeCell ref="AB5:AE5"/>
    <mergeCell ref="AB6:AE7"/>
    <mergeCell ref="H6:L6"/>
    <mergeCell ref="H7:L7"/>
    <mergeCell ref="M6:T7"/>
    <mergeCell ref="U6:AA6"/>
    <mergeCell ref="H2:AE2"/>
    <mergeCell ref="U3:AA3"/>
    <mergeCell ref="H8:L8"/>
    <mergeCell ref="M8:AE8"/>
    <mergeCell ref="H9:L10"/>
    <mergeCell ref="M9:N9"/>
    <mergeCell ref="O9:W9"/>
    <mergeCell ref="X9:AB9"/>
    <mergeCell ref="AC9:AE9"/>
    <mergeCell ref="H3:T3"/>
    <mergeCell ref="H15:L15"/>
    <mergeCell ref="M15:P15"/>
    <mergeCell ref="Q15:AD15"/>
    <mergeCell ref="H16:L16"/>
    <mergeCell ref="M16:P16"/>
    <mergeCell ref="Q16:AD16"/>
    <mergeCell ref="H20:L20"/>
    <mergeCell ref="M20:P20"/>
    <mergeCell ref="Q20:AD20"/>
    <mergeCell ref="H17:L17"/>
    <mergeCell ref="H18:L18"/>
    <mergeCell ref="H19:L19"/>
    <mergeCell ref="M17:P17"/>
    <mergeCell ref="M18:P18"/>
    <mergeCell ref="M19:P19"/>
    <mergeCell ref="Q17:AD17"/>
    <mergeCell ref="Q18:AD18"/>
    <mergeCell ref="Q19:AD19"/>
    <mergeCell ref="H21:L21"/>
    <mergeCell ref="M21:P21"/>
    <mergeCell ref="Q21:AD21"/>
    <mergeCell ref="H22:L22"/>
    <mergeCell ref="M22:P22"/>
    <mergeCell ref="Q22:AD22"/>
    <mergeCell ref="H23:L23"/>
    <mergeCell ref="M23:P23"/>
    <mergeCell ref="Q23:AD23"/>
    <mergeCell ref="H24:L24"/>
    <mergeCell ref="M24:P24"/>
    <mergeCell ref="Q24:AD24"/>
    <mergeCell ref="H25:O25"/>
    <mergeCell ref="P25:V25"/>
    <mergeCell ref="W25:Z25"/>
    <mergeCell ref="AA25:AE25"/>
    <mergeCell ref="H26:AE26"/>
    <mergeCell ref="H27:L27"/>
    <mergeCell ref="M27:R27"/>
    <mergeCell ref="S27:AB27"/>
    <mergeCell ref="AC27:AE27"/>
    <mergeCell ref="H28:AE28"/>
    <mergeCell ref="H29:AE29"/>
    <mergeCell ref="H30:AE30"/>
    <mergeCell ref="H31:S31"/>
    <mergeCell ref="T31:Y31"/>
    <mergeCell ref="Z31:AD31"/>
    <mergeCell ref="H32:Z32"/>
    <mergeCell ref="AA32:AE32"/>
    <mergeCell ref="H33:AE33"/>
    <mergeCell ref="H34:J35"/>
    <mergeCell ref="K34:AE34"/>
    <mergeCell ref="K35:AE35"/>
    <mergeCell ref="H36:AE36"/>
    <mergeCell ref="H37:H38"/>
    <mergeCell ref="I37:Q37"/>
    <mergeCell ref="R37:X37"/>
    <mergeCell ref="Y37:AE37"/>
    <mergeCell ref="I38:Q38"/>
    <mergeCell ref="R38:X38"/>
    <mergeCell ref="Y38:AE38"/>
    <mergeCell ref="B44:E44"/>
    <mergeCell ref="D45:E45"/>
    <mergeCell ref="B60:E61"/>
    <mergeCell ref="V39:X40"/>
    <mergeCell ref="Y39:AC40"/>
    <mergeCell ref="AD39:AE39"/>
    <mergeCell ref="AD40:AE40"/>
    <mergeCell ref="H39:H40"/>
    <mergeCell ref="I39:K40"/>
    <mergeCell ref="L39:M40"/>
    <mergeCell ref="N39:Q40"/>
    <mergeCell ref="R39:U40"/>
    <mergeCell ref="M52:N52"/>
    <mergeCell ref="O52:W52"/>
    <mergeCell ref="X52:AB52"/>
    <mergeCell ref="AC52:AE52"/>
    <mergeCell ref="H53:AE53"/>
    <mergeCell ref="H54:L54"/>
    <mergeCell ref="M54:AE54"/>
    <mergeCell ref="H55:L55"/>
    <mergeCell ref="M55:P55"/>
    <mergeCell ref="Q55:AD55"/>
    <mergeCell ref="H56:L56"/>
    <mergeCell ref="M56:P56"/>
    <mergeCell ref="B4:B16"/>
    <mergeCell ref="B46:B58"/>
    <mergeCell ref="H44:AE44"/>
    <mergeCell ref="H45:T45"/>
    <mergeCell ref="U45:AA45"/>
    <mergeCell ref="AB45:AE45"/>
    <mergeCell ref="H46:AE46"/>
    <mergeCell ref="H47:L47"/>
    <mergeCell ref="M47:T47"/>
    <mergeCell ref="U47:AA47"/>
    <mergeCell ref="AB47:AE47"/>
    <mergeCell ref="H48:L48"/>
    <mergeCell ref="M48:T49"/>
    <mergeCell ref="U48:AA48"/>
    <mergeCell ref="AB48:AE49"/>
    <mergeCell ref="H49:L49"/>
    <mergeCell ref="U49:AA49"/>
    <mergeCell ref="H50:L50"/>
    <mergeCell ref="M50:AE50"/>
    <mergeCell ref="H51:L52"/>
    <mergeCell ref="M51:N51"/>
    <mergeCell ref="O51:W51"/>
    <mergeCell ref="X51:AB51"/>
    <mergeCell ref="AC51:AE51"/>
    <mergeCell ref="Q56:AD56"/>
    <mergeCell ref="H57:L57"/>
    <mergeCell ref="M57:P57"/>
    <mergeCell ref="Q57:AD57"/>
    <mergeCell ref="H58:L58"/>
    <mergeCell ref="M58:P58"/>
    <mergeCell ref="Q58:AD58"/>
    <mergeCell ref="H59:L59"/>
    <mergeCell ref="M59:P59"/>
    <mergeCell ref="Q59:AD59"/>
    <mergeCell ref="H60:L60"/>
    <mergeCell ref="M60:P60"/>
    <mergeCell ref="Q60:AD60"/>
    <mergeCell ref="H61:L61"/>
    <mergeCell ref="M61:P61"/>
    <mergeCell ref="Q61:AD61"/>
    <mergeCell ref="H62:L62"/>
    <mergeCell ref="M62:P62"/>
    <mergeCell ref="Q62:AD62"/>
    <mergeCell ref="H63:L63"/>
    <mergeCell ref="M63:P63"/>
    <mergeCell ref="Q63:AD63"/>
    <mergeCell ref="H64:L64"/>
    <mergeCell ref="M64:P64"/>
    <mergeCell ref="Q64:AD64"/>
    <mergeCell ref="H65:L65"/>
    <mergeCell ref="M65:P65"/>
    <mergeCell ref="Q65:AD65"/>
    <mergeCell ref="H66:L66"/>
    <mergeCell ref="M66:P66"/>
    <mergeCell ref="Q66:AD66"/>
    <mergeCell ref="H67:O67"/>
    <mergeCell ref="P67:V67"/>
    <mergeCell ref="W67:Z67"/>
    <mergeCell ref="AA67:AE67"/>
    <mergeCell ref="H68:AE68"/>
    <mergeCell ref="H69:L69"/>
    <mergeCell ref="M69:R69"/>
    <mergeCell ref="S69:AB69"/>
    <mergeCell ref="AC69:AE69"/>
    <mergeCell ref="H70:AE70"/>
    <mergeCell ref="H71:AE71"/>
    <mergeCell ref="H72:AE72"/>
    <mergeCell ref="H73:S73"/>
    <mergeCell ref="T73:Y73"/>
    <mergeCell ref="Z73:AD73"/>
    <mergeCell ref="H74:Z74"/>
    <mergeCell ref="AA74:AE74"/>
    <mergeCell ref="H75:AE75"/>
    <mergeCell ref="H76:J77"/>
    <mergeCell ref="K76:AE76"/>
    <mergeCell ref="K77:AE77"/>
    <mergeCell ref="H78:AE78"/>
    <mergeCell ref="H79:H80"/>
    <mergeCell ref="I79:Q79"/>
    <mergeCell ref="R79:X79"/>
    <mergeCell ref="Y79:AE79"/>
    <mergeCell ref="I80:Q80"/>
    <mergeCell ref="R80:X80"/>
    <mergeCell ref="Y80:AE80"/>
    <mergeCell ref="H81:H82"/>
    <mergeCell ref="I81:K82"/>
    <mergeCell ref="L81:M82"/>
    <mergeCell ref="N81:Q82"/>
    <mergeCell ref="R81:U82"/>
    <mergeCell ref="V81:X82"/>
    <mergeCell ref="Y81:AC82"/>
    <mergeCell ref="AD81:AE81"/>
    <mergeCell ref="AD82:AE82"/>
  </mergeCells>
  <phoneticPr fontId="1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Drop Down 1">
              <controlPr defaultSize="0" autoLine="0" autoPict="0" macro="[0]!목차드롭다운">
                <anchor moveWithCells="1">
                  <from>
                    <xdr:col>31</xdr:col>
                    <xdr:colOff>552450</xdr:colOff>
                    <xdr:row>1</xdr:row>
                    <xdr:rowOff>38100</xdr:rowOff>
                  </from>
                  <to>
                    <xdr:col>35</xdr:col>
                    <xdr:colOff>295275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E650A-2D6D-4A43-B159-512ABA1039B9}">
  <sheetPr codeName="Sheet13"/>
  <dimension ref="A1:AL83"/>
  <sheetViews>
    <sheetView tabSelected="1" topLeftCell="A54" workbookViewId="0"/>
    <sheetView workbookViewId="1"/>
  </sheetViews>
  <sheetFormatPr defaultColWidth="8.73046875" defaultRowHeight="12.75"/>
  <cols>
    <col min="1" max="1" width="14" style="47" customWidth="1"/>
    <col min="2" max="2" width="27.59765625" style="47" customWidth="1"/>
    <col min="3" max="3" width="15.53125" style="47" customWidth="1"/>
    <col min="4" max="4" width="13.1328125" style="47" customWidth="1"/>
    <col min="5" max="5" width="18" style="47" customWidth="1"/>
    <col min="6" max="6" width="10.59765625" style="47" customWidth="1"/>
    <col min="7" max="8" width="8.73046875" style="47"/>
    <col min="9" max="9" width="8.46484375" style="47" bestFit="1" customWidth="1"/>
    <col min="10" max="10" width="12.86328125" style="47" bestFit="1" customWidth="1"/>
    <col min="11" max="11" width="7.9296875" style="47" bestFit="1" customWidth="1"/>
    <col min="12" max="16" width="3.3984375" style="47" bestFit="1" customWidth="1"/>
    <col min="17" max="17" width="4.19921875" style="47" bestFit="1" customWidth="1"/>
    <col min="18" max="28" width="3.3984375" style="47" bestFit="1" customWidth="1"/>
    <col min="29" max="29" width="6.86328125" style="47" bestFit="1" customWidth="1"/>
    <col min="30" max="16384" width="8.73046875" style="47"/>
  </cols>
  <sheetData>
    <row r="1" spans="1:38" ht="23.25">
      <c r="A1" s="112" t="s">
        <v>134</v>
      </c>
      <c r="B1" s="113">
        <v>1</v>
      </c>
      <c r="C1" s="113">
        <v>2</v>
      </c>
      <c r="D1" s="113">
        <v>3</v>
      </c>
      <c r="E1" s="113">
        <v>4</v>
      </c>
      <c r="F1" s="113">
        <v>5</v>
      </c>
      <c r="G1" s="113">
        <v>6</v>
      </c>
      <c r="H1" s="113">
        <v>7</v>
      </c>
      <c r="I1" s="113">
        <v>8</v>
      </c>
      <c r="J1" s="113">
        <v>9</v>
      </c>
      <c r="K1" s="113">
        <v>10</v>
      </c>
      <c r="L1" s="113">
        <v>11</v>
      </c>
      <c r="M1" s="113">
        <v>12</v>
      </c>
      <c r="N1" s="113">
        <v>13</v>
      </c>
      <c r="O1" s="113">
        <v>14</v>
      </c>
      <c r="P1" s="113">
        <v>15</v>
      </c>
      <c r="Q1" s="113">
        <v>16</v>
      </c>
      <c r="R1" s="113">
        <v>17</v>
      </c>
      <c r="S1" s="113">
        <v>18</v>
      </c>
      <c r="T1" s="113">
        <v>19</v>
      </c>
      <c r="U1" s="113">
        <v>20</v>
      </c>
      <c r="V1" s="113">
        <v>21</v>
      </c>
      <c r="W1" s="113">
        <v>22</v>
      </c>
      <c r="X1" s="113">
        <v>23</v>
      </c>
      <c r="Y1" s="113">
        <v>24</v>
      </c>
      <c r="Z1" s="113">
        <v>25</v>
      </c>
      <c r="AA1" s="113">
        <v>26</v>
      </c>
      <c r="AB1" s="113">
        <v>27</v>
      </c>
      <c r="AC1" s="113">
        <v>28</v>
      </c>
      <c r="AD1" s="113">
        <v>29</v>
      </c>
      <c r="AE1" s="113">
        <v>30</v>
      </c>
      <c r="AF1" s="113">
        <v>31</v>
      </c>
      <c r="AG1" s="113">
        <v>32</v>
      </c>
      <c r="AH1" s="113">
        <v>33</v>
      </c>
      <c r="AI1" s="113">
        <v>34</v>
      </c>
      <c r="AJ1" s="113">
        <v>35</v>
      </c>
      <c r="AK1" s="113">
        <v>36</v>
      </c>
      <c r="AL1" s="113">
        <v>37</v>
      </c>
    </row>
    <row r="2" spans="1:38" ht="28.5">
      <c r="A2" s="114">
        <v>0</v>
      </c>
      <c r="B2" s="1384" t="s">
        <v>1082</v>
      </c>
      <c r="C2" s="1385"/>
      <c r="D2" s="1385"/>
      <c r="E2" s="1385"/>
      <c r="F2" s="1385"/>
      <c r="G2" s="1385"/>
      <c r="H2" s="1385"/>
      <c r="I2" s="1385"/>
      <c r="K2" s="1247" t="str">
        <f>"("&amp; E13 &amp; ")월 인턴형 일경험 결과보고_(1)"</f>
        <v>(12)월 인턴형 일경험 결과보고_(1)</v>
      </c>
      <c r="L2" s="1247"/>
      <c r="M2" s="1247"/>
      <c r="N2" s="1247"/>
      <c r="O2" s="1247"/>
      <c r="P2" s="1247"/>
      <c r="Q2" s="1247"/>
      <c r="R2" s="1247"/>
      <c r="S2" s="1247"/>
      <c r="T2" s="1247"/>
      <c r="U2" s="1247"/>
      <c r="V2" s="1247"/>
      <c r="W2" s="1247"/>
      <c r="X2" s="1247"/>
      <c r="Y2" s="1247"/>
      <c r="Z2" s="1247"/>
      <c r="AA2" s="1247"/>
      <c r="AB2" s="1247"/>
      <c r="AC2" s="1247"/>
    </row>
    <row r="3" spans="1:38" ht="21" thickBot="1">
      <c r="A3" s="115">
        <v>1</v>
      </c>
      <c r="B3" s="308" t="s">
        <v>641</v>
      </c>
      <c r="C3" s="1279" t="s">
        <v>642</v>
      </c>
      <c r="D3" s="1279"/>
      <c r="E3" s="1280" t="s">
        <v>643</v>
      </c>
      <c r="F3" s="1388"/>
      <c r="G3" s="550" t="s">
        <v>1080</v>
      </c>
      <c r="H3" s="1389" t="s">
        <v>1081</v>
      </c>
      <c r="I3" s="1390"/>
      <c r="K3" s="466" t="s">
        <v>910</v>
      </c>
      <c r="L3" s="1358" t="s">
        <v>1</v>
      </c>
      <c r="M3" s="1359"/>
      <c r="N3" s="1359"/>
      <c r="O3" s="1360"/>
      <c r="P3" s="1361">
        <f>E4</f>
        <v>0</v>
      </c>
      <c r="Q3" s="1362"/>
      <c r="R3" s="1362"/>
      <c r="S3" s="1362"/>
      <c r="T3" s="1363"/>
      <c r="U3" s="1358" t="s">
        <v>2</v>
      </c>
      <c r="V3" s="1359"/>
      <c r="W3" s="1359"/>
      <c r="X3" s="1360"/>
      <c r="Y3" s="1361">
        <f>E5</f>
        <v>0</v>
      </c>
      <c r="Z3" s="1362"/>
      <c r="AA3" s="1362"/>
      <c r="AB3" s="1362"/>
      <c r="AC3" s="1362"/>
    </row>
    <row r="4" spans="1:38" ht="17.649999999999999" customHeight="1" thickTop="1">
      <c r="A4" s="115">
        <v>2</v>
      </c>
      <c r="B4" s="1281" t="s">
        <v>592</v>
      </c>
      <c r="C4" s="1378" t="s">
        <v>541</v>
      </c>
      <c r="D4" s="1378"/>
      <c r="E4" s="1386"/>
      <c r="F4" s="1387"/>
      <c r="G4" s="461"/>
      <c r="H4" s="1386"/>
      <c r="I4" s="1387"/>
      <c r="K4" s="467" t="s">
        <v>911</v>
      </c>
      <c r="L4" s="1364" t="s">
        <v>10</v>
      </c>
      <c r="M4" s="1365"/>
      <c r="N4" s="1365"/>
      <c r="O4" s="1366"/>
      <c r="P4" s="1367">
        <f>E6</f>
        <v>0</v>
      </c>
      <c r="Q4" s="1368"/>
      <c r="R4" s="1368"/>
      <c r="S4" s="1368"/>
      <c r="T4" s="1368"/>
      <c r="U4" s="1368"/>
      <c r="V4" s="1368"/>
      <c r="W4" s="1368"/>
      <c r="X4" s="1368"/>
      <c r="Y4" s="1368"/>
      <c r="Z4" s="1368"/>
      <c r="AA4" s="1368"/>
      <c r="AB4" s="1368"/>
      <c r="AC4" s="1368"/>
    </row>
    <row r="5" spans="1:38" ht="16.899999999999999" customHeight="1">
      <c r="A5" s="115">
        <v>3</v>
      </c>
      <c r="B5" s="873"/>
      <c r="C5" s="1381" t="s">
        <v>933</v>
      </c>
      <c r="D5" s="1381"/>
      <c r="E5" s="1273"/>
      <c r="F5" s="1274"/>
      <c r="G5" s="460"/>
      <c r="H5" s="1273"/>
      <c r="I5" s="1274"/>
      <c r="K5" s="468"/>
      <c r="L5" s="1352" t="s">
        <v>912</v>
      </c>
      <c r="M5" s="1353"/>
      <c r="N5" s="1353"/>
      <c r="O5" s="1354"/>
      <c r="P5" s="1355">
        <f>E7</f>
        <v>0</v>
      </c>
      <c r="Q5" s="1356"/>
      <c r="R5" s="1356"/>
      <c r="S5" s="1356"/>
      <c r="T5" s="1357"/>
      <c r="U5" s="1352" t="s">
        <v>913</v>
      </c>
      <c r="V5" s="1353"/>
      <c r="W5" s="1353"/>
      <c r="X5" s="1354"/>
      <c r="Y5" s="1355">
        <f>E8</f>
        <v>0</v>
      </c>
      <c r="Z5" s="1356"/>
      <c r="AA5" s="1356"/>
      <c r="AB5" s="1356"/>
      <c r="AC5" s="1356"/>
    </row>
    <row r="6" spans="1:38" ht="16.899999999999999" customHeight="1">
      <c r="A6" s="115">
        <v>4</v>
      </c>
      <c r="B6" s="873"/>
      <c r="C6" s="1381" t="s">
        <v>545</v>
      </c>
      <c r="D6" s="1381"/>
      <c r="E6" s="1273"/>
      <c r="F6" s="1274"/>
      <c r="G6" s="460"/>
      <c r="H6" s="1273"/>
      <c r="I6" s="1274"/>
      <c r="K6" s="466" t="s">
        <v>279</v>
      </c>
      <c r="L6" s="1352" t="s">
        <v>17</v>
      </c>
      <c r="M6" s="1353"/>
      <c r="N6" s="1353"/>
      <c r="O6" s="1354"/>
      <c r="P6" s="1355">
        <f>E10</f>
        <v>0</v>
      </c>
      <c r="Q6" s="1356"/>
      <c r="R6" s="1356"/>
      <c r="S6" s="1356"/>
      <c r="T6" s="1357"/>
      <c r="U6" s="1352" t="s">
        <v>19</v>
      </c>
      <c r="V6" s="1353"/>
      <c r="W6" s="1353"/>
      <c r="X6" s="1354"/>
      <c r="Y6" s="1355">
        <f>E9</f>
        <v>0</v>
      </c>
      <c r="Z6" s="1356"/>
      <c r="AA6" s="1356"/>
      <c r="AB6" s="1356"/>
      <c r="AC6" s="1356"/>
    </row>
    <row r="7" spans="1:38" ht="16.899999999999999" customHeight="1">
      <c r="A7" s="115">
        <v>5</v>
      </c>
      <c r="B7" s="873"/>
      <c r="C7" s="1381" t="s">
        <v>763</v>
      </c>
      <c r="D7" s="1381"/>
      <c r="E7" s="1273"/>
      <c r="F7" s="1274"/>
      <c r="G7" s="460"/>
      <c r="H7" s="1273"/>
      <c r="I7" s="1274"/>
      <c r="K7" s="467" t="s">
        <v>914</v>
      </c>
      <c r="L7" s="1340" t="s">
        <v>280</v>
      </c>
      <c r="M7" s="1341"/>
      <c r="N7" s="1341"/>
      <c r="O7" s="1342"/>
      <c r="P7" s="1345">
        <f>E11</f>
        <v>0</v>
      </c>
      <c r="Q7" s="1346"/>
      <c r="R7" s="1346"/>
      <c r="S7" s="1346"/>
      <c r="T7" s="1347"/>
      <c r="U7" s="1340" t="s">
        <v>20</v>
      </c>
      <c r="V7" s="1341"/>
      <c r="W7" s="1341"/>
      <c r="X7" s="1342"/>
      <c r="Y7" s="1345">
        <f>E13</f>
        <v>12</v>
      </c>
      <c r="Z7" s="1346"/>
      <c r="AA7" s="1346"/>
      <c r="AB7" s="1346"/>
      <c r="AC7" s="1346"/>
    </row>
    <row r="8" spans="1:38" ht="16.899999999999999" customHeight="1" thickBot="1">
      <c r="A8" s="115">
        <v>6</v>
      </c>
      <c r="B8" s="873"/>
      <c r="C8" s="1381" t="s">
        <v>934</v>
      </c>
      <c r="D8" s="1381"/>
      <c r="E8" s="1273"/>
      <c r="F8" s="1274"/>
      <c r="G8" s="460"/>
      <c r="H8" s="1273"/>
      <c r="I8" s="1274"/>
      <c r="K8" s="469"/>
      <c r="L8" s="1343" t="s">
        <v>915</v>
      </c>
      <c r="M8" s="1335"/>
      <c r="N8" s="1335"/>
      <c r="O8" s="1344"/>
      <c r="P8" s="1348"/>
      <c r="Q8" s="1349"/>
      <c r="R8" s="1349"/>
      <c r="S8" s="1349"/>
      <c r="T8" s="1350"/>
      <c r="U8" s="1343"/>
      <c r="V8" s="1335"/>
      <c r="W8" s="1335"/>
      <c r="X8" s="1344"/>
      <c r="Y8" s="1348"/>
      <c r="Z8" s="1349"/>
      <c r="AA8" s="1349"/>
      <c r="AB8" s="1349"/>
      <c r="AC8" s="1349"/>
    </row>
    <row r="9" spans="1:38" ht="17.25" customHeight="1">
      <c r="A9" s="115">
        <v>7</v>
      </c>
      <c r="B9" s="873"/>
      <c r="C9" s="1380" t="s">
        <v>765</v>
      </c>
      <c r="D9" s="1381"/>
      <c r="E9" s="1273"/>
      <c r="F9" s="1274"/>
      <c r="G9" s="477"/>
      <c r="H9" s="1273"/>
      <c r="I9" s="1274"/>
      <c r="K9" s="1351" t="s">
        <v>916</v>
      </c>
      <c r="L9" s="1351"/>
      <c r="M9" s="1351"/>
      <c r="N9" s="1351"/>
      <c r="O9" s="1351"/>
      <c r="P9" s="1351"/>
      <c r="Q9" s="1351"/>
      <c r="R9" s="1351"/>
      <c r="S9" s="1351"/>
      <c r="T9" s="1351"/>
      <c r="U9" s="1351"/>
      <c r="V9" s="1351"/>
      <c r="W9" s="1351"/>
      <c r="X9" s="1351"/>
      <c r="Y9" s="1351"/>
      <c r="Z9" s="1351"/>
      <c r="AA9" s="1351"/>
      <c r="AB9" s="1351"/>
      <c r="AC9" s="1351"/>
    </row>
    <row r="10" spans="1:38" ht="17.25" customHeight="1" thickBot="1">
      <c r="A10" s="115">
        <v>8</v>
      </c>
      <c r="B10" s="873"/>
      <c r="C10" s="1380" t="s">
        <v>437</v>
      </c>
      <c r="D10" s="1381"/>
      <c r="E10" s="1273"/>
      <c r="F10" s="1274"/>
      <c r="G10" s="477"/>
      <c r="H10" s="1273"/>
      <c r="I10" s="1274"/>
      <c r="K10" s="1335" t="s">
        <v>917</v>
      </c>
      <c r="L10" s="1335"/>
      <c r="M10" s="1335"/>
      <c r="N10" s="1335"/>
      <c r="O10" s="1335"/>
      <c r="P10" s="1335"/>
      <c r="Q10" s="1335"/>
      <c r="R10" s="1335"/>
      <c r="S10" s="1335"/>
      <c r="T10" s="1335"/>
      <c r="U10" s="1335"/>
      <c r="V10" s="1335"/>
      <c r="W10" s="1335"/>
      <c r="X10" s="1335"/>
      <c r="Y10" s="1335"/>
      <c r="Z10" s="1335"/>
      <c r="AA10" s="1335"/>
      <c r="AB10" s="1335"/>
      <c r="AC10" s="1335"/>
    </row>
    <row r="11" spans="1:38" ht="19.899999999999999" customHeight="1" thickBot="1">
      <c r="A11" s="115">
        <v>9</v>
      </c>
      <c r="B11" s="873"/>
      <c r="C11" s="1382" t="s">
        <v>935</v>
      </c>
      <c r="D11" s="1381"/>
      <c r="E11" s="1273"/>
      <c r="F11" s="1274"/>
      <c r="G11" s="478"/>
      <c r="H11" s="1273"/>
      <c r="I11" s="1274"/>
      <c r="K11" s="1336" t="s">
        <v>881</v>
      </c>
      <c r="L11" s="1332" t="s">
        <v>114</v>
      </c>
      <c r="M11" s="1327"/>
      <c r="N11" s="1327"/>
      <c r="O11" s="1333"/>
      <c r="P11" s="1334">
        <f>E16</f>
        <v>0</v>
      </c>
      <c r="Q11" s="1325"/>
      <c r="R11" s="1325"/>
      <c r="S11" s="1325"/>
      <c r="T11" s="1339"/>
      <c r="U11" s="1332" t="s">
        <v>814</v>
      </c>
      <c r="V11" s="1327"/>
      <c r="W11" s="1327"/>
      <c r="X11" s="1333"/>
      <c r="Y11" s="1334">
        <f>E17</f>
        <v>0</v>
      </c>
      <c r="Z11" s="1325"/>
      <c r="AA11" s="1325"/>
      <c r="AB11" s="1325"/>
      <c r="AC11" s="1325"/>
    </row>
    <row r="12" spans="1:38" ht="17.25" customHeight="1" thickBot="1">
      <c r="A12" s="115">
        <v>10</v>
      </c>
      <c r="B12" s="873"/>
      <c r="C12" s="1381" t="s">
        <v>936</v>
      </c>
      <c r="D12" s="1381"/>
      <c r="E12" s="1274"/>
      <c r="F12" s="1376"/>
      <c r="G12" s="460"/>
      <c r="H12" s="1274"/>
      <c r="I12" s="1376"/>
      <c r="K12" s="1337"/>
      <c r="L12" s="1332" t="s">
        <v>40</v>
      </c>
      <c r="M12" s="1327"/>
      <c r="N12" s="1327"/>
      <c r="O12" s="1333"/>
      <c r="P12" s="1334">
        <f>E18</f>
        <v>0</v>
      </c>
      <c r="Q12" s="1325"/>
      <c r="R12" s="1325"/>
      <c r="S12" s="1325"/>
      <c r="T12" s="1325"/>
      <c r="U12" s="1325"/>
      <c r="V12" s="1325"/>
      <c r="W12" s="1325"/>
      <c r="X12" s="1325"/>
      <c r="Y12" s="1325"/>
      <c r="Z12" s="1325"/>
      <c r="AA12" s="1325"/>
      <c r="AB12" s="1325"/>
      <c r="AC12" s="1325"/>
    </row>
    <row r="13" spans="1:38" ht="17.25" customHeight="1" thickBot="1">
      <c r="A13" s="115">
        <v>11</v>
      </c>
      <c r="B13" s="873"/>
      <c r="C13" s="1381" t="s">
        <v>937</v>
      </c>
      <c r="D13" s="1381"/>
      <c r="E13" s="1383">
        <v>12</v>
      </c>
      <c r="F13" s="1376"/>
      <c r="G13" s="460"/>
      <c r="H13" s="1274"/>
      <c r="I13" s="1376"/>
      <c r="K13" s="1337"/>
      <c r="L13" s="1332" t="s">
        <v>918</v>
      </c>
      <c r="M13" s="1327"/>
      <c r="N13" s="1327"/>
      <c r="O13" s="1333"/>
      <c r="P13" s="1334">
        <f>E19</f>
        <v>0</v>
      </c>
      <c r="Q13" s="1325"/>
      <c r="R13" s="1325"/>
      <c r="S13" s="1339"/>
      <c r="T13" s="1332" t="str">
        <f>"("&amp;E13&amp;")월 편성시간(A)"</f>
        <v>(12)월 편성시간(A)</v>
      </c>
      <c r="U13" s="1327"/>
      <c r="V13" s="1327"/>
      <c r="W13" s="1327"/>
      <c r="X13" s="1327"/>
      <c r="Y13" s="1327"/>
      <c r="Z13" s="1327"/>
      <c r="AA13" s="1333"/>
      <c r="AB13" s="1334">
        <f>E20</f>
        <v>0</v>
      </c>
      <c r="AC13" s="1325"/>
    </row>
    <row r="14" spans="1:38" ht="15" customHeight="1" thickBot="1">
      <c r="A14" s="115">
        <v>12</v>
      </c>
      <c r="B14" s="874"/>
      <c r="C14" s="1377" t="s">
        <v>550</v>
      </c>
      <c r="D14" s="1377"/>
      <c r="E14" s="1285" t="s">
        <v>932</v>
      </c>
      <c r="F14" s="1278"/>
      <c r="G14" s="462"/>
      <c r="H14" s="1285"/>
      <c r="I14" s="1278"/>
      <c r="K14" s="1337"/>
      <c r="L14" s="1332" t="s">
        <v>883</v>
      </c>
      <c r="M14" s="1327"/>
      <c r="N14" s="1327"/>
      <c r="O14" s="1333"/>
      <c r="P14" s="1334">
        <f>E21</f>
        <v>0</v>
      </c>
      <c r="Q14" s="1325"/>
      <c r="R14" s="1325"/>
      <c r="S14" s="1325"/>
      <c r="T14" s="1325"/>
      <c r="U14" s="1325"/>
      <c r="V14" s="1325"/>
      <c r="W14" s="1325"/>
      <c r="X14" s="1325"/>
      <c r="Y14" s="1325"/>
      <c r="Z14" s="1325"/>
      <c r="AA14" s="1325"/>
      <c r="AB14" s="1325"/>
      <c r="AC14" s="1325"/>
    </row>
    <row r="15" spans="1:38" ht="17.25" customHeight="1" thickBot="1">
      <c r="A15" s="115">
        <v>13</v>
      </c>
      <c r="K15" s="1338"/>
      <c r="L15" s="1332" t="s">
        <v>884</v>
      </c>
      <c r="M15" s="1327"/>
      <c r="N15" s="1327"/>
      <c r="O15" s="1333"/>
      <c r="P15" s="1334">
        <f>E22</f>
        <v>0</v>
      </c>
      <c r="Q15" s="1325"/>
      <c r="R15" s="1325"/>
      <c r="S15" s="1325"/>
      <c r="T15" s="1325"/>
      <c r="U15" s="1325"/>
      <c r="V15" s="1325"/>
      <c r="W15" s="1325"/>
      <c r="X15" s="1325"/>
      <c r="Y15" s="1325"/>
      <c r="Z15" s="1325"/>
      <c r="AA15" s="1325"/>
      <c r="AB15" s="1325"/>
      <c r="AC15" s="1325"/>
    </row>
    <row r="16" spans="1:38" ht="16.899999999999999" customHeight="1" thickBot="1">
      <c r="A16" s="115">
        <v>14</v>
      </c>
      <c r="B16" s="1369" t="s">
        <v>882</v>
      </c>
      <c r="C16" s="1381" t="s">
        <v>885</v>
      </c>
      <c r="D16" s="1381"/>
      <c r="E16" s="1273"/>
      <c r="F16" s="1274"/>
      <c r="G16" s="460"/>
      <c r="H16" s="1273"/>
      <c r="I16" s="1274"/>
      <c r="K16" s="1331"/>
      <c r="L16" s="1331"/>
      <c r="M16" s="1331"/>
      <c r="N16" s="1331"/>
      <c r="O16" s="1331"/>
      <c r="P16" s="1331"/>
      <c r="Q16" s="1331"/>
      <c r="R16" s="1331"/>
      <c r="S16" s="1331"/>
      <c r="T16" s="1331"/>
      <c r="U16" s="1331"/>
      <c r="V16" s="1331"/>
      <c r="W16" s="1331"/>
      <c r="X16" s="1331"/>
      <c r="Y16" s="1331"/>
      <c r="Z16" s="1331"/>
      <c r="AA16" s="1331"/>
      <c r="AB16" s="1331"/>
      <c r="AC16" s="1331"/>
    </row>
    <row r="17" spans="1:29" ht="16.899999999999999" customHeight="1" thickBot="1">
      <c r="A17" s="115">
        <v>15</v>
      </c>
      <c r="B17" s="1370"/>
      <c r="C17" s="1378" t="s">
        <v>886</v>
      </c>
      <c r="D17" s="1378"/>
      <c r="E17" s="1273"/>
      <c r="F17" s="1274"/>
      <c r="G17" s="460"/>
      <c r="H17" s="1273"/>
      <c r="I17" s="1274"/>
      <c r="K17" s="1327" t="s">
        <v>891</v>
      </c>
      <c r="L17" s="1327"/>
      <c r="M17" s="1323"/>
      <c r="N17" s="1322" t="s">
        <v>893</v>
      </c>
      <c r="O17" s="1323"/>
      <c r="P17" s="1324">
        <f>D24</f>
        <v>0</v>
      </c>
      <c r="Q17" s="1325"/>
      <c r="R17" s="1325"/>
      <c r="S17" s="1326"/>
      <c r="T17" s="1322" t="s">
        <v>895</v>
      </c>
      <c r="U17" s="1327"/>
      <c r="V17" s="1327"/>
      <c r="W17" s="1327"/>
      <c r="X17" s="1327"/>
      <c r="Y17" s="1323"/>
      <c r="Z17" s="1324">
        <f>H24</f>
        <v>0</v>
      </c>
      <c r="AA17" s="1325"/>
      <c r="AB17" s="1325"/>
      <c r="AC17" s="1325"/>
    </row>
    <row r="18" spans="1:29" ht="16.899999999999999" customHeight="1" thickBot="1">
      <c r="A18" s="115">
        <v>16</v>
      </c>
      <c r="B18" s="1370"/>
      <c r="C18" s="1378" t="s">
        <v>887</v>
      </c>
      <c r="D18" s="1378"/>
      <c r="E18" s="1273"/>
      <c r="F18" s="1274"/>
      <c r="G18" s="477"/>
      <c r="H18" s="1273"/>
      <c r="I18" s="1274"/>
      <c r="K18" s="1327" t="s">
        <v>892</v>
      </c>
      <c r="L18" s="1327"/>
      <c r="M18" s="1323"/>
      <c r="N18" s="1322" t="s">
        <v>893</v>
      </c>
      <c r="O18" s="1323"/>
      <c r="P18" s="1324">
        <f>D25</f>
        <v>0</v>
      </c>
      <c r="Q18" s="1325"/>
      <c r="R18" s="1325"/>
      <c r="S18" s="1326"/>
      <c r="T18" s="1322" t="s">
        <v>895</v>
      </c>
      <c r="U18" s="1327"/>
      <c r="V18" s="1327"/>
      <c r="W18" s="1327"/>
      <c r="X18" s="1327"/>
      <c r="Y18" s="1323"/>
      <c r="Z18" s="1324">
        <f>H25</f>
        <v>0</v>
      </c>
      <c r="AA18" s="1325"/>
      <c r="AB18" s="1325"/>
      <c r="AC18" s="1325"/>
    </row>
    <row r="19" spans="1:29" ht="16.899999999999999" customHeight="1" thickBot="1">
      <c r="A19" s="115">
        <v>17</v>
      </c>
      <c r="B19" s="1370"/>
      <c r="C19" s="1378" t="s">
        <v>888</v>
      </c>
      <c r="D19" s="1378"/>
      <c r="E19" s="1273"/>
      <c r="F19" s="1274"/>
      <c r="G19" s="477"/>
      <c r="H19" s="1273"/>
      <c r="I19" s="1274"/>
      <c r="K19" s="1328" t="s">
        <v>920</v>
      </c>
      <c r="L19" s="1328"/>
      <c r="M19" s="1328"/>
      <c r="N19" s="1328"/>
      <c r="O19" s="1328"/>
      <c r="P19" s="1328"/>
      <c r="Q19" s="1328"/>
      <c r="R19" s="1328"/>
      <c r="S19" s="1328"/>
      <c r="T19" s="1328"/>
      <c r="U19" s="1328"/>
      <c r="V19" s="1328"/>
      <c r="W19" s="1328"/>
      <c r="X19" s="1328"/>
      <c r="Y19" s="1328"/>
      <c r="Z19" s="1328"/>
      <c r="AA19" s="1328"/>
      <c r="AB19" s="1328"/>
      <c r="AC19" s="1328"/>
    </row>
    <row r="20" spans="1:29" ht="17.25" customHeight="1">
      <c r="A20" s="115">
        <v>18</v>
      </c>
      <c r="B20" s="1370"/>
      <c r="C20" s="1374" t="s">
        <v>1083</v>
      </c>
      <c r="D20" s="1375"/>
      <c r="E20" s="1274"/>
      <c r="F20" s="1376"/>
      <c r="G20" s="478"/>
      <c r="H20" s="1273"/>
      <c r="I20" s="1274"/>
      <c r="K20" s="470" t="s">
        <v>921</v>
      </c>
      <c r="L20" s="1311" t="s">
        <v>115</v>
      </c>
      <c r="M20" s="1312"/>
      <c r="N20" s="1313"/>
      <c r="O20" s="1311" t="s">
        <v>923</v>
      </c>
      <c r="P20" s="1313"/>
      <c r="Q20" s="1329" t="s">
        <v>126</v>
      </c>
      <c r="R20" s="1311" t="s">
        <v>901</v>
      </c>
      <c r="S20" s="1313"/>
      <c r="T20" s="1311" t="s">
        <v>925</v>
      </c>
      <c r="U20" s="1313"/>
      <c r="V20" s="1311" t="s">
        <v>903</v>
      </c>
      <c r="W20" s="1312"/>
      <c r="X20" s="1313"/>
      <c r="Y20" s="1317" t="s">
        <v>894</v>
      </c>
      <c r="Z20" s="1318"/>
      <c r="AA20" s="1318"/>
      <c r="AB20" s="1318"/>
      <c r="AC20" s="1318"/>
    </row>
    <row r="21" spans="1:29" ht="16.899999999999999" customHeight="1">
      <c r="A21" s="115">
        <v>19</v>
      </c>
      <c r="B21" s="1370"/>
      <c r="C21" s="1374" t="s">
        <v>889</v>
      </c>
      <c r="D21" s="1375"/>
      <c r="E21" s="1274"/>
      <c r="F21" s="1376"/>
      <c r="G21" s="460"/>
      <c r="H21" s="1273"/>
      <c r="I21" s="1274"/>
      <c r="K21" s="471" t="s">
        <v>922</v>
      </c>
      <c r="L21" s="1314"/>
      <c r="M21" s="1315"/>
      <c r="N21" s="1316"/>
      <c r="O21" s="1314" t="s">
        <v>924</v>
      </c>
      <c r="P21" s="1316"/>
      <c r="Q21" s="1330"/>
      <c r="R21" s="1314"/>
      <c r="S21" s="1316"/>
      <c r="T21" s="1314"/>
      <c r="U21" s="1316"/>
      <c r="V21" s="1314"/>
      <c r="W21" s="1315"/>
      <c r="X21" s="1316"/>
      <c r="Y21" s="1319" t="s">
        <v>905</v>
      </c>
      <c r="Z21" s="1320"/>
      <c r="AA21" s="1320"/>
      <c r="AB21" s="1321"/>
      <c r="AC21" s="473" t="s">
        <v>907</v>
      </c>
    </row>
    <row r="22" spans="1:29" ht="17.25" customHeight="1" thickBot="1">
      <c r="A22" s="115">
        <v>20</v>
      </c>
      <c r="B22" s="1371"/>
      <c r="C22" s="1377" t="s">
        <v>890</v>
      </c>
      <c r="D22" s="1377"/>
      <c r="E22" s="1277"/>
      <c r="F22" s="1278"/>
      <c r="G22" s="460"/>
      <c r="H22" s="1273"/>
      <c r="I22" s="1274"/>
      <c r="K22" s="472"/>
      <c r="L22" s="1307">
        <f t="shared" ref="L22:L31" si="0">B29</f>
        <v>0</v>
      </c>
      <c r="M22" s="1308"/>
      <c r="N22" s="1309"/>
      <c r="O22" s="1310">
        <f t="shared" ref="O22:O31" si="1">C29</f>
        <v>0</v>
      </c>
      <c r="P22" s="1309"/>
      <c r="Q22" s="475">
        <f t="shared" ref="Q22:Q31" si="2">D29</f>
        <v>0</v>
      </c>
      <c r="R22" s="1310">
        <f t="shared" ref="R22:R31" si="3">E29</f>
        <v>0</v>
      </c>
      <c r="S22" s="1309"/>
      <c r="T22" s="1307">
        <f t="shared" ref="T22:T31" si="4">F29</f>
        <v>0</v>
      </c>
      <c r="U22" s="1309"/>
      <c r="V22" s="1310" t="e">
        <f>#REF!</f>
        <v>#REF!</v>
      </c>
      <c r="W22" s="1308"/>
      <c r="X22" s="1309"/>
      <c r="Y22" s="1310" t="e">
        <f>#REF!</f>
        <v>#REF!</v>
      </c>
      <c r="Z22" s="1308"/>
      <c r="AA22" s="1308"/>
      <c r="AB22" s="1309"/>
      <c r="AC22" s="474" t="e">
        <f>#REF!</f>
        <v>#REF!</v>
      </c>
    </row>
    <row r="23" spans="1:29" ht="24.75" customHeight="1">
      <c r="A23" s="115">
        <v>21</v>
      </c>
      <c r="K23" s="472"/>
      <c r="L23" s="1307">
        <f t="shared" si="0"/>
        <v>0</v>
      </c>
      <c r="M23" s="1308"/>
      <c r="N23" s="1309"/>
      <c r="O23" s="1310">
        <f t="shared" si="1"/>
        <v>0</v>
      </c>
      <c r="P23" s="1309"/>
      <c r="Q23" s="475">
        <f t="shared" si="2"/>
        <v>0</v>
      </c>
      <c r="R23" s="1310">
        <f t="shared" si="3"/>
        <v>0</v>
      </c>
      <c r="S23" s="1309"/>
      <c r="T23" s="1307">
        <f t="shared" si="4"/>
        <v>0</v>
      </c>
      <c r="U23" s="1309"/>
      <c r="V23" s="1310">
        <f t="shared" ref="V23:V31" si="5">G29</f>
        <v>0</v>
      </c>
      <c r="W23" s="1308"/>
      <c r="X23" s="1309"/>
      <c r="Y23" s="1310">
        <f t="shared" ref="Y23:Y31" si="6">H29</f>
        <v>0</v>
      </c>
      <c r="Z23" s="1308"/>
      <c r="AA23" s="1308"/>
      <c r="AB23" s="1309"/>
      <c r="AC23" s="474">
        <f t="shared" ref="AC23:AC31" si="7">I29</f>
        <v>0</v>
      </c>
    </row>
    <row r="24" spans="1:29" ht="24.75" customHeight="1">
      <c r="A24" s="115">
        <v>22</v>
      </c>
      <c r="B24" s="1372" t="s">
        <v>900</v>
      </c>
      <c r="C24" s="1381" t="s">
        <v>898</v>
      </c>
      <c r="D24" s="1381"/>
      <c r="E24" s="33"/>
      <c r="F24" s="1381" t="s">
        <v>896</v>
      </c>
      <c r="G24" s="1381"/>
      <c r="H24" s="1393"/>
      <c r="I24" s="1394"/>
      <c r="K24" s="472"/>
      <c r="L24" s="1307">
        <f t="shared" si="0"/>
        <v>0</v>
      </c>
      <c r="M24" s="1308"/>
      <c r="N24" s="1309"/>
      <c r="O24" s="1310">
        <f t="shared" si="1"/>
        <v>0</v>
      </c>
      <c r="P24" s="1309"/>
      <c r="Q24" s="475">
        <f t="shared" si="2"/>
        <v>0</v>
      </c>
      <c r="R24" s="1310">
        <f t="shared" si="3"/>
        <v>0</v>
      </c>
      <c r="S24" s="1309"/>
      <c r="T24" s="1307">
        <f t="shared" si="4"/>
        <v>0</v>
      </c>
      <c r="U24" s="1309"/>
      <c r="V24" s="1310">
        <f t="shared" si="5"/>
        <v>0</v>
      </c>
      <c r="W24" s="1308"/>
      <c r="X24" s="1309"/>
      <c r="Y24" s="1310">
        <f t="shared" si="6"/>
        <v>0</v>
      </c>
      <c r="Z24" s="1308"/>
      <c r="AA24" s="1308"/>
      <c r="AB24" s="1309"/>
      <c r="AC24" s="474">
        <f t="shared" si="7"/>
        <v>0</v>
      </c>
    </row>
    <row r="25" spans="1:29" ht="15.4" thickBot="1">
      <c r="A25" s="115">
        <v>23</v>
      </c>
      <c r="B25" s="1373"/>
      <c r="C25" s="1377" t="s">
        <v>899</v>
      </c>
      <c r="D25" s="1377"/>
      <c r="E25" s="551"/>
      <c r="F25" s="1377" t="s">
        <v>896</v>
      </c>
      <c r="G25" s="1377"/>
      <c r="H25" s="1395"/>
      <c r="I25" s="1396"/>
      <c r="K25" s="472"/>
      <c r="L25" s="1307">
        <f t="shared" si="0"/>
        <v>0</v>
      </c>
      <c r="M25" s="1308"/>
      <c r="N25" s="1309"/>
      <c r="O25" s="1310">
        <f t="shared" si="1"/>
        <v>0</v>
      </c>
      <c r="P25" s="1309"/>
      <c r="Q25" s="475">
        <f t="shared" si="2"/>
        <v>0</v>
      </c>
      <c r="R25" s="1310">
        <f t="shared" si="3"/>
        <v>0</v>
      </c>
      <c r="S25" s="1309"/>
      <c r="T25" s="1307">
        <f t="shared" si="4"/>
        <v>0</v>
      </c>
      <c r="U25" s="1309"/>
      <c r="V25" s="1310">
        <f t="shared" si="5"/>
        <v>0</v>
      </c>
      <c r="W25" s="1308"/>
      <c r="X25" s="1309"/>
      <c r="Y25" s="1310">
        <f t="shared" si="6"/>
        <v>0</v>
      </c>
      <c r="Z25" s="1308"/>
      <c r="AA25" s="1308"/>
      <c r="AB25" s="1309"/>
      <c r="AC25" s="474">
        <f t="shared" si="7"/>
        <v>0</v>
      </c>
    </row>
    <row r="26" spans="1:29" ht="13.5">
      <c r="A26" s="115">
        <v>24</v>
      </c>
      <c r="K26" s="472"/>
      <c r="L26" s="1307">
        <f t="shared" si="0"/>
        <v>0</v>
      </c>
      <c r="M26" s="1308"/>
      <c r="N26" s="1309"/>
      <c r="O26" s="1310">
        <f t="shared" si="1"/>
        <v>0</v>
      </c>
      <c r="P26" s="1309"/>
      <c r="Q26" s="475">
        <f t="shared" si="2"/>
        <v>0</v>
      </c>
      <c r="R26" s="1310">
        <f t="shared" si="3"/>
        <v>0</v>
      </c>
      <c r="S26" s="1309"/>
      <c r="T26" s="1307">
        <f t="shared" si="4"/>
        <v>0</v>
      </c>
      <c r="U26" s="1309"/>
      <c r="V26" s="1310">
        <f t="shared" si="5"/>
        <v>0</v>
      </c>
      <c r="W26" s="1308"/>
      <c r="X26" s="1309"/>
      <c r="Y26" s="1310">
        <f t="shared" si="6"/>
        <v>0</v>
      </c>
      <c r="Z26" s="1308"/>
      <c r="AA26" s="1308"/>
      <c r="AB26" s="1309"/>
      <c r="AC26" s="474">
        <f t="shared" si="7"/>
        <v>0</v>
      </c>
    </row>
    <row r="27" spans="1:29" ht="25.15" thickBot="1">
      <c r="A27" s="115">
        <v>25</v>
      </c>
      <c r="B27" s="1391" t="s">
        <v>600</v>
      </c>
      <c r="C27" s="1392"/>
      <c r="D27" s="1392"/>
      <c r="E27" s="1392"/>
      <c r="F27" s="1392"/>
      <c r="G27" s="1392"/>
      <c r="H27" s="1392"/>
      <c r="I27" s="1392"/>
      <c r="K27" s="472"/>
      <c r="L27" s="1307">
        <f t="shared" si="0"/>
        <v>0</v>
      </c>
      <c r="M27" s="1308"/>
      <c r="N27" s="1309"/>
      <c r="O27" s="1310">
        <f t="shared" si="1"/>
        <v>0</v>
      </c>
      <c r="P27" s="1309"/>
      <c r="Q27" s="475">
        <f t="shared" si="2"/>
        <v>0</v>
      </c>
      <c r="R27" s="1310">
        <f t="shared" si="3"/>
        <v>0</v>
      </c>
      <c r="S27" s="1309"/>
      <c r="T27" s="1307">
        <f t="shared" si="4"/>
        <v>0</v>
      </c>
      <c r="U27" s="1309"/>
      <c r="V27" s="1310">
        <f t="shared" si="5"/>
        <v>0</v>
      </c>
      <c r="W27" s="1308"/>
      <c r="X27" s="1309"/>
      <c r="Y27" s="1310">
        <f t="shared" si="6"/>
        <v>0</v>
      </c>
      <c r="Z27" s="1308"/>
      <c r="AA27" s="1308"/>
      <c r="AB27" s="1309"/>
      <c r="AC27" s="474">
        <f t="shared" si="7"/>
        <v>0</v>
      </c>
    </row>
    <row r="28" spans="1:29" ht="19.5" thickTop="1">
      <c r="A28" s="115">
        <v>26</v>
      </c>
      <c r="B28" s="461" t="s">
        <v>908</v>
      </c>
      <c r="C28" s="464" t="s">
        <v>141</v>
      </c>
      <c r="D28" s="461" t="s">
        <v>107</v>
      </c>
      <c r="E28" s="464" t="s">
        <v>902</v>
      </c>
      <c r="F28" s="465" t="s">
        <v>909</v>
      </c>
      <c r="G28" s="461" t="s">
        <v>904</v>
      </c>
      <c r="H28" s="464" t="s">
        <v>906</v>
      </c>
      <c r="I28" s="461" t="s">
        <v>166</v>
      </c>
      <c r="K28" s="472"/>
      <c r="L28" s="1307">
        <f t="shared" si="0"/>
        <v>0</v>
      </c>
      <c r="M28" s="1308"/>
      <c r="N28" s="1309"/>
      <c r="O28" s="1310">
        <f t="shared" si="1"/>
        <v>0</v>
      </c>
      <c r="P28" s="1309"/>
      <c r="Q28" s="475">
        <f t="shared" si="2"/>
        <v>0</v>
      </c>
      <c r="R28" s="1310">
        <f t="shared" si="3"/>
        <v>0</v>
      </c>
      <c r="S28" s="1309"/>
      <c r="T28" s="1307">
        <f t="shared" si="4"/>
        <v>0</v>
      </c>
      <c r="U28" s="1309"/>
      <c r="V28" s="1310">
        <f t="shared" si="5"/>
        <v>0</v>
      </c>
      <c r="W28" s="1308"/>
      <c r="X28" s="1309"/>
      <c r="Y28" s="1310">
        <f t="shared" si="6"/>
        <v>0</v>
      </c>
      <c r="Z28" s="1308"/>
      <c r="AA28" s="1308"/>
      <c r="AB28" s="1309"/>
      <c r="AC28" s="474">
        <f t="shared" si="7"/>
        <v>0</v>
      </c>
    </row>
    <row r="29" spans="1:29" ht="13.5">
      <c r="A29" s="115">
        <v>27</v>
      </c>
      <c r="B29" s="330"/>
      <c r="F29" s="330"/>
      <c r="K29" s="472"/>
      <c r="L29" s="1307">
        <f t="shared" si="0"/>
        <v>0</v>
      </c>
      <c r="M29" s="1308"/>
      <c r="N29" s="1309"/>
      <c r="O29" s="1310">
        <f t="shared" si="1"/>
        <v>0</v>
      </c>
      <c r="P29" s="1309"/>
      <c r="Q29" s="475">
        <f t="shared" si="2"/>
        <v>0</v>
      </c>
      <c r="R29" s="1310">
        <f t="shared" si="3"/>
        <v>0</v>
      </c>
      <c r="S29" s="1309"/>
      <c r="T29" s="1307">
        <f t="shared" si="4"/>
        <v>0</v>
      </c>
      <c r="U29" s="1309"/>
      <c r="V29" s="1310">
        <f t="shared" si="5"/>
        <v>0</v>
      </c>
      <c r="W29" s="1308"/>
      <c r="X29" s="1309"/>
      <c r="Y29" s="1310">
        <f t="shared" si="6"/>
        <v>0</v>
      </c>
      <c r="Z29" s="1308"/>
      <c r="AA29" s="1308"/>
      <c r="AB29" s="1309"/>
      <c r="AC29" s="474">
        <f t="shared" si="7"/>
        <v>0</v>
      </c>
    </row>
    <row r="30" spans="1:29" ht="13.5">
      <c r="A30" s="115">
        <v>28</v>
      </c>
      <c r="B30" s="330"/>
      <c r="F30" s="330"/>
      <c r="K30" s="472"/>
      <c r="L30" s="1307">
        <f t="shared" si="0"/>
        <v>0</v>
      </c>
      <c r="M30" s="1308"/>
      <c r="N30" s="1309"/>
      <c r="O30" s="1310">
        <f t="shared" si="1"/>
        <v>0</v>
      </c>
      <c r="P30" s="1309"/>
      <c r="Q30" s="475">
        <f t="shared" si="2"/>
        <v>0</v>
      </c>
      <c r="R30" s="1310">
        <f t="shared" si="3"/>
        <v>0</v>
      </c>
      <c r="S30" s="1309"/>
      <c r="T30" s="1307">
        <f t="shared" si="4"/>
        <v>0</v>
      </c>
      <c r="U30" s="1309"/>
      <c r="V30" s="1310">
        <f t="shared" si="5"/>
        <v>0</v>
      </c>
      <c r="W30" s="1308"/>
      <c r="X30" s="1309"/>
      <c r="Y30" s="1310">
        <f t="shared" si="6"/>
        <v>0</v>
      </c>
      <c r="Z30" s="1308"/>
      <c r="AA30" s="1308"/>
      <c r="AB30" s="1309"/>
      <c r="AC30" s="474">
        <f t="shared" si="7"/>
        <v>0</v>
      </c>
    </row>
    <row r="31" spans="1:29" ht="13.5">
      <c r="A31" s="115">
        <v>29</v>
      </c>
      <c r="B31" s="330"/>
      <c r="F31" s="330"/>
      <c r="K31" s="468"/>
      <c r="L31" s="1307">
        <f t="shared" si="0"/>
        <v>0</v>
      </c>
      <c r="M31" s="1308"/>
      <c r="N31" s="1309"/>
      <c r="O31" s="1310">
        <f t="shared" si="1"/>
        <v>0</v>
      </c>
      <c r="P31" s="1309"/>
      <c r="Q31" s="475">
        <f t="shared" si="2"/>
        <v>0</v>
      </c>
      <c r="R31" s="1310">
        <f t="shared" si="3"/>
        <v>0</v>
      </c>
      <c r="S31" s="1309"/>
      <c r="T31" s="1307">
        <f t="shared" si="4"/>
        <v>0</v>
      </c>
      <c r="U31" s="1309"/>
      <c r="V31" s="1310">
        <f t="shared" si="5"/>
        <v>0</v>
      </c>
      <c r="W31" s="1308"/>
      <c r="X31" s="1309"/>
      <c r="Y31" s="1310">
        <f t="shared" si="6"/>
        <v>0</v>
      </c>
      <c r="Z31" s="1308"/>
      <c r="AA31" s="1308"/>
      <c r="AB31" s="1309"/>
      <c r="AC31" s="474">
        <f t="shared" si="7"/>
        <v>0</v>
      </c>
    </row>
    <row r="32" spans="1:29" ht="13.9" customHeight="1">
      <c r="A32" s="115">
        <v>30</v>
      </c>
      <c r="B32" s="330"/>
      <c r="F32" s="330"/>
      <c r="K32" s="1341" t="s">
        <v>926</v>
      </c>
      <c r="L32" s="1341"/>
      <c r="M32" s="1341"/>
      <c r="N32" s="1341"/>
      <c r="O32" s="1341"/>
      <c r="P32" s="1341"/>
      <c r="Q32" s="1341"/>
      <c r="R32" s="1341"/>
      <c r="S32" s="1341"/>
      <c r="T32" s="1341"/>
      <c r="U32" s="1341"/>
      <c r="V32" s="1341"/>
      <c r="W32" s="1341"/>
      <c r="X32" s="1341"/>
      <c r="Y32" s="1341"/>
      <c r="Z32" s="1341"/>
      <c r="AA32" s="1341"/>
      <c r="AB32" s="1341"/>
      <c r="AC32" s="1341"/>
    </row>
    <row r="33" spans="1:29" ht="13.5">
      <c r="A33" s="115">
        <v>31</v>
      </c>
      <c r="B33" s="330"/>
      <c r="F33" s="330"/>
      <c r="K33" s="1379" t="str">
        <f>"위와 같이 2024년 ("&amp;E13&amp;")월 『청년 일경험 지원사업(인턴형 일경험)』의 실시결과를"</f>
        <v>위와 같이 2024년 (12)월 『청년 일경험 지원사업(인턴형 일경험)』의 실시결과를</v>
      </c>
      <c r="L33" s="1379"/>
      <c r="M33" s="1379"/>
      <c r="N33" s="1379"/>
      <c r="O33" s="1379"/>
      <c r="P33" s="1379"/>
      <c r="Q33" s="1379"/>
      <c r="R33" s="1379"/>
      <c r="S33" s="1379"/>
      <c r="T33" s="1379"/>
      <c r="U33" s="1379"/>
      <c r="V33" s="1379"/>
      <c r="W33" s="1379"/>
      <c r="X33" s="1379"/>
      <c r="Y33" s="1379"/>
      <c r="Z33" s="1379"/>
      <c r="AA33" s="1379"/>
      <c r="AB33" s="1379"/>
      <c r="AC33" s="1379"/>
    </row>
    <row r="34" spans="1:29" ht="13.5">
      <c r="A34" s="115">
        <v>32</v>
      </c>
      <c r="B34" s="330"/>
      <c r="F34" s="330"/>
      <c r="K34" s="1379" t="s">
        <v>927</v>
      </c>
      <c r="L34" s="1379"/>
      <c r="M34" s="1379"/>
      <c r="N34" s="1379"/>
      <c r="O34" s="1379"/>
      <c r="P34" s="1379"/>
      <c r="Q34" s="1379"/>
      <c r="R34" s="1379"/>
      <c r="S34" s="1379"/>
      <c r="T34" s="1379"/>
      <c r="U34" s="1379"/>
      <c r="V34" s="1379"/>
      <c r="W34" s="1379"/>
      <c r="X34" s="1379"/>
      <c r="Y34" s="1379"/>
      <c r="Z34" s="1379"/>
      <c r="AA34" s="1379"/>
      <c r="AB34" s="1379"/>
      <c r="AC34" s="1379"/>
    </row>
    <row r="35" spans="1:29" ht="13.5">
      <c r="A35" s="115">
        <v>33</v>
      </c>
      <c r="B35" s="330"/>
      <c r="F35" s="330"/>
      <c r="K35" s="1300" t="str">
        <f>E14</f>
        <v>0000년 0월 0일</v>
      </c>
      <c r="L35" s="1301"/>
      <c r="M35" s="1301"/>
      <c r="N35" s="1301"/>
      <c r="O35" s="1301"/>
      <c r="P35" s="1301"/>
      <c r="Q35" s="1301"/>
      <c r="R35" s="1301"/>
      <c r="S35" s="1301"/>
      <c r="T35" s="1301"/>
      <c r="U35" s="1301"/>
      <c r="V35" s="1301"/>
      <c r="W35" s="1301"/>
      <c r="X35" s="1301"/>
      <c r="Y35" s="1301"/>
      <c r="Z35" s="1301"/>
      <c r="AA35" s="1301"/>
      <c r="AB35" s="1301"/>
      <c r="AC35" s="1301"/>
    </row>
    <row r="36" spans="1:29" ht="13.5">
      <c r="A36" s="115">
        <v>34</v>
      </c>
      <c r="B36" s="330"/>
      <c r="F36" s="330"/>
      <c r="K36" s="1217"/>
      <c r="L36" s="1217"/>
      <c r="M36" s="1217"/>
      <c r="N36" s="1217"/>
      <c r="O36" s="1217"/>
      <c r="P36" s="1217"/>
      <c r="Q36" s="1217"/>
      <c r="R36" s="1217"/>
      <c r="S36" s="1302" t="s">
        <v>281</v>
      </c>
      <c r="T36" s="1302"/>
      <c r="U36" s="1302"/>
      <c r="V36" s="1302"/>
      <c r="W36" s="1303">
        <f>E5</f>
        <v>0</v>
      </c>
      <c r="X36" s="1303"/>
      <c r="Y36" s="1303"/>
      <c r="Z36" s="1303"/>
      <c r="AA36" s="1304" t="s">
        <v>282</v>
      </c>
      <c r="AB36" s="1304"/>
      <c r="AC36" s="1304"/>
    </row>
    <row r="37" spans="1:29" ht="13.9" thickBot="1">
      <c r="A37" s="115">
        <v>35</v>
      </c>
      <c r="B37" s="330"/>
      <c r="F37" s="330"/>
      <c r="K37" s="1305" t="s">
        <v>283</v>
      </c>
      <c r="L37" s="1305"/>
      <c r="M37" s="1305"/>
      <c r="N37" s="1305"/>
      <c r="O37" s="1305"/>
      <c r="P37" s="1305"/>
      <c r="Q37" s="1305"/>
      <c r="R37" s="1305"/>
      <c r="S37" s="1305"/>
      <c r="T37" s="1305"/>
      <c r="U37" s="1305"/>
      <c r="V37" s="1305"/>
      <c r="W37" s="1305"/>
      <c r="X37" s="1306" t="s">
        <v>284</v>
      </c>
      <c r="Y37" s="1306"/>
      <c r="Z37" s="1306"/>
      <c r="AA37" s="1306"/>
      <c r="AB37" s="1306"/>
      <c r="AC37" s="1306"/>
    </row>
    <row r="38" spans="1:29" ht="13.9" thickTop="1">
      <c r="A38" s="115">
        <v>36</v>
      </c>
      <c r="B38" s="330"/>
      <c r="F38" s="330"/>
      <c r="K38" s="1287"/>
      <c r="L38" s="1287"/>
      <c r="M38" s="1287"/>
      <c r="N38" s="1287"/>
      <c r="O38" s="1287"/>
      <c r="P38" s="1287"/>
      <c r="Q38" s="1287"/>
      <c r="R38" s="1287"/>
      <c r="S38" s="1287"/>
      <c r="T38" s="1287"/>
      <c r="U38" s="1287"/>
      <c r="V38" s="1287"/>
      <c r="W38" s="1287"/>
      <c r="X38" s="1287"/>
      <c r="Y38" s="1287"/>
      <c r="Z38" s="1287"/>
      <c r="AA38" s="1287"/>
      <c r="AB38" s="1287"/>
      <c r="AC38" s="1287"/>
    </row>
    <row r="39" spans="1:29" ht="13.5">
      <c r="A39" s="115">
        <v>37</v>
      </c>
      <c r="B39" s="330"/>
      <c r="K39" s="1288" t="s">
        <v>285</v>
      </c>
      <c r="L39" s="1289"/>
      <c r="M39" s="1294" t="s">
        <v>929</v>
      </c>
      <c r="N39" s="1295"/>
      <c r="O39" s="1295"/>
      <c r="P39" s="1295"/>
      <c r="Q39" s="1295"/>
      <c r="R39" s="1295"/>
      <c r="S39" s="1295"/>
      <c r="T39" s="1295"/>
      <c r="U39" s="1295"/>
      <c r="V39" s="1295"/>
      <c r="W39" s="1295"/>
      <c r="X39" s="1295"/>
      <c r="Y39" s="1295"/>
      <c r="Z39" s="1295"/>
      <c r="AA39" s="1295"/>
      <c r="AB39" s="1295"/>
      <c r="AC39" s="1295"/>
    </row>
    <row r="40" spans="1:29" ht="13.5">
      <c r="A40" s="115">
        <v>38</v>
      </c>
      <c r="B40" s="330"/>
      <c r="K40" s="1290"/>
      <c r="L40" s="1291"/>
      <c r="M40" s="1296" t="s">
        <v>930</v>
      </c>
      <c r="N40" s="1297"/>
      <c r="O40" s="1297"/>
      <c r="P40" s="1297"/>
      <c r="Q40" s="1297"/>
      <c r="R40" s="1297"/>
      <c r="S40" s="1297"/>
      <c r="T40" s="1297"/>
      <c r="U40" s="1297"/>
      <c r="V40" s="1297"/>
      <c r="W40" s="1297"/>
      <c r="X40" s="1297"/>
      <c r="Y40" s="1297"/>
      <c r="Z40" s="1297"/>
      <c r="AA40" s="1297"/>
      <c r="AB40" s="1297"/>
      <c r="AC40" s="1297"/>
    </row>
    <row r="41" spans="1:29" ht="13.5">
      <c r="A41" s="115">
        <v>39</v>
      </c>
      <c r="B41"/>
      <c r="C41"/>
      <c r="D41"/>
      <c r="E41"/>
      <c r="F41"/>
      <c r="K41" s="1292"/>
      <c r="L41" s="1293"/>
      <c r="M41" s="1298" t="s">
        <v>931</v>
      </c>
      <c r="N41" s="1299"/>
      <c r="O41" s="1299"/>
      <c r="P41" s="1299"/>
      <c r="Q41" s="1299"/>
      <c r="R41" s="1299"/>
      <c r="S41" s="1299"/>
      <c r="T41" s="1299"/>
      <c r="U41" s="1299"/>
      <c r="V41" s="1299"/>
      <c r="W41" s="1299"/>
      <c r="X41" s="1299"/>
      <c r="Y41" s="1299"/>
      <c r="Z41" s="1299"/>
      <c r="AA41" s="1299"/>
      <c r="AB41" s="1299"/>
      <c r="AC41" s="1299"/>
    </row>
    <row r="42" spans="1:29" ht="13.5">
      <c r="A42" s="115">
        <v>40</v>
      </c>
      <c r="B42"/>
      <c r="C42"/>
      <c r="D42"/>
      <c r="E42"/>
      <c r="F42"/>
    </row>
    <row r="43" spans="1:29" ht="13.5">
      <c r="A43" s="115">
        <v>41</v>
      </c>
      <c r="B43"/>
      <c r="C43"/>
      <c r="D43"/>
      <c r="E43"/>
      <c r="F43"/>
    </row>
    <row r="44" spans="1:29" ht="28.5">
      <c r="A44" s="115">
        <v>42</v>
      </c>
      <c r="B44" s="1384" t="s">
        <v>1084</v>
      </c>
      <c r="C44" s="1385"/>
      <c r="D44" s="1385"/>
      <c r="E44" s="1385"/>
      <c r="F44" s="1385"/>
      <c r="G44" s="1385"/>
      <c r="H44" s="1385"/>
      <c r="I44" s="1385"/>
      <c r="K44" s="1247" t="str">
        <f>"("&amp; E55 &amp; ")월 인턴형 일경험 결과보고_(2)"</f>
        <v>(12)월 인턴형 일경험 결과보고_(2)</v>
      </c>
      <c r="L44" s="1247"/>
      <c r="M44" s="1247"/>
      <c r="N44" s="1247"/>
      <c r="O44" s="1247"/>
      <c r="P44" s="1247"/>
      <c r="Q44" s="1247"/>
      <c r="R44" s="1247"/>
      <c r="S44" s="1247"/>
      <c r="T44" s="1247"/>
      <c r="U44" s="1247"/>
      <c r="V44" s="1247"/>
      <c r="W44" s="1247"/>
      <c r="X44" s="1247"/>
      <c r="Y44" s="1247"/>
      <c r="Z44" s="1247"/>
      <c r="AA44" s="1247"/>
      <c r="AB44" s="1247"/>
      <c r="AC44" s="1247"/>
    </row>
    <row r="45" spans="1:29" ht="16.899999999999999" customHeight="1" thickBot="1">
      <c r="A45" s="115">
        <v>43</v>
      </c>
      <c r="B45" s="308" t="s">
        <v>641</v>
      </c>
      <c r="C45" s="1279" t="s">
        <v>642</v>
      </c>
      <c r="D45" s="1279"/>
      <c r="E45" s="1280" t="s">
        <v>643</v>
      </c>
      <c r="F45" s="1388"/>
      <c r="G45" s="550" t="s">
        <v>1080</v>
      </c>
      <c r="H45" s="1389" t="s">
        <v>1081</v>
      </c>
      <c r="I45" s="1390"/>
      <c r="K45" s="466" t="s">
        <v>910</v>
      </c>
      <c r="L45" s="1358" t="s">
        <v>1</v>
      </c>
      <c r="M45" s="1359"/>
      <c r="N45" s="1359"/>
      <c r="O45" s="1360"/>
      <c r="P45" s="1361">
        <f>E46</f>
        <v>0</v>
      </c>
      <c r="Q45" s="1362"/>
      <c r="R45" s="1362"/>
      <c r="S45" s="1362"/>
      <c r="T45" s="1363"/>
      <c r="U45" s="1358" t="s">
        <v>2</v>
      </c>
      <c r="V45" s="1359"/>
      <c r="W45" s="1359"/>
      <c r="X45" s="1360"/>
      <c r="Y45" s="1361">
        <f>E47</f>
        <v>0</v>
      </c>
      <c r="Z45" s="1362"/>
      <c r="AA45" s="1362"/>
      <c r="AB45" s="1362"/>
      <c r="AC45" s="1362"/>
    </row>
    <row r="46" spans="1:29" ht="16.5" customHeight="1" thickTop="1">
      <c r="A46" s="115">
        <v>44</v>
      </c>
      <c r="B46" s="1281" t="s">
        <v>592</v>
      </c>
      <c r="C46" s="1378" t="s">
        <v>541</v>
      </c>
      <c r="D46" s="1378"/>
      <c r="E46" s="1386"/>
      <c r="F46" s="1387"/>
      <c r="G46" s="461"/>
      <c r="H46" s="1386"/>
      <c r="I46" s="1387"/>
      <c r="K46" s="467" t="s">
        <v>911</v>
      </c>
      <c r="L46" s="1364" t="s">
        <v>10</v>
      </c>
      <c r="M46" s="1365"/>
      <c r="N46" s="1365"/>
      <c r="O46" s="1366"/>
      <c r="P46" s="1367">
        <f>E48</f>
        <v>0</v>
      </c>
      <c r="Q46" s="1368"/>
      <c r="R46" s="1368"/>
      <c r="S46" s="1368"/>
      <c r="T46" s="1368"/>
      <c r="U46" s="1368"/>
      <c r="V46" s="1368"/>
      <c r="W46" s="1368"/>
      <c r="X46" s="1368"/>
      <c r="Y46" s="1368"/>
      <c r="Z46" s="1368"/>
      <c r="AA46" s="1368"/>
      <c r="AB46" s="1368"/>
      <c r="AC46" s="1368"/>
    </row>
    <row r="47" spans="1:29" ht="16.5" customHeight="1">
      <c r="A47" s="115">
        <v>45</v>
      </c>
      <c r="B47" s="873"/>
      <c r="C47" s="1381" t="s">
        <v>933</v>
      </c>
      <c r="D47" s="1381"/>
      <c r="E47" s="1273"/>
      <c r="F47" s="1274"/>
      <c r="G47" s="460"/>
      <c r="H47" s="1273"/>
      <c r="I47" s="1274"/>
      <c r="K47" s="468"/>
      <c r="L47" s="1352" t="s">
        <v>912</v>
      </c>
      <c r="M47" s="1353"/>
      <c r="N47" s="1353"/>
      <c r="O47" s="1354"/>
      <c r="P47" s="1355">
        <f>E49</f>
        <v>0</v>
      </c>
      <c r="Q47" s="1356"/>
      <c r="R47" s="1356"/>
      <c r="S47" s="1356"/>
      <c r="T47" s="1357"/>
      <c r="U47" s="1352" t="s">
        <v>913</v>
      </c>
      <c r="V47" s="1353"/>
      <c r="W47" s="1353"/>
      <c r="X47" s="1354"/>
      <c r="Y47" s="1355">
        <f>E50</f>
        <v>0</v>
      </c>
      <c r="Z47" s="1356"/>
      <c r="AA47" s="1356"/>
      <c r="AB47" s="1356"/>
      <c r="AC47" s="1356"/>
    </row>
    <row r="48" spans="1:29" ht="16.5" customHeight="1">
      <c r="A48" s="115">
        <v>46</v>
      </c>
      <c r="B48" s="873"/>
      <c r="C48" s="1381" t="s">
        <v>545</v>
      </c>
      <c r="D48" s="1381"/>
      <c r="E48" s="1273"/>
      <c r="F48" s="1274"/>
      <c r="G48" s="460"/>
      <c r="H48" s="1273"/>
      <c r="I48" s="1274"/>
      <c r="K48" s="466" t="s">
        <v>279</v>
      </c>
      <c r="L48" s="1352" t="s">
        <v>17</v>
      </c>
      <c r="M48" s="1353"/>
      <c r="N48" s="1353"/>
      <c r="O48" s="1354"/>
      <c r="P48" s="1355">
        <f>E52</f>
        <v>0</v>
      </c>
      <c r="Q48" s="1356"/>
      <c r="R48" s="1356"/>
      <c r="S48" s="1356"/>
      <c r="T48" s="1357"/>
      <c r="U48" s="1352" t="s">
        <v>19</v>
      </c>
      <c r="V48" s="1353"/>
      <c r="W48" s="1353"/>
      <c r="X48" s="1354"/>
      <c r="Y48" s="1355">
        <f>E51</f>
        <v>0</v>
      </c>
      <c r="Z48" s="1356"/>
      <c r="AA48" s="1356"/>
      <c r="AB48" s="1356"/>
      <c r="AC48" s="1356"/>
    </row>
    <row r="49" spans="1:29" ht="16.5" customHeight="1">
      <c r="A49" s="115">
        <v>47</v>
      </c>
      <c r="B49" s="873"/>
      <c r="C49" s="1381" t="s">
        <v>763</v>
      </c>
      <c r="D49" s="1381"/>
      <c r="E49" s="1273"/>
      <c r="F49" s="1274"/>
      <c r="G49" s="460"/>
      <c r="H49" s="1273"/>
      <c r="I49" s="1274"/>
      <c r="K49" s="467" t="s">
        <v>914</v>
      </c>
      <c r="L49" s="1340" t="s">
        <v>280</v>
      </c>
      <c r="M49" s="1341"/>
      <c r="N49" s="1341"/>
      <c r="O49" s="1342"/>
      <c r="P49" s="1345">
        <f>E53</f>
        <v>0</v>
      </c>
      <c r="Q49" s="1346"/>
      <c r="R49" s="1346"/>
      <c r="S49" s="1346"/>
      <c r="T49" s="1347"/>
      <c r="U49" s="1340" t="s">
        <v>20</v>
      </c>
      <c r="V49" s="1341"/>
      <c r="W49" s="1341"/>
      <c r="X49" s="1342"/>
      <c r="Y49" s="1345">
        <f>E55</f>
        <v>12</v>
      </c>
      <c r="Z49" s="1346"/>
      <c r="AA49" s="1346"/>
      <c r="AB49" s="1346"/>
      <c r="AC49" s="1346"/>
    </row>
    <row r="50" spans="1:29" ht="19.149999999999999" customHeight="1" thickBot="1">
      <c r="A50" s="115">
        <v>48</v>
      </c>
      <c r="B50" s="873"/>
      <c r="C50" s="1381" t="s">
        <v>934</v>
      </c>
      <c r="D50" s="1381"/>
      <c r="E50" s="1273"/>
      <c r="F50" s="1274"/>
      <c r="G50" s="460"/>
      <c r="H50" s="1273"/>
      <c r="I50" s="1274"/>
      <c r="K50" s="469"/>
      <c r="L50" s="1343" t="s">
        <v>915</v>
      </c>
      <c r="M50" s="1335"/>
      <c r="N50" s="1335"/>
      <c r="O50" s="1344"/>
      <c r="P50" s="1348"/>
      <c r="Q50" s="1349"/>
      <c r="R50" s="1349"/>
      <c r="S50" s="1349"/>
      <c r="T50" s="1350"/>
      <c r="U50" s="1343"/>
      <c r="V50" s="1335"/>
      <c r="W50" s="1335"/>
      <c r="X50" s="1344"/>
      <c r="Y50" s="1348"/>
      <c r="Z50" s="1349"/>
      <c r="AA50" s="1349"/>
      <c r="AB50" s="1349"/>
      <c r="AC50" s="1349"/>
    </row>
    <row r="51" spans="1:29" ht="19.149999999999999" customHeight="1">
      <c r="A51" s="115">
        <v>49</v>
      </c>
      <c r="B51" s="873"/>
      <c r="C51" s="1380" t="s">
        <v>765</v>
      </c>
      <c r="D51" s="1381"/>
      <c r="E51" s="1273"/>
      <c r="F51" s="1274"/>
      <c r="G51" s="477"/>
      <c r="H51" s="1273"/>
      <c r="I51" s="1274"/>
      <c r="K51" s="1351" t="s">
        <v>916</v>
      </c>
      <c r="L51" s="1351"/>
      <c r="M51" s="1351"/>
      <c r="N51" s="1351"/>
      <c r="O51" s="1351"/>
      <c r="P51" s="1351"/>
      <c r="Q51" s="1351"/>
      <c r="R51" s="1351"/>
      <c r="S51" s="1351"/>
      <c r="T51" s="1351"/>
      <c r="U51" s="1351"/>
      <c r="V51" s="1351"/>
      <c r="W51" s="1351"/>
      <c r="X51" s="1351"/>
      <c r="Y51" s="1351"/>
      <c r="Z51" s="1351"/>
      <c r="AA51" s="1351"/>
      <c r="AB51" s="1351"/>
      <c r="AC51" s="1351"/>
    </row>
    <row r="52" spans="1:29" ht="19.149999999999999" customHeight="1" thickBot="1">
      <c r="A52" s="115">
        <v>50</v>
      </c>
      <c r="B52" s="873"/>
      <c r="C52" s="1380" t="s">
        <v>437</v>
      </c>
      <c r="D52" s="1381"/>
      <c r="E52" s="1273"/>
      <c r="F52" s="1274"/>
      <c r="G52" s="477"/>
      <c r="H52" s="1273"/>
      <c r="I52" s="1274"/>
      <c r="K52" s="1335" t="s">
        <v>917</v>
      </c>
      <c r="L52" s="1335"/>
      <c r="M52" s="1335"/>
      <c r="N52" s="1335"/>
      <c r="O52" s="1335"/>
      <c r="P52" s="1335"/>
      <c r="Q52" s="1335"/>
      <c r="R52" s="1335"/>
      <c r="S52" s="1335"/>
      <c r="T52" s="1335"/>
      <c r="U52" s="1335"/>
      <c r="V52" s="1335"/>
      <c r="W52" s="1335"/>
      <c r="X52" s="1335"/>
      <c r="Y52" s="1335"/>
      <c r="Z52" s="1335"/>
      <c r="AA52" s="1335"/>
      <c r="AB52" s="1335"/>
      <c r="AC52" s="1335"/>
    </row>
    <row r="53" spans="1:29" ht="16.5" customHeight="1" thickBot="1">
      <c r="A53" s="115">
        <v>51</v>
      </c>
      <c r="B53" s="873"/>
      <c r="C53" s="1382" t="s">
        <v>935</v>
      </c>
      <c r="D53" s="1381"/>
      <c r="E53" s="1273"/>
      <c r="F53" s="1274"/>
      <c r="G53" s="478"/>
      <c r="H53" s="1273"/>
      <c r="I53" s="1274"/>
      <c r="K53" s="1336" t="s">
        <v>881</v>
      </c>
      <c r="L53" s="1332" t="s">
        <v>114</v>
      </c>
      <c r="M53" s="1327"/>
      <c r="N53" s="1327"/>
      <c r="O53" s="1333"/>
      <c r="P53" s="1334">
        <f>E58</f>
        <v>0</v>
      </c>
      <c r="Q53" s="1325"/>
      <c r="R53" s="1325"/>
      <c r="S53" s="1325"/>
      <c r="T53" s="1339"/>
      <c r="U53" s="1332" t="s">
        <v>814</v>
      </c>
      <c r="V53" s="1327"/>
      <c r="W53" s="1327"/>
      <c r="X53" s="1333"/>
      <c r="Y53" s="1334">
        <f>E59</f>
        <v>0</v>
      </c>
      <c r="Z53" s="1325"/>
      <c r="AA53" s="1325"/>
      <c r="AB53" s="1325"/>
      <c r="AC53" s="1325"/>
    </row>
    <row r="54" spans="1:29" ht="16.899999999999999" customHeight="1" thickBot="1">
      <c r="A54" s="115">
        <v>52</v>
      </c>
      <c r="B54" s="873"/>
      <c r="C54" s="1381" t="s">
        <v>936</v>
      </c>
      <c r="D54" s="1381"/>
      <c r="E54" s="1274"/>
      <c r="F54" s="1376"/>
      <c r="G54" s="460"/>
      <c r="H54" s="1274"/>
      <c r="I54" s="1376"/>
      <c r="K54" s="1337"/>
      <c r="L54" s="1332" t="s">
        <v>40</v>
      </c>
      <c r="M54" s="1327"/>
      <c r="N54" s="1327"/>
      <c r="O54" s="1333"/>
      <c r="P54" s="1334">
        <f>E60</f>
        <v>0</v>
      </c>
      <c r="Q54" s="1325"/>
      <c r="R54" s="1325"/>
      <c r="S54" s="1325"/>
      <c r="T54" s="1325"/>
      <c r="U54" s="1325"/>
      <c r="V54" s="1325"/>
      <c r="W54" s="1325"/>
      <c r="X54" s="1325"/>
      <c r="Y54" s="1325"/>
      <c r="Z54" s="1325"/>
      <c r="AA54" s="1325"/>
      <c r="AB54" s="1325"/>
      <c r="AC54" s="1325"/>
    </row>
    <row r="55" spans="1:29" ht="17.25" customHeight="1" thickBot="1">
      <c r="A55" s="115">
        <v>53</v>
      </c>
      <c r="B55" s="873"/>
      <c r="C55" s="1381" t="s">
        <v>937</v>
      </c>
      <c r="D55" s="1381"/>
      <c r="E55" s="1383">
        <v>12</v>
      </c>
      <c r="F55" s="1376"/>
      <c r="G55" s="460"/>
      <c r="H55" s="1274"/>
      <c r="I55" s="1376"/>
      <c r="K55" s="1337"/>
      <c r="L55" s="1332" t="s">
        <v>918</v>
      </c>
      <c r="M55" s="1327"/>
      <c r="N55" s="1327"/>
      <c r="O55" s="1333"/>
      <c r="P55" s="1334">
        <f>E61</f>
        <v>0</v>
      </c>
      <c r="Q55" s="1325"/>
      <c r="R55" s="1325"/>
      <c r="S55" s="1339"/>
      <c r="T55" s="1332" t="str">
        <f>"("&amp;E55&amp;")월 편성시간(A)"</f>
        <v>(12)월 편성시간(A)</v>
      </c>
      <c r="U55" s="1327"/>
      <c r="V55" s="1327"/>
      <c r="W55" s="1327"/>
      <c r="X55" s="1327"/>
      <c r="Y55" s="1327"/>
      <c r="Z55" s="1327"/>
      <c r="AA55" s="1333"/>
      <c r="AB55" s="1334">
        <f>E62</f>
        <v>0</v>
      </c>
      <c r="AC55" s="1325"/>
    </row>
    <row r="56" spans="1:29" ht="17.25" customHeight="1" thickBot="1">
      <c r="A56" s="115">
        <v>54</v>
      </c>
      <c r="B56" s="874"/>
      <c r="C56" s="1377" t="s">
        <v>550</v>
      </c>
      <c r="D56" s="1377"/>
      <c r="E56" s="1285" t="s">
        <v>932</v>
      </c>
      <c r="F56" s="1278"/>
      <c r="G56" s="462"/>
      <c r="H56" s="1285"/>
      <c r="I56" s="1278"/>
      <c r="K56" s="1337"/>
      <c r="L56" s="1332" t="s">
        <v>883</v>
      </c>
      <c r="M56" s="1327"/>
      <c r="N56" s="1327"/>
      <c r="O56" s="1333"/>
      <c r="P56" s="1334">
        <f>E63</f>
        <v>0</v>
      </c>
      <c r="Q56" s="1325"/>
      <c r="R56" s="1325"/>
      <c r="S56" s="1325"/>
      <c r="T56" s="1325"/>
      <c r="U56" s="1325"/>
      <c r="V56" s="1325"/>
      <c r="W56" s="1325"/>
      <c r="X56" s="1325"/>
      <c r="Y56" s="1325"/>
      <c r="Z56" s="1325"/>
      <c r="AA56" s="1325"/>
      <c r="AB56" s="1325"/>
      <c r="AC56" s="1325"/>
    </row>
    <row r="57" spans="1:29" ht="16.5" customHeight="1" thickBot="1">
      <c r="A57" s="115">
        <v>55</v>
      </c>
      <c r="K57" s="1338"/>
      <c r="L57" s="1332" t="s">
        <v>884</v>
      </c>
      <c r="M57" s="1327"/>
      <c r="N57" s="1327"/>
      <c r="O57" s="1333"/>
      <c r="P57" s="1334">
        <f>E64</f>
        <v>0</v>
      </c>
      <c r="Q57" s="1325"/>
      <c r="R57" s="1325"/>
      <c r="S57" s="1325"/>
      <c r="T57" s="1325"/>
      <c r="U57" s="1325"/>
      <c r="V57" s="1325"/>
      <c r="W57" s="1325"/>
      <c r="X57" s="1325"/>
      <c r="Y57" s="1325"/>
      <c r="Z57" s="1325"/>
      <c r="AA57" s="1325"/>
      <c r="AB57" s="1325"/>
      <c r="AC57" s="1325"/>
    </row>
    <row r="58" spans="1:29" ht="16.5" customHeight="1" thickBot="1">
      <c r="A58" s="115">
        <v>56</v>
      </c>
      <c r="B58" s="1369" t="s">
        <v>882</v>
      </c>
      <c r="C58" s="1381" t="s">
        <v>885</v>
      </c>
      <c r="D58" s="1381"/>
      <c r="E58" s="1273"/>
      <c r="F58" s="1274"/>
      <c r="G58" s="460"/>
      <c r="H58" s="1273"/>
      <c r="I58" s="1274"/>
      <c r="K58" s="1331"/>
      <c r="L58" s="1331"/>
      <c r="M58" s="1331"/>
      <c r="N58" s="1331"/>
      <c r="O58" s="1331"/>
      <c r="P58" s="1331"/>
      <c r="Q58" s="1331"/>
      <c r="R58" s="1331"/>
      <c r="S58" s="1331"/>
      <c r="T58" s="1331"/>
      <c r="U58" s="1331"/>
      <c r="V58" s="1331"/>
      <c r="W58" s="1331"/>
      <c r="X58" s="1331"/>
      <c r="Y58" s="1331"/>
      <c r="Z58" s="1331"/>
      <c r="AA58" s="1331"/>
      <c r="AB58" s="1331"/>
      <c r="AC58" s="1331"/>
    </row>
    <row r="59" spans="1:29" ht="16.5" customHeight="1" thickBot="1">
      <c r="A59" s="115">
        <v>57</v>
      </c>
      <c r="B59" s="1370"/>
      <c r="C59" s="1378" t="s">
        <v>886</v>
      </c>
      <c r="D59" s="1378"/>
      <c r="E59" s="1273"/>
      <c r="F59" s="1274"/>
      <c r="G59" s="460"/>
      <c r="H59" s="1273"/>
      <c r="I59" s="1274"/>
      <c r="K59" s="1327" t="s">
        <v>891</v>
      </c>
      <c r="L59" s="1327"/>
      <c r="M59" s="1323"/>
      <c r="N59" s="1322" t="s">
        <v>893</v>
      </c>
      <c r="O59" s="1323"/>
      <c r="P59" s="1324">
        <f>D66</f>
        <v>0</v>
      </c>
      <c r="Q59" s="1325"/>
      <c r="R59" s="1325"/>
      <c r="S59" s="1326"/>
      <c r="T59" s="1322" t="s">
        <v>895</v>
      </c>
      <c r="U59" s="1327"/>
      <c r="V59" s="1327"/>
      <c r="W59" s="1327"/>
      <c r="X59" s="1327"/>
      <c r="Y59" s="1323"/>
      <c r="Z59" s="1324">
        <f>H66</f>
        <v>0</v>
      </c>
      <c r="AA59" s="1325"/>
      <c r="AB59" s="1325"/>
      <c r="AC59" s="1325"/>
    </row>
    <row r="60" spans="1:29" ht="16.5" customHeight="1" thickBot="1">
      <c r="A60" s="115">
        <v>58</v>
      </c>
      <c r="B60" s="1370"/>
      <c r="C60" s="1378" t="s">
        <v>887</v>
      </c>
      <c r="D60" s="1378"/>
      <c r="E60" s="1273"/>
      <c r="F60" s="1274"/>
      <c r="G60" s="477"/>
      <c r="H60" s="1273"/>
      <c r="I60" s="1274"/>
      <c r="K60" s="1327" t="s">
        <v>892</v>
      </c>
      <c r="L60" s="1327"/>
      <c r="M60" s="1323"/>
      <c r="N60" s="1322" t="s">
        <v>893</v>
      </c>
      <c r="O60" s="1323"/>
      <c r="P60" s="1324">
        <f>D67</f>
        <v>0</v>
      </c>
      <c r="Q60" s="1325"/>
      <c r="R60" s="1325"/>
      <c r="S60" s="1326"/>
      <c r="T60" s="1322" t="s">
        <v>895</v>
      </c>
      <c r="U60" s="1327"/>
      <c r="V60" s="1327"/>
      <c r="W60" s="1327"/>
      <c r="X60" s="1327"/>
      <c r="Y60" s="1323"/>
      <c r="Z60" s="1324">
        <f>H67</f>
        <v>0</v>
      </c>
      <c r="AA60" s="1325"/>
      <c r="AB60" s="1325"/>
      <c r="AC60" s="1325"/>
    </row>
    <row r="61" spans="1:29" ht="16.5" customHeight="1" thickBot="1">
      <c r="A61" s="115">
        <v>59</v>
      </c>
      <c r="B61" s="1370"/>
      <c r="C61" s="1378" t="s">
        <v>888</v>
      </c>
      <c r="D61" s="1378"/>
      <c r="E61" s="1273"/>
      <c r="F61" s="1274"/>
      <c r="G61" s="477"/>
      <c r="H61" s="1273"/>
      <c r="I61" s="1274"/>
      <c r="K61" s="1328" t="s">
        <v>920</v>
      </c>
      <c r="L61" s="1328"/>
      <c r="M61" s="1328"/>
      <c r="N61" s="1328"/>
      <c r="O61" s="1328"/>
      <c r="P61" s="1328"/>
      <c r="Q61" s="1328"/>
      <c r="R61" s="1328"/>
      <c r="S61" s="1328"/>
      <c r="T61" s="1328"/>
      <c r="U61" s="1328"/>
      <c r="V61" s="1328"/>
      <c r="W61" s="1328"/>
      <c r="X61" s="1328"/>
      <c r="Y61" s="1328"/>
      <c r="Z61" s="1328"/>
      <c r="AA61" s="1328"/>
      <c r="AB61" s="1328"/>
      <c r="AC61" s="1328"/>
    </row>
    <row r="62" spans="1:29" ht="16.5" customHeight="1">
      <c r="A62" s="115">
        <v>60</v>
      </c>
      <c r="B62" s="1370"/>
      <c r="C62" s="1374" t="s">
        <v>1083</v>
      </c>
      <c r="D62" s="1375"/>
      <c r="E62" s="1274"/>
      <c r="F62" s="1376"/>
      <c r="G62" s="478"/>
      <c r="H62" s="1273"/>
      <c r="I62" s="1274"/>
      <c r="K62" s="470" t="s">
        <v>921</v>
      </c>
      <c r="L62" s="1311" t="s">
        <v>115</v>
      </c>
      <c r="M62" s="1312"/>
      <c r="N62" s="1313"/>
      <c r="O62" s="1311" t="s">
        <v>923</v>
      </c>
      <c r="P62" s="1313"/>
      <c r="Q62" s="1329" t="s">
        <v>126</v>
      </c>
      <c r="R62" s="1311" t="s">
        <v>901</v>
      </c>
      <c r="S62" s="1313"/>
      <c r="T62" s="1311" t="s">
        <v>925</v>
      </c>
      <c r="U62" s="1313"/>
      <c r="V62" s="1311" t="s">
        <v>903</v>
      </c>
      <c r="W62" s="1312"/>
      <c r="X62" s="1313"/>
      <c r="Y62" s="1317" t="s">
        <v>894</v>
      </c>
      <c r="Z62" s="1318"/>
      <c r="AA62" s="1318"/>
      <c r="AB62" s="1318"/>
      <c r="AC62" s="1318"/>
    </row>
    <row r="63" spans="1:29" ht="16.899999999999999" customHeight="1">
      <c r="A63" s="115">
        <v>61</v>
      </c>
      <c r="B63" s="1370"/>
      <c r="C63" s="1374" t="s">
        <v>889</v>
      </c>
      <c r="D63" s="1375"/>
      <c r="E63" s="1274"/>
      <c r="F63" s="1376"/>
      <c r="G63" s="460"/>
      <c r="H63" s="1273"/>
      <c r="I63" s="1274"/>
      <c r="K63" s="471" t="s">
        <v>922</v>
      </c>
      <c r="L63" s="1314"/>
      <c r="M63" s="1315"/>
      <c r="N63" s="1316"/>
      <c r="O63" s="1314" t="s">
        <v>924</v>
      </c>
      <c r="P63" s="1316"/>
      <c r="Q63" s="1330"/>
      <c r="R63" s="1314"/>
      <c r="S63" s="1316"/>
      <c r="T63" s="1314"/>
      <c r="U63" s="1316"/>
      <c r="V63" s="1314"/>
      <c r="W63" s="1315"/>
      <c r="X63" s="1316"/>
      <c r="Y63" s="1319" t="s">
        <v>905</v>
      </c>
      <c r="Z63" s="1320"/>
      <c r="AA63" s="1320"/>
      <c r="AB63" s="1321"/>
      <c r="AC63" s="473" t="s">
        <v>907</v>
      </c>
    </row>
    <row r="64" spans="1:29" ht="16.899999999999999" customHeight="1" thickBot="1">
      <c r="A64" s="115">
        <v>62</v>
      </c>
      <c r="B64" s="1371"/>
      <c r="C64" s="1377" t="s">
        <v>890</v>
      </c>
      <c r="D64" s="1377"/>
      <c r="E64" s="1277"/>
      <c r="F64" s="1278"/>
      <c r="G64" s="460"/>
      <c r="H64" s="1273"/>
      <c r="I64" s="1274"/>
      <c r="K64" s="472"/>
      <c r="L64" s="1307">
        <f t="shared" ref="L64:L73" si="8">B71</f>
        <v>0</v>
      </c>
      <c r="M64" s="1308"/>
      <c r="N64" s="1309"/>
      <c r="O64" s="1310">
        <f t="shared" ref="O64:O73" si="9">C71</f>
        <v>0</v>
      </c>
      <c r="P64" s="1309"/>
      <c r="Q64" s="475">
        <f t="shared" ref="Q64:Q73" si="10">D71</f>
        <v>0</v>
      </c>
      <c r="R64" s="1310">
        <f t="shared" ref="R64:R73" si="11">E71</f>
        <v>0</v>
      </c>
      <c r="S64" s="1309"/>
      <c r="T64" s="1307">
        <f t="shared" ref="T64:T73" si="12">F71</f>
        <v>0</v>
      </c>
      <c r="U64" s="1309"/>
      <c r="V64" s="1310" t="e">
        <f>#REF!</f>
        <v>#REF!</v>
      </c>
      <c r="W64" s="1308"/>
      <c r="X64" s="1309"/>
      <c r="Y64" s="1310" t="e">
        <f>#REF!</f>
        <v>#REF!</v>
      </c>
      <c r="Z64" s="1308"/>
      <c r="AA64" s="1308"/>
      <c r="AB64" s="1309"/>
      <c r="AC64" s="474" t="e">
        <f>#REF!</f>
        <v>#REF!</v>
      </c>
    </row>
    <row r="65" spans="1:29" ht="13.5">
      <c r="A65" s="115">
        <v>63</v>
      </c>
      <c r="K65" s="472"/>
      <c r="L65" s="1307">
        <f t="shared" si="8"/>
        <v>0</v>
      </c>
      <c r="M65" s="1308"/>
      <c r="N65" s="1309"/>
      <c r="O65" s="1310">
        <f t="shared" si="9"/>
        <v>0</v>
      </c>
      <c r="P65" s="1309"/>
      <c r="Q65" s="475">
        <f t="shared" si="10"/>
        <v>0</v>
      </c>
      <c r="R65" s="1310">
        <f t="shared" si="11"/>
        <v>0</v>
      </c>
      <c r="S65" s="1309"/>
      <c r="T65" s="1307">
        <f t="shared" si="12"/>
        <v>0</v>
      </c>
      <c r="U65" s="1309"/>
      <c r="V65" s="1310">
        <f t="shared" ref="V65:V73" si="13">G71</f>
        <v>0</v>
      </c>
      <c r="W65" s="1308"/>
      <c r="X65" s="1309"/>
      <c r="Y65" s="1310">
        <f t="shared" ref="Y65:Y73" si="14">H71</f>
        <v>0</v>
      </c>
      <c r="Z65" s="1308"/>
      <c r="AA65" s="1308"/>
      <c r="AB65" s="1309"/>
      <c r="AC65" s="474">
        <f t="shared" ref="AC65:AC73" si="15">I71</f>
        <v>0</v>
      </c>
    </row>
    <row r="66" spans="1:29" ht="15" customHeight="1">
      <c r="A66" s="115">
        <v>64</v>
      </c>
      <c r="B66" s="1372" t="s">
        <v>900</v>
      </c>
      <c r="C66" s="1381" t="s">
        <v>898</v>
      </c>
      <c r="D66" s="1381"/>
      <c r="E66" s="33"/>
      <c r="F66" s="1381" t="s">
        <v>896</v>
      </c>
      <c r="G66" s="1381"/>
      <c r="H66" s="1393"/>
      <c r="I66" s="1394"/>
      <c r="K66" s="472"/>
      <c r="L66" s="1307">
        <f t="shared" si="8"/>
        <v>0</v>
      </c>
      <c r="M66" s="1308"/>
      <c r="N66" s="1309"/>
      <c r="O66" s="1310">
        <f t="shared" si="9"/>
        <v>0</v>
      </c>
      <c r="P66" s="1309"/>
      <c r="Q66" s="475">
        <f t="shared" si="10"/>
        <v>0</v>
      </c>
      <c r="R66" s="1310">
        <f t="shared" si="11"/>
        <v>0</v>
      </c>
      <c r="S66" s="1309"/>
      <c r="T66" s="1307">
        <f t="shared" si="12"/>
        <v>0</v>
      </c>
      <c r="U66" s="1309"/>
      <c r="V66" s="1310">
        <f t="shared" si="13"/>
        <v>0</v>
      </c>
      <c r="W66" s="1308"/>
      <c r="X66" s="1309"/>
      <c r="Y66" s="1310">
        <f t="shared" si="14"/>
        <v>0</v>
      </c>
      <c r="Z66" s="1308"/>
      <c r="AA66" s="1308"/>
      <c r="AB66" s="1309"/>
      <c r="AC66" s="474">
        <f t="shared" si="15"/>
        <v>0</v>
      </c>
    </row>
    <row r="67" spans="1:29" ht="15.4" customHeight="1" thickBot="1">
      <c r="A67" s="115">
        <v>65</v>
      </c>
      <c r="B67" s="1373"/>
      <c r="C67" s="1377" t="s">
        <v>899</v>
      </c>
      <c r="D67" s="1377"/>
      <c r="E67" s="551"/>
      <c r="F67" s="1377" t="s">
        <v>896</v>
      </c>
      <c r="G67" s="1377"/>
      <c r="H67" s="1395"/>
      <c r="I67" s="1396"/>
      <c r="K67" s="472"/>
      <c r="L67" s="1307">
        <f t="shared" si="8"/>
        <v>0</v>
      </c>
      <c r="M67" s="1308"/>
      <c r="N67" s="1309"/>
      <c r="O67" s="1310">
        <f t="shared" si="9"/>
        <v>0</v>
      </c>
      <c r="P67" s="1309"/>
      <c r="Q67" s="475">
        <f t="shared" si="10"/>
        <v>0</v>
      </c>
      <c r="R67" s="1310">
        <f t="shared" si="11"/>
        <v>0</v>
      </c>
      <c r="S67" s="1309"/>
      <c r="T67" s="1307">
        <f t="shared" si="12"/>
        <v>0</v>
      </c>
      <c r="U67" s="1309"/>
      <c r="V67" s="1310">
        <f t="shared" si="13"/>
        <v>0</v>
      </c>
      <c r="W67" s="1308"/>
      <c r="X67" s="1309"/>
      <c r="Y67" s="1310">
        <f t="shared" si="14"/>
        <v>0</v>
      </c>
      <c r="Z67" s="1308"/>
      <c r="AA67" s="1308"/>
      <c r="AB67" s="1309"/>
      <c r="AC67" s="474">
        <f t="shared" si="15"/>
        <v>0</v>
      </c>
    </row>
    <row r="68" spans="1:29" ht="13.5">
      <c r="A68" s="115">
        <v>66</v>
      </c>
      <c r="K68" s="472"/>
      <c r="L68" s="1307">
        <f t="shared" si="8"/>
        <v>0</v>
      </c>
      <c r="M68" s="1308"/>
      <c r="N68" s="1309"/>
      <c r="O68" s="1310">
        <f t="shared" si="9"/>
        <v>0</v>
      </c>
      <c r="P68" s="1309"/>
      <c r="Q68" s="475">
        <f t="shared" si="10"/>
        <v>0</v>
      </c>
      <c r="R68" s="1310">
        <f t="shared" si="11"/>
        <v>0</v>
      </c>
      <c r="S68" s="1309"/>
      <c r="T68" s="1307">
        <f t="shared" si="12"/>
        <v>0</v>
      </c>
      <c r="U68" s="1309"/>
      <c r="V68" s="1310">
        <f t="shared" si="13"/>
        <v>0</v>
      </c>
      <c r="W68" s="1308"/>
      <c r="X68" s="1309"/>
      <c r="Y68" s="1310">
        <f t="shared" si="14"/>
        <v>0</v>
      </c>
      <c r="Z68" s="1308"/>
      <c r="AA68" s="1308"/>
      <c r="AB68" s="1309"/>
      <c r="AC68" s="474">
        <f t="shared" si="15"/>
        <v>0</v>
      </c>
    </row>
    <row r="69" spans="1:29" ht="25.15" thickBot="1">
      <c r="A69" s="115">
        <v>67</v>
      </c>
      <c r="B69" s="1391" t="s">
        <v>600</v>
      </c>
      <c r="C69" s="1392"/>
      <c r="D69" s="1392"/>
      <c r="E69" s="1392"/>
      <c r="F69" s="1392"/>
      <c r="G69" s="1392"/>
      <c r="H69" s="1392"/>
      <c r="I69" s="1392"/>
      <c r="K69" s="472"/>
      <c r="L69" s="1307">
        <f t="shared" si="8"/>
        <v>0</v>
      </c>
      <c r="M69" s="1308"/>
      <c r="N69" s="1309"/>
      <c r="O69" s="1310">
        <f t="shared" si="9"/>
        <v>0</v>
      </c>
      <c r="P69" s="1309"/>
      <c r="Q69" s="475">
        <f t="shared" si="10"/>
        <v>0</v>
      </c>
      <c r="R69" s="1310">
        <f t="shared" si="11"/>
        <v>0</v>
      </c>
      <c r="S69" s="1309"/>
      <c r="T69" s="1307">
        <f t="shared" si="12"/>
        <v>0</v>
      </c>
      <c r="U69" s="1309"/>
      <c r="V69" s="1310">
        <f t="shared" si="13"/>
        <v>0</v>
      </c>
      <c r="W69" s="1308"/>
      <c r="X69" s="1309"/>
      <c r="Y69" s="1310">
        <f t="shared" si="14"/>
        <v>0</v>
      </c>
      <c r="Z69" s="1308"/>
      <c r="AA69" s="1308"/>
      <c r="AB69" s="1309"/>
      <c r="AC69" s="474">
        <f t="shared" si="15"/>
        <v>0</v>
      </c>
    </row>
    <row r="70" spans="1:29" ht="19.5" thickTop="1">
      <c r="A70" s="115">
        <v>68</v>
      </c>
      <c r="B70" s="461" t="s">
        <v>908</v>
      </c>
      <c r="C70" s="464" t="s">
        <v>141</v>
      </c>
      <c r="D70" s="461" t="s">
        <v>107</v>
      </c>
      <c r="E70" s="464" t="s">
        <v>902</v>
      </c>
      <c r="F70" s="465" t="s">
        <v>909</v>
      </c>
      <c r="G70" s="461" t="s">
        <v>904</v>
      </c>
      <c r="H70" s="464" t="s">
        <v>906</v>
      </c>
      <c r="I70" s="461" t="s">
        <v>166</v>
      </c>
      <c r="K70" s="472"/>
      <c r="L70" s="1307">
        <f t="shared" si="8"/>
        <v>0</v>
      </c>
      <c r="M70" s="1308"/>
      <c r="N70" s="1309"/>
      <c r="O70" s="1310">
        <f t="shared" si="9"/>
        <v>0</v>
      </c>
      <c r="P70" s="1309"/>
      <c r="Q70" s="475">
        <f t="shared" si="10"/>
        <v>0</v>
      </c>
      <c r="R70" s="1310">
        <f t="shared" si="11"/>
        <v>0</v>
      </c>
      <c r="S70" s="1309"/>
      <c r="T70" s="1307">
        <f t="shared" si="12"/>
        <v>0</v>
      </c>
      <c r="U70" s="1309"/>
      <c r="V70" s="1310">
        <f t="shared" si="13"/>
        <v>0</v>
      </c>
      <c r="W70" s="1308"/>
      <c r="X70" s="1309"/>
      <c r="Y70" s="1310">
        <f t="shared" si="14"/>
        <v>0</v>
      </c>
      <c r="Z70" s="1308"/>
      <c r="AA70" s="1308"/>
      <c r="AB70" s="1309"/>
      <c r="AC70" s="474">
        <f t="shared" si="15"/>
        <v>0</v>
      </c>
    </row>
    <row r="71" spans="1:29" ht="13.5">
      <c r="A71" s="115">
        <v>69</v>
      </c>
      <c r="K71" s="472"/>
      <c r="L71" s="1307">
        <f t="shared" si="8"/>
        <v>0</v>
      </c>
      <c r="M71" s="1308"/>
      <c r="N71" s="1309"/>
      <c r="O71" s="1310">
        <f t="shared" si="9"/>
        <v>0</v>
      </c>
      <c r="P71" s="1309"/>
      <c r="Q71" s="475">
        <f t="shared" si="10"/>
        <v>0</v>
      </c>
      <c r="R71" s="1310">
        <f t="shared" si="11"/>
        <v>0</v>
      </c>
      <c r="S71" s="1309"/>
      <c r="T71" s="1307">
        <f t="shared" si="12"/>
        <v>0</v>
      </c>
      <c r="U71" s="1309"/>
      <c r="V71" s="1310">
        <f t="shared" si="13"/>
        <v>0</v>
      </c>
      <c r="W71" s="1308"/>
      <c r="X71" s="1309"/>
      <c r="Y71" s="1310">
        <f t="shared" si="14"/>
        <v>0</v>
      </c>
      <c r="Z71" s="1308"/>
      <c r="AA71" s="1308"/>
      <c r="AB71" s="1309"/>
      <c r="AC71" s="474">
        <f t="shared" si="15"/>
        <v>0</v>
      </c>
    </row>
    <row r="72" spans="1:29" ht="13.5">
      <c r="A72" s="115">
        <v>70</v>
      </c>
      <c r="K72" s="472"/>
      <c r="L72" s="1307">
        <f t="shared" si="8"/>
        <v>0</v>
      </c>
      <c r="M72" s="1308"/>
      <c r="N72" s="1309"/>
      <c r="O72" s="1310">
        <f t="shared" si="9"/>
        <v>0</v>
      </c>
      <c r="P72" s="1309"/>
      <c r="Q72" s="475">
        <f t="shared" si="10"/>
        <v>0</v>
      </c>
      <c r="R72" s="1310">
        <f t="shared" si="11"/>
        <v>0</v>
      </c>
      <c r="S72" s="1309"/>
      <c r="T72" s="1307">
        <f t="shared" si="12"/>
        <v>0</v>
      </c>
      <c r="U72" s="1309"/>
      <c r="V72" s="1310">
        <f t="shared" si="13"/>
        <v>0</v>
      </c>
      <c r="W72" s="1308"/>
      <c r="X72" s="1309"/>
      <c r="Y72" s="1310">
        <f t="shared" si="14"/>
        <v>0</v>
      </c>
      <c r="Z72" s="1308"/>
      <c r="AA72" s="1308"/>
      <c r="AB72" s="1309"/>
      <c r="AC72" s="474">
        <f t="shared" si="15"/>
        <v>0</v>
      </c>
    </row>
    <row r="73" spans="1:29" ht="13.5">
      <c r="A73" s="115">
        <v>71</v>
      </c>
      <c r="K73" s="468"/>
      <c r="L73" s="1307">
        <f t="shared" si="8"/>
        <v>0</v>
      </c>
      <c r="M73" s="1308"/>
      <c r="N73" s="1309"/>
      <c r="O73" s="1310">
        <f t="shared" si="9"/>
        <v>0</v>
      </c>
      <c r="P73" s="1309"/>
      <c r="Q73" s="475">
        <f t="shared" si="10"/>
        <v>0</v>
      </c>
      <c r="R73" s="1310">
        <f t="shared" si="11"/>
        <v>0</v>
      </c>
      <c r="S73" s="1309"/>
      <c r="T73" s="1307">
        <f t="shared" si="12"/>
        <v>0</v>
      </c>
      <c r="U73" s="1309"/>
      <c r="V73" s="1310">
        <f t="shared" si="13"/>
        <v>0</v>
      </c>
      <c r="W73" s="1308"/>
      <c r="X73" s="1309"/>
      <c r="Y73" s="1310">
        <f t="shared" si="14"/>
        <v>0</v>
      </c>
      <c r="Z73" s="1308"/>
      <c r="AA73" s="1308"/>
      <c r="AB73" s="1309"/>
      <c r="AC73" s="474">
        <f t="shared" si="15"/>
        <v>0</v>
      </c>
    </row>
    <row r="74" spans="1:29" ht="13.5" customHeight="1">
      <c r="A74" s="115">
        <v>72</v>
      </c>
      <c r="K74" s="1341" t="s">
        <v>926</v>
      </c>
      <c r="L74" s="1341"/>
      <c r="M74" s="1341"/>
      <c r="N74" s="1341"/>
      <c r="O74" s="1341"/>
      <c r="P74" s="1341"/>
      <c r="Q74" s="1341"/>
      <c r="R74" s="1341"/>
      <c r="S74" s="1341"/>
      <c r="T74" s="1341"/>
      <c r="U74" s="1341"/>
      <c r="V74" s="1341"/>
      <c r="W74" s="1341"/>
      <c r="X74" s="1341"/>
      <c r="Y74" s="1341"/>
      <c r="Z74" s="1341"/>
      <c r="AA74" s="1341"/>
      <c r="AB74" s="1341"/>
      <c r="AC74" s="1341"/>
    </row>
    <row r="75" spans="1:29" ht="13.5" customHeight="1">
      <c r="A75" s="115">
        <v>73</v>
      </c>
      <c r="K75" s="1379" t="str">
        <f>"위와 같이 2024년 ("&amp;E55&amp;")월 『청년 일경험 지원사업(인턴형 일경험)』의 실시결과를"</f>
        <v>위와 같이 2024년 (12)월 『청년 일경험 지원사업(인턴형 일경험)』의 실시결과를</v>
      </c>
      <c r="L75" s="1379"/>
      <c r="M75" s="1379"/>
      <c r="N75" s="1379"/>
      <c r="O75" s="1379"/>
      <c r="P75" s="1379"/>
      <c r="Q75" s="1379"/>
      <c r="R75" s="1379"/>
      <c r="S75" s="1379"/>
      <c r="T75" s="1379"/>
      <c r="U75" s="1379"/>
      <c r="V75" s="1379"/>
      <c r="W75" s="1379"/>
      <c r="X75" s="1379"/>
      <c r="Y75" s="1379"/>
      <c r="Z75" s="1379"/>
      <c r="AA75" s="1379"/>
      <c r="AB75" s="1379"/>
      <c r="AC75" s="1379"/>
    </row>
    <row r="76" spans="1:29" ht="13.5" customHeight="1">
      <c r="A76" s="115">
        <v>74</v>
      </c>
      <c r="K76" s="1379" t="s">
        <v>927</v>
      </c>
      <c r="L76" s="1379"/>
      <c r="M76" s="1379"/>
      <c r="N76" s="1379"/>
      <c r="O76" s="1379"/>
      <c r="P76" s="1379"/>
      <c r="Q76" s="1379"/>
      <c r="R76" s="1379"/>
      <c r="S76" s="1379"/>
      <c r="T76" s="1379"/>
      <c r="U76" s="1379"/>
      <c r="V76" s="1379"/>
      <c r="W76" s="1379"/>
      <c r="X76" s="1379"/>
      <c r="Y76" s="1379"/>
      <c r="Z76" s="1379"/>
      <c r="AA76" s="1379"/>
      <c r="AB76" s="1379"/>
      <c r="AC76" s="1379"/>
    </row>
    <row r="77" spans="1:29" ht="13.5" customHeight="1">
      <c r="A77" s="115">
        <v>75</v>
      </c>
      <c r="K77" s="1300" t="str">
        <f>E56</f>
        <v>0000년 0월 0일</v>
      </c>
      <c r="L77" s="1301"/>
      <c r="M77" s="1301"/>
      <c r="N77" s="1301"/>
      <c r="O77" s="1301"/>
      <c r="P77" s="1301"/>
      <c r="Q77" s="1301"/>
      <c r="R77" s="1301"/>
      <c r="S77" s="1301"/>
      <c r="T77" s="1301"/>
      <c r="U77" s="1301"/>
      <c r="V77" s="1301"/>
      <c r="W77" s="1301"/>
      <c r="X77" s="1301"/>
      <c r="Y77" s="1301"/>
      <c r="Z77" s="1301"/>
      <c r="AA77" s="1301"/>
      <c r="AB77" s="1301"/>
      <c r="AC77" s="1301"/>
    </row>
    <row r="78" spans="1:29" ht="13.5" customHeight="1">
      <c r="A78" s="115">
        <v>76</v>
      </c>
      <c r="K78" s="1217"/>
      <c r="L78" s="1217"/>
      <c r="M78" s="1217"/>
      <c r="N78" s="1217"/>
      <c r="O78" s="1217"/>
      <c r="P78" s="1217"/>
      <c r="Q78" s="1217"/>
      <c r="R78" s="1217"/>
      <c r="S78" s="1302" t="s">
        <v>281</v>
      </c>
      <c r="T78" s="1302"/>
      <c r="U78" s="1302"/>
      <c r="V78" s="1302"/>
      <c r="W78" s="1303">
        <f>E47</f>
        <v>0</v>
      </c>
      <c r="X78" s="1303"/>
      <c r="Y78" s="1303"/>
      <c r="Z78" s="1303"/>
      <c r="AA78" s="1304" t="s">
        <v>282</v>
      </c>
      <c r="AB78" s="1304"/>
      <c r="AC78" s="1304"/>
    </row>
    <row r="79" spans="1:29" ht="13.9" customHeight="1" thickBot="1">
      <c r="A79" s="115">
        <v>77</v>
      </c>
      <c r="K79" s="1305" t="s">
        <v>283</v>
      </c>
      <c r="L79" s="1305"/>
      <c r="M79" s="1305"/>
      <c r="N79" s="1305"/>
      <c r="O79" s="1305"/>
      <c r="P79" s="1305"/>
      <c r="Q79" s="1305"/>
      <c r="R79" s="1305"/>
      <c r="S79" s="1305"/>
      <c r="T79" s="1305"/>
      <c r="U79" s="1305"/>
      <c r="V79" s="1305"/>
      <c r="W79" s="1305"/>
      <c r="X79" s="1306" t="s">
        <v>284</v>
      </c>
      <c r="Y79" s="1306"/>
      <c r="Z79" s="1306"/>
      <c r="AA79" s="1306"/>
      <c r="AB79" s="1306"/>
      <c r="AC79" s="1306"/>
    </row>
    <row r="80" spans="1:29" ht="13.9" thickTop="1">
      <c r="A80" s="115">
        <v>78</v>
      </c>
      <c r="K80" s="1287"/>
      <c r="L80" s="1287"/>
      <c r="M80" s="1287"/>
      <c r="N80" s="1287"/>
      <c r="O80" s="1287"/>
      <c r="P80" s="1287"/>
      <c r="Q80" s="1287"/>
      <c r="R80" s="1287"/>
      <c r="S80" s="1287"/>
      <c r="T80" s="1287"/>
      <c r="U80" s="1287"/>
      <c r="V80" s="1287"/>
      <c r="W80" s="1287"/>
      <c r="X80" s="1287"/>
      <c r="Y80" s="1287"/>
      <c r="Z80" s="1287"/>
      <c r="AA80" s="1287"/>
      <c r="AB80" s="1287"/>
      <c r="AC80" s="1287"/>
    </row>
    <row r="81" spans="1:29" ht="13.5" customHeight="1">
      <c r="A81" s="115">
        <v>79</v>
      </c>
      <c r="K81" s="1288" t="s">
        <v>285</v>
      </c>
      <c r="L81" s="1289"/>
      <c r="M81" s="1294" t="s">
        <v>929</v>
      </c>
      <c r="N81" s="1295"/>
      <c r="O81" s="1295"/>
      <c r="P81" s="1295"/>
      <c r="Q81" s="1295"/>
      <c r="R81" s="1295"/>
      <c r="S81" s="1295"/>
      <c r="T81" s="1295"/>
      <c r="U81" s="1295"/>
      <c r="V81" s="1295"/>
      <c r="W81" s="1295"/>
      <c r="X81" s="1295"/>
      <c r="Y81" s="1295"/>
      <c r="Z81" s="1295"/>
      <c r="AA81" s="1295"/>
      <c r="AB81" s="1295"/>
      <c r="AC81" s="1295"/>
    </row>
    <row r="82" spans="1:29" ht="13.5" customHeight="1">
      <c r="A82" s="115">
        <v>80</v>
      </c>
      <c r="K82" s="1290"/>
      <c r="L82" s="1291"/>
      <c r="M82" s="1296" t="s">
        <v>930</v>
      </c>
      <c r="N82" s="1297"/>
      <c r="O82" s="1297"/>
      <c r="P82" s="1297"/>
      <c r="Q82" s="1297"/>
      <c r="R82" s="1297"/>
      <c r="S82" s="1297"/>
      <c r="T82" s="1297"/>
      <c r="U82" s="1297"/>
      <c r="V82" s="1297"/>
      <c r="W82" s="1297"/>
      <c r="X82" s="1297"/>
      <c r="Y82" s="1297"/>
      <c r="Z82" s="1297"/>
      <c r="AA82" s="1297"/>
      <c r="AB82" s="1297"/>
      <c r="AC82" s="1297"/>
    </row>
    <row r="83" spans="1:29" ht="13.5" customHeight="1">
      <c r="A83" s="115">
        <v>81</v>
      </c>
      <c r="K83" s="1292"/>
      <c r="L83" s="1293"/>
      <c r="M83" s="1298" t="s">
        <v>931</v>
      </c>
      <c r="N83" s="1299"/>
      <c r="O83" s="1299"/>
      <c r="P83" s="1299"/>
      <c r="Q83" s="1299"/>
      <c r="R83" s="1299"/>
      <c r="S83" s="1299"/>
      <c r="T83" s="1299"/>
      <c r="U83" s="1299"/>
      <c r="V83" s="1299"/>
      <c r="W83" s="1299"/>
      <c r="X83" s="1299"/>
      <c r="Y83" s="1299"/>
      <c r="Z83" s="1299"/>
      <c r="AA83" s="1299"/>
      <c r="AB83" s="1299"/>
      <c r="AC83" s="1299"/>
    </row>
  </sheetData>
  <mergeCells count="402">
    <mergeCell ref="C66:D66"/>
    <mergeCell ref="F66:G66"/>
    <mergeCell ref="C67:D67"/>
    <mergeCell ref="F67:G67"/>
    <mergeCell ref="B69:I69"/>
    <mergeCell ref="B27:I27"/>
    <mergeCell ref="H24:I24"/>
    <mergeCell ref="H25:I25"/>
    <mergeCell ref="H66:I66"/>
    <mergeCell ref="H67:I67"/>
    <mergeCell ref="C24:D24"/>
    <mergeCell ref="C25:D25"/>
    <mergeCell ref="F24:G24"/>
    <mergeCell ref="F25:G25"/>
    <mergeCell ref="H45:I45"/>
    <mergeCell ref="H46:I46"/>
    <mergeCell ref="H47:I47"/>
    <mergeCell ref="H48:I48"/>
    <mergeCell ref="H49:I49"/>
    <mergeCell ref="B44:I44"/>
    <mergeCell ref="B46:B56"/>
    <mergeCell ref="C56:D56"/>
    <mergeCell ref="E56:F56"/>
    <mergeCell ref="B58:B64"/>
    <mergeCell ref="K80:AC80"/>
    <mergeCell ref="K81:L83"/>
    <mergeCell ref="M81:AC81"/>
    <mergeCell ref="M82:AC82"/>
    <mergeCell ref="M83:AC83"/>
    <mergeCell ref="E3:F3"/>
    <mergeCell ref="H3:I3"/>
    <mergeCell ref="H4:I4"/>
    <mergeCell ref="H5:I5"/>
    <mergeCell ref="H6:I6"/>
    <mergeCell ref="H7:I7"/>
    <mergeCell ref="H8:I8"/>
    <mergeCell ref="K74:AC74"/>
    <mergeCell ref="K75:AC75"/>
    <mergeCell ref="K76:AC76"/>
    <mergeCell ref="K77:AC77"/>
    <mergeCell ref="K78:R78"/>
    <mergeCell ref="S78:V78"/>
    <mergeCell ref="W78:Z78"/>
    <mergeCell ref="AA78:AC78"/>
    <mergeCell ref="K79:W79"/>
    <mergeCell ref="X79:AC79"/>
    <mergeCell ref="L72:N72"/>
    <mergeCell ref="O72:P72"/>
    <mergeCell ref="R72:S72"/>
    <mergeCell ref="T72:U72"/>
    <mergeCell ref="V72:X72"/>
    <mergeCell ref="Y72:AB72"/>
    <mergeCell ref="L73:N73"/>
    <mergeCell ref="O73:P73"/>
    <mergeCell ref="R73:S73"/>
    <mergeCell ref="T73:U73"/>
    <mergeCell ref="V73:X73"/>
    <mergeCell ref="Y73:AB73"/>
    <mergeCell ref="L70:N70"/>
    <mergeCell ref="O70:P70"/>
    <mergeCell ref="R70:S70"/>
    <mergeCell ref="T70:U70"/>
    <mergeCell ref="V70:X70"/>
    <mergeCell ref="Y70:AB70"/>
    <mergeCell ref="L71:N71"/>
    <mergeCell ref="O71:P71"/>
    <mergeCell ref="R71:S71"/>
    <mergeCell ref="T71:U71"/>
    <mergeCell ref="V71:X71"/>
    <mergeCell ref="Y71:AB71"/>
    <mergeCell ref="L68:N68"/>
    <mergeCell ref="O68:P68"/>
    <mergeCell ref="R68:S68"/>
    <mergeCell ref="T68:U68"/>
    <mergeCell ref="V68:X68"/>
    <mergeCell ref="Y68:AB68"/>
    <mergeCell ref="L69:N69"/>
    <mergeCell ref="O69:P69"/>
    <mergeCell ref="R69:S69"/>
    <mergeCell ref="T69:U69"/>
    <mergeCell ref="V69:X69"/>
    <mergeCell ref="Y69:AB69"/>
    <mergeCell ref="L66:N66"/>
    <mergeCell ref="O66:P66"/>
    <mergeCell ref="R66:S66"/>
    <mergeCell ref="T66:U66"/>
    <mergeCell ref="V66:X66"/>
    <mergeCell ref="Y66:AB66"/>
    <mergeCell ref="L67:N67"/>
    <mergeCell ref="O67:P67"/>
    <mergeCell ref="R67:S67"/>
    <mergeCell ref="T67:U67"/>
    <mergeCell ref="V67:X67"/>
    <mergeCell ref="Y67:AB67"/>
    <mergeCell ref="L64:N64"/>
    <mergeCell ref="O64:P64"/>
    <mergeCell ref="R64:S64"/>
    <mergeCell ref="T64:U64"/>
    <mergeCell ref="V64:X64"/>
    <mergeCell ref="Y64:AB64"/>
    <mergeCell ref="L65:N65"/>
    <mergeCell ref="O65:P65"/>
    <mergeCell ref="R65:S65"/>
    <mergeCell ref="T65:U65"/>
    <mergeCell ref="V65:X65"/>
    <mergeCell ref="Y65:AB65"/>
    <mergeCell ref="K61:AC61"/>
    <mergeCell ref="L62:N63"/>
    <mergeCell ref="O62:P62"/>
    <mergeCell ref="Q62:Q63"/>
    <mergeCell ref="R62:S63"/>
    <mergeCell ref="T62:U63"/>
    <mergeCell ref="V62:X63"/>
    <mergeCell ref="Y62:AC62"/>
    <mergeCell ref="O63:P63"/>
    <mergeCell ref="Y63:AB63"/>
    <mergeCell ref="K58:AC58"/>
    <mergeCell ref="K59:M59"/>
    <mergeCell ref="N59:O59"/>
    <mergeCell ref="P59:S59"/>
    <mergeCell ref="T59:Y59"/>
    <mergeCell ref="Z59:AC59"/>
    <mergeCell ref="K60:M60"/>
    <mergeCell ref="N60:O60"/>
    <mergeCell ref="P60:S60"/>
    <mergeCell ref="T60:Y60"/>
    <mergeCell ref="Z60:AC60"/>
    <mergeCell ref="K51:AC51"/>
    <mergeCell ref="K52:AC52"/>
    <mergeCell ref="K53:K57"/>
    <mergeCell ref="L53:O53"/>
    <mergeCell ref="P53:T53"/>
    <mergeCell ref="U53:X53"/>
    <mergeCell ref="Y53:AC53"/>
    <mergeCell ref="L54:O54"/>
    <mergeCell ref="P54:AC54"/>
    <mergeCell ref="L55:O55"/>
    <mergeCell ref="P55:S55"/>
    <mergeCell ref="T55:AA55"/>
    <mergeCell ref="AB55:AC55"/>
    <mergeCell ref="L56:O56"/>
    <mergeCell ref="P56:AC56"/>
    <mergeCell ref="L57:O57"/>
    <mergeCell ref="P57:AC57"/>
    <mergeCell ref="L48:O48"/>
    <mergeCell ref="P48:T48"/>
    <mergeCell ref="U48:X48"/>
    <mergeCell ref="Y48:AC48"/>
    <mergeCell ref="L49:O49"/>
    <mergeCell ref="P49:T50"/>
    <mergeCell ref="U49:X50"/>
    <mergeCell ref="Y49:AC50"/>
    <mergeCell ref="L50:O50"/>
    <mergeCell ref="K44:AC44"/>
    <mergeCell ref="L45:O45"/>
    <mergeCell ref="P45:T45"/>
    <mergeCell ref="U45:X45"/>
    <mergeCell ref="Y45:AC45"/>
    <mergeCell ref="L46:O46"/>
    <mergeCell ref="P46:AC46"/>
    <mergeCell ref="L47:O47"/>
    <mergeCell ref="P47:T47"/>
    <mergeCell ref="U47:X47"/>
    <mergeCell ref="Y47:AC47"/>
    <mergeCell ref="C64:D64"/>
    <mergeCell ref="E64:F64"/>
    <mergeCell ref="B66:B67"/>
    <mergeCell ref="H50:I50"/>
    <mergeCell ref="H51:I51"/>
    <mergeCell ref="H52:I52"/>
    <mergeCell ref="H53:I53"/>
    <mergeCell ref="H54:I54"/>
    <mergeCell ref="H55:I55"/>
    <mergeCell ref="H56:I56"/>
    <mergeCell ref="H58:I58"/>
    <mergeCell ref="H59:I59"/>
    <mergeCell ref="H60:I60"/>
    <mergeCell ref="H61:I61"/>
    <mergeCell ref="H62:I62"/>
    <mergeCell ref="H63:I63"/>
    <mergeCell ref="H64:I64"/>
    <mergeCell ref="E55:F55"/>
    <mergeCell ref="C58:D58"/>
    <mergeCell ref="E58:F58"/>
    <mergeCell ref="C59:D59"/>
    <mergeCell ref="E59:F59"/>
    <mergeCell ref="C60:D60"/>
    <mergeCell ref="E60:F60"/>
    <mergeCell ref="C61:D61"/>
    <mergeCell ref="E61:F61"/>
    <mergeCell ref="C62:D62"/>
    <mergeCell ref="E62:F62"/>
    <mergeCell ref="C63:D63"/>
    <mergeCell ref="E63:F63"/>
    <mergeCell ref="C45:D45"/>
    <mergeCell ref="E45:F45"/>
    <mergeCell ref="C46:D46"/>
    <mergeCell ref="E46:F46"/>
    <mergeCell ref="C47:D47"/>
    <mergeCell ref="E47:F47"/>
    <mergeCell ref="C48:D48"/>
    <mergeCell ref="E48:F48"/>
    <mergeCell ref="C49:D49"/>
    <mergeCell ref="E49:F49"/>
    <mergeCell ref="C50:D50"/>
    <mergeCell ref="E50:F50"/>
    <mergeCell ref="C51:D51"/>
    <mergeCell ref="E51:F51"/>
    <mergeCell ref="C52:D52"/>
    <mergeCell ref="E52:F52"/>
    <mergeCell ref="C53:D53"/>
    <mergeCell ref="E53:F53"/>
    <mergeCell ref="C54:D54"/>
    <mergeCell ref="E54:F54"/>
    <mergeCell ref="C55:D55"/>
    <mergeCell ref="C4:D4"/>
    <mergeCell ref="E4:F4"/>
    <mergeCell ref="C5:D5"/>
    <mergeCell ref="E5:F5"/>
    <mergeCell ref="C6:D6"/>
    <mergeCell ref="C3:D3"/>
    <mergeCell ref="B2:I2"/>
    <mergeCell ref="H9:I9"/>
    <mergeCell ref="H10:I10"/>
    <mergeCell ref="H11:I11"/>
    <mergeCell ref="H12:I12"/>
    <mergeCell ref="H13:I13"/>
    <mergeCell ref="H14:I14"/>
    <mergeCell ref="H16:I16"/>
    <mergeCell ref="H17:I17"/>
    <mergeCell ref="E6:F6"/>
    <mergeCell ref="C7:D7"/>
    <mergeCell ref="E7:F7"/>
    <mergeCell ref="B4:B14"/>
    <mergeCell ref="H18:I18"/>
    <mergeCell ref="H19:I19"/>
    <mergeCell ref="H20:I20"/>
    <mergeCell ref="H21:I21"/>
    <mergeCell ref="H22:I22"/>
    <mergeCell ref="E8:F8"/>
    <mergeCell ref="C9:D9"/>
    <mergeCell ref="E9:F9"/>
    <mergeCell ref="C10:D10"/>
    <mergeCell ref="E10:F10"/>
    <mergeCell ref="C8:D8"/>
    <mergeCell ref="E14:F14"/>
    <mergeCell ref="C16:D16"/>
    <mergeCell ref="E16:F16"/>
    <mergeCell ref="C17:D17"/>
    <mergeCell ref="E17:F17"/>
    <mergeCell ref="C11:D11"/>
    <mergeCell ref="E11:F11"/>
    <mergeCell ref="C12:D12"/>
    <mergeCell ref="E13:F13"/>
    <mergeCell ref="C14:D14"/>
    <mergeCell ref="E12:F12"/>
    <mergeCell ref="C13:D13"/>
    <mergeCell ref="K32:AC32"/>
    <mergeCell ref="K33:AC33"/>
    <mergeCell ref="K34:AC34"/>
    <mergeCell ref="L28:N28"/>
    <mergeCell ref="O28:P28"/>
    <mergeCell ref="R28:S28"/>
    <mergeCell ref="T28:U28"/>
    <mergeCell ref="L26:N26"/>
    <mergeCell ref="O26:P26"/>
    <mergeCell ref="R26:S26"/>
    <mergeCell ref="T26:U26"/>
    <mergeCell ref="V26:X26"/>
    <mergeCell ref="Y26:AB26"/>
    <mergeCell ref="L27:N27"/>
    <mergeCell ref="O27:P27"/>
    <mergeCell ref="R27:S27"/>
    <mergeCell ref="T27:U27"/>
    <mergeCell ref="V27:X27"/>
    <mergeCell ref="Y27:AB27"/>
    <mergeCell ref="L3:O3"/>
    <mergeCell ref="P3:T3"/>
    <mergeCell ref="U3:X3"/>
    <mergeCell ref="Y3:AC3"/>
    <mergeCell ref="L4:O4"/>
    <mergeCell ref="P4:AC4"/>
    <mergeCell ref="B16:B22"/>
    <mergeCell ref="B24:B25"/>
    <mergeCell ref="C20:D20"/>
    <mergeCell ref="C21:D21"/>
    <mergeCell ref="E20:F20"/>
    <mergeCell ref="E21:F21"/>
    <mergeCell ref="T20:U21"/>
    <mergeCell ref="L24:N24"/>
    <mergeCell ref="O24:P24"/>
    <mergeCell ref="R24:S24"/>
    <mergeCell ref="T24:U24"/>
    <mergeCell ref="C22:D22"/>
    <mergeCell ref="E22:F22"/>
    <mergeCell ref="C19:D19"/>
    <mergeCell ref="E19:F19"/>
    <mergeCell ref="K18:M18"/>
    <mergeCell ref="C18:D18"/>
    <mergeCell ref="E18:F18"/>
    <mergeCell ref="L7:O7"/>
    <mergeCell ref="L8:O8"/>
    <mergeCell ref="P7:T8"/>
    <mergeCell ref="U7:X8"/>
    <mergeCell ref="Y7:AC8"/>
    <mergeCell ref="K9:AC9"/>
    <mergeCell ref="L5:O5"/>
    <mergeCell ref="P5:T5"/>
    <mergeCell ref="U5:X5"/>
    <mergeCell ref="Y5:AC5"/>
    <mergeCell ref="L6:O6"/>
    <mergeCell ref="P6:T6"/>
    <mergeCell ref="U6:X6"/>
    <mergeCell ref="Y6:AC6"/>
    <mergeCell ref="K10:AC10"/>
    <mergeCell ref="K11:K15"/>
    <mergeCell ref="L11:O11"/>
    <mergeCell ref="P11:T11"/>
    <mergeCell ref="U11:X11"/>
    <mergeCell ref="Y11:AC11"/>
    <mergeCell ref="L12:O12"/>
    <mergeCell ref="P12:AC12"/>
    <mergeCell ref="L13:O13"/>
    <mergeCell ref="P13:S13"/>
    <mergeCell ref="K16:AC16"/>
    <mergeCell ref="K17:M17"/>
    <mergeCell ref="N17:O17"/>
    <mergeCell ref="P17:S17"/>
    <mergeCell ref="T17:Y17"/>
    <mergeCell ref="Z17:AC17"/>
    <mergeCell ref="T13:AA13"/>
    <mergeCell ref="AB13:AC13"/>
    <mergeCell ref="L14:O14"/>
    <mergeCell ref="P14:AC14"/>
    <mergeCell ref="L15:O15"/>
    <mergeCell ref="P15:AC15"/>
    <mergeCell ref="N18:O18"/>
    <mergeCell ref="P18:S18"/>
    <mergeCell ref="T18:Y18"/>
    <mergeCell ref="Z18:AC18"/>
    <mergeCell ref="K19:AC19"/>
    <mergeCell ref="L20:N21"/>
    <mergeCell ref="O20:P20"/>
    <mergeCell ref="O21:P21"/>
    <mergeCell ref="Q20:Q21"/>
    <mergeCell ref="R20:S21"/>
    <mergeCell ref="V20:X21"/>
    <mergeCell ref="Y20:AC20"/>
    <mergeCell ref="Y21:AB21"/>
    <mergeCell ref="L22:N22"/>
    <mergeCell ref="O22:P22"/>
    <mergeCell ref="R22:S22"/>
    <mergeCell ref="T22:U22"/>
    <mergeCell ref="V22:X22"/>
    <mergeCell ref="Y22:AB22"/>
    <mergeCell ref="L29:N29"/>
    <mergeCell ref="O29:P29"/>
    <mergeCell ref="R29:S29"/>
    <mergeCell ref="T29:U29"/>
    <mergeCell ref="V29:X29"/>
    <mergeCell ref="Y29:AB29"/>
    <mergeCell ref="L23:N23"/>
    <mergeCell ref="O23:P23"/>
    <mergeCell ref="R23:S23"/>
    <mergeCell ref="T23:U23"/>
    <mergeCell ref="V23:X23"/>
    <mergeCell ref="Y23:AB23"/>
    <mergeCell ref="O25:P25"/>
    <mergeCell ref="R25:S25"/>
    <mergeCell ref="T25:U25"/>
    <mergeCell ref="V25:X25"/>
    <mergeCell ref="Y25:AB25"/>
    <mergeCell ref="R30:S30"/>
    <mergeCell ref="T30:U30"/>
    <mergeCell ref="V30:X30"/>
    <mergeCell ref="Y30:AB30"/>
    <mergeCell ref="V28:X28"/>
    <mergeCell ref="Y28:AB28"/>
    <mergeCell ref="K38:AC38"/>
    <mergeCell ref="K39:L41"/>
    <mergeCell ref="M39:AC39"/>
    <mergeCell ref="M40:AC40"/>
    <mergeCell ref="M41:AC41"/>
    <mergeCell ref="K2:AC2"/>
    <mergeCell ref="K35:AC35"/>
    <mergeCell ref="K36:R36"/>
    <mergeCell ref="S36:V36"/>
    <mergeCell ref="W36:Z36"/>
    <mergeCell ref="AA36:AC36"/>
    <mergeCell ref="K37:W37"/>
    <mergeCell ref="X37:AC37"/>
    <mergeCell ref="L31:N31"/>
    <mergeCell ref="O31:P31"/>
    <mergeCell ref="R31:S31"/>
    <mergeCell ref="T31:U31"/>
    <mergeCell ref="V31:X31"/>
    <mergeCell ref="Y31:AB31"/>
    <mergeCell ref="L30:N30"/>
    <mergeCell ref="O30:P30"/>
    <mergeCell ref="V24:X24"/>
    <mergeCell ref="Y24:AB24"/>
    <mergeCell ref="L25:N25"/>
  </mergeCells>
  <phoneticPr fontId="1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A9001-9400-473C-80BF-B949DAFEF943}">
  <sheetPr codeName="Sheet8"/>
  <dimension ref="A1:AL65"/>
  <sheetViews>
    <sheetView topLeftCell="A14" workbookViewId="0"/>
    <sheetView workbookViewId="1"/>
  </sheetViews>
  <sheetFormatPr defaultRowHeight="12.75"/>
  <cols>
    <col min="1" max="1" width="14" customWidth="1"/>
    <col min="2" max="2" width="30" bestFit="1" customWidth="1"/>
    <col min="3" max="3" width="42" bestFit="1" customWidth="1"/>
  </cols>
  <sheetData>
    <row r="1" spans="1:38" ht="13.15">
      <c r="A1" s="1" t="s">
        <v>287</v>
      </c>
      <c r="B1" s="4">
        <v>1</v>
      </c>
      <c r="C1" s="4">
        <v>2</v>
      </c>
      <c r="D1" s="25">
        <v>3</v>
      </c>
      <c r="E1" s="4">
        <v>4</v>
      </c>
      <c r="F1" s="25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5.5">
      <c r="A2" s="3">
        <v>0</v>
      </c>
      <c r="B2" s="1121" t="s">
        <v>83</v>
      </c>
      <c r="C2" s="1122"/>
      <c r="D2" s="29"/>
      <c r="E2" s="26"/>
      <c r="F2" s="30"/>
      <c r="G2" s="27"/>
    </row>
    <row r="3" spans="1:38" ht="22.5" customHeight="1">
      <c r="A3" s="3">
        <v>1</v>
      </c>
      <c r="B3" s="1119" t="s">
        <v>55</v>
      </c>
      <c r="C3" s="1120"/>
      <c r="D3" s="28"/>
      <c r="E3" s="1123" t="s">
        <v>297</v>
      </c>
      <c r="F3" s="1124"/>
      <c r="G3" s="1124"/>
      <c r="H3" s="1124"/>
      <c r="I3" s="1124"/>
      <c r="J3" s="1124"/>
      <c r="K3" s="1124"/>
      <c r="L3" s="1124"/>
      <c r="M3" s="1124"/>
      <c r="N3" s="1124"/>
      <c r="O3" s="1125"/>
    </row>
    <row r="4" spans="1:38" ht="17.25" thickBot="1">
      <c r="A4" s="3">
        <v>2</v>
      </c>
      <c r="B4" s="31" t="s">
        <v>42</v>
      </c>
      <c r="C4" s="15" t="s">
        <v>68</v>
      </c>
      <c r="D4" s="18"/>
      <c r="E4" s="1126" t="s">
        <v>298</v>
      </c>
      <c r="F4" s="1127"/>
      <c r="G4" s="1127"/>
      <c r="H4" s="1127"/>
      <c r="I4" s="1127"/>
      <c r="J4" s="1127"/>
      <c r="K4" s="1127"/>
      <c r="L4" s="1127"/>
      <c r="M4" s="1127"/>
      <c r="N4" s="1127"/>
      <c r="O4" s="1127"/>
    </row>
    <row r="5" spans="1:38" ht="17.25" thickTop="1">
      <c r="A5" s="3">
        <v>3</v>
      </c>
      <c r="B5" s="5" t="s">
        <v>43</v>
      </c>
      <c r="C5" s="8" t="s">
        <v>62</v>
      </c>
      <c r="D5" s="18"/>
      <c r="E5" s="135" t="s">
        <v>299</v>
      </c>
      <c r="F5" s="1108" t="s">
        <v>299</v>
      </c>
      <c r="G5" s="1109"/>
      <c r="H5" s="1109"/>
      <c r="I5" s="1110"/>
      <c r="J5" s="1106" t="s">
        <v>278</v>
      </c>
      <c r="K5" s="1128"/>
      <c r="L5" s="1107"/>
      <c r="M5" s="1129" t="s">
        <v>278</v>
      </c>
      <c r="N5" s="1130"/>
      <c r="O5" s="1131"/>
    </row>
    <row r="6" spans="1:38" ht="16.899999999999999">
      <c r="A6" s="3">
        <v>4</v>
      </c>
      <c r="B6" s="5" t="s">
        <v>44</v>
      </c>
      <c r="C6" s="7" t="s">
        <v>69</v>
      </c>
      <c r="D6" s="19"/>
      <c r="E6" s="136" t="s">
        <v>2</v>
      </c>
      <c r="F6" s="1076" t="s">
        <v>2</v>
      </c>
      <c r="G6" s="1077"/>
      <c r="H6" s="1077"/>
      <c r="I6" s="1132"/>
      <c r="J6" s="1133" t="s">
        <v>300</v>
      </c>
      <c r="K6" s="1134"/>
      <c r="L6" s="1135"/>
      <c r="M6" s="1136" t="s">
        <v>300</v>
      </c>
      <c r="N6" s="1137"/>
      <c r="O6" s="1138"/>
    </row>
    <row r="7" spans="1:38" ht="16.899999999999999">
      <c r="A7" s="3">
        <v>5</v>
      </c>
      <c r="B7" s="5" t="s">
        <v>45</v>
      </c>
      <c r="C7" s="8" t="s">
        <v>70</v>
      </c>
      <c r="D7" s="18"/>
      <c r="E7" s="1083" t="s">
        <v>301</v>
      </c>
      <c r="F7" s="138" t="s">
        <v>302</v>
      </c>
      <c r="G7" s="1139" t="s">
        <v>303</v>
      </c>
      <c r="H7" s="1139"/>
      <c r="I7" s="1139"/>
      <c r="J7" s="1139"/>
      <c r="K7" s="1139"/>
      <c r="L7" s="1139"/>
      <c r="M7" s="1139"/>
      <c r="N7" s="1139"/>
      <c r="O7" s="1140"/>
    </row>
    <row r="8" spans="1:38" ht="16.899999999999999">
      <c r="A8" s="3">
        <v>6</v>
      </c>
      <c r="B8" s="5" t="s">
        <v>46</v>
      </c>
      <c r="C8" s="8" t="s">
        <v>71</v>
      </c>
      <c r="D8" s="18"/>
      <c r="E8" s="1085"/>
      <c r="F8" s="139" t="s">
        <v>304</v>
      </c>
      <c r="G8" s="1141" t="s">
        <v>305</v>
      </c>
      <c r="H8" s="1141"/>
      <c r="I8" s="1141"/>
      <c r="J8" s="1141"/>
      <c r="K8" s="1141"/>
      <c r="L8" s="1141"/>
      <c r="M8" s="1141"/>
      <c r="N8" s="1141"/>
      <c r="O8" s="1142"/>
    </row>
    <row r="9" spans="1:38" ht="16.899999999999999">
      <c r="A9" s="3">
        <v>7</v>
      </c>
      <c r="B9" s="5" t="s">
        <v>47</v>
      </c>
      <c r="C9" s="8" t="s">
        <v>71</v>
      </c>
      <c r="D9" s="18"/>
      <c r="E9" s="136" t="s">
        <v>306</v>
      </c>
      <c r="F9" s="1076" t="s">
        <v>306</v>
      </c>
      <c r="G9" s="1077"/>
      <c r="H9" s="1077"/>
      <c r="I9" s="1077"/>
      <c r="J9" s="1077"/>
      <c r="K9" s="1077"/>
      <c r="L9" s="1077"/>
      <c r="M9" s="1077"/>
      <c r="N9" s="1077"/>
      <c r="O9" s="1078"/>
    </row>
    <row r="10" spans="1:38" ht="25.5">
      <c r="A10" s="3">
        <v>8</v>
      </c>
      <c r="B10" s="5" t="s">
        <v>48</v>
      </c>
      <c r="C10" s="42" t="s">
        <v>63</v>
      </c>
      <c r="D10" s="18"/>
      <c r="E10" s="137" t="s">
        <v>307</v>
      </c>
      <c r="F10" s="1143" t="s">
        <v>309</v>
      </c>
      <c r="G10" s="1144"/>
      <c r="H10" s="1144"/>
      <c r="I10" s="1144"/>
      <c r="J10" s="1144"/>
      <c r="K10" s="1144"/>
      <c r="L10" s="1144"/>
      <c r="M10" s="1144"/>
      <c r="N10" s="1144"/>
      <c r="O10" s="1145"/>
    </row>
    <row r="11" spans="1:38" ht="19.149999999999999" thickBot="1">
      <c r="A11" s="3">
        <v>9</v>
      </c>
      <c r="B11" s="5" t="s">
        <v>49</v>
      </c>
      <c r="C11" s="8" t="s">
        <v>72</v>
      </c>
      <c r="D11" s="20"/>
      <c r="E11" s="140" t="s">
        <v>308</v>
      </c>
      <c r="F11" s="1146"/>
      <c r="G11" s="1147"/>
      <c r="H11" s="1147"/>
      <c r="I11" s="1147"/>
      <c r="J11" s="1147"/>
      <c r="K11" s="1147"/>
      <c r="L11" s="1147"/>
      <c r="M11" s="1147"/>
      <c r="N11" s="1147"/>
      <c r="O11" s="1148"/>
    </row>
    <row r="12" spans="1:38" ht="19.5" thickTop="1" thickBot="1">
      <c r="A12" s="3">
        <v>10</v>
      </c>
      <c r="B12" s="17"/>
      <c r="C12" s="49"/>
      <c r="D12" s="50"/>
      <c r="E12" s="1102"/>
      <c r="F12" s="1103"/>
      <c r="G12" s="1103"/>
      <c r="H12" s="1103"/>
      <c r="I12" s="1103"/>
      <c r="J12" s="1103"/>
      <c r="K12" s="1103"/>
      <c r="L12" s="1103"/>
      <c r="M12" s="1103"/>
      <c r="N12" s="1103"/>
      <c r="O12" s="1103"/>
    </row>
    <row r="13" spans="1:38" ht="25.9" thickTop="1">
      <c r="A13" s="3">
        <v>11</v>
      </c>
      <c r="B13" s="5" t="s">
        <v>50</v>
      </c>
      <c r="C13" s="32" t="s">
        <v>73</v>
      </c>
      <c r="D13" s="21"/>
      <c r="E13" s="1104" t="s">
        <v>279</v>
      </c>
      <c r="F13" s="1106" t="s">
        <v>310</v>
      </c>
      <c r="G13" s="1107"/>
      <c r="H13" s="1108" t="s">
        <v>311</v>
      </c>
      <c r="I13" s="1109"/>
      <c r="J13" s="1110"/>
      <c r="K13" s="141" t="s">
        <v>115</v>
      </c>
      <c r="L13" s="1108" t="s">
        <v>312</v>
      </c>
      <c r="M13" s="1110"/>
      <c r="N13" s="141" t="s">
        <v>313</v>
      </c>
      <c r="O13" s="142" t="s">
        <v>314</v>
      </c>
    </row>
    <row r="14" spans="1:38" ht="17.25" thickBot="1">
      <c r="A14" s="3">
        <v>12</v>
      </c>
      <c r="B14" s="5" t="s">
        <v>51</v>
      </c>
      <c r="C14" s="33" t="s">
        <v>74</v>
      </c>
      <c r="D14" s="23"/>
      <c r="E14" s="1105"/>
      <c r="F14" s="1111" t="s">
        <v>280</v>
      </c>
      <c r="G14" s="1112"/>
      <c r="H14" s="1113" t="s">
        <v>315</v>
      </c>
      <c r="I14" s="1114"/>
      <c r="J14" s="1115"/>
      <c r="K14" s="143" t="s">
        <v>20</v>
      </c>
      <c r="L14" s="1116" t="s">
        <v>316</v>
      </c>
      <c r="M14" s="1117"/>
      <c r="N14" s="1117"/>
      <c r="O14" s="1118"/>
    </row>
    <row r="15" spans="1:38" ht="17.649999999999999" thickTop="1" thickBot="1">
      <c r="A15" s="3">
        <v>13</v>
      </c>
      <c r="B15" s="5" t="s">
        <v>52</v>
      </c>
      <c r="C15" s="34" t="s">
        <v>75</v>
      </c>
      <c r="D15" s="22"/>
      <c r="E15" s="1079" t="s">
        <v>317</v>
      </c>
      <c r="F15" s="1079"/>
      <c r="G15" s="1079"/>
      <c r="H15" s="1079"/>
      <c r="I15" s="1079"/>
      <c r="J15" s="1079"/>
      <c r="K15" s="1079"/>
      <c r="L15" s="1079"/>
      <c r="M15" s="1079"/>
      <c r="N15" s="1079"/>
      <c r="O15" s="1079"/>
    </row>
    <row r="16" spans="1:38" ht="17.25" thickTop="1">
      <c r="A16" s="3">
        <v>14</v>
      </c>
      <c r="B16" s="5" t="s">
        <v>53</v>
      </c>
      <c r="C16" s="33" t="s">
        <v>64</v>
      </c>
      <c r="D16" s="22"/>
      <c r="E16" s="135" t="s">
        <v>318</v>
      </c>
      <c r="F16" s="1080" t="s">
        <v>319</v>
      </c>
      <c r="G16" s="1081"/>
      <c r="H16" s="1081"/>
      <c r="I16" s="1081"/>
      <c r="J16" s="1081"/>
      <c r="K16" s="1081"/>
      <c r="L16" s="1081"/>
      <c r="M16" s="1081"/>
      <c r="N16" s="1081"/>
      <c r="O16" s="1082"/>
    </row>
    <row r="17" spans="1:15" ht="16.899999999999999">
      <c r="A17" s="3">
        <v>15</v>
      </c>
      <c r="B17" s="5" t="s">
        <v>54</v>
      </c>
      <c r="C17" s="43" t="s">
        <v>65</v>
      </c>
      <c r="D17" s="22"/>
      <c r="E17" s="1083" t="s">
        <v>320</v>
      </c>
      <c r="F17" s="1045" t="s">
        <v>321</v>
      </c>
      <c r="G17" s="1046"/>
      <c r="H17" s="1086"/>
      <c r="I17" s="1087" t="s">
        <v>322</v>
      </c>
      <c r="J17" s="1088"/>
      <c r="K17" s="1088"/>
      <c r="L17" s="1088"/>
      <c r="M17" s="1088"/>
      <c r="N17" s="1088"/>
      <c r="O17" s="1089"/>
    </row>
    <row r="18" spans="1:15" ht="18.75">
      <c r="A18" s="3">
        <v>16</v>
      </c>
      <c r="B18" s="1119" t="s">
        <v>76</v>
      </c>
      <c r="C18" s="1120"/>
      <c r="D18" s="24"/>
      <c r="E18" s="1084"/>
      <c r="F18" s="1045" t="s">
        <v>323</v>
      </c>
      <c r="G18" s="1046"/>
      <c r="H18" s="1086"/>
      <c r="I18" s="1087" t="s">
        <v>324</v>
      </c>
      <c r="J18" s="1088"/>
      <c r="K18" s="1088"/>
      <c r="L18" s="1088"/>
      <c r="M18" s="1088"/>
      <c r="N18" s="1088"/>
      <c r="O18" s="1089"/>
    </row>
    <row r="19" spans="1:15" ht="19.149999999999999">
      <c r="A19" s="3">
        <v>17</v>
      </c>
      <c r="B19" s="133" t="s">
        <v>288</v>
      </c>
      <c r="D19" s="22"/>
      <c r="E19" s="1084"/>
      <c r="F19" s="1090" t="s">
        <v>325</v>
      </c>
      <c r="G19" s="1091"/>
      <c r="H19" s="1092"/>
      <c r="I19" s="1096" t="s">
        <v>326</v>
      </c>
      <c r="J19" s="1097"/>
      <c r="K19" s="1097"/>
      <c r="L19" s="1097"/>
      <c r="M19" s="1097"/>
      <c r="N19" s="1097"/>
      <c r="O19" s="1098"/>
    </row>
    <row r="20" spans="1:15" ht="16.899999999999999">
      <c r="A20" s="3">
        <v>18</v>
      </c>
      <c r="B20" s="5" t="s">
        <v>56</v>
      </c>
      <c r="C20" s="33" t="s">
        <v>67</v>
      </c>
      <c r="D20" s="22"/>
      <c r="E20" s="1084"/>
      <c r="F20" s="1093"/>
      <c r="G20" s="1094"/>
      <c r="H20" s="1095"/>
      <c r="I20" s="1099" t="s">
        <v>327</v>
      </c>
      <c r="J20" s="1100"/>
      <c r="K20" s="1100"/>
      <c r="L20" s="1100"/>
      <c r="M20" s="1100"/>
      <c r="N20" s="1100"/>
      <c r="O20" s="1101"/>
    </row>
    <row r="21" spans="1:15" ht="16.899999999999999">
      <c r="A21" s="3">
        <v>19</v>
      </c>
      <c r="B21" s="5" t="s">
        <v>57</v>
      </c>
      <c r="C21" s="33" t="s">
        <v>77</v>
      </c>
      <c r="D21" s="22"/>
      <c r="E21" s="1085"/>
      <c r="F21" s="1045" t="s">
        <v>328</v>
      </c>
      <c r="G21" s="1046"/>
      <c r="H21" s="1086"/>
      <c r="I21" s="1087" t="s">
        <v>329</v>
      </c>
      <c r="J21" s="1088"/>
      <c r="K21" s="1088"/>
      <c r="L21" s="1088"/>
      <c r="M21" s="1088"/>
      <c r="N21" s="1088"/>
      <c r="O21" s="1089"/>
    </row>
    <row r="22" spans="1:15" ht="17.25" thickBot="1">
      <c r="A22" s="3">
        <v>20</v>
      </c>
      <c r="B22" s="5" t="s">
        <v>58</v>
      </c>
      <c r="C22" s="34" t="s">
        <v>78</v>
      </c>
      <c r="D22" s="22"/>
      <c r="E22" s="144" t="s">
        <v>330</v>
      </c>
      <c r="F22" s="1066"/>
      <c r="G22" s="1067"/>
      <c r="H22" s="1067"/>
      <c r="I22" s="1067"/>
      <c r="J22" s="1067"/>
      <c r="K22" s="1067"/>
      <c r="L22" s="1067"/>
      <c r="M22" s="1067"/>
      <c r="N22" s="1067"/>
      <c r="O22" s="1068"/>
    </row>
    <row r="23" spans="1:15" ht="17.25" thickTop="1">
      <c r="A23" s="3">
        <v>21</v>
      </c>
      <c r="B23" s="5" t="s">
        <v>59</v>
      </c>
      <c r="C23" s="33" t="s">
        <v>79</v>
      </c>
      <c r="D23" s="22"/>
      <c r="E23" s="22"/>
      <c r="F23" s="22"/>
    </row>
    <row r="24" spans="1:15" ht="19.899999999999999" thickBot="1">
      <c r="A24" s="3">
        <v>22</v>
      </c>
      <c r="B24" s="5" t="s">
        <v>289</v>
      </c>
      <c r="C24" s="44" t="s">
        <v>32</v>
      </c>
      <c r="D24" s="22"/>
      <c r="E24" s="1069" t="s">
        <v>331</v>
      </c>
      <c r="F24" s="1069"/>
      <c r="G24" s="1069"/>
      <c r="H24" s="1069"/>
      <c r="I24" s="1069"/>
      <c r="J24" s="1069"/>
      <c r="K24" s="1069"/>
      <c r="L24" s="1069"/>
      <c r="M24" s="1069"/>
      <c r="N24" s="1069"/>
    </row>
    <row r="25" spans="1:15" ht="19.899999999999999" thickTop="1">
      <c r="A25" s="3">
        <v>23</v>
      </c>
      <c r="B25" s="5" t="s">
        <v>291</v>
      </c>
      <c r="C25" s="45" t="s">
        <v>33</v>
      </c>
      <c r="D25" s="22"/>
      <c r="E25" s="135" t="s">
        <v>332</v>
      </c>
      <c r="F25" s="1070" t="s">
        <v>333</v>
      </c>
      <c r="G25" s="1071"/>
      <c r="H25" s="1071"/>
      <c r="I25" s="1071"/>
      <c r="J25" s="1071"/>
      <c r="K25" s="1071"/>
      <c r="L25" s="1071"/>
      <c r="M25" s="1071"/>
      <c r="N25" s="1072"/>
    </row>
    <row r="26" spans="1:15" ht="19.5">
      <c r="A26" s="3">
        <v>24</v>
      </c>
      <c r="B26" s="5" t="s">
        <v>290</v>
      </c>
      <c r="C26" s="46" t="s">
        <v>34</v>
      </c>
      <c r="D26" s="22"/>
      <c r="E26" s="136" t="s">
        <v>334</v>
      </c>
      <c r="F26" s="1073" t="s">
        <v>335</v>
      </c>
      <c r="G26" s="1074"/>
      <c r="H26" s="1074"/>
      <c r="I26" s="1074"/>
      <c r="J26" s="1074"/>
      <c r="K26" s="1074"/>
      <c r="L26" s="1074"/>
      <c r="M26" s="1074"/>
      <c r="N26" s="1075"/>
    </row>
    <row r="27" spans="1:15" ht="19.5">
      <c r="A27" s="3">
        <v>25</v>
      </c>
      <c r="B27" s="5" t="s">
        <v>292</v>
      </c>
      <c r="C27" s="45" t="s">
        <v>35</v>
      </c>
      <c r="D27" s="22"/>
      <c r="E27" s="136" t="s">
        <v>336</v>
      </c>
      <c r="F27" s="1076" t="s">
        <v>336</v>
      </c>
      <c r="G27" s="1077"/>
      <c r="H27" s="1077"/>
      <c r="I27" s="1077"/>
      <c r="J27" s="1077"/>
      <c r="K27" s="1077"/>
      <c r="L27" s="1077"/>
      <c r="M27" s="1077"/>
      <c r="N27" s="1078"/>
    </row>
    <row r="28" spans="1:15" ht="19.5">
      <c r="A28" s="3">
        <v>26</v>
      </c>
      <c r="B28" s="134" t="s">
        <v>295</v>
      </c>
      <c r="C28" s="44" t="s">
        <v>36</v>
      </c>
      <c r="D28" s="22"/>
      <c r="E28" s="137" t="s">
        <v>337</v>
      </c>
      <c r="F28" s="1051" t="s">
        <v>339</v>
      </c>
      <c r="G28" s="1052"/>
      <c r="H28" s="1052"/>
      <c r="I28" s="1052"/>
      <c r="J28" s="1052"/>
      <c r="K28" s="1052"/>
      <c r="L28" s="1052"/>
      <c r="M28" s="1052"/>
      <c r="N28" s="1053"/>
    </row>
    <row r="29" spans="1:15" ht="19.5">
      <c r="A29" s="3">
        <v>27</v>
      </c>
      <c r="B29" s="5" t="s">
        <v>293</v>
      </c>
      <c r="C29" s="45" t="s">
        <v>37</v>
      </c>
      <c r="D29" s="22"/>
      <c r="E29" s="145" t="s">
        <v>338</v>
      </c>
      <c r="F29" s="148" t="s">
        <v>340</v>
      </c>
      <c r="G29" s="148" t="s">
        <v>341</v>
      </c>
      <c r="H29" s="148" t="s">
        <v>342</v>
      </c>
      <c r="I29" s="148" t="s">
        <v>343</v>
      </c>
      <c r="J29" s="148" t="s">
        <v>344</v>
      </c>
      <c r="K29" s="148" t="s">
        <v>345</v>
      </c>
      <c r="L29" s="148" t="s">
        <v>346</v>
      </c>
      <c r="M29" s="148" t="s">
        <v>347</v>
      </c>
      <c r="N29" s="151" t="s">
        <v>348</v>
      </c>
    </row>
    <row r="30" spans="1:15" ht="19.5">
      <c r="A30" s="3">
        <v>28</v>
      </c>
      <c r="B30" s="5" t="s">
        <v>296</v>
      </c>
      <c r="C30" s="46" t="s">
        <v>38</v>
      </c>
      <c r="D30" s="22"/>
      <c r="E30" s="146"/>
      <c r="F30" s="149" t="s">
        <v>349</v>
      </c>
      <c r="G30" s="150" t="s">
        <v>350</v>
      </c>
      <c r="H30" s="150" t="s">
        <v>351</v>
      </c>
      <c r="I30" s="150" t="s">
        <v>351</v>
      </c>
      <c r="J30" s="150" t="s">
        <v>351</v>
      </c>
      <c r="K30" s="150" t="s">
        <v>351</v>
      </c>
      <c r="L30" s="150" t="s">
        <v>351</v>
      </c>
      <c r="M30" s="150" t="s">
        <v>350</v>
      </c>
      <c r="N30" s="152" t="s">
        <v>352</v>
      </c>
    </row>
    <row r="31" spans="1:15" ht="19.5">
      <c r="A31" s="3">
        <v>29</v>
      </c>
      <c r="B31" s="5" t="s">
        <v>294</v>
      </c>
      <c r="C31" s="45" t="s">
        <v>39</v>
      </c>
      <c r="E31" s="146"/>
      <c r="F31" s="149" t="s">
        <v>353</v>
      </c>
      <c r="G31" s="150">
        <v>0</v>
      </c>
      <c r="H31" s="150">
        <v>5</v>
      </c>
      <c r="I31" s="150">
        <v>5</v>
      </c>
      <c r="J31" s="150">
        <v>5</v>
      </c>
      <c r="K31" s="150">
        <v>5</v>
      </c>
      <c r="L31" s="150">
        <v>5</v>
      </c>
      <c r="M31" s="150">
        <v>0</v>
      </c>
      <c r="N31" s="152" t="s">
        <v>354</v>
      </c>
    </row>
    <row r="32" spans="1:15" ht="16.899999999999999">
      <c r="A32" s="3">
        <v>30</v>
      </c>
      <c r="B32" s="5" t="s">
        <v>60</v>
      </c>
      <c r="C32" s="33" t="s">
        <v>80</v>
      </c>
      <c r="E32" s="146"/>
      <c r="F32" s="1054" t="s">
        <v>355</v>
      </c>
      <c r="G32" s="1055"/>
      <c r="H32" s="1055"/>
      <c r="I32" s="1055"/>
      <c r="J32" s="1055"/>
      <c r="K32" s="1055"/>
      <c r="L32" s="1055"/>
      <c r="M32" s="1055"/>
      <c r="N32" s="1056"/>
    </row>
    <row r="33" spans="1:14" ht="19.5">
      <c r="A33" s="3">
        <v>31</v>
      </c>
      <c r="B33" s="117" t="s">
        <v>390</v>
      </c>
      <c r="C33" s="33" t="s">
        <v>81</v>
      </c>
      <c r="E33" s="147"/>
      <c r="F33" s="1057" t="s">
        <v>356</v>
      </c>
      <c r="G33" s="1058"/>
      <c r="H33" s="1058"/>
      <c r="I33" s="1058"/>
      <c r="J33" s="1058"/>
      <c r="K33" s="1058"/>
      <c r="L33" s="1058"/>
      <c r="M33" s="1058"/>
      <c r="N33" s="1059"/>
    </row>
    <row r="34" spans="1:14" ht="16.899999999999999">
      <c r="A34" s="3">
        <v>32</v>
      </c>
      <c r="B34" s="5" t="s">
        <v>61</v>
      </c>
      <c r="C34" s="33" t="s">
        <v>82</v>
      </c>
      <c r="E34" s="137" t="s">
        <v>357</v>
      </c>
      <c r="F34" s="1060" t="s">
        <v>359</v>
      </c>
      <c r="G34" s="1061"/>
      <c r="H34" s="1061"/>
      <c r="I34" s="1061"/>
      <c r="J34" s="1061"/>
      <c r="K34" s="1061"/>
      <c r="L34" s="1061"/>
      <c r="M34" s="1061"/>
      <c r="N34" s="1062"/>
    </row>
    <row r="35" spans="1:14" ht="16.899999999999999">
      <c r="A35" s="3">
        <v>33</v>
      </c>
      <c r="E35" s="140" t="s">
        <v>358</v>
      </c>
      <c r="F35" s="1063"/>
      <c r="G35" s="1064"/>
      <c r="H35" s="1064"/>
      <c r="I35" s="1064"/>
      <c r="J35" s="1064"/>
      <c r="K35" s="1064"/>
      <c r="L35" s="1064"/>
      <c r="M35" s="1064"/>
      <c r="N35" s="1065"/>
    </row>
    <row r="36" spans="1:14" ht="16.899999999999999">
      <c r="A36" s="3">
        <v>34</v>
      </c>
      <c r="E36" s="137" t="s">
        <v>360</v>
      </c>
      <c r="F36" s="1042" t="s">
        <v>361</v>
      </c>
      <c r="G36" s="1043"/>
      <c r="H36" s="1043"/>
      <c r="I36" s="1044"/>
      <c r="J36" s="1048" t="s">
        <v>362</v>
      </c>
      <c r="K36" s="1049"/>
      <c r="L36" s="1049"/>
      <c r="M36" s="1049"/>
      <c r="N36" s="1050"/>
    </row>
    <row r="37" spans="1:14" ht="16.899999999999999">
      <c r="A37" s="3">
        <v>35</v>
      </c>
      <c r="E37" s="145" t="s">
        <v>391</v>
      </c>
      <c r="F37" s="1042" t="s">
        <v>363</v>
      </c>
      <c r="G37" s="1043"/>
      <c r="H37" s="1043"/>
      <c r="I37" s="1044"/>
      <c r="J37" s="1048" t="s">
        <v>364</v>
      </c>
      <c r="K37" s="1049"/>
      <c r="L37" s="1049"/>
      <c r="M37" s="1049"/>
      <c r="N37" s="1050"/>
    </row>
    <row r="38" spans="1:14" ht="16.899999999999999">
      <c r="A38" s="3">
        <v>36</v>
      </c>
      <c r="E38" s="146"/>
      <c r="F38" s="1042" t="s">
        <v>365</v>
      </c>
      <c r="G38" s="1043"/>
      <c r="H38" s="1043"/>
      <c r="I38" s="1044"/>
      <c r="J38" s="1048" t="s">
        <v>366</v>
      </c>
      <c r="K38" s="1049"/>
      <c r="L38" s="1049"/>
      <c r="M38" s="1049"/>
      <c r="N38" s="1050"/>
    </row>
    <row r="39" spans="1:14" ht="16.899999999999999">
      <c r="A39" s="3">
        <v>37</v>
      </c>
      <c r="E39" s="146"/>
      <c r="F39" s="1042" t="s">
        <v>367</v>
      </c>
      <c r="G39" s="1043"/>
      <c r="H39" s="1043"/>
      <c r="I39" s="1044"/>
      <c r="J39" s="1048" t="s">
        <v>368</v>
      </c>
      <c r="K39" s="1049"/>
      <c r="L39" s="1049"/>
      <c r="M39" s="1049"/>
      <c r="N39" s="1050"/>
    </row>
    <row r="40" spans="1:14" ht="16.899999999999999">
      <c r="A40" s="3">
        <v>38</v>
      </c>
      <c r="E40" s="146"/>
      <c r="F40" s="1042" t="s">
        <v>369</v>
      </c>
      <c r="G40" s="1043"/>
      <c r="H40" s="1043"/>
      <c r="I40" s="1044"/>
      <c r="J40" s="1048" t="s">
        <v>370</v>
      </c>
      <c r="K40" s="1049"/>
      <c r="L40" s="1049"/>
      <c r="M40" s="1049"/>
      <c r="N40" s="1050"/>
    </row>
    <row r="41" spans="1:14" ht="16.899999999999999">
      <c r="A41" s="3">
        <v>39</v>
      </c>
      <c r="E41" s="146"/>
      <c r="F41" s="1042" t="s">
        <v>371</v>
      </c>
      <c r="G41" s="1043"/>
      <c r="H41" s="1043"/>
      <c r="I41" s="1044"/>
      <c r="J41" s="1048" t="s">
        <v>372</v>
      </c>
      <c r="K41" s="1049"/>
      <c r="L41" s="1049"/>
      <c r="M41" s="1049"/>
      <c r="N41" s="1050"/>
    </row>
    <row r="42" spans="1:14" ht="16.899999999999999">
      <c r="A42" s="3">
        <v>40</v>
      </c>
      <c r="E42" s="146"/>
      <c r="F42" s="1042" t="s">
        <v>373</v>
      </c>
      <c r="G42" s="1043"/>
      <c r="H42" s="1043"/>
      <c r="I42" s="1044"/>
      <c r="J42" s="1048" t="s">
        <v>374</v>
      </c>
      <c r="K42" s="1049"/>
      <c r="L42" s="1049"/>
      <c r="M42" s="1049"/>
      <c r="N42" s="1050"/>
    </row>
    <row r="43" spans="1:14" ht="16.899999999999999">
      <c r="A43" s="3">
        <v>41</v>
      </c>
      <c r="E43" s="146"/>
      <c r="F43" s="1042" t="s">
        <v>375</v>
      </c>
      <c r="G43" s="1043"/>
      <c r="H43" s="1043"/>
      <c r="I43" s="1044"/>
      <c r="J43" s="1048" t="s">
        <v>376</v>
      </c>
      <c r="K43" s="1049"/>
      <c r="L43" s="1049"/>
      <c r="M43" s="1049"/>
      <c r="N43" s="1050"/>
    </row>
    <row r="44" spans="1:14" ht="16.899999999999999">
      <c r="A44" s="3">
        <v>42</v>
      </c>
      <c r="E44" s="146"/>
      <c r="F44" s="1042" t="s">
        <v>377</v>
      </c>
      <c r="G44" s="1043"/>
      <c r="H44" s="1043"/>
      <c r="I44" s="1044"/>
      <c r="J44" s="1045" t="s">
        <v>378</v>
      </c>
      <c r="K44" s="1046"/>
      <c r="L44" s="1046"/>
      <c r="M44" s="1046"/>
      <c r="N44" s="1047"/>
    </row>
    <row r="45" spans="1:14" ht="16.899999999999999">
      <c r="A45" s="3">
        <v>43</v>
      </c>
      <c r="E45" s="146"/>
      <c r="F45" s="1042" t="s">
        <v>379</v>
      </c>
      <c r="G45" s="1043"/>
      <c r="H45" s="1043"/>
      <c r="I45" s="1044"/>
      <c r="J45" s="1045" t="s">
        <v>378</v>
      </c>
      <c r="K45" s="1046"/>
      <c r="L45" s="1046"/>
      <c r="M45" s="1046"/>
      <c r="N45" s="1047"/>
    </row>
    <row r="46" spans="1:14" ht="16.899999999999999">
      <c r="A46" s="3">
        <v>44</v>
      </c>
      <c r="E46" s="146"/>
      <c r="F46" s="1042" t="s">
        <v>380</v>
      </c>
      <c r="G46" s="1043"/>
      <c r="H46" s="1043"/>
      <c r="I46" s="1044"/>
      <c r="J46" s="1045" t="s">
        <v>378</v>
      </c>
      <c r="K46" s="1046"/>
      <c r="L46" s="1046"/>
      <c r="M46" s="1046"/>
      <c r="N46" s="1047"/>
    </row>
    <row r="47" spans="1:14" ht="16.899999999999999">
      <c r="A47" s="3">
        <v>45</v>
      </c>
      <c r="E47" s="146"/>
      <c r="F47" s="1042" t="s">
        <v>381</v>
      </c>
      <c r="G47" s="1043"/>
      <c r="H47" s="1043"/>
      <c r="I47" s="1044"/>
      <c r="J47" s="1045" t="s">
        <v>378</v>
      </c>
      <c r="K47" s="1046"/>
      <c r="L47" s="1046"/>
      <c r="M47" s="1046"/>
      <c r="N47" s="1047"/>
    </row>
    <row r="48" spans="1:14" ht="16.899999999999999">
      <c r="A48" s="3">
        <v>46</v>
      </c>
      <c r="E48" s="146"/>
      <c r="F48" s="1042" t="s">
        <v>382</v>
      </c>
      <c r="G48" s="1043"/>
      <c r="H48" s="1043"/>
      <c r="I48" s="1044"/>
      <c r="J48" s="1045" t="s">
        <v>378</v>
      </c>
      <c r="K48" s="1046"/>
      <c r="L48" s="1046"/>
      <c r="M48" s="1046"/>
      <c r="N48" s="1047"/>
    </row>
    <row r="49" spans="1:14" ht="16.899999999999999">
      <c r="A49" s="3">
        <v>47</v>
      </c>
      <c r="E49" s="146"/>
      <c r="F49" s="1042" t="s">
        <v>383</v>
      </c>
      <c r="G49" s="1043"/>
      <c r="H49" s="1043"/>
      <c r="I49" s="1044"/>
      <c r="J49" s="1045" t="s">
        <v>378</v>
      </c>
      <c r="K49" s="1046"/>
      <c r="L49" s="1046"/>
      <c r="M49" s="1046"/>
      <c r="N49" s="1047"/>
    </row>
    <row r="50" spans="1:14" ht="16.899999999999999">
      <c r="A50" s="3">
        <v>48</v>
      </c>
      <c r="E50" s="147"/>
      <c r="F50" s="1042" t="s">
        <v>384</v>
      </c>
      <c r="G50" s="1043"/>
      <c r="H50" s="1043"/>
      <c r="I50" s="1044"/>
      <c r="J50" s="1045" t="s">
        <v>378</v>
      </c>
      <c r="K50" s="1046"/>
      <c r="L50" s="1046"/>
      <c r="M50" s="1046"/>
      <c r="N50" s="1047"/>
    </row>
    <row r="51" spans="1:14" ht="25.9" thickBot="1">
      <c r="A51" s="3">
        <v>49</v>
      </c>
      <c r="E51" s="144" t="s">
        <v>385</v>
      </c>
      <c r="F51" s="1039" t="s">
        <v>310</v>
      </c>
      <c r="G51" s="1040"/>
      <c r="H51" s="1040"/>
      <c r="I51" s="1041"/>
      <c r="J51" s="153" t="s">
        <v>386</v>
      </c>
      <c r="K51" s="154" t="s">
        <v>389</v>
      </c>
      <c r="L51" s="153" t="s">
        <v>387</v>
      </c>
      <c r="M51" s="154" t="s">
        <v>313</v>
      </c>
      <c r="N51" s="155" t="s">
        <v>388</v>
      </c>
    </row>
    <row r="52" spans="1:14" ht="26.25" thickTop="1" thickBot="1">
      <c r="A52" s="3">
        <v>50</v>
      </c>
      <c r="E52" s="144" t="s">
        <v>385</v>
      </c>
      <c r="F52" s="1039" t="s">
        <v>310</v>
      </c>
      <c r="G52" s="1040"/>
      <c r="H52" s="1040"/>
      <c r="I52" s="1041"/>
      <c r="J52" s="153" t="s">
        <v>386</v>
      </c>
      <c r="K52" s="154" t="s">
        <v>140</v>
      </c>
      <c r="L52" s="153" t="s">
        <v>387</v>
      </c>
      <c r="M52" s="154" t="s">
        <v>313</v>
      </c>
      <c r="N52" s="155" t="s">
        <v>388</v>
      </c>
    </row>
    <row r="53" spans="1:14" ht="17.25" thickTop="1">
      <c r="A53" s="3">
        <v>51</v>
      </c>
    </row>
    <row r="54" spans="1:14" ht="16.899999999999999">
      <c r="A54" s="3">
        <v>52</v>
      </c>
    </row>
    <row r="55" spans="1:14" ht="16.899999999999999">
      <c r="A55" s="3">
        <v>53</v>
      </c>
    </row>
    <row r="56" spans="1:14" ht="16.899999999999999">
      <c r="A56" s="3">
        <v>54</v>
      </c>
    </row>
    <row r="57" spans="1:14" ht="16.899999999999999">
      <c r="A57" s="3">
        <v>55</v>
      </c>
    </row>
    <row r="58" spans="1:14" ht="16.899999999999999">
      <c r="A58" s="3">
        <v>56</v>
      </c>
    </row>
    <row r="59" spans="1:14" ht="16.899999999999999">
      <c r="A59" s="3">
        <v>57</v>
      </c>
    </row>
    <row r="60" spans="1:14" ht="16.899999999999999">
      <c r="A60" s="3">
        <v>58</v>
      </c>
    </row>
    <row r="61" spans="1:14" ht="16.899999999999999">
      <c r="A61" s="3">
        <v>59</v>
      </c>
    </row>
    <row r="62" spans="1:14" ht="16.899999999999999">
      <c r="A62" s="3">
        <v>60</v>
      </c>
    </row>
    <row r="63" spans="1:14" ht="16.899999999999999">
      <c r="A63" s="3">
        <v>61</v>
      </c>
    </row>
    <row r="64" spans="1:14" ht="16.899999999999999">
      <c r="A64" s="3">
        <v>62</v>
      </c>
    </row>
    <row r="65" spans="1:1" ht="16.899999999999999">
      <c r="A65" s="3">
        <v>63</v>
      </c>
    </row>
  </sheetData>
  <mergeCells count="77">
    <mergeCell ref="B3:C3"/>
    <mergeCell ref="B2:C2"/>
    <mergeCell ref="B18:C18"/>
    <mergeCell ref="E3:O3"/>
    <mergeCell ref="E4:O4"/>
    <mergeCell ref="F5:I5"/>
    <mergeCell ref="J5:L5"/>
    <mergeCell ref="M5:O5"/>
    <mergeCell ref="F6:I6"/>
    <mergeCell ref="J6:L6"/>
    <mergeCell ref="M6:O6"/>
    <mergeCell ref="E7:E8"/>
    <mergeCell ref="G7:O7"/>
    <mergeCell ref="G8:O8"/>
    <mergeCell ref="F9:O9"/>
    <mergeCell ref="F10:O11"/>
    <mergeCell ref="E12:O12"/>
    <mergeCell ref="E13:E14"/>
    <mergeCell ref="F13:G13"/>
    <mergeCell ref="H13:J13"/>
    <mergeCell ref="L13:M13"/>
    <mergeCell ref="F14:G14"/>
    <mergeCell ref="H14:J14"/>
    <mergeCell ref="L14:O14"/>
    <mergeCell ref="E15:O15"/>
    <mergeCell ref="F16:O16"/>
    <mergeCell ref="E17:E21"/>
    <mergeCell ref="F17:H17"/>
    <mergeCell ref="I17:O17"/>
    <mergeCell ref="F18:H18"/>
    <mergeCell ref="I18:O18"/>
    <mergeCell ref="F19:H20"/>
    <mergeCell ref="I19:O19"/>
    <mergeCell ref="I20:O20"/>
    <mergeCell ref="F21:H21"/>
    <mergeCell ref="I21:O21"/>
    <mergeCell ref="F22:O22"/>
    <mergeCell ref="E24:N24"/>
    <mergeCell ref="F25:N25"/>
    <mergeCell ref="F26:N26"/>
    <mergeCell ref="F27:N27"/>
    <mergeCell ref="F28:N28"/>
    <mergeCell ref="F32:N32"/>
    <mergeCell ref="F33:N33"/>
    <mergeCell ref="F34:N35"/>
    <mergeCell ref="F36:I36"/>
    <mergeCell ref="J36:N36"/>
    <mergeCell ref="F37:I37"/>
    <mergeCell ref="J37:N37"/>
    <mergeCell ref="F38:I38"/>
    <mergeCell ref="J38:N38"/>
    <mergeCell ref="F39:I39"/>
    <mergeCell ref="J39:N39"/>
    <mergeCell ref="F40:I40"/>
    <mergeCell ref="J40:N40"/>
    <mergeCell ref="F41:I41"/>
    <mergeCell ref="J41:N41"/>
    <mergeCell ref="F42:I42"/>
    <mergeCell ref="J42:N42"/>
    <mergeCell ref="F43:I43"/>
    <mergeCell ref="J43:N43"/>
    <mergeCell ref="F44:I44"/>
    <mergeCell ref="J44:N44"/>
    <mergeCell ref="F45:I45"/>
    <mergeCell ref="J45:N45"/>
    <mergeCell ref="F46:I46"/>
    <mergeCell ref="J46:N46"/>
    <mergeCell ref="F47:I47"/>
    <mergeCell ref="J47:N47"/>
    <mergeCell ref="F48:I48"/>
    <mergeCell ref="J48:N48"/>
    <mergeCell ref="F52:I52"/>
    <mergeCell ref="F49:I49"/>
    <mergeCell ref="J49:N49"/>
    <mergeCell ref="F50:I50"/>
    <mergeCell ref="J50:N50"/>
    <mergeCell ref="F51:I51"/>
  </mergeCells>
  <phoneticPr fontId="11" type="noConversion"/>
  <hyperlinks>
    <hyperlink ref="C10" r:id="rId1" xr:uid="{4FC98674-1768-44E8-BCA3-898D64B96175}"/>
    <hyperlink ref="C17" r:id="rId2" xr:uid="{9BD423FD-87DE-4F54-9D29-C8FFC28FFE8E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Drop Down 1">
              <controlPr defaultSize="0" autoLine="0" autoPict="0" macro="[0]!목차드롭다운">
                <anchor moveWithCells="1">
                  <from>
                    <xdr:col>16</xdr:col>
                    <xdr:colOff>352425</xdr:colOff>
                    <xdr:row>1</xdr:row>
                    <xdr:rowOff>66675</xdr:rowOff>
                  </from>
                  <to>
                    <xdr:col>20</xdr:col>
                    <xdr:colOff>161925</xdr:colOff>
                    <xdr:row>2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9F66-190D-4BFC-A758-6011575859E2}">
  <sheetPr codeName="Sheet22"/>
  <dimension ref="A1:AL63"/>
  <sheetViews>
    <sheetView topLeftCell="A11" workbookViewId="0"/>
    <sheetView workbookViewId="1"/>
  </sheetViews>
  <sheetFormatPr defaultColWidth="8.73046875" defaultRowHeight="12.75"/>
  <cols>
    <col min="1" max="1" width="14" style="47" customWidth="1"/>
    <col min="2" max="2" width="27.59765625" style="47" customWidth="1"/>
    <col min="3" max="3" width="15.53125" style="47" customWidth="1"/>
    <col min="4" max="4" width="13.1328125" style="47" customWidth="1"/>
    <col min="5" max="5" width="18" style="47" customWidth="1"/>
    <col min="6" max="6" width="13.1328125" style="47" customWidth="1"/>
    <col min="7" max="8" width="8.73046875" style="47"/>
    <col min="9" max="9" width="8.46484375" style="47" bestFit="1" customWidth="1"/>
    <col min="10" max="10" width="12.86328125" style="47" bestFit="1" customWidth="1"/>
    <col min="11" max="11" width="8.46484375" style="47" bestFit="1" customWidth="1"/>
    <col min="12" max="14" width="3.265625" style="47" bestFit="1" customWidth="1"/>
    <col min="15" max="16" width="6.33203125" style="47" customWidth="1"/>
    <col min="17" max="19" width="3.265625" style="47" bestFit="1" customWidth="1"/>
    <col min="20" max="20" width="12.46484375" style="47" bestFit="1" customWidth="1"/>
    <col min="21" max="16384" width="8.73046875" style="47"/>
  </cols>
  <sheetData>
    <row r="1" spans="1:38" ht="23.25">
      <c r="A1" s="112" t="s">
        <v>134</v>
      </c>
      <c r="B1" s="113">
        <v>1</v>
      </c>
      <c r="C1" s="113">
        <v>2</v>
      </c>
      <c r="D1" s="113">
        <v>3</v>
      </c>
      <c r="E1" s="113">
        <v>4</v>
      </c>
      <c r="F1" s="113">
        <v>5</v>
      </c>
      <c r="G1" s="113">
        <v>6</v>
      </c>
      <c r="H1" s="113">
        <v>7</v>
      </c>
      <c r="I1" s="113">
        <v>8</v>
      </c>
      <c r="J1" s="113">
        <v>9</v>
      </c>
      <c r="K1" s="113">
        <v>10</v>
      </c>
      <c r="L1" s="113">
        <v>11</v>
      </c>
      <c r="M1" s="113">
        <v>12</v>
      </c>
      <c r="N1" s="113">
        <v>13</v>
      </c>
      <c r="O1" s="113">
        <v>14</v>
      </c>
      <c r="P1" s="113">
        <v>15</v>
      </c>
      <c r="Q1" s="113">
        <v>16</v>
      </c>
      <c r="R1" s="113">
        <v>17</v>
      </c>
      <c r="S1" s="113">
        <v>18</v>
      </c>
      <c r="T1" s="113">
        <v>19</v>
      </c>
      <c r="U1" s="113">
        <v>20</v>
      </c>
      <c r="V1" s="113">
        <v>21</v>
      </c>
      <c r="W1" s="113">
        <v>22</v>
      </c>
      <c r="X1" s="113">
        <v>23</v>
      </c>
      <c r="Y1" s="113">
        <v>24</v>
      </c>
      <c r="Z1" s="113">
        <v>25</v>
      </c>
      <c r="AA1" s="113">
        <v>26</v>
      </c>
      <c r="AB1" s="113">
        <v>27</v>
      </c>
      <c r="AC1" s="113">
        <v>28</v>
      </c>
      <c r="AD1" s="113">
        <v>29</v>
      </c>
      <c r="AE1" s="113">
        <v>30</v>
      </c>
      <c r="AF1" s="113">
        <v>31</v>
      </c>
      <c r="AG1" s="113">
        <v>32</v>
      </c>
      <c r="AH1" s="113">
        <v>33</v>
      </c>
      <c r="AI1" s="113">
        <v>34</v>
      </c>
      <c r="AJ1" s="113">
        <v>35</v>
      </c>
      <c r="AK1" s="113">
        <v>36</v>
      </c>
      <c r="AL1" s="113">
        <v>37</v>
      </c>
    </row>
    <row r="2" spans="1:38" ht="25.15">
      <c r="A2" s="114">
        <v>0</v>
      </c>
      <c r="B2" s="1036" t="s">
        <v>963</v>
      </c>
      <c r="C2" s="866"/>
      <c r="D2" s="866"/>
      <c r="E2" s="866"/>
      <c r="F2" s="866"/>
      <c r="G2" s="866"/>
      <c r="H2" s="866"/>
      <c r="I2" s="866"/>
      <c r="K2" s="1398" t="s">
        <v>962</v>
      </c>
      <c r="L2" s="1399"/>
      <c r="M2" s="1399"/>
      <c r="N2" s="1399"/>
      <c r="O2" s="1399"/>
      <c r="P2" s="1399"/>
      <c r="Q2" s="1399"/>
      <c r="R2" s="1399"/>
      <c r="S2" s="1399"/>
      <c r="T2" s="1399"/>
      <c r="U2" s="1399"/>
      <c r="V2" s="1399"/>
      <c r="W2" s="1399"/>
      <c r="X2" s="1399"/>
      <c r="Y2" s="1399"/>
      <c r="Z2" s="1399"/>
      <c r="AA2" s="1399"/>
      <c r="AB2" s="1399"/>
      <c r="AC2" s="1399"/>
      <c r="AD2" s="1399"/>
      <c r="AE2" s="1399"/>
      <c r="AF2" s="1399"/>
    </row>
    <row r="3" spans="1:38" ht="18" thickBot="1">
      <c r="A3" s="115">
        <v>1</v>
      </c>
      <c r="B3" s="308" t="s">
        <v>641</v>
      </c>
      <c r="C3" s="1279" t="s">
        <v>642</v>
      </c>
      <c r="D3" s="1279"/>
      <c r="E3" s="1280" t="s">
        <v>643</v>
      </c>
      <c r="F3" s="1456"/>
      <c r="G3" s="1456"/>
      <c r="H3" s="1456"/>
      <c r="I3" s="1456"/>
      <c r="K3" s="466" t="s">
        <v>938</v>
      </c>
      <c r="L3" s="1358" t="s">
        <v>858</v>
      </c>
      <c r="M3" s="1359"/>
      <c r="N3" s="1359"/>
      <c r="O3" s="1360"/>
      <c r="P3" s="1425" t="s">
        <v>940</v>
      </c>
      <c r="Q3" s="1426"/>
      <c r="R3" s="1426"/>
      <c r="S3" s="1426"/>
      <c r="T3" s="1426"/>
      <c r="U3" s="1426"/>
      <c r="V3" s="1438"/>
      <c r="W3" s="1439" t="s">
        <v>2</v>
      </c>
      <c r="X3" s="1440"/>
      <c r="Y3" s="1440"/>
      <c r="Z3" s="1440"/>
      <c r="AA3" s="1440"/>
      <c r="AB3" s="1440"/>
      <c r="AC3" s="1441"/>
      <c r="AD3" s="1425" t="s">
        <v>2</v>
      </c>
      <c r="AE3" s="1426"/>
      <c r="AF3" s="1426"/>
    </row>
    <row r="4" spans="1:38" ht="17.649999999999999" customHeight="1" thickTop="1" thickBot="1">
      <c r="A4" s="115">
        <v>2</v>
      </c>
      <c r="B4" s="492" t="s">
        <v>592</v>
      </c>
      <c r="C4" s="1450" t="s">
        <v>172</v>
      </c>
      <c r="D4" s="1378"/>
      <c r="E4" s="1386"/>
      <c r="F4" s="1387"/>
      <c r="K4" s="476" t="s">
        <v>939</v>
      </c>
      <c r="L4" s="1364" t="s">
        <v>941</v>
      </c>
      <c r="M4" s="1365"/>
      <c r="N4" s="1365"/>
      <c r="O4" s="1366"/>
      <c r="P4" s="1427" t="s">
        <v>941</v>
      </c>
      <c r="Q4" s="1428"/>
      <c r="R4" s="1428"/>
      <c r="S4" s="1428"/>
      <c r="T4" s="1428"/>
      <c r="U4" s="1428"/>
      <c r="V4" s="1442"/>
      <c r="W4" s="1443" t="s">
        <v>942</v>
      </c>
      <c r="X4" s="1444"/>
      <c r="Y4" s="1444"/>
      <c r="Z4" s="1444"/>
      <c r="AA4" s="1444"/>
      <c r="AB4" s="1444"/>
      <c r="AC4" s="1445"/>
      <c r="AD4" s="1427" t="s">
        <v>943</v>
      </c>
      <c r="AE4" s="1428"/>
      <c r="AF4" s="1428"/>
    </row>
    <row r="5" spans="1:38" ht="16.899999999999999" customHeight="1">
      <c r="A5" s="115">
        <v>3</v>
      </c>
      <c r="B5" s="493"/>
      <c r="C5" s="1381" t="s">
        <v>933</v>
      </c>
      <c r="D5" s="1381"/>
      <c r="E5" s="1273"/>
      <c r="F5" s="1274"/>
      <c r="K5" s="466" t="s">
        <v>910</v>
      </c>
      <c r="L5" s="1358" t="s">
        <v>1</v>
      </c>
      <c r="M5" s="1359"/>
      <c r="N5" s="1359"/>
      <c r="O5" s="1360"/>
      <c r="P5" s="1425" t="s">
        <v>944</v>
      </c>
      <c r="Q5" s="1426"/>
      <c r="R5" s="1426"/>
      <c r="S5" s="1426"/>
      <c r="T5" s="1426"/>
      <c r="U5" s="1426"/>
      <c r="V5" s="1438"/>
      <c r="W5" s="1439" t="s">
        <v>2</v>
      </c>
      <c r="X5" s="1440"/>
      <c r="Y5" s="1440"/>
      <c r="Z5" s="1440"/>
      <c r="AA5" s="1440"/>
      <c r="AB5" s="1440"/>
      <c r="AC5" s="1441"/>
      <c r="AD5" s="1425" t="s">
        <v>2</v>
      </c>
      <c r="AE5" s="1426"/>
      <c r="AF5" s="1426"/>
    </row>
    <row r="6" spans="1:38" ht="16.899999999999999" customHeight="1">
      <c r="A6" s="115">
        <v>4</v>
      </c>
      <c r="B6" s="493"/>
      <c r="C6" s="1380" t="s">
        <v>964</v>
      </c>
      <c r="D6" s="1381"/>
      <c r="E6" s="1273"/>
      <c r="F6" s="1274"/>
      <c r="K6" s="467" t="s">
        <v>911</v>
      </c>
      <c r="L6" s="1364" t="s">
        <v>10</v>
      </c>
      <c r="M6" s="1365"/>
      <c r="N6" s="1365"/>
      <c r="O6" s="1366"/>
      <c r="P6" s="1427" t="s">
        <v>10</v>
      </c>
      <c r="Q6" s="1428"/>
      <c r="R6" s="1428"/>
      <c r="S6" s="1428"/>
      <c r="T6" s="1428"/>
      <c r="U6" s="1428"/>
      <c r="V6" s="1428"/>
      <c r="W6" s="1428"/>
      <c r="X6" s="1428"/>
      <c r="Y6" s="1428"/>
      <c r="Z6" s="1428"/>
      <c r="AA6" s="1428"/>
      <c r="AB6" s="1428"/>
      <c r="AC6" s="1428"/>
      <c r="AD6" s="1428"/>
      <c r="AE6" s="1428"/>
      <c r="AF6" s="1428"/>
    </row>
    <row r="7" spans="1:38" ht="16.899999999999999" customHeight="1" thickBot="1">
      <c r="A7" s="115">
        <v>5</v>
      </c>
      <c r="B7" s="493"/>
      <c r="C7" s="1380" t="s">
        <v>965</v>
      </c>
      <c r="D7" s="1381"/>
      <c r="E7" s="1273"/>
      <c r="F7" s="1274"/>
      <c r="K7" s="469"/>
      <c r="L7" s="1429" t="s">
        <v>912</v>
      </c>
      <c r="M7" s="1430"/>
      <c r="N7" s="1430"/>
      <c r="O7" s="1431"/>
      <c r="P7" s="1432" t="s">
        <v>912</v>
      </c>
      <c r="Q7" s="1433"/>
      <c r="R7" s="1433"/>
      <c r="S7" s="1433"/>
      <c r="T7" s="1433"/>
      <c r="U7" s="1433"/>
      <c r="V7" s="1434"/>
      <c r="W7" s="1435" t="s">
        <v>913</v>
      </c>
      <c r="X7" s="1436"/>
      <c r="Y7" s="1436"/>
      <c r="Z7" s="1436"/>
      <c r="AA7" s="1436"/>
      <c r="AB7" s="1436"/>
      <c r="AC7" s="1437"/>
      <c r="AD7" s="1432" t="s">
        <v>913</v>
      </c>
      <c r="AE7" s="1433"/>
      <c r="AF7" s="1433"/>
    </row>
    <row r="8" spans="1:38" ht="16.899999999999999" customHeight="1" thickBot="1">
      <c r="A8" s="115">
        <v>6</v>
      </c>
      <c r="B8" s="493"/>
      <c r="C8" s="1380" t="s">
        <v>182</v>
      </c>
      <c r="D8" s="1381"/>
      <c r="E8" s="1273"/>
      <c r="F8" s="1274"/>
      <c r="K8" s="1455"/>
      <c r="L8" s="1455"/>
      <c r="M8" s="1455"/>
      <c r="N8" s="1455"/>
      <c r="O8" s="1455"/>
      <c r="P8" s="1455"/>
      <c r="Q8" s="1455"/>
      <c r="R8" s="1455"/>
      <c r="S8" s="1455"/>
      <c r="T8" s="1455"/>
      <c r="U8" s="1455"/>
      <c r="V8" s="1455"/>
      <c r="W8" s="1455"/>
      <c r="X8" s="1455"/>
      <c r="Y8" s="1455"/>
      <c r="Z8" s="1455"/>
      <c r="AA8" s="1455"/>
      <c r="AB8" s="1455"/>
      <c r="AC8" s="1455"/>
      <c r="AD8" s="1455"/>
      <c r="AE8" s="1455"/>
      <c r="AF8" s="1455"/>
    </row>
    <row r="9" spans="1:38" ht="17.25" customHeight="1" thickBot="1">
      <c r="A9" s="115">
        <v>7</v>
      </c>
      <c r="B9" s="493"/>
      <c r="C9" s="1380" t="s">
        <v>183</v>
      </c>
      <c r="D9" s="1381"/>
      <c r="E9" s="1273"/>
      <c r="F9" s="1274"/>
      <c r="K9" s="1336" t="s">
        <v>881</v>
      </c>
      <c r="L9" s="1332" t="s">
        <v>114</v>
      </c>
      <c r="M9" s="1327"/>
      <c r="N9" s="1327"/>
      <c r="O9" s="1333"/>
      <c r="P9" s="1334" t="s">
        <v>114</v>
      </c>
      <c r="Q9" s="1325"/>
      <c r="R9" s="1325"/>
      <c r="S9" s="1325"/>
      <c r="T9" s="1325"/>
      <c r="U9" s="1325"/>
      <c r="V9" s="1339"/>
      <c r="W9" s="1332" t="s">
        <v>814</v>
      </c>
      <c r="X9" s="1327"/>
      <c r="Y9" s="1327"/>
      <c r="Z9" s="1327"/>
      <c r="AA9" s="1327"/>
      <c r="AB9" s="1327"/>
      <c r="AC9" s="1333"/>
      <c r="AD9" s="1334" t="s">
        <v>814</v>
      </c>
      <c r="AE9" s="1325"/>
      <c r="AF9" s="1325"/>
    </row>
    <row r="10" spans="1:38" ht="17.25" customHeight="1" thickBot="1">
      <c r="A10" s="115">
        <v>8</v>
      </c>
      <c r="B10" s="493"/>
      <c r="C10" s="1380" t="s">
        <v>184</v>
      </c>
      <c r="D10" s="1381"/>
      <c r="E10" s="1273"/>
      <c r="F10" s="1274"/>
      <c r="K10" s="1337"/>
      <c r="L10" s="1332" t="s">
        <v>918</v>
      </c>
      <c r="M10" s="1327"/>
      <c r="N10" s="1327"/>
      <c r="O10" s="1333"/>
      <c r="P10" s="1334" t="s">
        <v>919</v>
      </c>
      <c r="Q10" s="1325"/>
      <c r="R10" s="1325"/>
      <c r="S10" s="1325"/>
      <c r="T10" s="1325"/>
      <c r="U10" s="1325"/>
      <c r="V10" s="1325"/>
      <c r="W10" s="1325"/>
      <c r="X10" s="1325"/>
      <c r="Y10" s="1325"/>
      <c r="Z10" s="1325"/>
      <c r="AA10" s="1325"/>
      <c r="AB10" s="1325"/>
      <c r="AC10" s="1325"/>
      <c r="AD10" s="1325"/>
      <c r="AE10" s="1325"/>
      <c r="AF10" s="1325"/>
    </row>
    <row r="11" spans="1:38" ht="19.899999999999999" customHeight="1" thickBot="1">
      <c r="A11" s="115">
        <v>9</v>
      </c>
      <c r="B11" s="493"/>
      <c r="C11" s="1457" t="s">
        <v>409</v>
      </c>
      <c r="D11" s="1458"/>
      <c r="E11" s="1274"/>
      <c r="F11" s="1376"/>
      <c r="K11" s="1337"/>
      <c r="L11" s="1332" t="s">
        <v>941</v>
      </c>
      <c r="M11" s="1327"/>
      <c r="N11" s="1327"/>
      <c r="O11" s="1333"/>
      <c r="P11" s="1459" t="s">
        <v>941</v>
      </c>
      <c r="Q11" s="1460"/>
      <c r="R11" s="1461"/>
      <c r="S11" s="1332" t="s">
        <v>884</v>
      </c>
      <c r="T11" s="1327"/>
      <c r="U11" s="1327"/>
      <c r="V11" s="1333"/>
      <c r="W11" s="1459" t="s">
        <v>884</v>
      </c>
      <c r="X11" s="1460"/>
      <c r="Y11" s="1460"/>
      <c r="Z11" s="1460"/>
      <c r="AA11" s="1461"/>
      <c r="AB11" s="1332" t="s">
        <v>945</v>
      </c>
      <c r="AC11" s="1327"/>
      <c r="AD11" s="1327"/>
      <c r="AE11" s="1333"/>
      <c r="AF11" s="479" t="s">
        <v>945</v>
      </c>
    </row>
    <row r="12" spans="1:38" ht="17.25" customHeight="1" thickBot="1">
      <c r="A12" s="115">
        <v>10</v>
      </c>
      <c r="B12" s="493"/>
      <c r="C12" s="1453" t="s">
        <v>966</v>
      </c>
      <c r="D12" s="1454"/>
      <c r="E12" s="1274"/>
      <c r="F12" s="1376"/>
      <c r="K12" s="1337"/>
      <c r="L12" s="1413" t="s">
        <v>897</v>
      </c>
      <c r="M12" s="1336"/>
      <c r="N12" s="1422" t="s">
        <v>947</v>
      </c>
      <c r="O12" s="1462"/>
      <c r="P12" s="1462"/>
      <c r="Q12" s="1463"/>
      <c r="R12" s="1413" t="s">
        <v>948</v>
      </c>
      <c r="S12" s="1414"/>
      <c r="T12" s="1336"/>
      <c r="U12" s="1332" t="s">
        <v>950</v>
      </c>
      <c r="V12" s="1327"/>
      <c r="W12" s="1327"/>
      <c r="X12" s="1333"/>
      <c r="Y12" s="1334" t="s">
        <v>950</v>
      </c>
      <c r="Z12" s="1325"/>
      <c r="AA12" s="1339"/>
      <c r="AB12" s="1413" t="s">
        <v>951</v>
      </c>
      <c r="AC12" s="1414"/>
      <c r="AD12" s="1414"/>
      <c r="AE12" s="1336"/>
      <c r="AF12" s="1422" t="s">
        <v>953</v>
      </c>
    </row>
    <row r="13" spans="1:38" ht="17.25" customHeight="1" thickBot="1">
      <c r="A13" s="115">
        <v>11</v>
      </c>
      <c r="B13" s="494"/>
      <c r="C13" s="1452" t="s">
        <v>978</v>
      </c>
      <c r="D13" s="1377"/>
      <c r="E13" s="1278"/>
      <c r="F13" s="1449"/>
      <c r="K13" s="1337"/>
      <c r="L13" s="1415" t="s">
        <v>946</v>
      </c>
      <c r="M13" s="1337"/>
      <c r="N13" s="1423"/>
      <c r="O13" s="1464"/>
      <c r="P13" s="1464"/>
      <c r="Q13" s="1465"/>
      <c r="R13" s="1415" t="s">
        <v>949</v>
      </c>
      <c r="S13" s="1302"/>
      <c r="T13" s="1337"/>
      <c r="U13" s="1332" t="s">
        <v>954</v>
      </c>
      <c r="V13" s="1327"/>
      <c r="W13" s="1327"/>
      <c r="X13" s="1333"/>
      <c r="Y13" s="1334" t="s">
        <v>954</v>
      </c>
      <c r="Z13" s="1325"/>
      <c r="AA13" s="1339"/>
      <c r="AB13" s="1415" t="s">
        <v>952</v>
      </c>
      <c r="AC13" s="1302"/>
      <c r="AD13" s="1302"/>
      <c r="AE13" s="1337"/>
      <c r="AF13" s="1423"/>
    </row>
    <row r="14" spans="1:38" ht="15" customHeight="1" thickBot="1">
      <c r="A14" s="115">
        <v>12</v>
      </c>
      <c r="K14" s="1338"/>
      <c r="L14" s="1416"/>
      <c r="M14" s="1418"/>
      <c r="N14" s="1424"/>
      <c r="O14" s="1466"/>
      <c r="P14" s="1466"/>
      <c r="Q14" s="1467"/>
      <c r="R14" s="1416"/>
      <c r="S14" s="1417"/>
      <c r="T14" s="1418"/>
      <c r="U14" s="1332" t="s">
        <v>955</v>
      </c>
      <c r="V14" s="1327"/>
      <c r="W14" s="1327"/>
      <c r="X14" s="1333"/>
      <c r="Y14" s="1334" t="s">
        <v>955</v>
      </c>
      <c r="Z14" s="1325"/>
      <c r="AA14" s="1339"/>
      <c r="AB14" s="1416"/>
      <c r="AC14" s="1417"/>
      <c r="AD14" s="1417"/>
      <c r="AE14" s="1418"/>
      <c r="AF14" s="1424"/>
    </row>
    <row r="15" spans="1:38" ht="17.25" customHeight="1" thickBot="1">
      <c r="A15" s="115">
        <v>13</v>
      </c>
      <c r="B15" s="1369" t="s">
        <v>882</v>
      </c>
      <c r="C15" s="1381" t="s">
        <v>885</v>
      </c>
      <c r="D15" s="1381"/>
      <c r="E15" s="1273"/>
      <c r="F15" s="1274"/>
      <c r="K15" s="1331"/>
      <c r="L15" s="1331"/>
      <c r="M15" s="1331"/>
      <c r="N15" s="1331"/>
      <c r="O15" s="1331"/>
      <c r="P15" s="1331"/>
      <c r="Q15" s="1331"/>
      <c r="R15" s="1331"/>
      <c r="S15" s="1331"/>
      <c r="T15" s="1331"/>
      <c r="U15" s="1331"/>
      <c r="V15" s="1331"/>
      <c r="W15" s="1331"/>
      <c r="X15" s="1331"/>
      <c r="Y15" s="1331"/>
      <c r="Z15" s="1331"/>
      <c r="AA15" s="1331"/>
      <c r="AB15" s="1331"/>
      <c r="AC15" s="1331"/>
      <c r="AD15" s="1331"/>
      <c r="AE15" s="1331"/>
      <c r="AF15" s="1331"/>
    </row>
    <row r="16" spans="1:38" ht="16.899999999999999" customHeight="1">
      <c r="A16" s="115">
        <v>14</v>
      </c>
      <c r="B16" s="1370"/>
      <c r="C16" s="1378" t="s">
        <v>886</v>
      </c>
      <c r="D16" s="1378"/>
      <c r="E16" s="1273"/>
      <c r="F16" s="1274"/>
      <c r="K16" s="470" t="s">
        <v>921</v>
      </c>
      <c r="L16" s="480" t="s">
        <v>115</v>
      </c>
      <c r="M16" s="1419" t="s">
        <v>127</v>
      </c>
      <c r="N16" s="1420"/>
      <c r="O16" s="1420"/>
      <c r="P16" s="1421"/>
      <c r="Q16" s="1419" t="s">
        <v>126</v>
      </c>
      <c r="R16" s="1420"/>
      <c r="S16" s="1421"/>
      <c r="T16" s="1419" t="s">
        <v>468</v>
      </c>
      <c r="U16" s="1420"/>
      <c r="V16" s="1420"/>
      <c r="W16" s="1421"/>
      <c r="X16" s="1419" t="s">
        <v>956</v>
      </c>
      <c r="Y16" s="1420"/>
      <c r="Z16" s="1421"/>
      <c r="AA16" s="1419" t="s">
        <v>903</v>
      </c>
      <c r="AB16" s="1420"/>
      <c r="AC16" s="1420"/>
      <c r="AD16" s="1421"/>
      <c r="AE16" s="1419" t="s">
        <v>957</v>
      </c>
      <c r="AF16" s="1420"/>
    </row>
    <row r="17" spans="1:32" ht="16.899999999999999" customHeight="1">
      <c r="A17" s="115">
        <v>15</v>
      </c>
      <c r="B17" s="1370"/>
      <c r="C17" s="1450" t="s">
        <v>967</v>
      </c>
      <c r="D17" s="1378"/>
      <c r="E17" s="1273"/>
      <c r="F17" s="1274"/>
      <c r="K17" s="471" t="s">
        <v>922</v>
      </c>
      <c r="L17" s="481" t="s">
        <v>115</v>
      </c>
      <c r="M17" s="1408" t="s">
        <v>127</v>
      </c>
      <c r="N17" s="1409"/>
      <c r="O17" s="1409"/>
      <c r="P17" s="1410"/>
      <c r="Q17" s="1408" t="s">
        <v>126</v>
      </c>
      <c r="R17" s="1409"/>
      <c r="S17" s="1410"/>
      <c r="T17" s="1408" t="s">
        <v>468</v>
      </c>
      <c r="U17" s="1409"/>
      <c r="V17" s="1409"/>
      <c r="W17" s="1410"/>
      <c r="X17" s="1408" t="s">
        <v>956</v>
      </c>
      <c r="Y17" s="1409"/>
      <c r="Z17" s="1410"/>
      <c r="AA17" s="1408" t="s">
        <v>903</v>
      </c>
      <c r="AB17" s="1409"/>
      <c r="AC17" s="1409"/>
      <c r="AD17" s="1410"/>
      <c r="AE17" s="1411"/>
      <c r="AF17" s="1412"/>
    </row>
    <row r="18" spans="1:32" ht="16.899999999999999" customHeight="1">
      <c r="A18" s="115">
        <v>16</v>
      </c>
      <c r="B18" s="1370"/>
      <c r="C18" s="1450" t="s">
        <v>964</v>
      </c>
      <c r="D18" s="1378"/>
      <c r="E18" s="1273"/>
      <c r="F18" s="1274"/>
      <c r="K18" s="472"/>
      <c r="L18" s="481" t="s">
        <v>115</v>
      </c>
      <c r="M18" s="1408" t="s">
        <v>127</v>
      </c>
      <c r="N18" s="1409"/>
      <c r="O18" s="1409"/>
      <c r="P18" s="1410"/>
      <c r="Q18" s="1408" t="s">
        <v>126</v>
      </c>
      <c r="R18" s="1409"/>
      <c r="S18" s="1410"/>
      <c r="T18" s="1408" t="s">
        <v>468</v>
      </c>
      <c r="U18" s="1409"/>
      <c r="V18" s="1409"/>
      <c r="W18" s="1410"/>
      <c r="X18" s="1408" t="s">
        <v>956</v>
      </c>
      <c r="Y18" s="1409"/>
      <c r="Z18" s="1410"/>
      <c r="AA18" s="1408" t="s">
        <v>903</v>
      </c>
      <c r="AB18" s="1409"/>
      <c r="AC18" s="1409"/>
      <c r="AD18" s="1410"/>
      <c r="AE18" s="1411"/>
      <c r="AF18" s="1412"/>
    </row>
    <row r="19" spans="1:32" ht="16.899999999999999" customHeight="1">
      <c r="A19" s="115">
        <v>17</v>
      </c>
      <c r="B19" s="1370"/>
      <c r="C19" s="1451" t="s">
        <v>170</v>
      </c>
      <c r="D19" s="1375"/>
      <c r="E19" s="1274"/>
      <c r="F19" s="1376"/>
      <c r="K19" s="472"/>
      <c r="L19" s="481" t="s">
        <v>115</v>
      </c>
      <c r="M19" s="1408" t="s">
        <v>127</v>
      </c>
      <c r="N19" s="1409"/>
      <c r="O19" s="1409"/>
      <c r="P19" s="1410"/>
      <c r="Q19" s="1408" t="s">
        <v>126</v>
      </c>
      <c r="R19" s="1409"/>
      <c r="S19" s="1410"/>
      <c r="T19" s="1408" t="s">
        <v>468</v>
      </c>
      <c r="U19" s="1409"/>
      <c r="V19" s="1409"/>
      <c r="W19" s="1410"/>
      <c r="X19" s="1408" t="s">
        <v>956</v>
      </c>
      <c r="Y19" s="1409"/>
      <c r="Z19" s="1410"/>
      <c r="AA19" s="1408" t="s">
        <v>903</v>
      </c>
      <c r="AB19" s="1409"/>
      <c r="AC19" s="1409"/>
      <c r="AD19" s="1410"/>
      <c r="AE19" s="1411"/>
      <c r="AF19" s="1412"/>
    </row>
    <row r="20" spans="1:32" ht="17.25" customHeight="1" thickBot="1">
      <c r="A20" s="115">
        <v>18</v>
      </c>
      <c r="B20" s="1371"/>
      <c r="C20" s="1447" t="s">
        <v>968</v>
      </c>
      <c r="D20" s="1448"/>
      <c r="E20" s="1278"/>
      <c r="F20" s="1449"/>
      <c r="K20" s="472"/>
      <c r="L20" s="481" t="s">
        <v>115</v>
      </c>
      <c r="M20" s="1408" t="s">
        <v>127</v>
      </c>
      <c r="N20" s="1409"/>
      <c r="O20" s="1409"/>
      <c r="P20" s="1410"/>
      <c r="Q20" s="1408" t="s">
        <v>126</v>
      </c>
      <c r="R20" s="1409"/>
      <c r="S20" s="1410"/>
      <c r="T20" s="1408" t="s">
        <v>468</v>
      </c>
      <c r="U20" s="1409"/>
      <c r="V20" s="1409"/>
      <c r="W20" s="1410"/>
      <c r="X20" s="1408" t="s">
        <v>956</v>
      </c>
      <c r="Y20" s="1409"/>
      <c r="Z20" s="1410"/>
      <c r="AA20" s="1408" t="s">
        <v>903</v>
      </c>
      <c r="AB20" s="1409"/>
      <c r="AC20" s="1409"/>
      <c r="AD20" s="1410"/>
      <c r="AE20" s="1411"/>
      <c r="AF20" s="1412"/>
    </row>
    <row r="21" spans="1:32" ht="16.899999999999999" customHeight="1">
      <c r="A21" s="115">
        <v>19</v>
      </c>
      <c r="K21" s="472"/>
      <c r="L21" s="481" t="s">
        <v>115</v>
      </c>
      <c r="M21" s="1408" t="s">
        <v>127</v>
      </c>
      <c r="N21" s="1409"/>
      <c r="O21" s="1409"/>
      <c r="P21" s="1410"/>
      <c r="Q21" s="1408" t="s">
        <v>126</v>
      </c>
      <c r="R21" s="1409"/>
      <c r="S21" s="1410"/>
      <c r="T21" s="1408" t="s">
        <v>468</v>
      </c>
      <c r="U21" s="1409"/>
      <c r="V21" s="1409"/>
      <c r="W21" s="1410"/>
      <c r="X21" s="1408" t="s">
        <v>956</v>
      </c>
      <c r="Y21" s="1409"/>
      <c r="Z21" s="1410"/>
      <c r="AA21" s="1408" t="s">
        <v>903</v>
      </c>
      <c r="AB21" s="1409"/>
      <c r="AC21" s="1409"/>
      <c r="AD21" s="1410"/>
      <c r="AE21" s="1411"/>
      <c r="AF21" s="1412"/>
    </row>
    <row r="22" spans="1:32" ht="17.25" customHeight="1">
      <c r="A22" s="115">
        <v>20</v>
      </c>
      <c r="B22" s="1400" t="s">
        <v>900</v>
      </c>
      <c r="C22" s="460" t="s">
        <v>969</v>
      </c>
      <c r="D22" s="282"/>
      <c r="E22" s="460" t="s">
        <v>970</v>
      </c>
      <c r="F22" s="483"/>
      <c r="K22" s="472"/>
      <c r="L22" s="481" t="s">
        <v>115</v>
      </c>
      <c r="M22" s="1408" t="s">
        <v>127</v>
      </c>
      <c r="N22" s="1409"/>
      <c r="O22" s="1409"/>
      <c r="P22" s="1410"/>
      <c r="Q22" s="1408" t="s">
        <v>126</v>
      </c>
      <c r="R22" s="1409"/>
      <c r="S22" s="1410"/>
      <c r="T22" s="1408" t="s">
        <v>468</v>
      </c>
      <c r="U22" s="1409"/>
      <c r="V22" s="1409"/>
      <c r="W22" s="1410"/>
      <c r="X22" s="1408" t="s">
        <v>956</v>
      </c>
      <c r="Y22" s="1409"/>
      <c r="Z22" s="1410"/>
      <c r="AA22" s="1408" t="s">
        <v>903</v>
      </c>
      <c r="AB22" s="1409"/>
      <c r="AC22" s="1409"/>
      <c r="AD22" s="1410"/>
      <c r="AE22" s="1411"/>
      <c r="AF22" s="1412"/>
    </row>
    <row r="23" spans="1:32" ht="24.75" customHeight="1">
      <c r="A23" s="115">
        <v>21</v>
      </c>
      <c r="B23" s="1401"/>
      <c r="C23" s="460" t="s">
        <v>971</v>
      </c>
      <c r="D23" s="484"/>
      <c r="E23" s="461"/>
      <c r="F23" s="484"/>
      <c r="K23" s="472"/>
      <c r="L23" s="481" t="s">
        <v>115</v>
      </c>
      <c r="M23" s="1408" t="s">
        <v>127</v>
      </c>
      <c r="N23" s="1409"/>
      <c r="O23" s="1409"/>
      <c r="P23" s="1410"/>
      <c r="Q23" s="1408" t="s">
        <v>126</v>
      </c>
      <c r="R23" s="1409"/>
      <c r="S23" s="1410"/>
      <c r="T23" s="1408" t="s">
        <v>468</v>
      </c>
      <c r="U23" s="1409"/>
      <c r="V23" s="1409"/>
      <c r="W23" s="1410"/>
      <c r="X23" s="1408" t="s">
        <v>956</v>
      </c>
      <c r="Y23" s="1409"/>
      <c r="Z23" s="1410"/>
      <c r="AA23" s="1408" t="s">
        <v>903</v>
      </c>
      <c r="AB23" s="1409"/>
      <c r="AC23" s="1409"/>
      <c r="AD23" s="1410"/>
      <c r="AE23" s="1411"/>
      <c r="AF23" s="1412"/>
    </row>
    <row r="24" spans="1:32" ht="24.75" customHeight="1">
      <c r="A24" s="115">
        <v>22</v>
      </c>
      <c r="B24" s="1401"/>
      <c r="C24" s="460" t="s">
        <v>972</v>
      </c>
      <c r="D24" s="484"/>
      <c r="E24" s="461"/>
      <c r="F24" s="484"/>
      <c r="K24" s="472"/>
      <c r="L24" s="481" t="s">
        <v>115</v>
      </c>
      <c r="M24" s="1408" t="s">
        <v>127</v>
      </c>
      <c r="N24" s="1409"/>
      <c r="O24" s="1409"/>
      <c r="P24" s="1410"/>
      <c r="Q24" s="1408" t="s">
        <v>126</v>
      </c>
      <c r="R24" s="1409"/>
      <c r="S24" s="1410"/>
      <c r="T24" s="1408" t="s">
        <v>468</v>
      </c>
      <c r="U24" s="1409"/>
      <c r="V24" s="1409"/>
      <c r="W24" s="1410"/>
      <c r="X24" s="1408" t="s">
        <v>956</v>
      </c>
      <c r="Y24" s="1409"/>
      <c r="Z24" s="1410"/>
      <c r="AA24" s="1408" t="s">
        <v>903</v>
      </c>
      <c r="AB24" s="1409"/>
      <c r="AC24" s="1409"/>
      <c r="AD24" s="1410"/>
      <c r="AE24" s="1411"/>
      <c r="AF24" s="1412"/>
    </row>
    <row r="25" spans="1:32" ht="22.9" thickBot="1">
      <c r="A25" s="115">
        <v>23</v>
      </c>
      <c r="B25" s="1402"/>
      <c r="C25" s="462" t="s">
        <v>973</v>
      </c>
      <c r="D25" s="485"/>
      <c r="E25" s="463"/>
      <c r="F25" s="485"/>
      <c r="K25" s="472"/>
      <c r="L25" s="481" t="s">
        <v>115</v>
      </c>
      <c r="M25" s="1408" t="s">
        <v>127</v>
      </c>
      <c r="N25" s="1409"/>
      <c r="O25" s="1409"/>
      <c r="P25" s="1410"/>
      <c r="Q25" s="1408" t="s">
        <v>126</v>
      </c>
      <c r="R25" s="1409"/>
      <c r="S25" s="1410"/>
      <c r="T25" s="1408" t="s">
        <v>468</v>
      </c>
      <c r="U25" s="1409"/>
      <c r="V25" s="1409"/>
      <c r="W25" s="1410"/>
      <c r="X25" s="1408" t="s">
        <v>956</v>
      </c>
      <c r="Y25" s="1409"/>
      <c r="Z25" s="1410"/>
      <c r="AA25" s="1408" t="s">
        <v>903</v>
      </c>
      <c r="AB25" s="1409"/>
      <c r="AC25" s="1409"/>
      <c r="AD25" s="1410"/>
      <c r="AE25" s="1411"/>
      <c r="AF25" s="1412"/>
    </row>
    <row r="26" spans="1:32" ht="25.15" thickBot="1">
      <c r="A26" s="115">
        <v>24</v>
      </c>
      <c r="I26" s="488"/>
      <c r="K26" s="469"/>
      <c r="L26" s="482" t="s">
        <v>115</v>
      </c>
      <c r="M26" s="1403" t="s">
        <v>127</v>
      </c>
      <c r="N26" s="1404"/>
      <c r="O26" s="1404"/>
      <c r="P26" s="1405"/>
      <c r="Q26" s="1403" t="s">
        <v>126</v>
      </c>
      <c r="R26" s="1404"/>
      <c r="S26" s="1405"/>
      <c r="T26" s="1403" t="s">
        <v>468</v>
      </c>
      <c r="U26" s="1404"/>
      <c r="V26" s="1404"/>
      <c r="W26" s="1405"/>
      <c r="X26" s="1403" t="s">
        <v>956</v>
      </c>
      <c r="Y26" s="1404"/>
      <c r="Z26" s="1405"/>
      <c r="AA26" s="1403" t="s">
        <v>903</v>
      </c>
      <c r="AB26" s="1404"/>
      <c r="AC26" s="1404"/>
      <c r="AD26" s="1405"/>
      <c r="AE26" s="1406"/>
      <c r="AF26" s="1407"/>
    </row>
    <row r="27" spans="1:32" ht="25.15" thickBot="1">
      <c r="A27" s="115">
        <v>25</v>
      </c>
      <c r="B27" s="1391" t="s">
        <v>600</v>
      </c>
      <c r="C27" s="1392"/>
      <c r="D27" s="1392"/>
      <c r="E27" s="1392"/>
      <c r="F27" s="1392"/>
      <c r="G27" s="1392"/>
      <c r="H27" s="1392"/>
      <c r="I27" s="489"/>
      <c r="K27" s="1214"/>
      <c r="L27" s="1214"/>
      <c r="M27" s="1214"/>
      <c r="N27" s="1214"/>
      <c r="O27" s="1214"/>
      <c r="P27" s="1214"/>
      <c r="Q27" s="1214"/>
      <c r="R27" s="1214"/>
      <c r="S27" s="1214"/>
      <c r="T27" s="1214"/>
      <c r="U27" s="1214"/>
      <c r="V27" s="1214"/>
      <c r="W27" s="1214"/>
      <c r="X27" s="1214"/>
      <c r="Y27" s="1214"/>
      <c r="Z27" s="1214"/>
      <c r="AA27" s="1214"/>
      <c r="AB27" s="1214"/>
      <c r="AC27" s="1214"/>
      <c r="AD27" s="1214"/>
      <c r="AE27" s="1214"/>
      <c r="AF27" s="1214"/>
    </row>
    <row r="28" spans="1:32" ht="19.5" thickTop="1">
      <c r="A28" s="115">
        <v>26</v>
      </c>
      <c r="B28" s="461" t="s">
        <v>908</v>
      </c>
      <c r="C28" s="464" t="s">
        <v>106</v>
      </c>
      <c r="D28" s="461" t="s">
        <v>107</v>
      </c>
      <c r="E28" s="464" t="s">
        <v>974</v>
      </c>
      <c r="F28" s="486" t="s">
        <v>975</v>
      </c>
      <c r="G28" s="461" t="s">
        <v>904</v>
      </c>
      <c r="H28" s="487" t="s">
        <v>976</v>
      </c>
      <c r="K28" s="1379" t="s">
        <v>958</v>
      </c>
      <c r="L28" s="1379"/>
      <c r="M28" s="1379"/>
      <c r="N28" s="1379"/>
      <c r="O28" s="1379"/>
      <c r="P28" s="1379"/>
      <c r="Q28" s="1379"/>
      <c r="R28" s="1379"/>
      <c r="S28" s="1379"/>
      <c r="T28" s="1379"/>
      <c r="U28" s="1379"/>
      <c r="V28" s="1379"/>
      <c r="W28" s="1379"/>
      <c r="X28" s="1379"/>
      <c r="Y28" s="1379"/>
      <c r="Z28" s="1379"/>
      <c r="AA28" s="1379"/>
      <c r="AB28" s="1379"/>
      <c r="AC28" s="1379"/>
      <c r="AD28" s="1379"/>
      <c r="AE28" s="1379"/>
      <c r="AF28" s="1379"/>
    </row>
    <row r="29" spans="1:32" ht="13.5">
      <c r="A29" s="115">
        <v>27</v>
      </c>
      <c r="B29" s="330"/>
      <c r="F29" s="330"/>
      <c r="K29" s="1301" t="s">
        <v>928</v>
      </c>
      <c r="L29" s="1301"/>
      <c r="M29" s="1301"/>
      <c r="N29" s="1301"/>
      <c r="O29" s="1301"/>
      <c r="P29" s="1301"/>
      <c r="Q29" s="1301"/>
      <c r="R29" s="1301"/>
      <c r="S29" s="1301"/>
      <c r="T29" s="1301"/>
      <c r="U29" s="1301"/>
      <c r="V29" s="1301"/>
      <c r="W29" s="1301"/>
      <c r="X29" s="1301"/>
      <c r="Y29" s="1301"/>
      <c r="Z29" s="1301"/>
      <c r="AA29" s="1301"/>
      <c r="AB29" s="1301"/>
      <c r="AC29" s="1301"/>
      <c r="AD29" s="1301"/>
      <c r="AE29" s="1301"/>
      <c r="AF29" s="1301"/>
    </row>
    <row r="30" spans="1:32" ht="13.5">
      <c r="A30" s="115">
        <v>28</v>
      </c>
      <c r="B30" s="330" t="s">
        <v>977</v>
      </c>
      <c r="F30" s="330"/>
      <c r="K30" s="1217"/>
      <c r="L30" s="1217"/>
      <c r="M30" s="1217"/>
      <c r="N30" s="1217"/>
      <c r="O30" s="1217"/>
      <c r="P30" s="1217"/>
      <c r="Q30" s="1217"/>
      <c r="R30" s="1217"/>
      <c r="S30" s="1217"/>
      <c r="T30" s="1217"/>
      <c r="U30" s="1217"/>
      <c r="V30" s="1302" t="s">
        <v>959</v>
      </c>
      <c r="W30" s="1302"/>
      <c r="X30" s="1302"/>
      <c r="Y30" s="1302"/>
      <c r="Z30" s="1303" t="s">
        <v>2</v>
      </c>
      <c r="AA30" s="1303"/>
      <c r="AB30" s="1303"/>
      <c r="AC30" s="1304" t="s">
        <v>282</v>
      </c>
      <c r="AD30" s="1304"/>
      <c r="AE30" s="1304"/>
      <c r="AF30" s="1304"/>
    </row>
    <row r="31" spans="1:32" ht="13.5">
      <c r="A31" s="115">
        <v>29</v>
      </c>
      <c r="B31" s="330"/>
      <c r="F31" s="330"/>
      <c r="K31" s="1217"/>
      <c r="L31" s="1217"/>
      <c r="M31" s="1217"/>
      <c r="N31" s="1217"/>
      <c r="O31" s="1217"/>
      <c r="P31" s="1217"/>
      <c r="Q31" s="1217"/>
      <c r="R31" s="1217"/>
      <c r="S31" s="1217"/>
      <c r="T31" s="1217"/>
      <c r="U31" s="1217"/>
      <c r="V31" s="1302" t="s">
        <v>960</v>
      </c>
      <c r="W31" s="1302"/>
      <c r="X31" s="1302"/>
      <c r="Y31" s="1302"/>
      <c r="Z31" s="1303"/>
      <c r="AA31" s="1303"/>
      <c r="AB31" s="1303"/>
      <c r="AC31" s="1304"/>
      <c r="AD31" s="1304"/>
      <c r="AE31" s="1304"/>
      <c r="AF31" s="1304"/>
    </row>
    <row r="32" spans="1:32" ht="26.25" customHeight="1" thickBot="1">
      <c r="A32" s="115">
        <v>30</v>
      </c>
      <c r="B32" s="330"/>
      <c r="F32" s="330"/>
      <c r="K32" s="1446" t="s">
        <v>961</v>
      </c>
      <c r="L32" s="1446"/>
      <c r="M32" s="1446"/>
      <c r="N32" s="1446"/>
      <c r="O32" s="1306" t="s">
        <v>284</v>
      </c>
      <c r="P32" s="1306"/>
      <c r="Q32" s="1306"/>
      <c r="R32" s="1306"/>
      <c r="S32" s="1306"/>
      <c r="T32" s="1306"/>
      <c r="U32" s="1306"/>
      <c r="V32" s="1306"/>
      <c r="W32" s="1306"/>
      <c r="X32" s="1306"/>
      <c r="Y32" s="1306"/>
      <c r="Z32" s="1306"/>
      <c r="AA32" s="1306"/>
      <c r="AB32" s="1306"/>
      <c r="AC32" s="1306"/>
      <c r="AD32" s="1306"/>
      <c r="AE32" s="1306"/>
      <c r="AF32" s="1306"/>
    </row>
    <row r="33" spans="1:32" ht="13.9" customHeight="1" thickTop="1">
      <c r="A33" s="115">
        <v>31</v>
      </c>
      <c r="B33" s="330"/>
      <c r="F33" s="330"/>
      <c r="K33" s="1397"/>
      <c r="L33" s="1397"/>
      <c r="M33" s="1397"/>
      <c r="N33" s="1397"/>
      <c r="O33" s="1397"/>
      <c r="P33" s="1397"/>
      <c r="Q33" s="1397"/>
      <c r="R33" s="1397"/>
      <c r="S33" s="1397"/>
      <c r="T33" s="1397"/>
      <c r="U33" s="1397"/>
      <c r="V33" s="1397"/>
      <c r="W33" s="1397"/>
      <c r="X33" s="1397"/>
      <c r="Y33" s="1397"/>
      <c r="Z33" s="1397"/>
      <c r="AA33" s="1397"/>
      <c r="AB33" s="1397"/>
      <c r="AC33" s="1397"/>
      <c r="AD33" s="1397"/>
      <c r="AE33" s="1397"/>
      <c r="AF33" s="1397"/>
    </row>
    <row r="34" spans="1:32" ht="13.5">
      <c r="A34" s="115">
        <v>32</v>
      </c>
      <c r="B34" s="330"/>
      <c r="F34" s="330"/>
    </row>
    <row r="35" spans="1:32" ht="13.5">
      <c r="A35" s="115">
        <v>33</v>
      </c>
      <c r="B35" s="330"/>
      <c r="F35" s="330"/>
    </row>
    <row r="36" spans="1:32" ht="13.5">
      <c r="A36" s="115">
        <v>34</v>
      </c>
      <c r="B36" s="330"/>
      <c r="F36" s="330"/>
    </row>
    <row r="37" spans="1:32" ht="13.5">
      <c r="A37" s="115">
        <v>35</v>
      </c>
      <c r="B37" s="330"/>
      <c r="F37" s="330"/>
    </row>
    <row r="38" spans="1:32" ht="13.5">
      <c r="A38" s="115">
        <v>36</v>
      </c>
      <c r="B38" s="330"/>
      <c r="F38" s="330"/>
    </row>
    <row r="39" spans="1:32" ht="13.5">
      <c r="A39" s="115">
        <v>37</v>
      </c>
      <c r="B39" s="330"/>
    </row>
    <row r="40" spans="1:32" ht="13.5">
      <c r="A40" s="115">
        <v>38</v>
      </c>
      <c r="B40" s="330"/>
    </row>
    <row r="41" spans="1:32" ht="13.5">
      <c r="A41" s="115">
        <v>39</v>
      </c>
      <c r="B41"/>
      <c r="C41"/>
      <c r="D41"/>
      <c r="E41"/>
      <c r="F41"/>
    </row>
    <row r="42" spans="1:32" ht="13.5">
      <c r="A42" s="115">
        <v>40</v>
      </c>
      <c r="B42"/>
      <c r="C42"/>
      <c r="D42"/>
      <c r="E42"/>
      <c r="F42"/>
    </row>
    <row r="43" spans="1:32" ht="13.5">
      <c r="A43" s="115">
        <v>41</v>
      </c>
      <c r="B43"/>
      <c r="C43"/>
      <c r="D43"/>
      <c r="E43"/>
      <c r="F43"/>
    </row>
    <row r="44" spans="1:32" ht="13.5">
      <c r="A44" s="115">
        <v>42</v>
      </c>
      <c r="B44"/>
      <c r="C44"/>
      <c r="D44"/>
      <c r="E44"/>
      <c r="F44"/>
    </row>
    <row r="45" spans="1:32" ht="13.5">
      <c r="A45" s="115">
        <v>43</v>
      </c>
      <c r="B45"/>
      <c r="C45"/>
      <c r="D45"/>
      <c r="E45"/>
      <c r="F45"/>
    </row>
    <row r="46" spans="1:32" ht="13.5">
      <c r="A46" s="115">
        <v>44</v>
      </c>
    </row>
    <row r="47" spans="1:32" ht="13.5">
      <c r="A47" s="115">
        <v>45</v>
      </c>
    </row>
    <row r="48" spans="1:32" ht="13.5">
      <c r="A48" s="115">
        <v>46</v>
      </c>
    </row>
    <row r="49" spans="1:1" ht="13.5">
      <c r="A49" s="115">
        <v>47</v>
      </c>
    </row>
    <row r="50" spans="1:1" ht="13.5">
      <c r="A50" s="115">
        <v>48</v>
      </c>
    </row>
    <row r="51" spans="1:1" ht="13.5">
      <c r="A51" s="115">
        <v>49</v>
      </c>
    </row>
    <row r="52" spans="1:1" ht="13.5">
      <c r="A52" s="115">
        <v>50</v>
      </c>
    </row>
    <row r="53" spans="1:1" ht="13.5">
      <c r="A53" s="115">
        <v>51</v>
      </c>
    </row>
    <row r="54" spans="1:1" ht="13.5">
      <c r="A54" s="115">
        <v>52</v>
      </c>
    </row>
    <row r="55" spans="1:1" ht="13.5">
      <c r="A55" s="115">
        <v>53</v>
      </c>
    </row>
    <row r="56" spans="1:1" ht="13.5">
      <c r="A56" s="115">
        <v>54</v>
      </c>
    </row>
    <row r="57" spans="1:1" ht="13.5">
      <c r="A57" s="115">
        <v>55</v>
      </c>
    </row>
    <row r="58" spans="1:1" ht="13.5">
      <c r="A58" s="115">
        <v>56</v>
      </c>
    </row>
    <row r="59" spans="1:1" ht="13.5">
      <c r="A59" s="115">
        <v>57</v>
      </c>
    </row>
    <row r="60" spans="1:1" ht="13.5">
      <c r="A60" s="115">
        <v>58</v>
      </c>
    </row>
    <row r="61" spans="1:1" ht="13.5">
      <c r="A61" s="115">
        <v>59</v>
      </c>
    </row>
    <row r="62" spans="1:1" ht="13.5">
      <c r="A62" s="115">
        <v>60</v>
      </c>
    </row>
    <row r="63" spans="1:1" ht="13.5">
      <c r="A63" s="115">
        <v>61</v>
      </c>
    </row>
  </sheetData>
  <mergeCells count="165">
    <mergeCell ref="B27:H27"/>
    <mergeCell ref="C6:D6"/>
    <mergeCell ref="E6:F6"/>
    <mergeCell ref="L6:O6"/>
    <mergeCell ref="L5:O5"/>
    <mergeCell ref="C17:D17"/>
    <mergeCell ref="E17:F17"/>
    <mergeCell ref="M17:P17"/>
    <mergeCell ref="L10:O10"/>
    <mergeCell ref="P10:AF10"/>
    <mergeCell ref="L11:O11"/>
    <mergeCell ref="P11:R11"/>
    <mergeCell ref="S11:V11"/>
    <mergeCell ref="W11:AA11"/>
    <mergeCell ref="AB11:AE11"/>
    <mergeCell ref="L12:M12"/>
    <mergeCell ref="L13:M13"/>
    <mergeCell ref="L14:M14"/>
    <mergeCell ref="N12:Q14"/>
    <mergeCell ref="K8:AF8"/>
    <mergeCell ref="K9:K14"/>
    <mergeCell ref="L9:O9"/>
    <mergeCell ref="P9:V9"/>
    <mergeCell ref="W9:AC9"/>
    <mergeCell ref="AD9:AF9"/>
    <mergeCell ref="B2:I2"/>
    <mergeCell ref="C3:D3"/>
    <mergeCell ref="E3:I3"/>
    <mergeCell ref="C11:D11"/>
    <mergeCell ref="E11:F11"/>
    <mergeCell ref="C4:D4"/>
    <mergeCell ref="E4:F4"/>
    <mergeCell ref="C5:D5"/>
    <mergeCell ref="E5:F5"/>
    <mergeCell ref="C13:D13"/>
    <mergeCell ref="E13:F13"/>
    <mergeCell ref="C12:D12"/>
    <mergeCell ref="E12:F12"/>
    <mergeCell ref="C9:D9"/>
    <mergeCell ref="E9:F9"/>
    <mergeCell ref="C10:D10"/>
    <mergeCell ref="E10:F10"/>
    <mergeCell ref="C7:D7"/>
    <mergeCell ref="E7:F7"/>
    <mergeCell ref="C8:D8"/>
    <mergeCell ref="E8:F8"/>
    <mergeCell ref="Q17:S17"/>
    <mergeCell ref="C15:D15"/>
    <mergeCell ref="E15:F15"/>
    <mergeCell ref="C16:D16"/>
    <mergeCell ref="E16:F16"/>
    <mergeCell ref="K15:AF15"/>
    <mergeCell ref="C20:D20"/>
    <mergeCell ref="E20:F20"/>
    <mergeCell ref="M20:P20"/>
    <mergeCell ref="Q20:S20"/>
    <mergeCell ref="T20:W20"/>
    <mergeCell ref="X20:Z20"/>
    <mergeCell ref="C18:D18"/>
    <mergeCell ref="E18:F18"/>
    <mergeCell ref="C19:D19"/>
    <mergeCell ref="E19:F19"/>
    <mergeCell ref="T17:W17"/>
    <mergeCell ref="X17:Z17"/>
    <mergeCell ref="AA17:AD17"/>
    <mergeCell ref="AE17:AF17"/>
    <mergeCell ref="M18:P18"/>
    <mergeCell ref="Q18:S18"/>
    <mergeCell ref="T18:W18"/>
    <mergeCell ref="X18:Z18"/>
    <mergeCell ref="K32:N32"/>
    <mergeCell ref="O32:AF32"/>
    <mergeCell ref="M26:P26"/>
    <mergeCell ref="Q26:S26"/>
    <mergeCell ref="T26:W26"/>
    <mergeCell ref="X26:Z26"/>
    <mergeCell ref="M24:P24"/>
    <mergeCell ref="Q24:S24"/>
    <mergeCell ref="T24:W24"/>
    <mergeCell ref="AE25:AF25"/>
    <mergeCell ref="AD5:AF5"/>
    <mergeCell ref="P6:AF6"/>
    <mergeCell ref="L7:O7"/>
    <mergeCell ref="P7:V7"/>
    <mergeCell ref="W7:AC7"/>
    <mergeCell ref="AD7:AF7"/>
    <mergeCell ref="L3:O3"/>
    <mergeCell ref="P3:V3"/>
    <mergeCell ref="W3:AC3"/>
    <mergeCell ref="AD3:AF3"/>
    <mergeCell ref="L4:O4"/>
    <mergeCell ref="P4:V4"/>
    <mergeCell ref="W4:AC4"/>
    <mergeCell ref="AD4:AF4"/>
    <mergeCell ref="P5:V5"/>
    <mergeCell ref="W5:AC5"/>
    <mergeCell ref="R12:T12"/>
    <mergeCell ref="R13:T13"/>
    <mergeCell ref="R14:T14"/>
    <mergeCell ref="M16:P16"/>
    <mergeCell ref="Q16:S16"/>
    <mergeCell ref="T16:W16"/>
    <mergeCell ref="X16:Z16"/>
    <mergeCell ref="AA16:AD16"/>
    <mergeCell ref="AE16:AF16"/>
    <mergeCell ref="U12:X12"/>
    <mergeCell ref="Y12:AA12"/>
    <mergeCell ref="AB12:AE12"/>
    <mergeCell ref="AB13:AE13"/>
    <mergeCell ref="AB14:AE14"/>
    <mergeCell ref="AF12:AF14"/>
    <mergeCell ref="U13:X13"/>
    <mergeCell ref="Y13:AA13"/>
    <mergeCell ref="U14:X14"/>
    <mergeCell ref="Y14:AA14"/>
    <mergeCell ref="AA18:AD18"/>
    <mergeCell ref="AE18:AF18"/>
    <mergeCell ref="AA20:AD20"/>
    <mergeCell ref="AE20:AF20"/>
    <mergeCell ref="M21:P21"/>
    <mergeCell ref="Q21:S21"/>
    <mergeCell ref="T21:W21"/>
    <mergeCell ref="X21:Z21"/>
    <mergeCell ref="AA21:AD21"/>
    <mergeCell ref="AE21:AF21"/>
    <mergeCell ref="M19:P19"/>
    <mergeCell ref="Q19:S19"/>
    <mergeCell ref="T19:W19"/>
    <mergeCell ref="X19:Z19"/>
    <mergeCell ref="AA19:AD19"/>
    <mergeCell ref="AE19:AF19"/>
    <mergeCell ref="AA22:AD22"/>
    <mergeCell ref="AE22:AF22"/>
    <mergeCell ref="M23:P23"/>
    <mergeCell ref="Q23:S23"/>
    <mergeCell ref="T23:W23"/>
    <mergeCell ref="X23:Z23"/>
    <mergeCell ref="AA23:AD23"/>
    <mergeCell ref="AE23:AF23"/>
    <mergeCell ref="M22:P22"/>
    <mergeCell ref="Q22:S22"/>
    <mergeCell ref="K33:AF33"/>
    <mergeCell ref="K2:AF2"/>
    <mergeCell ref="B15:B20"/>
    <mergeCell ref="B22:B25"/>
    <mergeCell ref="AA26:AD26"/>
    <mergeCell ref="AE26:AF26"/>
    <mergeCell ref="K27:AF27"/>
    <mergeCell ref="K28:AF28"/>
    <mergeCell ref="K29:AF29"/>
    <mergeCell ref="K30:U31"/>
    <mergeCell ref="V30:Y30"/>
    <mergeCell ref="V31:Y31"/>
    <mergeCell ref="Z30:AB31"/>
    <mergeCell ref="AC30:AF31"/>
    <mergeCell ref="X24:Z24"/>
    <mergeCell ref="AA24:AD24"/>
    <mergeCell ref="AE24:AF24"/>
    <mergeCell ref="M25:P25"/>
    <mergeCell ref="Q25:S25"/>
    <mergeCell ref="T25:W25"/>
    <mergeCell ref="X25:Z25"/>
    <mergeCell ref="AA25:AD25"/>
    <mergeCell ref="T22:W22"/>
    <mergeCell ref="X22:Z22"/>
  </mergeCells>
  <phoneticPr fontId="1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A3DB231-1C58-480B-8983-FAC020B193B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24</vt:i4>
      </vt:variant>
    </vt:vector>
  </HeadingPairs>
  <TitlesOfParts>
    <vt:vector size="24" baseType="lpstr">
      <vt:lpstr>체크리스트</vt:lpstr>
      <vt:lpstr>목차</vt:lpstr>
      <vt:lpstr>기본양식</vt:lpstr>
      <vt:lpstr>참여자명단</vt:lpstr>
      <vt:lpstr>참여기업 정보</vt:lpstr>
      <vt:lpstr>102. 사전직무교육 운영 계획서</vt:lpstr>
      <vt:lpstr>12. 청년 일경험 프로그램 참여기업 신청서 </vt:lpstr>
      <vt:lpstr>42. 청년 일경험 지원사업 기업 참여 의향서</vt:lpstr>
      <vt:lpstr>46. 참여 청년용 확인서</vt:lpstr>
      <vt:lpstr>40. 개인정보 활용에 관한 동의서</vt:lpstr>
      <vt:lpstr>33. 인턴형 일경험 참여신청서</vt:lpstr>
      <vt:lpstr>103) (공통-직무교육기관) 사전직무교육 출석부</vt:lpstr>
      <vt:lpstr>104) (공통-직무교육기관) 사전직무교육 공가 관리대장</vt:lpstr>
      <vt:lpstr>125. (공통직무교육기관) 사전직무교육 실시보고</vt:lpstr>
      <vt:lpstr>129. (공통-직무교육기관) 사전직무교육 수료 보고서</vt:lpstr>
      <vt:lpstr>34. 인턴형 일경험 실시보고</vt:lpstr>
      <vt:lpstr>118. (인턴형-참여기업청년) 인턴형 프로그램 표준계약</vt:lpstr>
      <vt:lpstr>106) (공통-참여기업) 참여기업 중간점검 일지</vt:lpstr>
      <vt:lpstr>109) (인턴형-참여청년) 인턴형 일경험 종합 보고서</vt:lpstr>
      <vt:lpstr>134-2. 청년일경험 지원사업 인턴형 멘토 결과보고서</vt:lpstr>
      <vt:lpstr>13. 참여기업 지원금 지급 신청서</vt:lpstr>
      <vt:lpstr>35. ()월 인턴형 일경험 결과보고</vt:lpstr>
      <vt:lpstr>108. 일경험 운영 계획서</vt:lpstr>
      <vt:lpstr>36. 인턴형 일경험 실시 결과보고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 YEON LEE</dc:creator>
  <cp:lastModifiedBy>SO YEON LEE</cp:lastModifiedBy>
  <dcterms:created xsi:type="dcterms:W3CDTF">2024-11-21T06:22:48Z</dcterms:created>
  <dcterms:modified xsi:type="dcterms:W3CDTF">2024-12-19T05:20:37Z</dcterms:modified>
</cp:coreProperties>
</file>